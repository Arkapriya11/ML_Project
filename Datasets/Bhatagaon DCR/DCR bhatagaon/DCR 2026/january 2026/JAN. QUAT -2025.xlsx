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7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1" sheetId="39" r:id="rId31"/>
    <sheet name="CALIBRATION REPORT" sheetId="6" r:id="rId32"/>
    <sheet name="POWER OFF" sheetId="5" r:id="rId33"/>
    <sheet name="MUX SIGNALS" sheetId="43" r:id="rId34"/>
  </sheets>
  <calcPr calcId="144525"/>
</workbook>
</file>

<file path=xl/calcChain.xml><?xml version="1.0" encoding="utf-8"?>
<calcChain xmlns="http://schemas.openxmlformats.org/spreadsheetml/2006/main">
  <c r="C110" i="26" l="1"/>
  <c r="C112" i="26" s="1"/>
  <c r="D110" i="26"/>
  <c r="D112" i="26" s="1"/>
  <c r="B110" i="26"/>
  <c r="B112" i="26"/>
  <c r="E110" i="26"/>
  <c r="E112" i="26"/>
  <c r="F110" i="26"/>
  <c r="F111" i="26" s="1"/>
  <c r="G110" i="26"/>
  <c r="G112" i="26" s="1"/>
  <c r="H110" i="26"/>
  <c r="H112" i="26"/>
  <c r="I110" i="26"/>
  <c r="I112" i="26" s="1"/>
  <c r="J110" i="26"/>
  <c r="J111" i="26" s="1"/>
  <c r="K110" i="26"/>
  <c r="L110" i="26"/>
  <c r="M110" i="26"/>
  <c r="N110" i="26"/>
  <c r="O110" i="26"/>
  <c r="P110" i="26"/>
  <c r="P112" i="26" s="1"/>
  <c r="Q110" i="26"/>
  <c r="C110" i="25"/>
  <c r="C111" i="25"/>
  <c r="D110" i="25"/>
  <c r="D112" i="25"/>
  <c r="E110" i="25"/>
  <c r="E112" i="25" s="1"/>
  <c r="F110" i="25"/>
  <c r="G110" i="25"/>
  <c r="G112" i="25" s="1"/>
  <c r="H110" i="25"/>
  <c r="H111" i="25"/>
  <c r="I110" i="25"/>
  <c r="J110" i="25"/>
  <c r="K110" i="25"/>
  <c r="K111" i="25" s="1"/>
  <c r="L110" i="25"/>
  <c r="L112" i="25" s="1"/>
  <c r="M110" i="25"/>
  <c r="M111" i="25"/>
  <c r="N110" i="25"/>
  <c r="O110" i="25"/>
  <c r="P110" i="25"/>
  <c r="P111" i="25" s="1"/>
  <c r="Q110" i="25"/>
  <c r="B110" i="25"/>
  <c r="B112" i="25" s="1"/>
  <c r="Q110" i="14"/>
  <c r="Q112" i="14"/>
  <c r="I110" i="14"/>
  <c r="I111" i="14"/>
  <c r="I110" i="13"/>
  <c r="I111" i="13" s="1"/>
  <c r="I110" i="41"/>
  <c r="I112" i="41" s="1"/>
  <c r="J110" i="41"/>
  <c r="J112" i="41" s="1"/>
  <c r="H110" i="41"/>
  <c r="H112" i="41"/>
  <c r="J110" i="40"/>
  <c r="J111" i="40" s="1"/>
  <c r="H110" i="40"/>
  <c r="H111" i="40" s="1"/>
  <c r="I110" i="40"/>
  <c r="I111" i="40"/>
  <c r="G110" i="33"/>
  <c r="G112" i="33"/>
  <c r="H110" i="33"/>
  <c r="H111" i="33" s="1"/>
  <c r="I110" i="33"/>
  <c r="I111" i="33" s="1"/>
  <c r="J110" i="33"/>
  <c r="J112" i="33" s="1"/>
  <c r="J110" i="32"/>
  <c r="J111" i="32"/>
  <c r="I110" i="32"/>
  <c r="I112" i="32" s="1"/>
  <c r="H110" i="32"/>
  <c r="H111" i="32" s="1"/>
  <c r="Q110" i="31"/>
  <c r="H110" i="31"/>
  <c r="H112" i="31" s="1"/>
  <c r="I110" i="31"/>
  <c r="I111" i="31"/>
  <c r="J110" i="31"/>
  <c r="J111" i="31"/>
  <c r="G110" i="31"/>
  <c r="G112" i="31"/>
  <c r="J110" i="30"/>
  <c r="J111" i="30"/>
  <c r="I110" i="30"/>
  <c r="I112" i="30"/>
  <c r="H110" i="30"/>
  <c r="H112" i="30"/>
  <c r="J110" i="29"/>
  <c r="J112" i="29"/>
  <c r="I110" i="29"/>
  <c r="I112" i="29" s="1"/>
  <c r="H110" i="29"/>
  <c r="H112" i="29"/>
  <c r="J110" i="28"/>
  <c r="J111" i="28"/>
  <c r="I110" i="28"/>
  <c r="I112" i="28"/>
  <c r="H110" i="28"/>
  <c r="H111" i="28"/>
  <c r="I110" i="27"/>
  <c r="I112" i="27"/>
  <c r="C110" i="27"/>
  <c r="C111" i="27"/>
  <c r="D110" i="27"/>
  <c r="D111" i="27"/>
  <c r="E110" i="27"/>
  <c r="F110" i="27"/>
  <c r="F112" i="27"/>
  <c r="G110" i="27"/>
  <c r="G112" i="27" s="1"/>
  <c r="H110" i="27"/>
  <c r="H111" i="27" s="1"/>
  <c r="J110" i="27"/>
  <c r="K110" i="27"/>
  <c r="L110" i="27"/>
  <c r="L112" i="27"/>
  <c r="M110" i="27"/>
  <c r="N110" i="27"/>
  <c r="O110" i="27"/>
  <c r="P110" i="27"/>
  <c r="Q110" i="27"/>
  <c r="Q111" i="26"/>
  <c r="Q111" i="25"/>
  <c r="O112" i="25"/>
  <c r="N111" i="25"/>
  <c r="J112" i="25"/>
  <c r="I111" i="25"/>
  <c r="F112" i="25"/>
  <c r="J110" i="24"/>
  <c r="J111" i="24" s="1"/>
  <c r="I110" i="24"/>
  <c r="I112" i="24"/>
  <c r="H110" i="24"/>
  <c r="H112" i="24" s="1"/>
  <c r="J110" i="23"/>
  <c r="J112" i="23" s="1"/>
  <c r="I110" i="23"/>
  <c r="I112" i="23" s="1"/>
  <c r="H110" i="23"/>
  <c r="J110" i="22"/>
  <c r="J112" i="22" s="1"/>
  <c r="I110" i="22"/>
  <c r="I112" i="22" s="1"/>
  <c r="H110" i="22"/>
  <c r="H112" i="22" s="1"/>
  <c r="G110" i="22"/>
  <c r="G111" i="22" s="1"/>
  <c r="J110" i="21"/>
  <c r="J111" i="21" s="1"/>
  <c r="I110" i="21"/>
  <c r="I111" i="21" s="1"/>
  <c r="H110" i="21"/>
  <c r="H111" i="21" s="1"/>
  <c r="H110" i="20"/>
  <c r="H112" i="20"/>
  <c r="I110" i="20"/>
  <c r="I111" i="20" s="1"/>
  <c r="J110" i="20"/>
  <c r="J112" i="20" s="1"/>
  <c r="Q110" i="19"/>
  <c r="Q112" i="19" s="1"/>
  <c r="J110" i="19"/>
  <c r="J111" i="19" s="1"/>
  <c r="I110" i="19"/>
  <c r="I112" i="19" s="1"/>
  <c r="H110" i="19"/>
  <c r="H112" i="19" s="1"/>
  <c r="Q110" i="17"/>
  <c r="Q112" i="17" s="1"/>
  <c r="J110" i="17"/>
  <c r="J112" i="17" s="1"/>
  <c r="I110" i="17"/>
  <c r="I111" i="17" s="1"/>
  <c r="H110" i="17"/>
  <c r="H112" i="17" s="1"/>
  <c r="H110" i="16"/>
  <c r="H111" i="16" s="1"/>
  <c r="I110" i="16"/>
  <c r="I111" i="16" s="1"/>
  <c r="J110" i="16"/>
  <c r="J111" i="16" s="1"/>
  <c r="Q110" i="16"/>
  <c r="H110" i="15"/>
  <c r="H111" i="15"/>
  <c r="I110" i="15"/>
  <c r="I111" i="15"/>
  <c r="J110" i="15"/>
  <c r="J112" i="15"/>
  <c r="Q110" i="15"/>
  <c r="Q111" i="15"/>
  <c r="J110" i="14"/>
  <c r="J111" i="14"/>
  <c r="H110" i="14"/>
  <c r="H112" i="14"/>
  <c r="D110" i="11"/>
  <c r="D112" i="11"/>
  <c r="C110" i="11"/>
  <c r="C112" i="11"/>
  <c r="B110" i="11"/>
  <c r="B111" i="11"/>
  <c r="J110" i="13"/>
  <c r="J112" i="13" s="1"/>
  <c r="H110" i="13"/>
  <c r="H112" i="13"/>
  <c r="F110" i="12"/>
  <c r="F111" i="12"/>
  <c r="J110" i="12"/>
  <c r="J112" i="12"/>
  <c r="H110" i="12"/>
  <c r="H111" i="12"/>
  <c r="I110" i="12"/>
  <c r="I112" i="12"/>
  <c r="J110" i="11"/>
  <c r="J111" i="11"/>
  <c r="I110" i="11"/>
  <c r="I111" i="11" s="1"/>
  <c r="H110" i="11"/>
  <c r="H111" i="11" s="1"/>
  <c r="G110" i="11"/>
  <c r="G112" i="11"/>
  <c r="J110" i="10"/>
  <c r="J112" i="10"/>
  <c r="I110" i="10"/>
  <c r="I111" i="10"/>
  <c r="H110" i="10"/>
  <c r="H112" i="10"/>
  <c r="J110" i="9"/>
  <c r="J111" i="9"/>
  <c r="I110" i="9"/>
  <c r="I111" i="9"/>
  <c r="H110" i="9"/>
  <c r="H111" i="9" s="1"/>
  <c r="Q110" i="8"/>
  <c r="Q111" i="8" s="1"/>
  <c r="J110" i="8"/>
  <c r="J111" i="8"/>
  <c r="I110" i="8"/>
  <c r="I111" i="8"/>
  <c r="H110" i="8"/>
  <c r="H111" i="8"/>
  <c r="P110" i="8"/>
  <c r="P112" i="8"/>
  <c r="O110" i="8"/>
  <c r="O111" i="8"/>
  <c r="N110" i="8"/>
  <c r="M110" i="8"/>
  <c r="L110" i="8"/>
  <c r="L112" i="8" s="1"/>
  <c r="K110" i="8"/>
  <c r="K111" i="8" s="1"/>
  <c r="G110" i="8"/>
  <c r="G111" i="8"/>
  <c r="F110" i="8"/>
  <c r="F111" i="8"/>
  <c r="E110" i="8"/>
  <c r="E112" i="8"/>
  <c r="D110" i="8"/>
  <c r="C110" i="8"/>
  <c r="B110" i="8"/>
  <c r="B112" i="8"/>
  <c r="I110" i="3"/>
  <c r="I112" i="3" s="1"/>
  <c r="I110" i="2"/>
  <c r="I111" i="2" s="1"/>
  <c r="B2" i="23"/>
  <c r="C110" i="2"/>
  <c r="C111" i="2" s="1"/>
  <c r="D110" i="2"/>
  <c r="E110" i="2"/>
  <c r="E111" i="2"/>
  <c r="F110" i="2"/>
  <c r="F111" i="2"/>
  <c r="G110" i="2"/>
  <c r="G112" i="2" s="1"/>
  <c r="H110" i="2"/>
  <c r="J110" i="2"/>
  <c r="J111" i="2"/>
  <c r="K110" i="2"/>
  <c r="K111" i="2"/>
  <c r="L110" i="2"/>
  <c r="L112" i="2" s="1"/>
  <c r="M110" i="2"/>
  <c r="M112" i="2" s="1"/>
  <c r="N110" i="2"/>
  <c r="N112" i="2" s="1"/>
  <c r="O110" i="2"/>
  <c r="O111" i="2" s="1"/>
  <c r="P110" i="2"/>
  <c r="P112" i="2"/>
  <c r="Q110" i="2"/>
  <c r="Q111" i="2" s="1"/>
  <c r="C110" i="3"/>
  <c r="C111" i="3" s="1"/>
  <c r="D110" i="3"/>
  <c r="D111" i="3" s="1"/>
  <c r="E110" i="3"/>
  <c r="E111" i="3" s="1"/>
  <c r="F110" i="3"/>
  <c r="F111" i="3"/>
  <c r="G110" i="3"/>
  <c r="G112" i="3"/>
  <c r="H110" i="3"/>
  <c r="H112" i="3"/>
  <c r="J110" i="3"/>
  <c r="J111" i="3"/>
  <c r="K110" i="3"/>
  <c r="K112" i="3" s="1"/>
  <c r="L110" i="3"/>
  <c r="L111" i="3" s="1"/>
  <c r="M110" i="3"/>
  <c r="M112" i="3" s="1"/>
  <c r="N110" i="3"/>
  <c r="N111" i="3" s="1"/>
  <c r="O110" i="3"/>
  <c r="P110" i="3"/>
  <c r="Q110" i="3"/>
  <c r="Q110" i="41"/>
  <c r="Q111" i="41" s="1"/>
  <c r="P110" i="41"/>
  <c r="P112" i="41" s="1"/>
  <c r="O110" i="41"/>
  <c r="O112" i="41" s="1"/>
  <c r="N110" i="41"/>
  <c r="N111" i="41"/>
  <c r="M110" i="41"/>
  <c r="M112" i="41"/>
  <c r="L110" i="41"/>
  <c r="L111" i="41"/>
  <c r="K110" i="41"/>
  <c r="K112" i="41"/>
  <c r="G110" i="41"/>
  <c r="G112" i="41" s="1"/>
  <c r="F110" i="41"/>
  <c r="F112" i="41" s="1"/>
  <c r="E110" i="41"/>
  <c r="E111" i="41" s="1"/>
  <c r="D110" i="41"/>
  <c r="D112" i="41" s="1"/>
  <c r="C110" i="41"/>
  <c r="C112" i="41"/>
  <c r="B110" i="41"/>
  <c r="B112" i="4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8" i="39"/>
  <c r="P108" i="41"/>
  <c r="O108" i="41"/>
  <c r="N108" i="41"/>
  <c r="N38" i="39"/>
  <c r="M108" i="41"/>
  <c r="L108" i="41"/>
  <c r="K108" i="41"/>
  <c r="K38" i="39" s="1"/>
  <c r="J108" i="41"/>
  <c r="I108" i="41"/>
  <c r="I38" i="39"/>
  <c r="H108" i="41"/>
  <c r="G108" i="41"/>
  <c r="F108" i="41"/>
  <c r="E108" i="41"/>
  <c r="D108" i="41"/>
  <c r="C108" i="41"/>
  <c r="B108" i="41"/>
  <c r="B38" i="39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/>
  <c r="Q110" i="40"/>
  <c r="Q112" i="40" s="1"/>
  <c r="P110" i="40"/>
  <c r="P111" i="40" s="1"/>
  <c r="O110" i="40"/>
  <c r="O112" i="40"/>
  <c r="N110" i="40"/>
  <c r="N111" i="40" s="1"/>
  <c r="M110" i="40"/>
  <c r="M112" i="40" s="1"/>
  <c r="L110" i="40"/>
  <c r="L112" i="40"/>
  <c r="K110" i="40"/>
  <c r="K112" i="40"/>
  <c r="G110" i="40"/>
  <c r="G112" i="40"/>
  <c r="F110" i="40"/>
  <c r="F112" i="40" s="1"/>
  <c r="E110" i="40"/>
  <c r="E112" i="40" s="1"/>
  <c r="D110" i="40"/>
  <c r="D112" i="40"/>
  <c r="C110" i="40"/>
  <c r="C111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/>
  <c r="P108" i="40"/>
  <c r="P37" i="39"/>
  <c r="O108" i="40"/>
  <c r="N108" i="40"/>
  <c r="M108" i="40"/>
  <c r="L108" i="40"/>
  <c r="K108" i="40"/>
  <c r="K37" i="39" s="1"/>
  <c r="J108" i="40"/>
  <c r="I108" i="40"/>
  <c r="H108" i="40"/>
  <c r="H37" i="39" s="1"/>
  <c r="G108" i="40"/>
  <c r="G37" i="39"/>
  <c r="F108" i="40"/>
  <c r="F37" i="39"/>
  <c r="E108" i="40"/>
  <c r="E37" i="39" s="1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/>
  <c r="O110" i="33"/>
  <c r="O112" i="33" s="1"/>
  <c r="N110" i="33"/>
  <c r="N111" i="33" s="1"/>
  <c r="M110" i="33"/>
  <c r="M112" i="33"/>
  <c r="L110" i="33"/>
  <c r="L112" i="33"/>
  <c r="K110" i="33"/>
  <c r="K111" i="33"/>
  <c r="F110" i="33"/>
  <c r="F112" i="33" s="1"/>
  <c r="E110" i="33"/>
  <c r="E112" i="33" s="1"/>
  <c r="D110" i="33"/>
  <c r="D112" i="33"/>
  <c r="C110" i="33"/>
  <c r="C112" i="33" s="1"/>
  <c r="B110" i="33"/>
  <c r="B111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O36" i="39"/>
  <c r="N108" i="33"/>
  <c r="M108" i="33"/>
  <c r="M36" i="39" s="1"/>
  <c r="L108" i="33"/>
  <c r="L36" i="39"/>
  <c r="K108" i="33"/>
  <c r="J108" i="33"/>
  <c r="I108" i="33"/>
  <c r="I36" i="39" s="1"/>
  <c r="H108" i="33"/>
  <c r="G108" i="33"/>
  <c r="G36" i="39" s="1"/>
  <c r="F108" i="33"/>
  <c r="F36" i="39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/>
  <c r="P110" i="32"/>
  <c r="P112" i="32"/>
  <c r="O110" i="32"/>
  <c r="O112" i="32" s="1"/>
  <c r="N110" i="32"/>
  <c r="N111" i="32"/>
  <c r="M110" i="32"/>
  <c r="M112" i="32"/>
  <c r="L110" i="32"/>
  <c r="L111" i="32" s="1"/>
  <c r="K110" i="32"/>
  <c r="K112" i="32" s="1"/>
  <c r="G110" i="32"/>
  <c r="G111" i="32" s="1"/>
  <c r="F110" i="32"/>
  <c r="F112" i="32"/>
  <c r="E110" i="32"/>
  <c r="E111" i="32"/>
  <c r="D110" i="32"/>
  <c r="D112" i="32" s="1"/>
  <c r="C110" i="32"/>
  <c r="C111" i="32"/>
  <c r="B110" i="32"/>
  <c r="B111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O108" i="32"/>
  <c r="O35" i="39"/>
  <c r="N108" i="32"/>
  <c r="N35" i="39" s="1"/>
  <c r="M108" i="32"/>
  <c r="M35" i="39" s="1"/>
  <c r="L108" i="32"/>
  <c r="K108" i="32"/>
  <c r="J108" i="32"/>
  <c r="J35" i="39" s="1"/>
  <c r="I108" i="32"/>
  <c r="I35" i="39"/>
  <c r="H108" i="32"/>
  <c r="G108" i="32"/>
  <c r="F108" i="32"/>
  <c r="F35" i="39" s="1"/>
  <c r="E108" i="32"/>
  <c r="E35" i="39" s="1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P110" i="31"/>
  <c r="P112" i="31" s="1"/>
  <c r="O110" i="31"/>
  <c r="O112" i="31" s="1"/>
  <c r="N110" i="31"/>
  <c r="N112" i="31"/>
  <c r="M110" i="31"/>
  <c r="M111" i="31"/>
  <c r="L110" i="31"/>
  <c r="L112" i="31" s="1"/>
  <c r="K110" i="31"/>
  <c r="K111" i="31" s="1"/>
  <c r="F110" i="31"/>
  <c r="F112" i="31" s="1"/>
  <c r="E110" i="31"/>
  <c r="E112" i="31"/>
  <c r="D110" i="31"/>
  <c r="D112" i="31" s="1"/>
  <c r="C110" i="31"/>
  <c r="C112" i="31" s="1"/>
  <c r="B110" i="31"/>
  <c r="B112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/>
  <c r="P108" i="31"/>
  <c r="P34" i="39" s="1"/>
  <c r="O108" i="31"/>
  <c r="O34" i="39" s="1"/>
  <c r="N108" i="31"/>
  <c r="N34" i="39" s="1"/>
  <c r="M108" i="31"/>
  <c r="L108" i="31"/>
  <c r="L34" i="39" s="1"/>
  <c r="K108" i="31"/>
  <c r="J108" i="31"/>
  <c r="I108" i="31"/>
  <c r="H108" i="31"/>
  <c r="G108" i="31"/>
  <c r="F108" i="31"/>
  <c r="E108" i="3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P110" i="30"/>
  <c r="P111" i="30"/>
  <c r="O110" i="30"/>
  <c r="O112" i="30"/>
  <c r="N110" i="30"/>
  <c r="N112" i="30" s="1"/>
  <c r="M110" i="30"/>
  <c r="M112" i="30"/>
  <c r="L110" i="30"/>
  <c r="L112" i="30"/>
  <c r="K110" i="30"/>
  <c r="K112" i="30"/>
  <c r="G110" i="30"/>
  <c r="G112" i="30"/>
  <c r="F110" i="30"/>
  <c r="F112" i="30" s="1"/>
  <c r="E110" i="30"/>
  <c r="E111" i="30"/>
  <c r="D110" i="30"/>
  <c r="D112" i="30"/>
  <c r="C110" i="30"/>
  <c r="C111" i="30" s="1"/>
  <c r="B110" i="30"/>
  <c r="B112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/>
  <c r="P108" i="30"/>
  <c r="P33" i="39"/>
  <c r="O108" i="30"/>
  <c r="O33" i="39"/>
  <c r="N108" i="30"/>
  <c r="N33" i="39" s="1"/>
  <c r="M108" i="30"/>
  <c r="M33" i="39"/>
  <c r="L108" i="30"/>
  <c r="K108" i="30"/>
  <c r="K33" i="39" s="1"/>
  <c r="J108" i="30"/>
  <c r="I108" i="30"/>
  <c r="H108" i="30"/>
  <c r="G108" i="30"/>
  <c r="F108" i="30"/>
  <c r="E108" i="30"/>
  <c r="E33" i="39"/>
  <c r="D108" i="30"/>
  <c r="D33" i="39"/>
  <c r="C108" i="30"/>
  <c r="C33" i="39" s="1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/>
  <c r="Q110" i="29"/>
  <c r="Q111" i="29" s="1"/>
  <c r="P110" i="29"/>
  <c r="P112" i="29" s="1"/>
  <c r="O110" i="29"/>
  <c r="O112" i="29"/>
  <c r="N110" i="29"/>
  <c r="N112" i="29"/>
  <c r="M110" i="29"/>
  <c r="M112" i="29"/>
  <c r="L110" i="29"/>
  <c r="L111" i="29"/>
  <c r="K110" i="29"/>
  <c r="K112" i="29" s="1"/>
  <c r="G110" i="29"/>
  <c r="G111" i="29"/>
  <c r="F110" i="29"/>
  <c r="F111" i="29" s="1"/>
  <c r="E110" i="29"/>
  <c r="E112" i="29" s="1"/>
  <c r="D110" i="29"/>
  <c r="D112" i="29"/>
  <c r="C110" i="29"/>
  <c r="C112" i="29"/>
  <c r="B110" i="29"/>
  <c r="B112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/>
  <c r="O108" i="29"/>
  <c r="N108" i="29"/>
  <c r="M108" i="29"/>
  <c r="M32" i="39" s="1"/>
  <c r="L108" i="29"/>
  <c r="L32" i="39" s="1"/>
  <c r="K108" i="29"/>
  <c r="J108" i="29"/>
  <c r="I108" i="29"/>
  <c r="H108" i="29"/>
  <c r="G108" i="29"/>
  <c r="F108" i="29"/>
  <c r="E108" i="29"/>
  <c r="D108" i="29"/>
  <c r="D32" i="39"/>
  <c r="C108" i="29"/>
  <c r="C32" i="39" s="1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1" i="28" s="1"/>
  <c r="P110" i="28"/>
  <c r="P111" i="28"/>
  <c r="O110" i="28"/>
  <c r="O112" i="28" s="1"/>
  <c r="N110" i="28"/>
  <c r="N112" i="28" s="1"/>
  <c r="M110" i="28"/>
  <c r="M112" i="28" s="1"/>
  <c r="L110" i="28"/>
  <c r="L112" i="28"/>
  <c r="K110" i="28"/>
  <c r="K111" i="28"/>
  <c r="G110" i="28"/>
  <c r="G112" i="28" s="1"/>
  <c r="F110" i="28"/>
  <c r="F111" i="28" s="1"/>
  <c r="E110" i="28"/>
  <c r="E112" i="28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P31" i="39" s="1"/>
  <c r="O108" i="28"/>
  <c r="O31" i="39"/>
  <c r="N108" i="28"/>
  <c r="M108" i="28"/>
  <c r="L108" i="28"/>
  <c r="L31" i="39" s="1"/>
  <c r="K108" i="28"/>
  <c r="K31" i="39"/>
  <c r="J108" i="28"/>
  <c r="I108" i="28"/>
  <c r="H108" i="28"/>
  <c r="H31" i="39"/>
  <c r="G108" i="28"/>
  <c r="F108" i="28"/>
  <c r="E108" i="28"/>
  <c r="E31" i="39" s="1"/>
  <c r="D108" i="28"/>
  <c r="D31" i="39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/>
  <c r="Q112" i="27"/>
  <c r="P112" i="27"/>
  <c r="O112" i="27"/>
  <c r="N112" i="27"/>
  <c r="M112" i="27"/>
  <c r="K112" i="27"/>
  <c r="J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/>
  <c r="N108" i="27"/>
  <c r="N30" i="39"/>
  <c r="M108" i="27"/>
  <c r="L108" i="27"/>
  <c r="K108" i="27"/>
  <c r="K30" i="39"/>
  <c r="J108" i="27"/>
  <c r="J30" i="39" s="1"/>
  <c r="I108" i="27"/>
  <c r="H108" i="27"/>
  <c r="H30" i="39" s="1"/>
  <c r="G108" i="27"/>
  <c r="G30" i="39" s="1"/>
  <c r="F108" i="27"/>
  <c r="E108" i="27"/>
  <c r="E30" i="39"/>
  <c r="D108" i="27"/>
  <c r="D30" i="39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/>
  <c r="P111" i="26"/>
  <c r="O111" i="26"/>
  <c r="N112" i="26"/>
  <c r="M111" i="26"/>
  <c r="L112" i="26"/>
  <c r="K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/>
  <c r="O108" i="26"/>
  <c r="O29" i="39" s="1"/>
  <c r="N108" i="26"/>
  <c r="M108" i="26"/>
  <c r="L108" i="26"/>
  <c r="L29" i="39" s="1"/>
  <c r="K108" i="26"/>
  <c r="J108" i="26"/>
  <c r="J29" i="39" s="1"/>
  <c r="I108" i="26"/>
  <c r="H108" i="26"/>
  <c r="G108" i="26"/>
  <c r="F108" i="26"/>
  <c r="E108" i="26"/>
  <c r="D108" i="26"/>
  <c r="C108" i="26"/>
  <c r="C29" i="39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O28" i="39" s="1"/>
  <c r="N108" i="25"/>
  <c r="M108" i="25"/>
  <c r="L108" i="25"/>
  <c r="K108" i="25"/>
  <c r="J108" i="25"/>
  <c r="I108" i="25"/>
  <c r="H108" i="25"/>
  <c r="G108" i="25"/>
  <c r="F108" i="25"/>
  <c r="F28" i="39" s="1"/>
  <c r="E108" i="25"/>
  <c r="E28" i="39" s="1"/>
  <c r="D108" i="25"/>
  <c r="D28" i="39" s="1"/>
  <c r="C108" i="25"/>
  <c r="C28" i="39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/>
  <c r="Q110" i="24"/>
  <c r="Q112" i="24"/>
  <c r="P110" i="24"/>
  <c r="P112" i="24"/>
  <c r="O110" i="24"/>
  <c r="O112" i="24"/>
  <c r="N110" i="24"/>
  <c r="N111" i="24"/>
  <c r="M110" i="24"/>
  <c r="M112" i="24"/>
  <c r="L110" i="24"/>
  <c r="L112" i="24"/>
  <c r="K110" i="24"/>
  <c r="K111" i="24" s="1"/>
  <c r="G110" i="24"/>
  <c r="G112" i="24"/>
  <c r="F110" i="24"/>
  <c r="F112" i="24"/>
  <c r="E110" i="24"/>
  <c r="E112" i="24"/>
  <c r="D110" i="24"/>
  <c r="D112" i="24"/>
  <c r="C110" i="24"/>
  <c r="C111" i="24"/>
  <c r="B110" i="24"/>
  <c r="B112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/>
  <c r="P108" i="24"/>
  <c r="P27" i="39" s="1"/>
  <c r="O108" i="24"/>
  <c r="N108" i="24"/>
  <c r="N27" i="39"/>
  <c r="M108" i="24"/>
  <c r="L108" i="24"/>
  <c r="K108" i="24"/>
  <c r="K27" i="39"/>
  <c r="J108" i="24"/>
  <c r="I108" i="24"/>
  <c r="H108" i="24"/>
  <c r="H27" i="39"/>
  <c r="G108" i="24"/>
  <c r="F108" i="24"/>
  <c r="E108" i="24"/>
  <c r="E27" i="39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/>
  <c r="Q110" i="23"/>
  <c r="Q112" i="23"/>
  <c r="P110" i="23"/>
  <c r="P112" i="23"/>
  <c r="O110" i="23"/>
  <c r="O112" i="23"/>
  <c r="N110" i="23"/>
  <c r="N111" i="23"/>
  <c r="M110" i="23"/>
  <c r="M112" i="23"/>
  <c r="L110" i="23"/>
  <c r="L112" i="23" s="1"/>
  <c r="K110" i="23"/>
  <c r="K112" i="23"/>
  <c r="H112" i="23"/>
  <c r="G110" i="23"/>
  <c r="G111" i="23" s="1"/>
  <c r="F110" i="23"/>
  <c r="F111" i="23"/>
  <c r="E110" i="23"/>
  <c r="E112" i="23" s="1"/>
  <c r="D110" i="23"/>
  <c r="D112" i="23" s="1"/>
  <c r="C110" i="23"/>
  <c r="C112" i="23" s="1"/>
  <c r="B110" i="23"/>
  <c r="B112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/>
  <c r="P108" i="23"/>
  <c r="P26" i="39" s="1"/>
  <c r="O108" i="23"/>
  <c r="N108" i="23"/>
  <c r="N26" i="39"/>
  <c r="M108" i="23"/>
  <c r="M26" i="39"/>
  <c r="L108" i="23"/>
  <c r="K108" i="23"/>
  <c r="K26" i="39" s="1"/>
  <c r="J108" i="23"/>
  <c r="J26" i="39" s="1"/>
  <c r="I108" i="23"/>
  <c r="H108" i="23"/>
  <c r="H26" i="39" s="1"/>
  <c r="G108" i="23"/>
  <c r="F108" i="23"/>
  <c r="F26" i="39"/>
  <c r="E108" i="23"/>
  <c r="D108" i="23"/>
  <c r="C108" i="23"/>
  <c r="B108" i="23"/>
  <c r="B26" i="39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1" i="22"/>
  <c r="M110" i="22"/>
  <c r="M112" i="22"/>
  <c r="L110" i="22"/>
  <c r="L111" i="22" s="1"/>
  <c r="K110" i="22"/>
  <c r="K112" i="22" s="1"/>
  <c r="F110" i="22"/>
  <c r="F111" i="22" s="1"/>
  <c r="E110" i="22"/>
  <c r="E112" i="22" s="1"/>
  <c r="D110" i="22"/>
  <c r="D112" i="22" s="1"/>
  <c r="C110" i="22"/>
  <c r="C112" i="22" s="1"/>
  <c r="B110" i="22"/>
  <c r="B111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/>
  <c r="P108" i="22"/>
  <c r="P25" i="39" s="1"/>
  <c r="O108" i="22"/>
  <c r="N108" i="22"/>
  <c r="M108" i="22"/>
  <c r="M25" i="39" s="1"/>
  <c r="L108" i="22"/>
  <c r="K108" i="22"/>
  <c r="J108" i="22"/>
  <c r="I108" i="22"/>
  <c r="H108" i="22"/>
  <c r="G108" i="22"/>
  <c r="G25" i="39"/>
  <c r="F108" i="22"/>
  <c r="F25" i="39" s="1"/>
  <c r="E108" i="22"/>
  <c r="D108" i="22"/>
  <c r="C108" i="22"/>
  <c r="B108" i="22"/>
  <c r="B25" i="39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/>
  <c r="Q110" i="21"/>
  <c r="Q112" i="21"/>
  <c r="P110" i="21"/>
  <c r="P111" i="21"/>
  <c r="O110" i="21"/>
  <c r="O112" i="21"/>
  <c r="N110" i="21"/>
  <c r="N112" i="21"/>
  <c r="M110" i="21"/>
  <c r="M111" i="21" s="1"/>
  <c r="L110" i="21"/>
  <c r="L112" i="21"/>
  <c r="K110" i="21"/>
  <c r="K111" i="21"/>
  <c r="G110" i="21"/>
  <c r="G112" i="21"/>
  <c r="F110" i="21"/>
  <c r="F112" i="21"/>
  <c r="E110" i="21"/>
  <c r="E112" i="21"/>
  <c r="D110" i="21"/>
  <c r="D111" i="21"/>
  <c r="C110" i="21"/>
  <c r="C112" i="21"/>
  <c r="B110" i="21"/>
  <c r="B111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/>
  <c r="N108" i="21"/>
  <c r="N24" i="39"/>
  <c r="M108" i="21"/>
  <c r="M24" i="39"/>
  <c r="L108" i="21"/>
  <c r="L24" i="39"/>
  <c r="K108" i="21"/>
  <c r="K24" i="39"/>
  <c r="J108" i="21"/>
  <c r="J24" i="39"/>
  <c r="I108" i="21"/>
  <c r="I24" i="39" s="1"/>
  <c r="H108" i="21"/>
  <c r="G108" i="21"/>
  <c r="F108" i="21"/>
  <c r="F24" i="39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1" i="20" s="1"/>
  <c r="O110" i="20"/>
  <c r="O112" i="20"/>
  <c r="N110" i="20"/>
  <c r="N111" i="20"/>
  <c r="M110" i="20"/>
  <c r="M112" i="20"/>
  <c r="L110" i="20"/>
  <c r="L112" i="20"/>
  <c r="K110" i="20"/>
  <c r="K112" i="20"/>
  <c r="G110" i="20"/>
  <c r="G112" i="20"/>
  <c r="F110" i="20"/>
  <c r="F112" i="20" s="1"/>
  <c r="E110" i="20"/>
  <c r="E111" i="20" s="1"/>
  <c r="D110" i="20"/>
  <c r="D112" i="20"/>
  <c r="C110" i="20"/>
  <c r="C112" i="20"/>
  <c r="B110" i="20"/>
  <c r="B112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J108" i="20"/>
  <c r="J23" i="39"/>
  <c r="I108" i="20"/>
  <c r="I23" i="39"/>
  <c r="H108" i="20"/>
  <c r="G108" i="20"/>
  <c r="F108" i="20"/>
  <c r="F23" i="39" s="1"/>
  <c r="E108" i="20"/>
  <c r="D108" i="20"/>
  <c r="D23" i="39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/>
  <c r="P110" i="19"/>
  <c r="P112" i="19" s="1"/>
  <c r="O110" i="19"/>
  <c r="O112" i="19" s="1"/>
  <c r="N110" i="19"/>
  <c r="N112" i="19"/>
  <c r="M110" i="19"/>
  <c r="M111" i="19"/>
  <c r="L110" i="19"/>
  <c r="L112" i="19"/>
  <c r="K110" i="19"/>
  <c r="K111" i="19"/>
  <c r="G110" i="19"/>
  <c r="G112" i="19"/>
  <c r="F110" i="19"/>
  <c r="F112" i="19"/>
  <c r="E110" i="19"/>
  <c r="E111" i="19" s="1"/>
  <c r="D110" i="19"/>
  <c r="D112" i="19" s="1"/>
  <c r="C110" i="19"/>
  <c r="C111" i="19"/>
  <c r="B110" i="19"/>
  <c r="B112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L108" i="19"/>
  <c r="K108" i="19"/>
  <c r="K22" i="39" s="1"/>
  <c r="J108" i="19"/>
  <c r="I108" i="19"/>
  <c r="I22" i="39" s="1"/>
  <c r="H108" i="19"/>
  <c r="G108" i="19"/>
  <c r="F108" i="19"/>
  <c r="F22" i="39"/>
  <c r="E108" i="19"/>
  <c r="E22" i="39"/>
  <c r="D108" i="19"/>
  <c r="C108" i="19"/>
  <c r="B108" i="19"/>
  <c r="B22" i="3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/>
  <c r="Q110" i="18"/>
  <c r="Q112" i="18" s="1"/>
  <c r="P110" i="18"/>
  <c r="P111" i="18" s="1"/>
  <c r="O110" i="18"/>
  <c r="O111" i="18"/>
  <c r="N110" i="18"/>
  <c r="N112" i="18"/>
  <c r="M110" i="18"/>
  <c r="M111" i="18"/>
  <c r="L110" i="18"/>
  <c r="L112" i="18"/>
  <c r="K110" i="18"/>
  <c r="K112" i="18"/>
  <c r="J110" i="18"/>
  <c r="J111" i="18"/>
  <c r="I110" i="18"/>
  <c r="I112" i="18" s="1"/>
  <c r="H110" i="18"/>
  <c r="H111" i="18" s="1"/>
  <c r="G110" i="18"/>
  <c r="G111" i="18"/>
  <c r="F110" i="18"/>
  <c r="F112" i="18"/>
  <c r="E110" i="18"/>
  <c r="E112" i="18"/>
  <c r="D110" i="18"/>
  <c r="D112" i="18"/>
  <c r="C110" i="18"/>
  <c r="C111" i="18"/>
  <c r="B110" i="18"/>
  <c r="B111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O21" i="39" s="1"/>
  <c r="N108" i="18"/>
  <c r="M108" i="18"/>
  <c r="M21" i="39"/>
  <c r="L108" i="18"/>
  <c r="L21" i="39"/>
  <c r="K108" i="18"/>
  <c r="J108" i="18"/>
  <c r="I108" i="18"/>
  <c r="I21" i="39"/>
  <c r="H108" i="18"/>
  <c r="H21" i="39"/>
  <c r="G108" i="18"/>
  <c r="F108" i="18"/>
  <c r="E108" i="18"/>
  <c r="E21" i="39" s="1"/>
  <c r="D108" i="18"/>
  <c r="D21" i="39" s="1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1" i="17" s="1"/>
  <c r="O110" i="17"/>
  <c r="O112" i="17"/>
  <c r="N110" i="17"/>
  <c r="N111" i="17"/>
  <c r="M110" i="17"/>
  <c r="M112" i="17"/>
  <c r="L110" i="17"/>
  <c r="L111" i="17"/>
  <c r="K110" i="17"/>
  <c r="K111" i="17" s="1"/>
  <c r="G110" i="17"/>
  <c r="G112" i="17" s="1"/>
  <c r="F110" i="17"/>
  <c r="F111" i="17"/>
  <c r="E110" i="17"/>
  <c r="E112" i="17" s="1"/>
  <c r="D110" i="17"/>
  <c r="D111" i="17"/>
  <c r="C110" i="17"/>
  <c r="C111" i="17"/>
  <c r="B110" i="17"/>
  <c r="B112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/>
  <c r="P108" i="17"/>
  <c r="O108" i="17"/>
  <c r="O20" i="39"/>
  <c r="N108" i="17"/>
  <c r="N20" i="39"/>
  <c r="M108" i="17"/>
  <c r="L108" i="17"/>
  <c r="L20" i="39" s="1"/>
  <c r="K108" i="17"/>
  <c r="K20" i="39"/>
  <c r="J108" i="17"/>
  <c r="J20" i="39"/>
  <c r="I108" i="17"/>
  <c r="I20" i="39"/>
  <c r="H108" i="17"/>
  <c r="H20" i="39"/>
  <c r="G108" i="17"/>
  <c r="G20" i="39" s="1"/>
  <c r="F108" i="17"/>
  <c r="F20" i="39" s="1"/>
  <c r="E108" i="17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Q111" i="16"/>
  <c r="P110" i="16"/>
  <c r="P112" i="16" s="1"/>
  <c r="O110" i="16"/>
  <c r="O112" i="16" s="1"/>
  <c r="N110" i="16"/>
  <c r="N112" i="16"/>
  <c r="M110" i="16"/>
  <c r="M112" i="16"/>
  <c r="L110" i="16"/>
  <c r="L112" i="16"/>
  <c r="K110" i="16"/>
  <c r="K112" i="16" s="1"/>
  <c r="G110" i="16"/>
  <c r="G111" i="16" s="1"/>
  <c r="F110" i="16"/>
  <c r="F112" i="16"/>
  <c r="E110" i="16"/>
  <c r="E112" i="16" s="1"/>
  <c r="D110" i="16"/>
  <c r="D112" i="16" s="1"/>
  <c r="C110" i="16"/>
  <c r="C112" i="16"/>
  <c r="B110" i="16"/>
  <c r="B112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/>
  <c r="P108" i="16"/>
  <c r="P19" i="39" s="1"/>
  <c r="O108" i="16"/>
  <c r="O19" i="39" s="1"/>
  <c r="N108" i="16"/>
  <c r="M108" i="16"/>
  <c r="M19" i="39"/>
  <c r="L108" i="16"/>
  <c r="K108" i="16"/>
  <c r="J108" i="16"/>
  <c r="J19" i="39"/>
  <c r="I108" i="16"/>
  <c r="I19" i="39" s="1"/>
  <c r="H108" i="16"/>
  <c r="H19" i="39" s="1"/>
  <c r="G108" i="16"/>
  <c r="F108" i="16"/>
  <c r="E108" i="16"/>
  <c r="E19" i="39" s="1"/>
  <c r="D108" i="16"/>
  <c r="D19" i="39" s="1"/>
  <c r="C108" i="16"/>
  <c r="C19" i="39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/>
  <c r="P110" i="15"/>
  <c r="P112" i="15"/>
  <c r="O110" i="15"/>
  <c r="O112" i="15" s="1"/>
  <c r="N110" i="15"/>
  <c r="N111" i="15" s="1"/>
  <c r="M110" i="15"/>
  <c r="M112" i="15"/>
  <c r="L110" i="15"/>
  <c r="L111" i="15"/>
  <c r="K110" i="15"/>
  <c r="K112" i="15"/>
  <c r="G110" i="15"/>
  <c r="G111" i="15"/>
  <c r="F110" i="15"/>
  <c r="F112" i="15"/>
  <c r="E110" i="15"/>
  <c r="E112" i="15"/>
  <c r="D110" i="15"/>
  <c r="D112" i="15" s="1"/>
  <c r="C110" i="15"/>
  <c r="C112" i="15" s="1"/>
  <c r="B110" i="15"/>
  <c r="B112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/>
  <c r="P108" i="15"/>
  <c r="P18" i="39"/>
  <c r="O108" i="15"/>
  <c r="N108" i="15"/>
  <c r="N18" i="39" s="1"/>
  <c r="M108" i="15"/>
  <c r="M18" i="39" s="1"/>
  <c r="L108" i="15"/>
  <c r="K108" i="15"/>
  <c r="K18" i="39" s="1"/>
  <c r="J108" i="15"/>
  <c r="J18" i="39" s="1"/>
  <c r="I108" i="15"/>
  <c r="H108" i="15"/>
  <c r="G108" i="15"/>
  <c r="F108" i="15"/>
  <c r="E108" i="15"/>
  <c r="D108" i="15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/>
  <c r="O110" i="14"/>
  <c r="O111" i="14"/>
  <c r="N110" i="14"/>
  <c r="N112" i="14"/>
  <c r="M110" i="14"/>
  <c r="M112" i="14" s="1"/>
  <c r="L110" i="14"/>
  <c r="L112" i="14" s="1"/>
  <c r="K110" i="14"/>
  <c r="K111" i="14" s="1"/>
  <c r="G110" i="14"/>
  <c r="G112" i="14" s="1"/>
  <c r="F110" i="14"/>
  <c r="F111" i="14" s="1"/>
  <c r="E110" i="14"/>
  <c r="E112" i="14"/>
  <c r="D110" i="14"/>
  <c r="D112" i="14"/>
  <c r="C110" i="14"/>
  <c r="C112" i="14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O17" i="39" s="1"/>
  <c r="N108" i="14"/>
  <c r="N17" i="39" s="1"/>
  <c r="M108" i="14"/>
  <c r="L108" i="14"/>
  <c r="K108" i="14"/>
  <c r="K17" i="39"/>
  <c r="J108" i="14"/>
  <c r="I108" i="14"/>
  <c r="I17" i="39" s="1"/>
  <c r="H108" i="14"/>
  <c r="G108" i="14"/>
  <c r="G17" i="39"/>
  <c r="F108" i="14"/>
  <c r="F17" i="39"/>
  <c r="E108" i="14"/>
  <c r="D108" i="14"/>
  <c r="D17" i="39" s="1"/>
  <c r="C108" i="14"/>
  <c r="C17" i="39" s="1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/>
  <c r="P110" i="13"/>
  <c r="P112" i="13"/>
  <c r="O110" i="13"/>
  <c r="O111" i="13"/>
  <c r="N110" i="13"/>
  <c r="N112" i="13" s="1"/>
  <c r="M110" i="13"/>
  <c r="M111" i="13" s="1"/>
  <c r="L110" i="13"/>
  <c r="L112" i="13" s="1"/>
  <c r="K110" i="13"/>
  <c r="K112" i="13" s="1"/>
  <c r="G110" i="13"/>
  <c r="G111" i="13" s="1"/>
  <c r="F110" i="13"/>
  <c r="F112" i="13"/>
  <c r="E110" i="13"/>
  <c r="E112" i="13"/>
  <c r="D110" i="13"/>
  <c r="D111" i="13"/>
  <c r="C110" i="13"/>
  <c r="C112" i="13" s="1"/>
  <c r="B110" i="13"/>
  <c r="B111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 s="1"/>
  <c r="N108" i="13"/>
  <c r="N16" i="39" s="1"/>
  <c r="M108" i="13"/>
  <c r="L108" i="13"/>
  <c r="K108" i="13"/>
  <c r="J108" i="13"/>
  <c r="J16" i="39" s="1"/>
  <c r="I108" i="13"/>
  <c r="H108" i="13"/>
  <c r="H16" i="39" s="1"/>
  <c r="G108" i="13"/>
  <c r="G16" i="39" s="1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/>
  <c r="Q110" i="12"/>
  <c r="Q112" i="12" s="1"/>
  <c r="P110" i="12"/>
  <c r="P112" i="12" s="1"/>
  <c r="O110" i="12"/>
  <c r="O111" i="12"/>
  <c r="N110" i="12"/>
  <c r="N112" i="12"/>
  <c r="M110" i="12"/>
  <c r="M111" i="12"/>
  <c r="L110" i="12"/>
  <c r="L112" i="12"/>
  <c r="K110" i="12"/>
  <c r="K111" i="12"/>
  <c r="G110" i="12"/>
  <c r="G111" i="12"/>
  <c r="E110" i="12"/>
  <c r="E112" i="12" s="1"/>
  <c r="D110" i="12"/>
  <c r="D112" i="12" s="1"/>
  <c r="C110" i="12"/>
  <c r="C112" i="12"/>
  <c r="B110" i="12"/>
  <c r="B112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/>
  <c r="P108" i="12"/>
  <c r="O108" i="12"/>
  <c r="O15" i="39" s="1"/>
  <c r="N108" i="12"/>
  <c r="M108" i="12"/>
  <c r="M15" i="39"/>
  <c r="L108" i="12"/>
  <c r="L15" i="39" s="1"/>
  <c r="K108" i="12"/>
  <c r="K15" i="39" s="1"/>
  <c r="J108" i="12"/>
  <c r="I108" i="12"/>
  <c r="I15" i="39"/>
  <c r="H108" i="12"/>
  <c r="G108" i="12"/>
  <c r="G15" i="39" s="1"/>
  <c r="F108" i="12"/>
  <c r="E108" i="12"/>
  <c r="E15" i="39"/>
  <c r="D108" i="12"/>
  <c r="D15" i="39"/>
  <c r="C108" i="12"/>
  <c r="B108" i="12"/>
  <c r="B15" i="39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1" i="11"/>
  <c r="P110" i="11"/>
  <c r="P112" i="11"/>
  <c r="O110" i="11"/>
  <c r="O112" i="11"/>
  <c r="N110" i="11"/>
  <c r="N112" i="11"/>
  <c r="M110" i="11"/>
  <c r="M112" i="11"/>
  <c r="L110" i="11"/>
  <c r="L112" i="11"/>
  <c r="K110" i="11"/>
  <c r="K112" i="11" s="1"/>
  <c r="F110" i="11"/>
  <c r="F111" i="11" s="1"/>
  <c r="E110" i="11"/>
  <c r="E112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/>
  <c r="P108" i="11"/>
  <c r="P14" i="39"/>
  <c r="O108" i="11"/>
  <c r="O14" i="39"/>
  <c r="N108" i="11"/>
  <c r="N14" i="39"/>
  <c r="M108" i="11"/>
  <c r="M14" i="39"/>
  <c r="L108" i="11"/>
  <c r="K108" i="11"/>
  <c r="K14" i="39"/>
  <c r="J108" i="11"/>
  <c r="J14" i="39"/>
  <c r="I108" i="11"/>
  <c r="H108" i="11"/>
  <c r="G108" i="11"/>
  <c r="G14" i="39" s="1"/>
  <c r="F108" i="11"/>
  <c r="F14" i="39" s="1"/>
  <c r="E108" i="11"/>
  <c r="D108" i="11"/>
  <c r="C108" i="11"/>
  <c r="C14" i="39" s="1"/>
  <c r="B108" i="11"/>
  <c r="B14" i="39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/>
  <c r="Q110" i="10"/>
  <c r="Q111" i="10" s="1"/>
  <c r="P110" i="10"/>
  <c r="P112" i="10" s="1"/>
  <c r="O110" i="10"/>
  <c r="O111" i="10" s="1"/>
  <c r="N110" i="10"/>
  <c r="N112" i="10" s="1"/>
  <c r="M110" i="10"/>
  <c r="M111" i="10" s="1"/>
  <c r="L110" i="10"/>
  <c r="L111" i="10" s="1"/>
  <c r="K110" i="10"/>
  <c r="K112" i="10"/>
  <c r="G110" i="10"/>
  <c r="G112" i="10"/>
  <c r="F110" i="10"/>
  <c r="F111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I108" i="10"/>
  <c r="I13" i="39"/>
  <c r="H108" i="10"/>
  <c r="H13" i="39"/>
  <c r="G108" i="10"/>
  <c r="G13" i="39"/>
  <c r="F108" i="10"/>
  <c r="F13" i="39" s="1"/>
  <c r="E108" i="10"/>
  <c r="E13" i="39" s="1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2" i="9" s="1"/>
  <c r="O110" i="9"/>
  <c r="O112" i="9"/>
  <c r="N110" i="9"/>
  <c r="N112" i="9"/>
  <c r="M110" i="9"/>
  <c r="M112" i="9" s="1"/>
  <c r="L110" i="9"/>
  <c r="L112" i="9" s="1"/>
  <c r="K110" i="9"/>
  <c r="K112" i="9" s="1"/>
  <c r="G110" i="9"/>
  <c r="G112" i="9" s="1"/>
  <c r="F110" i="9"/>
  <c r="F111" i="9" s="1"/>
  <c r="E110" i="9"/>
  <c r="E112" i="9" s="1"/>
  <c r="D110" i="9"/>
  <c r="D111" i="9"/>
  <c r="C110" i="9"/>
  <c r="C112" i="9"/>
  <c r="B110" i="9"/>
  <c r="B111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/>
  <c r="O108" i="9"/>
  <c r="O12" i="39"/>
  <c r="N108" i="9"/>
  <c r="N12" i="39"/>
  <c r="M108" i="9"/>
  <c r="M12" i="39"/>
  <c r="L108" i="9"/>
  <c r="K108" i="9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C108" i="9"/>
  <c r="C12" i="39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/>
  <c r="N112" i="8"/>
  <c r="M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M108" i="8"/>
  <c r="M11" i="39"/>
  <c r="L108" i="8"/>
  <c r="L11" i="39"/>
  <c r="K108" i="8"/>
  <c r="K11" i="39" s="1"/>
  <c r="K44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/>
  <c r="B108" i="8"/>
  <c r="B11" i="39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O112" i="3"/>
  <c r="B110" i="3"/>
  <c r="B112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/>
  <c r="P108" i="3"/>
  <c r="O108" i="3"/>
  <c r="N108" i="3"/>
  <c r="N10" i="39"/>
  <c r="M108" i="3"/>
  <c r="M10" i="39" s="1"/>
  <c r="L108" i="3"/>
  <c r="L10" i="39" s="1"/>
  <c r="K108" i="3"/>
  <c r="K10" i="39"/>
  <c r="J108" i="3"/>
  <c r="J10" i="39"/>
  <c r="I108" i="3"/>
  <c r="I10" i="39"/>
  <c r="H108" i="3"/>
  <c r="H10" i="39" s="1"/>
  <c r="G108" i="3"/>
  <c r="G10" i="39" s="1"/>
  <c r="F108" i="3"/>
  <c r="F10" i="39"/>
  <c r="E108" i="3"/>
  <c r="E10" i="39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J27" i="39"/>
  <c r="I27" i="39"/>
  <c r="F27" i="39"/>
  <c r="C27" i="39"/>
  <c r="N109" i="2"/>
  <c r="O109" i="2"/>
  <c r="P109" i="2"/>
  <c r="N108" i="2"/>
  <c r="N9" i="39" s="1"/>
  <c r="O108" i="2"/>
  <c r="O9" i="39" s="1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H112" i="2"/>
  <c r="N21" i="39"/>
  <c r="L35" i="39"/>
  <c r="K35" i="39"/>
  <c r="H35" i="39"/>
  <c r="D35" i="39"/>
  <c r="B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D112" i="2"/>
  <c r="O112" i="2"/>
  <c r="Q112" i="2"/>
  <c r="T40" i="6"/>
  <c r="T21" i="6"/>
  <c r="K88" i="6"/>
  <c r="J88" i="6"/>
  <c r="K115" i="6"/>
  <c r="J115" i="6"/>
  <c r="I115" i="6"/>
  <c r="L12" i="39"/>
  <c r="D12" i="39"/>
  <c r="J9" i="6"/>
  <c r="K9" i="6"/>
  <c r="J10" i="6"/>
  <c r="K10" i="6"/>
  <c r="J11" i="6"/>
  <c r="K11" i="6"/>
  <c r="J12" i="6"/>
  <c r="K12" i="6"/>
  <c r="J13" i="6"/>
  <c r="K13" i="6"/>
  <c r="J14" i="6"/>
  <c r="K14" i="6"/>
  <c r="P38" i="39"/>
  <c r="O38" i="39"/>
  <c r="M38" i="39"/>
  <c r="L38" i="39"/>
  <c r="J38" i="39"/>
  <c r="H38" i="39"/>
  <c r="G38" i="39"/>
  <c r="F38" i="39"/>
  <c r="E38" i="39"/>
  <c r="D38" i="39"/>
  <c r="C38" i="39"/>
  <c r="O37" i="39"/>
  <c r="N37" i="39"/>
  <c r="M37" i="39"/>
  <c r="L37" i="39"/>
  <c r="J37" i="39"/>
  <c r="I37" i="39"/>
  <c r="C37" i="39"/>
  <c r="B37" i="39"/>
  <c r="A37" i="39"/>
  <c r="A26" i="39"/>
  <c r="C26" i="39"/>
  <c r="D26" i="39"/>
  <c r="I26" i="39"/>
  <c r="L26" i="39"/>
  <c r="O25" i="39"/>
  <c r="N25" i="39"/>
  <c r="L25" i="39"/>
  <c r="K25" i="39"/>
  <c r="J25" i="39"/>
  <c r="H25" i="39"/>
  <c r="E25" i="39"/>
  <c r="D25" i="39"/>
  <c r="C25" i="39"/>
  <c r="Q24" i="39"/>
  <c r="G24" i="39"/>
  <c r="E24" i="39"/>
  <c r="A24" i="39"/>
  <c r="Q23" i="39"/>
  <c r="M23" i="39"/>
  <c r="L23" i="39"/>
  <c r="K23" i="39"/>
  <c r="H23" i="39"/>
  <c r="E23" i="39"/>
  <c r="B23" i="39"/>
  <c r="Q22" i="39"/>
  <c r="N22" i="39"/>
  <c r="M22" i="39"/>
  <c r="L22" i="39"/>
  <c r="G22" i="39"/>
  <c r="C22" i="39"/>
  <c r="Q21" i="39"/>
  <c r="P21" i="39"/>
  <c r="K21" i="39"/>
  <c r="J21" i="39"/>
  <c r="G21" i="39"/>
  <c r="F21" i="39"/>
  <c r="C21" i="39"/>
  <c r="B21" i="39"/>
  <c r="A21" i="39"/>
  <c r="M20" i="39"/>
  <c r="E20" i="39"/>
  <c r="A20" i="39"/>
  <c r="L19" i="39"/>
  <c r="K19" i="39"/>
  <c r="G19" i="39"/>
  <c r="B19" i="39"/>
  <c r="L18" i="39"/>
  <c r="I18" i="39"/>
  <c r="H18" i="39"/>
  <c r="G18" i="39"/>
  <c r="E18" i="39"/>
  <c r="D18" i="39"/>
  <c r="P17" i="39"/>
  <c r="M17" i="39"/>
  <c r="L17" i="39"/>
  <c r="A17" i="39"/>
  <c r="Q16" i="39"/>
  <c r="P16" i="39"/>
  <c r="L16" i="39"/>
  <c r="I16" i="39"/>
  <c r="F16" i="39"/>
  <c r="E16" i="39"/>
  <c r="D16" i="39"/>
  <c r="C16" i="39"/>
  <c r="B16" i="39"/>
  <c r="N15" i="39"/>
  <c r="H15" i="39"/>
  <c r="F15" i="39"/>
  <c r="C15" i="39"/>
  <c r="L14" i="39"/>
  <c r="I14" i="39"/>
  <c r="H14" i="39"/>
  <c r="E14" i="39"/>
  <c r="D14" i="39"/>
  <c r="P13" i="39"/>
  <c r="D13" i="39"/>
  <c r="K12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 s="1"/>
  <c r="F108" i="2"/>
  <c r="F9" i="39" s="1"/>
  <c r="G108" i="2"/>
  <c r="G9" i="39" s="1"/>
  <c r="H108" i="2"/>
  <c r="H9" i="39" s="1"/>
  <c r="I108" i="2"/>
  <c r="I9" i="39" s="1"/>
  <c r="J108" i="2"/>
  <c r="J9" i="39"/>
  <c r="J41" i="39" s="1"/>
  <c r="K108" i="2"/>
  <c r="K9" i="39"/>
  <c r="K43" i="39" s="1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K36" i="39"/>
  <c r="H36" i="39"/>
  <c r="E36" i="39"/>
  <c r="D36" i="39"/>
  <c r="C36" i="39"/>
  <c r="A36" i="39"/>
  <c r="P35" i="39"/>
  <c r="G35" i="39"/>
  <c r="C35" i="39"/>
  <c r="M34" i="39"/>
  <c r="K34" i="39"/>
  <c r="J34" i="39"/>
  <c r="I34" i="39"/>
  <c r="H34" i="39"/>
  <c r="F34" i="39"/>
  <c r="L33" i="39"/>
  <c r="J33" i="39"/>
  <c r="I33" i="39"/>
  <c r="H33" i="39"/>
  <c r="F33" i="39"/>
  <c r="B33" i="39"/>
  <c r="Q32" i="39"/>
  <c r="O32" i="39"/>
  <c r="N32" i="39"/>
  <c r="K32" i="39"/>
  <c r="I32" i="39"/>
  <c r="G32" i="39"/>
  <c r="F32" i="39"/>
  <c r="E32" i="39"/>
  <c r="B32" i="39"/>
  <c r="Q31" i="39"/>
  <c r="M31" i="39"/>
  <c r="J31" i="39"/>
  <c r="I31" i="39"/>
  <c r="F31" i="39"/>
  <c r="P30" i="39"/>
  <c r="M30" i="39"/>
  <c r="L30" i="39"/>
  <c r="I30" i="39"/>
  <c r="F30" i="39"/>
  <c r="C30" i="39"/>
  <c r="B30" i="39"/>
  <c r="Q29" i="39"/>
  <c r="M29" i="39"/>
  <c r="K29" i="39"/>
  <c r="I29" i="39"/>
  <c r="H29" i="39"/>
  <c r="G29" i="39"/>
  <c r="F29" i="39"/>
  <c r="E29" i="39"/>
  <c r="D29" i="39"/>
  <c r="P28" i="39"/>
  <c r="N28" i="39"/>
  <c r="M28" i="39"/>
  <c r="L28" i="39"/>
  <c r="K28" i="39"/>
  <c r="I28" i="39"/>
  <c r="H28" i="39"/>
  <c r="G28" i="39"/>
  <c r="B28" i="39"/>
  <c r="O27" i="39"/>
  <c r="M27" i="39"/>
  <c r="L27" i="39"/>
  <c r="G27" i="39"/>
  <c r="B27" i="39"/>
  <c r="O26" i="39"/>
  <c r="G26" i="39"/>
  <c r="I25" i="39"/>
  <c r="P24" i="39"/>
  <c r="H24" i="39"/>
  <c r="N23" i="39"/>
  <c r="C23" i="39"/>
  <c r="O22" i="39"/>
  <c r="D22" i="39"/>
  <c r="P20" i="39"/>
  <c r="D20" i="39"/>
  <c r="F18" i="39"/>
  <c r="E17" i="39"/>
  <c r="M16" i="39"/>
  <c r="K16" i="39"/>
  <c r="J15" i="39"/>
  <c r="Q12" i="39"/>
  <c r="B12" i="39"/>
  <c r="N11" i="39"/>
  <c r="P10" i="39"/>
  <c r="P36" i="39"/>
  <c r="E34" i="39"/>
  <c r="E26" i="39"/>
  <c r="P23" i="39"/>
  <c r="Q17" i="39"/>
  <c r="P15" i="39"/>
  <c r="B2" i="2"/>
  <c r="A9" i="39" s="1"/>
  <c r="B2" i="39" s="1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J36" i="39"/>
  <c r="B36" i="39"/>
  <c r="G34" i="39"/>
  <c r="J32" i="39"/>
  <c r="H32" i="39"/>
  <c r="N29" i="39"/>
  <c r="J28" i="39"/>
  <c r="O23" i="39"/>
  <c r="G23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J22" i="39"/>
  <c r="N19" i="39"/>
  <c r="F19" i="39"/>
  <c r="O18" i="39"/>
  <c r="J17" i="39"/>
  <c r="H17" i="39"/>
  <c r="B17" i="39"/>
  <c r="K28" i="6"/>
  <c r="J28" i="6"/>
  <c r="J13" i="39"/>
  <c r="D9" i="5"/>
  <c r="D10" i="5"/>
  <c r="I119" i="6"/>
  <c r="J101" i="6"/>
  <c r="J81" i="6"/>
  <c r="J61" i="6"/>
  <c r="I21" i="6"/>
  <c r="D8" i="5"/>
  <c r="D24" i="5" s="1"/>
  <c r="D20" i="5"/>
  <c r="D21" i="5"/>
  <c r="D22" i="5"/>
  <c r="D23" i="5"/>
  <c r="D11" i="5"/>
  <c r="D12" i="5"/>
  <c r="D13" i="5"/>
  <c r="D14" i="5"/>
  <c r="D44" i="5" s="1"/>
  <c r="D15" i="5"/>
  <c r="D16" i="5"/>
  <c r="D17" i="5"/>
  <c r="D18" i="5"/>
  <c r="D19" i="5"/>
  <c r="H111" i="2"/>
  <c r="H22" i="39"/>
  <c r="O111" i="41"/>
  <c r="M111" i="41"/>
  <c r="K111" i="41"/>
  <c r="G111" i="41"/>
  <c r="F111" i="41"/>
  <c r="D111" i="41"/>
  <c r="C111" i="41"/>
  <c r="B111" i="41"/>
  <c r="Q111" i="40"/>
  <c r="O111" i="40"/>
  <c r="M111" i="40"/>
  <c r="K111" i="40"/>
  <c r="G111" i="40"/>
  <c r="F111" i="40"/>
  <c r="B111" i="40"/>
  <c r="P111" i="33"/>
  <c r="O111" i="33"/>
  <c r="M111" i="33"/>
  <c r="L111" i="33"/>
  <c r="F111" i="33"/>
  <c r="D111" i="33"/>
  <c r="C111" i="33"/>
  <c r="Q111" i="32"/>
  <c r="O111" i="32"/>
  <c r="M111" i="32"/>
  <c r="K111" i="32"/>
  <c r="F111" i="32"/>
  <c r="D111" i="32"/>
  <c r="O111" i="31"/>
  <c r="N111" i="31"/>
  <c r="L111" i="31"/>
  <c r="F111" i="31"/>
  <c r="E111" i="31"/>
  <c r="D111" i="31"/>
  <c r="C111" i="31"/>
  <c r="B111" i="31"/>
  <c r="O111" i="30"/>
  <c r="N111" i="30"/>
  <c r="M111" i="30"/>
  <c r="L111" i="30"/>
  <c r="D111" i="30"/>
  <c r="B111" i="30"/>
  <c r="P111" i="29"/>
  <c r="N111" i="29"/>
  <c r="M111" i="29"/>
  <c r="E111" i="29"/>
  <c r="D111" i="29"/>
  <c r="C111" i="29"/>
  <c r="B111" i="29"/>
  <c r="O111" i="28"/>
  <c r="N111" i="28"/>
  <c r="M111" i="28"/>
  <c r="L111" i="28"/>
  <c r="G111" i="28"/>
  <c r="E111" i="28"/>
  <c r="D111" i="28"/>
  <c r="C111" i="28"/>
  <c r="P111" i="27"/>
  <c r="N111" i="27"/>
  <c r="M111" i="27"/>
  <c r="E111" i="27"/>
  <c r="B111" i="27"/>
  <c r="N111" i="26"/>
  <c r="L111" i="26"/>
  <c r="K111" i="26"/>
  <c r="P111" i="24"/>
  <c r="O111" i="24"/>
  <c r="M111" i="24"/>
  <c r="L111" i="24"/>
  <c r="Q111" i="24"/>
  <c r="F111" i="24"/>
  <c r="E111" i="24"/>
  <c r="D111" i="24"/>
  <c r="B111" i="24"/>
  <c r="P111" i="23"/>
  <c r="M111" i="23"/>
  <c r="K111" i="23"/>
  <c r="H111" i="23"/>
  <c r="E111" i="23"/>
  <c r="D111" i="23"/>
  <c r="C111" i="23"/>
  <c r="B111" i="23"/>
  <c r="P111" i="22"/>
  <c r="M111" i="22"/>
  <c r="K111" i="22"/>
  <c r="E111" i="22"/>
  <c r="D111" i="22"/>
  <c r="C111" i="22"/>
  <c r="Q111" i="21"/>
  <c r="N111" i="21"/>
  <c r="L111" i="21"/>
  <c r="G111" i="21"/>
  <c r="E111" i="21"/>
  <c r="C111" i="21"/>
  <c r="O111" i="20"/>
  <c r="Q112" i="20"/>
  <c r="M111" i="20"/>
  <c r="L111" i="20"/>
  <c r="K111" i="20"/>
  <c r="G111" i="20"/>
  <c r="F111" i="20"/>
  <c r="D111" i="20"/>
  <c r="B111" i="20"/>
  <c r="P111" i="19"/>
  <c r="N111" i="19"/>
  <c r="L111" i="19"/>
  <c r="H111" i="19"/>
  <c r="G111" i="19"/>
  <c r="F111" i="19"/>
  <c r="B111" i="19"/>
  <c r="Q111" i="18"/>
  <c r="N111" i="18"/>
  <c r="L111" i="18"/>
  <c r="I111" i="18"/>
  <c r="F111" i="18"/>
  <c r="E111" i="18"/>
  <c r="D111" i="18"/>
  <c r="O111" i="17"/>
  <c r="B111" i="17"/>
  <c r="O111" i="16"/>
  <c r="N111" i="16"/>
  <c r="L111" i="16"/>
  <c r="F111" i="16"/>
  <c r="E111" i="16"/>
  <c r="D111" i="16"/>
  <c r="P111" i="15"/>
  <c r="O111" i="15"/>
  <c r="M111" i="15"/>
  <c r="K111" i="15"/>
  <c r="J111" i="15"/>
  <c r="E111" i="15"/>
  <c r="D111" i="15"/>
  <c r="B111" i="15"/>
  <c r="P111" i="14"/>
  <c r="N111" i="14"/>
  <c r="M111" i="14"/>
  <c r="L111" i="14"/>
  <c r="G111" i="14"/>
  <c r="E111" i="14"/>
  <c r="C111" i="14"/>
  <c r="Q111" i="13"/>
  <c r="N111" i="13"/>
  <c r="L111" i="13"/>
  <c r="K111" i="13"/>
  <c r="F111" i="13"/>
  <c r="C111" i="13"/>
  <c r="Q111" i="12"/>
  <c r="N111" i="12"/>
  <c r="L111" i="12"/>
  <c r="E111" i="12"/>
  <c r="C111" i="12"/>
  <c r="B111" i="12"/>
  <c r="O111" i="11"/>
  <c r="N111" i="11"/>
  <c r="M111" i="11"/>
  <c r="L111" i="11"/>
  <c r="K111" i="11"/>
  <c r="E111" i="11"/>
  <c r="P111" i="10"/>
  <c r="N111" i="10"/>
  <c r="K111" i="10"/>
  <c r="G111" i="10"/>
  <c r="C111" i="10"/>
  <c r="B111" i="10"/>
  <c r="P111" i="9"/>
  <c r="N111" i="9"/>
  <c r="M111" i="9"/>
  <c r="K111" i="9"/>
  <c r="E111" i="9"/>
  <c r="C111" i="9"/>
  <c r="M111" i="8"/>
  <c r="E111" i="8"/>
  <c r="D111" i="8"/>
  <c r="C111" i="8"/>
  <c r="Q111" i="3"/>
  <c r="P111" i="3"/>
  <c r="O111" i="3"/>
  <c r="H111" i="3"/>
  <c r="G111" i="3"/>
  <c r="C112" i="30"/>
  <c r="C112" i="17"/>
  <c r="D112" i="3"/>
  <c r="M111" i="2"/>
  <c r="K112" i="2"/>
  <c r="G111" i="2"/>
  <c r="D111" i="2"/>
  <c r="L112" i="10"/>
  <c r="M112" i="10"/>
  <c r="E111" i="10"/>
  <c r="L111" i="9"/>
  <c r="G111" i="9"/>
  <c r="E112" i="2"/>
  <c r="C112" i="2"/>
  <c r="N111" i="2"/>
  <c r="B111" i="3"/>
  <c r="N112" i="3"/>
  <c r="I112" i="2"/>
  <c r="L111" i="2"/>
  <c r="I111" i="3"/>
  <c r="F112" i="3"/>
  <c r="M111" i="3"/>
  <c r="E112" i="3"/>
  <c r="J111" i="10"/>
  <c r="I112" i="9"/>
  <c r="H112" i="9"/>
  <c r="J112" i="8"/>
  <c r="P111" i="8"/>
  <c r="L111" i="8"/>
  <c r="B111" i="8"/>
  <c r="I112" i="8"/>
  <c r="H112" i="8"/>
  <c r="G112" i="8"/>
  <c r="F112" i="8"/>
  <c r="N111" i="8"/>
  <c r="J111" i="13"/>
  <c r="I112" i="13"/>
  <c r="F112" i="12"/>
  <c r="H112" i="12"/>
  <c r="O112" i="12"/>
  <c r="J112" i="11"/>
  <c r="Q112" i="11"/>
  <c r="P111" i="11"/>
  <c r="H112" i="11"/>
  <c r="G111" i="11"/>
  <c r="I112" i="11"/>
  <c r="D111" i="11"/>
  <c r="C111" i="11"/>
  <c r="C111" i="16"/>
  <c r="I112" i="16"/>
  <c r="P111" i="16"/>
  <c r="Q112" i="16"/>
  <c r="Q112" i="15"/>
  <c r="B112" i="14"/>
  <c r="J112" i="14"/>
  <c r="Q111" i="17"/>
  <c r="B112" i="18"/>
  <c r="J112" i="18"/>
  <c r="J111" i="17"/>
  <c r="I112" i="17"/>
  <c r="N112" i="17"/>
  <c r="L112" i="17"/>
  <c r="M111" i="17"/>
  <c r="K112" i="17"/>
  <c r="F112" i="17"/>
  <c r="D112" i="17"/>
  <c r="I112" i="20"/>
  <c r="Q111" i="19"/>
  <c r="J112" i="19"/>
  <c r="E112" i="19"/>
  <c r="M112" i="19"/>
  <c r="C112" i="19"/>
  <c r="P112" i="25"/>
  <c r="N112" i="25"/>
  <c r="J111" i="25"/>
  <c r="H112" i="25"/>
  <c r="F111" i="25"/>
  <c r="B111" i="25"/>
  <c r="Q112" i="25"/>
  <c r="D111" i="25"/>
  <c r="K112" i="25"/>
  <c r="I112" i="25"/>
  <c r="J112" i="24"/>
  <c r="I111" i="24"/>
  <c r="J111" i="23"/>
  <c r="Q111" i="23"/>
  <c r="O111" i="23"/>
  <c r="G112" i="23"/>
  <c r="J111" i="22"/>
  <c r="H111" i="22"/>
  <c r="Q112" i="22"/>
  <c r="O112" i="22"/>
  <c r="J112" i="21"/>
  <c r="H112" i="21"/>
  <c r="P112" i="21"/>
  <c r="D112" i="27"/>
  <c r="C112" i="27"/>
  <c r="Q111" i="27"/>
  <c r="Q112" i="26"/>
  <c r="G111" i="26"/>
  <c r="O111" i="27"/>
  <c r="K111" i="27"/>
  <c r="J111" i="27"/>
  <c r="I111" i="32"/>
  <c r="B112" i="32"/>
  <c r="J112" i="32"/>
  <c r="H112" i="32"/>
  <c r="I112" i="31"/>
  <c r="Q112" i="31"/>
  <c r="G111" i="31"/>
  <c r="P111" i="31"/>
  <c r="H111" i="30"/>
  <c r="I111" i="30"/>
  <c r="J111" i="29"/>
  <c r="I111" i="29"/>
  <c r="H111" i="29"/>
  <c r="O111" i="29"/>
  <c r="G112" i="29"/>
  <c r="I111" i="28"/>
  <c r="B111" i="28"/>
  <c r="J112" i="40"/>
  <c r="H112" i="40"/>
  <c r="I112" i="40"/>
  <c r="D111" i="40"/>
  <c r="G111" i="33"/>
  <c r="J111" i="33"/>
  <c r="J111" i="41"/>
  <c r="H111" i="41"/>
  <c r="Q112" i="41"/>
  <c r="P111" i="2"/>
  <c r="B111" i="2"/>
  <c r="J112" i="3"/>
  <c r="L112" i="3"/>
  <c r="C112" i="3"/>
  <c r="K112" i="8"/>
  <c r="Q112" i="8"/>
  <c r="F112" i="9"/>
  <c r="Q112" i="9"/>
  <c r="D112" i="9"/>
  <c r="O111" i="9"/>
  <c r="D111" i="10"/>
  <c r="O112" i="10"/>
  <c r="H111" i="10"/>
  <c r="B112" i="11"/>
  <c r="M112" i="12"/>
  <c r="K112" i="12"/>
  <c r="D112" i="13"/>
  <c r="O112" i="13"/>
  <c r="B112" i="13"/>
  <c r="M112" i="13"/>
  <c r="H111" i="13"/>
  <c r="F112" i="14"/>
  <c r="D111" i="14"/>
  <c r="O112" i="14"/>
  <c r="L112" i="15"/>
  <c r="G112" i="15"/>
  <c r="H112" i="15"/>
  <c r="H112" i="16"/>
  <c r="B111" i="16"/>
  <c r="M111" i="16"/>
  <c r="K111" i="16"/>
  <c r="M112" i="18"/>
  <c r="C112" i="18"/>
  <c r="K111" i="18"/>
  <c r="K112" i="19"/>
  <c r="C111" i="20"/>
  <c r="H111" i="20"/>
  <c r="N112" i="20"/>
  <c r="F111" i="21"/>
  <c r="D112" i="21"/>
  <c r="O111" i="21"/>
  <c r="I112" i="21"/>
  <c r="L112" i="22"/>
  <c r="F112" i="22"/>
  <c r="G112" i="22"/>
  <c r="F112" i="23"/>
  <c r="G111" i="24"/>
  <c r="O112" i="26"/>
  <c r="M112" i="26"/>
  <c r="F111" i="27"/>
  <c r="P112" i="28"/>
  <c r="F112" i="29"/>
  <c r="Q112" i="29"/>
  <c r="K111" i="30"/>
  <c r="M112" i="31"/>
  <c r="H111" i="31"/>
  <c r="K112" i="31"/>
  <c r="J112" i="31"/>
  <c r="E112" i="32"/>
  <c r="P111" i="32"/>
  <c r="C112" i="32"/>
  <c r="N112" i="32"/>
  <c r="K112" i="33"/>
  <c r="L111" i="40"/>
  <c r="C111" i="26"/>
  <c r="D111" i="26"/>
  <c r="B111" i="26"/>
  <c r="J112" i="26"/>
  <c r="I111" i="26"/>
  <c r="E111" i="26"/>
  <c r="C112" i="25"/>
  <c r="Q111" i="14"/>
  <c r="I112" i="14"/>
  <c r="B112" i="9"/>
  <c r="Q112" i="10"/>
  <c r="F112" i="11"/>
  <c r="K112" i="14"/>
  <c r="P112" i="17"/>
  <c r="C112" i="24"/>
  <c r="L112" i="29"/>
  <c r="C112" i="40"/>
  <c r="K111" i="3"/>
  <c r="F112" i="2"/>
  <c r="J112" i="16"/>
  <c r="I111" i="19"/>
  <c r="G111" i="27"/>
  <c r="H112" i="33"/>
  <c r="G112" i="13"/>
  <c r="B112" i="21"/>
  <c r="B112" i="22"/>
  <c r="N112" i="22"/>
  <c r="N112" i="23"/>
  <c r="K112" i="28"/>
  <c r="G111" i="30"/>
  <c r="L112" i="32"/>
  <c r="B112" i="33"/>
  <c r="N112" i="33"/>
  <c r="N112" i="41"/>
  <c r="I112" i="10"/>
  <c r="J111" i="12"/>
  <c r="H111" i="14"/>
  <c r="H111" i="24"/>
  <c r="G111" i="25"/>
  <c r="O111" i="25"/>
  <c r="H111" i="26"/>
  <c r="J112" i="28"/>
  <c r="F112" i="10"/>
  <c r="G112" i="12"/>
  <c r="G112" i="16"/>
  <c r="O112" i="18"/>
  <c r="N112" i="24"/>
  <c r="F111" i="15"/>
  <c r="E111" i="17"/>
  <c r="G112" i="18"/>
  <c r="N112" i="40"/>
  <c r="K42" i="39"/>
  <c r="J42" i="39"/>
  <c r="J112" i="2"/>
  <c r="H112" i="28"/>
  <c r="E111" i="13"/>
  <c r="L111" i="27"/>
  <c r="P111" i="13"/>
  <c r="K112" i="21"/>
  <c r="F112" i="28"/>
  <c r="Q112" i="28"/>
  <c r="E112" i="30"/>
  <c r="P112" i="30"/>
  <c r="G112" i="32"/>
  <c r="L112" i="41"/>
  <c r="O112" i="8"/>
  <c r="J112" i="9"/>
  <c r="I111" i="12"/>
  <c r="I112" i="15"/>
  <c r="I111" i="23"/>
  <c r="E111" i="25"/>
  <c r="M112" i="25"/>
  <c r="F112" i="26"/>
  <c r="J112" i="30"/>
  <c r="K40" i="39"/>
  <c r="K41" i="39"/>
  <c r="E44" i="39" l="1"/>
  <c r="E43" i="39"/>
  <c r="E40" i="39"/>
  <c r="E42" i="39"/>
  <c r="E41" i="39"/>
  <c r="N43" i="39"/>
  <c r="N42" i="39"/>
  <c r="N44" i="39"/>
  <c r="N40" i="39"/>
  <c r="N41" i="39"/>
  <c r="D42" i="39"/>
  <c r="D44" i="39"/>
  <c r="D41" i="39"/>
  <c r="D40" i="39"/>
  <c r="D43" i="39"/>
  <c r="C41" i="39"/>
  <c r="C43" i="39"/>
  <c r="C44" i="39"/>
  <c r="C40" i="39"/>
  <c r="C42" i="39"/>
  <c r="K46" i="39"/>
  <c r="K45" i="39"/>
  <c r="B41" i="39"/>
  <c r="B40" i="39"/>
  <c r="B44" i="39"/>
  <c r="B42" i="39"/>
  <c r="B43" i="39"/>
  <c r="F43" i="39"/>
  <c r="F41" i="39"/>
  <c r="F40" i="39"/>
  <c r="F42" i="39"/>
  <c r="F44" i="39"/>
  <c r="Q44" i="39"/>
  <c r="Q42" i="39"/>
  <c r="Q40" i="39"/>
  <c r="Q41" i="39"/>
  <c r="Q43" i="39"/>
  <c r="M44" i="39"/>
  <c r="M42" i="39"/>
  <c r="M43" i="39"/>
  <c r="M40" i="39"/>
  <c r="M41" i="39"/>
  <c r="L44" i="39"/>
  <c r="L41" i="39"/>
  <c r="L42" i="39"/>
  <c r="L43" i="39"/>
  <c r="L40" i="39"/>
  <c r="O41" i="39"/>
  <c r="O40" i="39"/>
  <c r="O43" i="39"/>
  <c r="O44" i="39"/>
  <c r="O42" i="39"/>
  <c r="I42" i="39"/>
  <c r="I43" i="39"/>
  <c r="I40" i="39"/>
  <c r="I41" i="39"/>
  <c r="I44" i="39"/>
  <c r="H44" i="39"/>
  <c r="H41" i="39"/>
  <c r="H43" i="39"/>
  <c r="H42" i="39"/>
  <c r="H40" i="39"/>
  <c r="G40" i="39"/>
  <c r="G42" i="39"/>
  <c r="G44" i="39"/>
  <c r="G41" i="39"/>
  <c r="G43" i="39"/>
  <c r="P43" i="39"/>
  <c r="P42" i="39"/>
  <c r="P44" i="39"/>
  <c r="P41" i="39"/>
  <c r="P40" i="39"/>
  <c r="I111" i="22"/>
  <c r="D111" i="12"/>
  <c r="D111" i="19"/>
  <c r="Q112" i="30"/>
  <c r="Q112" i="33"/>
  <c r="F111" i="30"/>
  <c r="K111" i="29"/>
  <c r="P111" i="12"/>
  <c r="C111" i="15"/>
  <c r="G111" i="17"/>
  <c r="E111" i="40"/>
  <c r="E112" i="20"/>
  <c r="P111" i="41"/>
  <c r="L111" i="25"/>
  <c r="H111" i="17"/>
  <c r="O111" i="19"/>
  <c r="E111" i="33"/>
  <c r="M112" i="21"/>
  <c r="J43" i="39"/>
  <c r="N112" i="15"/>
  <c r="H112" i="18"/>
  <c r="P112" i="18"/>
  <c r="P112" i="20"/>
  <c r="L111" i="23"/>
  <c r="K112" i="24"/>
  <c r="H112" i="27"/>
  <c r="P112" i="40"/>
  <c r="E112" i="41"/>
  <c r="J111" i="20"/>
  <c r="I112" i="33"/>
  <c r="I111" i="41"/>
  <c r="J44" i="39"/>
  <c r="J40" i="39"/>
  <c r="D46" i="39" l="1"/>
  <c r="D45" i="39"/>
  <c r="L46" i="39"/>
  <c r="L45" i="39"/>
  <c r="H45" i="39"/>
  <c r="H46" i="39"/>
  <c r="I46" i="39"/>
  <c r="I45" i="39"/>
  <c r="B46" i="39"/>
  <c r="B45" i="39"/>
  <c r="N45" i="39"/>
  <c r="N46" i="39"/>
  <c r="F46" i="39"/>
  <c r="F45" i="39"/>
  <c r="J45" i="39"/>
  <c r="J46" i="39"/>
  <c r="P46" i="39"/>
  <c r="P45" i="39"/>
  <c r="O46" i="39"/>
  <c r="O45" i="39"/>
  <c r="C45" i="39"/>
  <c r="C46" i="39"/>
  <c r="M45" i="39"/>
  <c r="M46" i="39"/>
  <c r="G46" i="39"/>
  <c r="G45" i="39"/>
  <c r="Q46" i="39"/>
  <c r="Q45" i="39"/>
  <c r="E45" i="39"/>
  <c r="E46" i="39"/>
</calcChain>
</file>

<file path=xl/sharedStrings.xml><?xml version="1.0" encoding="utf-8"?>
<sst xmlns="http://schemas.openxmlformats.org/spreadsheetml/2006/main" count="2733" uniqueCount="248">
  <si>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</si>
  <si>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</si>
  <si>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</si>
  <si>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</si>
  <si>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</si>
  <si>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</si>
  <si>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</si>
  <si>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</si>
  <si>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</si>
  <si>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</si>
  <si>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</si>
  <si>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</si>
  <si>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</si>
  <si>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</si>
  <si>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</si>
  <si>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</si>
  <si>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</si>
  <si>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</si>
  <si>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</si>
  <si>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</si>
  <si>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</si>
  <si>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</si>
  <si>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</si>
  <si>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</si>
  <si>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</si>
  <si>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</si>
  <si>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</si>
  <si>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</si>
  <si>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</si>
  <si>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</si>
  <si>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</si>
  <si>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</si>
  <si>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</si>
  <si>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</si>
  <si>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</si>
  <si>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</si>
  <si>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</si>
  <si>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</si>
  <si>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</si>
  <si>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</si>
  <si>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</si>
  <si>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</si>
  <si>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</si>
  <si>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</si>
  <si>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</si>
  <si>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</si>
  <si>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</si>
  <si>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</si>
  <si>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</si>
  <si>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</si>
  <si>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</si>
  <si>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</si>
  <si>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</si>
  <si>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</si>
  <si>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</si>
  <si>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</si>
  <si>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</si>
  <si>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</si>
  <si>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</si>
  <si>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</si>
  <si>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</si>
  <si>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</si>
  <si>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</si>
  <si>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</si>
  <si>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</si>
  <si>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</si>
  <si>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</si>
  <si>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</si>
  <si>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</si>
  <si>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</si>
  <si>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</si>
  <si>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</si>
  <si>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</si>
  <si>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</si>
  <si>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</si>
  <si>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</si>
  <si>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</si>
  <si>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</si>
  <si>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</si>
  <si>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</si>
  <si>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</si>
  <si>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</si>
  <si>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</si>
  <si>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</si>
  <si>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</si>
  <si>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</si>
  <si>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</si>
  <si>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</si>
  <si>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</si>
  <si>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</si>
  <si>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</si>
  <si>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</si>
  <si>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</si>
  <si>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</si>
  <si>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</si>
  <si>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</si>
  <si>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</si>
  <si>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</si>
  <si>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</si>
  <si>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</si>
  <si>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</si>
  <si>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</si>
  <si>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</si>
  <si>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</si>
  <si>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</si>
  <si>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</si>
  <si>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</si>
  <si>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</si>
  <si>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</si>
  <si>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</si>
  <si>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</si>
  <si>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</si>
  <si>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</si>
  <si>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</si>
  <si>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</si>
  <si>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</si>
  <si>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</si>
  <si>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</si>
  <si>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</si>
  <si>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</si>
  <si>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</si>
  <si>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</si>
  <si>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</si>
  <si>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</si>
  <si>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</si>
  <si>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</si>
  <si>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</si>
  <si>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</si>
  <si>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</si>
  <si>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</si>
  <si>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</si>
  <si>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</si>
  <si>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</si>
  <si>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KK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</si>
  <si>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</si>
  <si>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</si>
  <si>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</si>
  <si>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</si>
  <si>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</si>
  <si>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</si>
  <si>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</si>
  <si>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</si>
  <si>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</si>
  <si>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</si>
  <si>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</si>
  <si>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</si>
  <si>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</si>
  <si>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</si>
  <si>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</si>
  <si>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</si>
  <si>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</si>
  <si>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</si>
  <si>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</si>
  <si>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</si>
  <si>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</si>
  <si>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</si>
  <si>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</si>
  <si>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</si>
  <si>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</si>
  <si>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</si>
  <si>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</si>
  <si>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</si>
  <si>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</si>
  <si>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</si>
  <si>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</si>
  <si>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</si>
  <si>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</si>
  <si>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</si>
  <si>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</si>
  <si>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</si>
  <si>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</si>
  <si>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</si>
  <si>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</si>
  <si>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</si>
  <si>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</si>
  <si>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</si>
  <si>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</si>
  <si>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</si>
  <si>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</si>
  <si>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</si>
  <si>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</si>
  <si>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</si>
  <si>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</si>
  <si>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</si>
  <si>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</si>
  <si>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</si>
  <si>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</si>
  <si>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</si>
  <si>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</si>
  <si>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</si>
  <si>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</si>
  <si>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</si>
  <si>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</si>
  <si>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</si>
  <si>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</si>
  <si>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</si>
  <si>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</si>
  <si>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</si>
  <si>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</si>
  <si>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</si>
  <si>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</si>
  <si>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</si>
  <si>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</si>
  <si>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</si>
  <si>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</si>
  <si>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</si>
  <si>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</si>
  <si>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</si>
  <si>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</si>
  <si>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</si>
  <si>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</si>
  <si>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</si>
  <si>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</si>
  <si>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</si>
  <si>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</si>
  <si>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</si>
  <si>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</si>
  <si>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</si>
  <si>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</si>
  <si>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</si>
  <si>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</si>
  <si>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</si>
  <si>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pm 10</t>
  </si>
  <si>
    <t>rahul</t>
  </si>
  <si>
    <t>RAHUL</t>
  </si>
  <si>
    <t>01/04/2023 - 30/04/2023</t>
  </si>
  <si>
    <t>ppb</t>
  </si>
  <si>
    <t>806 ug/cm2</t>
  </si>
  <si>
    <t>840 ug/cm2</t>
  </si>
  <si>
    <t>POWER OFF REPORT OF SILTARA,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</si>
  <si>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</si>
  <si>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</si>
  <si>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</si>
  <si>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</si>
  <si>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</si>
  <si>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</si>
  <si>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</si>
  <si>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</si>
  <si>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</si>
  <si>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</si>
  <si>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</si>
  <si>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</si>
  <si>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</si>
  <si>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</si>
  <si>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</si>
  <si>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</si>
  <si>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</si>
  <si>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Calibration report Of Bhatagaon, RAIPUR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</si>
</sst>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3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49" fontId="0" fillId="0" borderId="0" xfId="0" applyNumberFormat="1"/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17" fillId="14" borderId="1" xfId="0" applyFont="1" applyFill="1" applyBorder="1" applyAlignment="1">
      <alignment horizont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1" fillId="12" borderId="1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21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211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 t="shared" si="4"/>
        <v>0</v>
      </c>
      <c r="I110" s="66">
        <f>COUNT(I9:I104)+1</f>
        <v>1</v>
      </c>
      <c r="J110" s="66">
        <f t="shared" si="4"/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5" activePane="bottomRight" state="frozen"/>
      <selection activeCell="A9" sqref="A9:U104"/>
      <selection pane="topRight" activeCell="A9" sqref="A9:U104"/>
      <selection pane="bottomLeft" activeCell="A9" sqref="A9:U104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21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21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21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21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21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21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21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21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21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21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21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21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21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21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21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21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21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21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21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21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21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21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211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211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211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211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211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211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 t="shared" si="4"/>
        <v>0</v>
      </c>
      <c r="I110" s="66">
        <f>COUNT(I9:I104)+22</f>
        <v>22</v>
      </c>
      <c r="J110" s="66">
        <f t="shared" si="4"/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216"/>
      <c r="C9" s="216"/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198"/>
      <c r="S9" s="198"/>
      <c r="T9" s="198"/>
      <c r="U9" s="198"/>
    </row>
    <row r="10" spans="1:21" s="12" customFormat="1" x14ac:dyDescent="0.25">
      <c r="A10" s="201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198"/>
      <c r="S10" s="198"/>
      <c r="T10" s="198"/>
      <c r="U10" s="198"/>
    </row>
    <row r="11" spans="1:21" s="12" customFormat="1" x14ac:dyDescent="0.25">
      <c r="A11" s="201"/>
      <c r="B11" s="216"/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198"/>
      <c r="S11" s="198"/>
      <c r="T11" s="198"/>
      <c r="U11" s="198"/>
    </row>
    <row r="12" spans="1:21" s="12" customFormat="1" x14ac:dyDescent="0.25">
      <c r="A12" s="201"/>
      <c r="B12" s="216"/>
      <c r="C12" s="216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198"/>
      <c r="S12" s="198"/>
      <c r="T12" s="198"/>
      <c r="U12" s="198"/>
    </row>
    <row r="13" spans="1:21" s="12" customFormat="1" x14ac:dyDescent="0.25">
      <c r="A13" s="201"/>
      <c r="B13" s="216"/>
      <c r="C13" s="216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198"/>
      <c r="S13" s="198"/>
      <c r="T13" s="198"/>
      <c r="U13" s="198"/>
    </row>
    <row r="14" spans="1:21" s="12" customFormat="1" x14ac:dyDescent="0.25">
      <c r="A14" s="201"/>
      <c r="B14" s="216"/>
      <c r="C14" s="216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198"/>
      <c r="S14" s="198"/>
      <c r="T14" s="198"/>
      <c r="U14" s="198"/>
    </row>
    <row r="15" spans="1:21" s="12" customFormat="1" x14ac:dyDescent="0.25">
      <c r="A15" s="201"/>
      <c r="B15" s="216"/>
      <c r="C15" s="216"/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198"/>
      <c r="S15" s="198"/>
      <c r="T15" s="198"/>
      <c r="U15" s="198"/>
    </row>
    <row r="16" spans="1:21" s="12" customFormat="1" x14ac:dyDescent="0.25">
      <c r="A16" s="201"/>
      <c r="B16" s="216"/>
      <c r="C16" s="216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198"/>
      <c r="S16" s="198"/>
      <c r="T16" s="198"/>
      <c r="U16" s="198"/>
    </row>
    <row r="17" spans="1:21" s="12" customFormat="1" x14ac:dyDescent="0.25">
      <c r="A17" s="201"/>
      <c r="B17" s="216"/>
      <c r="C17" s="216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198"/>
      <c r="S17" s="198"/>
      <c r="T17" s="198"/>
      <c r="U17" s="198"/>
    </row>
    <row r="18" spans="1:21" s="12" customFormat="1" x14ac:dyDescent="0.25">
      <c r="A18" s="201"/>
      <c r="B18" s="216"/>
      <c r="C18" s="216"/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198"/>
      <c r="S18" s="198"/>
      <c r="T18" s="198"/>
      <c r="U18" s="198"/>
    </row>
    <row r="19" spans="1:21" s="12" customFormat="1" x14ac:dyDescent="0.25">
      <c r="A19" s="201"/>
      <c r="B19" s="216"/>
      <c r="C19" s="216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198"/>
      <c r="S19" s="198"/>
      <c r="T19" s="198"/>
      <c r="U19" s="198"/>
    </row>
    <row r="20" spans="1:21" s="12" customFormat="1" x14ac:dyDescent="0.25">
      <c r="A20" s="201"/>
      <c r="B20" s="216"/>
      <c r="C20" s="216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198"/>
      <c r="S20" s="198"/>
      <c r="T20" s="198"/>
      <c r="U20" s="198"/>
    </row>
    <row r="21" spans="1:21" s="12" customFormat="1" x14ac:dyDescent="0.25">
      <c r="A21" s="201"/>
      <c r="B21" s="216"/>
      <c r="C21" s="216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198"/>
      <c r="S21" s="198"/>
      <c r="T21" s="198"/>
      <c r="U21" s="198"/>
    </row>
    <row r="22" spans="1:21" s="12" customFormat="1" x14ac:dyDescent="0.25">
      <c r="A22" s="201"/>
      <c r="B22" s="216"/>
      <c r="C22" s="216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198"/>
      <c r="S22" s="198"/>
      <c r="T22" s="198"/>
      <c r="U22" s="198"/>
    </row>
    <row r="23" spans="1:21" s="12" customFormat="1" x14ac:dyDescent="0.25">
      <c r="A23" s="201"/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198"/>
      <c r="S23" s="198"/>
      <c r="T23" s="198"/>
      <c r="U23" s="198"/>
    </row>
    <row r="24" spans="1:21" s="12" customFormat="1" x14ac:dyDescent="0.25">
      <c r="A24" s="201"/>
      <c r="B24" s="216"/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198"/>
      <c r="S24" s="198"/>
      <c r="T24" s="198"/>
      <c r="U24" s="198"/>
    </row>
    <row r="25" spans="1:21" s="12" customFormat="1" x14ac:dyDescent="0.25">
      <c r="A25" s="201"/>
      <c r="B25" s="216"/>
      <c r="C25" s="21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198"/>
      <c r="S25" s="198"/>
      <c r="T25" s="198"/>
      <c r="U25" s="198"/>
    </row>
    <row r="26" spans="1:21" s="12" customFormat="1" x14ac:dyDescent="0.25">
      <c r="A26" s="201"/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198"/>
      <c r="S26" s="198"/>
      <c r="T26" s="198"/>
      <c r="U26" s="198"/>
    </row>
    <row r="27" spans="1:21" s="12" customFormat="1" x14ac:dyDescent="0.25">
      <c r="A27" s="201"/>
      <c r="B27" s="216"/>
      <c r="C27" s="216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198"/>
      <c r="S27" s="198"/>
      <c r="T27" s="198"/>
      <c r="U27" s="198"/>
    </row>
    <row r="28" spans="1:21" s="12" customFormat="1" x14ac:dyDescent="0.25">
      <c r="A28" s="201"/>
      <c r="B28" s="216"/>
      <c r="C28" s="216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198"/>
      <c r="S28" s="198"/>
      <c r="T28" s="198"/>
      <c r="U28" s="198"/>
    </row>
    <row r="29" spans="1:21" s="12" customFormat="1" x14ac:dyDescent="0.25">
      <c r="A29" s="201"/>
      <c r="B29" s="216"/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198"/>
      <c r="S29" s="198"/>
      <c r="T29" s="198"/>
      <c r="U29" s="198"/>
    </row>
    <row r="30" spans="1:21" s="12" customFormat="1" x14ac:dyDescent="0.25">
      <c r="A30" s="201"/>
      <c r="B30" s="216"/>
      <c r="C30" s="216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198"/>
      <c r="S30" s="198"/>
      <c r="T30" s="198"/>
      <c r="U30" s="198"/>
    </row>
    <row r="31" spans="1:21" s="12" customFormat="1" x14ac:dyDescent="0.25">
      <c r="A31" s="201"/>
      <c r="B31" s="216"/>
      <c r="C31" s="216"/>
      <c r="D31" s="216"/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198"/>
      <c r="S31" s="198"/>
      <c r="T31" s="198"/>
      <c r="U31" s="198"/>
    </row>
    <row r="32" spans="1:21" s="12" customFormat="1" x14ac:dyDescent="0.25">
      <c r="A32" s="201"/>
      <c r="B32" s="216"/>
      <c r="C32" s="216"/>
      <c r="D32" s="216"/>
      <c r="E32" s="216"/>
      <c r="F32" s="216"/>
      <c r="G32" s="216"/>
      <c r="H32" s="216"/>
      <c r="I32" s="216"/>
      <c r="J32" s="216"/>
      <c r="K32" s="216"/>
      <c r="L32" s="216"/>
      <c r="M32" s="216"/>
      <c r="N32" s="216"/>
      <c r="O32" s="216"/>
      <c r="P32" s="216"/>
      <c r="Q32" s="216"/>
      <c r="R32" s="198"/>
      <c r="S32" s="198"/>
      <c r="T32" s="198"/>
      <c r="U32" s="198"/>
    </row>
    <row r="33" spans="1:21" s="12" customFormat="1" x14ac:dyDescent="0.25">
      <c r="A33" s="201"/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198"/>
      <c r="S33" s="198"/>
      <c r="T33" s="198"/>
      <c r="U33" s="198"/>
    </row>
    <row r="34" spans="1:21" s="12" customFormat="1" x14ac:dyDescent="0.25">
      <c r="A34" s="201"/>
      <c r="B34" s="216"/>
      <c r="C34" s="216"/>
      <c r="D34" s="216"/>
      <c r="E34" s="216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198"/>
      <c r="S34" s="198"/>
      <c r="T34" s="198"/>
      <c r="U34" s="198"/>
    </row>
    <row r="35" spans="1:21" s="12" customFormat="1" x14ac:dyDescent="0.25">
      <c r="A35" s="201"/>
      <c r="B35" s="216"/>
      <c r="C35" s="216"/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R35" s="198"/>
      <c r="S35" s="198"/>
      <c r="T35" s="198"/>
      <c r="U35" s="198"/>
    </row>
    <row r="36" spans="1:21" s="12" customFormat="1" x14ac:dyDescent="0.25">
      <c r="A36" s="201"/>
      <c r="B36" s="216"/>
      <c r="C36" s="216"/>
      <c r="D36" s="216"/>
      <c r="E36" s="216"/>
      <c r="F36" s="216"/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198"/>
      <c r="S36" s="198"/>
      <c r="T36" s="198"/>
      <c r="U36" s="198"/>
    </row>
    <row r="37" spans="1:21" s="12" customFormat="1" x14ac:dyDescent="0.25">
      <c r="A37" s="201"/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198"/>
      <c r="S37" s="198"/>
      <c r="T37" s="198"/>
      <c r="U37" s="198"/>
    </row>
    <row r="38" spans="1:21" s="12" customFormat="1" x14ac:dyDescent="0.25">
      <c r="A38" s="201"/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198"/>
      <c r="S38" s="198"/>
      <c r="T38" s="198"/>
      <c r="U38" s="198"/>
    </row>
    <row r="39" spans="1:21" s="12" customFormat="1" x14ac:dyDescent="0.25">
      <c r="A39" s="201"/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198"/>
      <c r="S39" s="198"/>
      <c r="T39" s="198"/>
      <c r="U39" s="198"/>
    </row>
    <row r="40" spans="1:21" s="12" customFormat="1" x14ac:dyDescent="0.25">
      <c r="A40" s="201"/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198"/>
      <c r="S40" s="198"/>
      <c r="T40" s="198"/>
      <c r="U40" s="198"/>
    </row>
    <row r="41" spans="1:21" s="12" customFormat="1" x14ac:dyDescent="0.25">
      <c r="A41" s="201"/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198"/>
      <c r="S41" s="198"/>
      <c r="T41" s="198"/>
      <c r="U41" s="198"/>
    </row>
    <row r="42" spans="1:21" s="12" customFormat="1" x14ac:dyDescent="0.25">
      <c r="A42" s="201"/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198"/>
      <c r="S42" s="198"/>
      <c r="T42" s="198"/>
      <c r="U42" s="198"/>
    </row>
    <row r="43" spans="1:21" s="12" customFormat="1" x14ac:dyDescent="0.25">
      <c r="A43" s="201"/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198"/>
      <c r="S43" s="198"/>
      <c r="T43" s="198"/>
      <c r="U43" s="198"/>
    </row>
    <row r="44" spans="1:21" s="12" customFormat="1" x14ac:dyDescent="0.25">
      <c r="A44" s="201"/>
      <c r="B44" s="216"/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198"/>
      <c r="S44" s="198"/>
      <c r="T44" s="198"/>
      <c r="U44" s="198"/>
    </row>
    <row r="45" spans="1:21" s="12" customFormat="1" x14ac:dyDescent="0.25">
      <c r="A45" s="201"/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198"/>
      <c r="S45" s="198"/>
      <c r="T45" s="198"/>
      <c r="U45" s="198"/>
    </row>
    <row r="46" spans="1:21" s="12" customFormat="1" x14ac:dyDescent="0.25">
      <c r="A46" s="201"/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198"/>
      <c r="S46" s="198"/>
      <c r="T46" s="198"/>
      <c r="U46" s="198"/>
    </row>
    <row r="47" spans="1:21" s="12" customFormat="1" x14ac:dyDescent="0.25">
      <c r="A47" s="201"/>
      <c r="B47" s="216"/>
      <c r="C47" s="216"/>
      <c r="D47" s="216"/>
      <c r="E47" s="216"/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16"/>
      <c r="R47" s="198"/>
      <c r="S47" s="198"/>
      <c r="T47" s="198"/>
      <c r="U47" s="198"/>
    </row>
    <row r="48" spans="1:21" s="12" customFormat="1" x14ac:dyDescent="0.25">
      <c r="A48" s="201"/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6"/>
      <c r="M48" s="216"/>
      <c r="N48" s="216"/>
      <c r="O48" s="216"/>
      <c r="P48" s="216"/>
      <c r="Q48" s="216"/>
      <c r="R48" s="198"/>
      <c r="S48" s="198"/>
      <c r="T48" s="198"/>
      <c r="U48" s="198"/>
    </row>
    <row r="49" spans="1:21" s="12" customFormat="1" x14ac:dyDescent="0.25">
      <c r="A49" s="201"/>
      <c r="B49" s="216"/>
      <c r="C49" s="216"/>
      <c r="D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R49" s="198"/>
      <c r="S49" s="198"/>
      <c r="T49" s="198"/>
      <c r="U49" s="198"/>
    </row>
    <row r="50" spans="1:21" s="12" customFormat="1" x14ac:dyDescent="0.25">
      <c r="A50" s="201"/>
      <c r="B50" s="216"/>
      <c r="C50" s="216"/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198"/>
      <c r="S50" s="198"/>
      <c r="T50" s="198"/>
      <c r="U50" s="198"/>
    </row>
    <row r="51" spans="1:21" s="12" customFormat="1" x14ac:dyDescent="0.25">
      <c r="A51" s="201"/>
      <c r="B51" s="216"/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198"/>
      <c r="S51" s="198"/>
      <c r="T51" s="198"/>
      <c r="U51" s="198"/>
    </row>
    <row r="52" spans="1:21" s="12" customFormat="1" x14ac:dyDescent="0.25">
      <c r="A52" s="201"/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198"/>
      <c r="S52" s="198"/>
      <c r="T52" s="198"/>
      <c r="U52" s="198"/>
    </row>
    <row r="53" spans="1:21" s="12" customFormat="1" x14ac:dyDescent="0.25">
      <c r="A53" s="201"/>
      <c r="B53" s="217"/>
      <c r="C53" s="217"/>
      <c r="D53" s="217"/>
      <c r="E53" s="217"/>
      <c r="F53" s="217"/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6"/>
      <c r="R53" s="198"/>
      <c r="S53" s="198"/>
      <c r="T53" s="198"/>
      <c r="U53" s="198"/>
    </row>
    <row r="54" spans="1:21" s="12" customFormat="1" x14ac:dyDescent="0.25">
      <c r="A54" s="201"/>
      <c r="B54" s="217"/>
      <c r="C54" s="217"/>
      <c r="D54" s="217"/>
      <c r="E54" s="217"/>
      <c r="F54" s="217"/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198"/>
      <c r="S54" s="198"/>
      <c r="T54" s="198"/>
      <c r="U54" s="198"/>
    </row>
    <row r="55" spans="1:21" s="12" customFormat="1" x14ac:dyDescent="0.25">
      <c r="A55" s="201"/>
      <c r="B55" s="217"/>
      <c r="C55" s="217"/>
      <c r="D55" s="217"/>
      <c r="E55" s="217"/>
      <c r="F55" s="217"/>
      <c r="G55" s="217"/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198"/>
      <c r="S55" s="198"/>
      <c r="T55" s="198"/>
      <c r="U55" s="198"/>
    </row>
    <row r="56" spans="1:21" s="12" customFormat="1" x14ac:dyDescent="0.25">
      <c r="A56" s="201"/>
      <c r="B56" s="217"/>
      <c r="C56" s="217"/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198"/>
      <c r="S56" s="198"/>
      <c r="T56" s="198"/>
      <c r="U56" s="198"/>
    </row>
    <row r="57" spans="1:21" s="12" customFormat="1" x14ac:dyDescent="0.25">
      <c r="A57" s="201"/>
      <c r="B57" s="217"/>
      <c r="C57" s="217"/>
      <c r="D57" s="217"/>
      <c r="E57" s="217"/>
      <c r="F57" s="217"/>
      <c r="G57" s="217"/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198"/>
      <c r="S57" s="198"/>
      <c r="T57" s="198"/>
      <c r="U57" s="198"/>
    </row>
    <row r="58" spans="1:21" s="12" customFormat="1" x14ac:dyDescent="0.25">
      <c r="A58" s="201"/>
      <c r="B58" s="217"/>
      <c r="C58" s="217"/>
      <c r="D58" s="217"/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198"/>
      <c r="S58" s="198"/>
      <c r="T58" s="198"/>
      <c r="U58" s="198"/>
    </row>
    <row r="59" spans="1:21" s="12" customFormat="1" x14ac:dyDescent="0.25">
      <c r="A59" s="201"/>
      <c r="B59" s="217"/>
      <c r="C59" s="217"/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198"/>
      <c r="S59" s="198"/>
      <c r="T59" s="198"/>
      <c r="U59" s="198"/>
    </row>
    <row r="60" spans="1:21" s="12" customFormat="1" x14ac:dyDescent="0.25">
      <c r="A60" s="201"/>
      <c r="B60" s="217"/>
      <c r="C60" s="217"/>
      <c r="D60" s="217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198"/>
      <c r="S60" s="198"/>
      <c r="T60" s="198"/>
      <c r="U60" s="198"/>
    </row>
    <row r="61" spans="1:21" s="12" customFormat="1" x14ac:dyDescent="0.25">
      <c r="A61" s="201"/>
      <c r="B61" s="217"/>
      <c r="C61" s="217"/>
      <c r="D61" s="217"/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198"/>
      <c r="S61" s="198"/>
      <c r="T61" s="198"/>
      <c r="U61" s="198"/>
    </row>
    <row r="62" spans="1:21" s="12" customFormat="1" x14ac:dyDescent="0.25">
      <c r="A62" s="201"/>
      <c r="B62" s="217"/>
      <c r="C62" s="217"/>
      <c r="D62" s="217"/>
      <c r="E62" s="217"/>
      <c r="F62" s="217"/>
      <c r="G62" s="217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198"/>
      <c r="S62" s="198"/>
      <c r="T62" s="198"/>
      <c r="U62" s="198"/>
    </row>
    <row r="63" spans="1:21" s="12" customFormat="1" x14ac:dyDescent="0.25">
      <c r="A63" s="201"/>
      <c r="B63" s="217"/>
      <c r="C63" s="217"/>
      <c r="D63" s="217"/>
      <c r="E63" s="217"/>
      <c r="F63" s="217"/>
      <c r="G63" s="217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198"/>
      <c r="S63" s="198"/>
      <c r="T63" s="198"/>
      <c r="U63" s="198"/>
    </row>
    <row r="64" spans="1:21" s="12" customFormat="1" x14ac:dyDescent="0.25">
      <c r="A64" s="201"/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198"/>
      <c r="S64" s="198"/>
      <c r="T64" s="198"/>
      <c r="U64" s="198"/>
    </row>
    <row r="65" spans="1:21" s="12" customFormat="1" x14ac:dyDescent="0.25">
      <c r="A65" s="201"/>
      <c r="B65" s="217"/>
      <c r="C65" s="217"/>
      <c r="D65" s="217"/>
      <c r="E65" s="217"/>
      <c r="F65" s="217"/>
      <c r="G65" s="217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198"/>
      <c r="S65" s="198"/>
      <c r="T65" s="198"/>
      <c r="U65" s="198"/>
    </row>
    <row r="66" spans="1:21" s="12" customFormat="1" x14ac:dyDescent="0.25">
      <c r="A66" s="201"/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198"/>
      <c r="S66" s="198"/>
      <c r="T66" s="198"/>
      <c r="U66" s="198"/>
    </row>
    <row r="67" spans="1:21" s="12" customFormat="1" x14ac:dyDescent="0.25">
      <c r="A67" s="201"/>
      <c r="B67" s="217"/>
      <c r="C67" s="217"/>
      <c r="D67" s="217"/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198"/>
      <c r="S67" s="198"/>
      <c r="T67" s="198"/>
      <c r="U67" s="198"/>
    </row>
    <row r="68" spans="1:21" s="12" customFormat="1" x14ac:dyDescent="0.25">
      <c r="A68" s="201"/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198"/>
      <c r="S68" s="198"/>
      <c r="T68" s="198"/>
      <c r="U68" s="198"/>
    </row>
    <row r="69" spans="1:21" s="12" customFormat="1" x14ac:dyDescent="0.25">
      <c r="A69" s="201"/>
      <c r="B69" s="217"/>
      <c r="C69" s="217"/>
      <c r="D69" s="217"/>
      <c r="E69" s="217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198"/>
      <c r="S69" s="198"/>
      <c r="T69" s="198"/>
      <c r="U69" s="198"/>
    </row>
    <row r="70" spans="1:21" s="12" customFormat="1" x14ac:dyDescent="0.25">
      <c r="A70" s="201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198"/>
      <c r="S70" s="198"/>
      <c r="T70" s="198"/>
      <c r="U70" s="198"/>
    </row>
    <row r="71" spans="1:21" s="12" customFormat="1" x14ac:dyDescent="0.25">
      <c r="A71" s="201"/>
      <c r="B71" s="217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198"/>
      <c r="S71" s="198"/>
      <c r="T71" s="198"/>
      <c r="U71" s="198"/>
    </row>
    <row r="72" spans="1:21" s="12" customFormat="1" x14ac:dyDescent="0.25">
      <c r="A72" s="201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198"/>
      <c r="S72" s="198"/>
      <c r="T72" s="198"/>
      <c r="U72" s="198"/>
    </row>
    <row r="73" spans="1:21" s="12" customFormat="1" x14ac:dyDescent="0.25">
      <c r="A73" s="201"/>
      <c r="B73" s="217"/>
      <c r="C73" s="217"/>
      <c r="D73" s="217"/>
      <c r="E73" s="217"/>
      <c r="F73" s="217"/>
      <c r="G73" s="217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198"/>
      <c r="S73" s="198"/>
      <c r="T73" s="198"/>
      <c r="U73" s="198"/>
    </row>
    <row r="74" spans="1:21" s="12" customFormat="1" x14ac:dyDescent="0.25">
      <c r="A74" s="201"/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198"/>
      <c r="S74" s="198"/>
      <c r="T74" s="198"/>
      <c r="U74" s="198"/>
    </row>
    <row r="75" spans="1:21" s="12" customFormat="1" x14ac:dyDescent="0.25">
      <c r="A75" s="201"/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198"/>
      <c r="S75" s="198"/>
      <c r="T75" s="198"/>
      <c r="U75" s="198"/>
    </row>
    <row r="76" spans="1:21" s="12" customFormat="1" x14ac:dyDescent="0.25">
      <c r="A76" s="201"/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198"/>
      <c r="S76" s="198"/>
      <c r="T76" s="198"/>
      <c r="U76" s="198"/>
    </row>
    <row r="77" spans="1:21" s="12" customFormat="1" x14ac:dyDescent="0.25">
      <c r="A77" s="201"/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198"/>
      <c r="S77" s="198"/>
      <c r="T77" s="198"/>
      <c r="U77" s="198"/>
    </row>
    <row r="78" spans="1:21" s="12" customFormat="1" x14ac:dyDescent="0.25">
      <c r="A78" s="201"/>
      <c r="B78" s="217"/>
      <c r="C78" s="217"/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198"/>
      <c r="S78" s="198"/>
      <c r="T78" s="198"/>
      <c r="U78" s="198"/>
    </row>
    <row r="79" spans="1:21" s="12" customFormat="1" x14ac:dyDescent="0.25">
      <c r="A79" s="201"/>
      <c r="B79" s="217"/>
      <c r="C79" s="217"/>
      <c r="D79" s="217"/>
      <c r="E79" s="217"/>
      <c r="F79" s="217"/>
      <c r="G79" s="217"/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198"/>
      <c r="S79" s="198"/>
      <c r="T79" s="198"/>
      <c r="U79" s="198"/>
    </row>
    <row r="80" spans="1:21" s="12" customFormat="1" x14ac:dyDescent="0.25">
      <c r="A80" s="201"/>
      <c r="B80" s="217"/>
      <c r="C80" s="217"/>
      <c r="D80" s="217"/>
      <c r="E80" s="217"/>
      <c r="F80" s="217"/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198"/>
      <c r="S80" s="198"/>
      <c r="T80" s="198"/>
      <c r="U80" s="198"/>
    </row>
    <row r="81" spans="1:26" s="12" customFormat="1" x14ac:dyDescent="0.25">
      <c r="A81" s="201"/>
      <c r="B81" s="217"/>
      <c r="C81" s="217"/>
      <c r="D81" s="217"/>
      <c r="E81" s="217"/>
      <c r="F81" s="217"/>
      <c r="G81" s="217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198"/>
      <c r="S81" s="198"/>
      <c r="T81" s="198"/>
      <c r="U81" s="198"/>
    </row>
    <row r="82" spans="1:26" s="12" customFormat="1" x14ac:dyDescent="0.25">
      <c r="A82" s="201"/>
      <c r="B82" s="217"/>
      <c r="C82" s="217"/>
      <c r="D82" s="217"/>
      <c r="E82" s="217"/>
      <c r="F82" s="217"/>
      <c r="G82" s="217"/>
      <c r="H82" s="217"/>
      <c r="I82" s="217"/>
      <c r="J82" s="217"/>
      <c r="K82" s="217"/>
      <c r="L82" s="217"/>
      <c r="M82" s="217"/>
      <c r="N82" s="217"/>
      <c r="O82" s="217"/>
      <c r="P82" s="217"/>
      <c r="Q82" s="217"/>
      <c r="R82" s="198"/>
      <c r="S82" s="198"/>
      <c r="T82" s="198"/>
      <c r="U82" s="198"/>
    </row>
    <row r="83" spans="1:26" s="12" customFormat="1" x14ac:dyDescent="0.25">
      <c r="A83" s="201"/>
      <c r="B83" s="217"/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198"/>
      <c r="S83" s="198"/>
      <c r="T83" s="198"/>
      <c r="U83" s="198"/>
    </row>
    <row r="84" spans="1:26" s="12" customFormat="1" x14ac:dyDescent="0.25">
      <c r="A84" s="201"/>
      <c r="B84" s="217"/>
      <c r="C84" s="217"/>
      <c r="D84" s="217"/>
      <c r="E84" s="217"/>
      <c r="F84" s="217"/>
      <c r="G84" s="217"/>
      <c r="H84" s="217"/>
      <c r="I84" s="217"/>
      <c r="J84" s="217"/>
      <c r="K84" s="217"/>
      <c r="L84" s="217"/>
      <c r="M84" s="217"/>
      <c r="N84" s="217"/>
      <c r="O84" s="217"/>
      <c r="P84" s="217"/>
      <c r="Q84" s="217"/>
      <c r="R84" s="198"/>
      <c r="S84" s="198"/>
      <c r="T84" s="198"/>
      <c r="U84" s="198"/>
    </row>
    <row r="85" spans="1:26" s="12" customFormat="1" x14ac:dyDescent="0.25">
      <c r="A85" s="201"/>
      <c r="B85" s="217"/>
      <c r="C85" s="217"/>
      <c r="D85" s="217"/>
      <c r="E85" s="217"/>
      <c r="F85" s="217"/>
      <c r="G85" s="217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198"/>
      <c r="S85" s="198"/>
      <c r="T85" s="198"/>
      <c r="U85" s="198"/>
    </row>
    <row r="86" spans="1:26" s="12" customFormat="1" x14ac:dyDescent="0.25">
      <c r="A86" s="201"/>
      <c r="B86" s="217"/>
      <c r="C86" s="217"/>
      <c r="D86" s="217"/>
      <c r="E86" s="217"/>
      <c r="F86" s="217"/>
      <c r="G86" s="217"/>
      <c r="H86" s="217"/>
      <c r="I86" s="217"/>
      <c r="J86" s="217"/>
      <c r="K86" s="217"/>
      <c r="L86" s="217"/>
      <c r="M86" s="217"/>
      <c r="N86" s="217"/>
      <c r="O86" s="217"/>
      <c r="P86" s="217"/>
      <c r="Q86" s="217"/>
      <c r="R86" s="198"/>
      <c r="S86" s="198"/>
      <c r="T86" s="198"/>
      <c r="U86" s="198"/>
    </row>
    <row r="87" spans="1:26" s="12" customFormat="1" x14ac:dyDescent="0.25">
      <c r="A87" s="201"/>
      <c r="B87" s="217"/>
      <c r="C87" s="217"/>
      <c r="D87" s="217"/>
      <c r="E87" s="217"/>
      <c r="F87" s="217"/>
      <c r="G87" s="217"/>
      <c r="H87" s="217"/>
      <c r="I87" s="217"/>
      <c r="J87" s="217"/>
      <c r="K87" s="217"/>
      <c r="L87" s="217"/>
      <c r="M87" s="217"/>
      <c r="N87" s="217"/>
      <c r="O87" s="217"/>
      <c r="P87" s="217"/>
      <c r="Q87" s="217"/>
      <c r="R87" s="198"/>
      <c r="S87" s="198"/>
      <c r="T87" s="198"/>
      <c r="U87" s="198"/>
    </row>
    <row r="88" spans="1:26" s="12" customFormat="1" x14ac:dyDescent="0.25">
      <c r="A88" s="201"/>
      <c r="B88" s="217"/>
      <c r="C88" s="217"/>
      <c r="D88" s="217"/>
      <c r="E88" s="217"/>
      <c r="F88" s="217"/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198"/>
      <c r="S88" s="198"/>
      <c r="T88" s="198"/>
      <c r="U88" s="198"/>
    </row>
    <row r="89" spans="1:26" s="12" customFormat="1" x14ac:dyDescent="0.25">
      <c r="A89" s="201"/>
      <c r="B89" s="217"/>
      <c r="C89" s="217"/>
      <c r="D89" s="217"/>
      <c r="E89" s="217"/>
      <c r="F89" s="217"/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198"/>
      <c r="S89" s="198"/>
      <c r="T89" s="198"/>
      <c r="U89" s="198"/>
    </row>
    <row r="90" spans="1:26" s="12" customFormat="1" x14ac:dyDescent="0.25">
      <c r="A90" s="201"/>
      <c r="B90" s="217"/>
      <c r="C90" s="217"/>
      <c r="D90" s="217"/>
      <c r="E90" s="217"/>
      <c r="F90" s="217"/>
      <c r="G90" s="217"/>
      <c r="H90" s="217"/>
      <c r="I90" s="217"/>
      <c r="J90" s="217"/>
      <c r="K90" s="217"/>
      <c r="L90" s="217"/>
      <c r="M90" s="217"/>
      <c r="N90" s="217"/>
      <c r="O90" s="217"/>
      <c r="P90" s="217"/>
      <c r="Q90" s="217"/>
      <c r="R90" s="198"/>
      <c r="S90" s="198"/>
      <c r="T90" s="198"/>
      <c r="U90" s="198"/>
    </row>
    <row r="91" spans="1:26" s="12" customFormat="1" x14ac:dyDescent="0.25">
      <c r="A91" s="201"/>
      <c r="B91" s="217"/>
      <c r="C91" s="217"/>
      <c r="D91" s="217"/>
      <c r="E91" s="217"/>
      <c r="F91" s="217"/>
      <c r="G91" s="217"/>
      <c r="H91" s="217"/>
      <c r="I91" s="217"/>
      <c r="J91" s="217"/>
      <c r="K91" s="217"/>
      <c r="L91" s="217"/>
      <c r="M91" s="217"/>
      <c r="N91" s="217"/>
      <c r="O91" s="217"/>
      <c r="P91" s="217"/>
      <c r="Q91" s="217"/>
      <c r="R91" s="198"/>
      <c r="S91" s="198"/>
      <c r="T91" s="198"/>
      <c r="U91" s="198"/>
    </row>
    <row r="92" spans="1:26" s="12" customFormat="1" x14ac:dyDescent="0.25">
      <c r="A92" s="201"/>
      <c r="B92" s="217"/>
      <c r="C92" s="217"/>
      <c r="D92" s="217"/>
      <c r="E92" s="217"/>
      <c r="F92" s="217"/>
      <c r="G92" s="217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198"/>
      <c r="S92" s="198"/>
      <c r="T92" s="198"/>
      <c r="U92" s="198"/>
    </row>
    <row r="93" spans="1:26" s="12" customFormat="1" x14ac:dyDescent="0.25">
      <c r="A93" s="201"/>
      <c r="B93" s="217"/>
      <c r="C93" s="217"/>
      <c r="D93" s="217"/>
      <c r="E93" s="217"/>
      <c r="F93" s="217"/>
      <c r="G93" s="217"/>
      <c r="H93" s="217"/>
      <c r="I93" s="217"/>
      <c r="J93" s="217"/>
      <c r="K93" s="217"/>
      <c r="L93" s="217"/>
      <c r="M93" s="217"/>
      <c r="N93" s="217"/>
      <c r="O93" s="217"/>
      <c r="P93" s="217"/>
      <c r="Q93" s="217"/>
      <c r="R93" s="198"/>
      <c r="S93" s="198"/>
      <c r="T93" s="198"/>
      <c r="U93" s="198"/>
    </row>
    <row r="94" spans="1:26" s="12" customFormat="1" x14ac:dyDescent="0.25">
      <c r="A94" s="201"/>
      <c r="B94" s="217"/>
      <c r="C94" s="217"/>
      <c r="D94" s="217"/>
      <c r="E94" s="217"/>
      <c r="F94" s="217"/>
      <c r="G94" s="217"/>
      <c r="H94" s="217"/>
      <c r="I94" s="217"/>
      <c r="J94" s="217"/>
      <c r="K94" s="217"/>
      <c r="L94" s="217"/>
      <c r="M94" s="217"/>
      <c r="N94" s="217"/>
      <c r="O94" s="217"/>
      <c r="P94" s="217"/>
      <c r="Q94" s="217"/>
      <c r="R94" s="198"/>
      <c r="S94" s="198"/>
      <c r="T94" s="198"/>
      <c r="U94" s="198"/>
    </row>
    <row r="95" spans="1:26" s="12" customFormat="1" x14ac:dyDescent="0.25">
      <c r="A95" s="201"/>
      <c r="B95" s="217"/>
      <c r="C95" s="217"/>
      <c r="D95" s="217"/>
      <c r="E95" s="217"/>
      <c r="F95" s="217"/>
      <c r="G95" s="217"/>
      <c r="H95" s="217"/>
      <c r="I95" s="217"/>
      <c r="J95" s="217"/>
      <c r="K95" s="217"/>
      <c r="L95" s="217"/>
      <c r="M95" s="217"/>
      <c r="N95" s="217"/>
      <c r="O95" s="217"/>
      <c r="P95" s="217"/>
      <c r="Q95" s="217"/>
      <c r="R95" s="198"/>
      <c r="S95" s="198"/>
      <c r="T95" s="198"/>
      <c r="U95" s="198"/>
    </row>
    <row r="96" spans="1:26" s="12" customFormat="1" x14ac:dyDescent="0.25">
      <c r="A96" s="201"/>
      <c r="B96" s="217"/>
      <c r="C96" s="217"/>
      <c r="D96" s="217"/>
      <c r="E96" s="217"/>
      <c r="F96" s="217"/>
      <c r="G96" s="217"/>
      <c r="H96" s="217"/>
      <c r="I96" s="217"/>
      <c r="J96" s="217"/>
      <c r="K96" s="217"/>
      <c r="L96" s="217"/>
      <c r="M96" s="217"/>
      <c r="N96" s="217"/>
      <c r="O96" s="217"/>
      <c r="P96" s="217"/>
      <c r="Q96" s="217"/>
      <c r="R96" s="198"/>
      <c r="S96" s="198"/>
      <c r="T96" s="198"/>
      <c r="U96" s="198"/>
      <c r="Z96" s="109"/>
    </row>
    <row r="97" spans="1:33" s="12" customFormat="1" x14ac:dyDescent="0.25">
      <c r="A97" s="201"/>
      <c r="B97" s="217"/>
      <c r="C97" s="217"/>
      <c r="D97" s="217"/>
      <c r="E97" s="217"/>
      <c r="F97" s="217"/>
      <c r="G97" s="217"/>
      <c r="H97" s="217"/>
      <c r="I97" s="217"/>
      <c r="J97" s="217"/>
      <c r="K97" s="217"/>
      <c r="L97" s="217"/>
      <c r="M97" s="217"/>
      <c r="N97" s="217"/>
      <c r="O97" s="217"/>
      <c r="P97" s="217"/>
      <c r="Q97" s="217"/>
      <c r="R97" s="198"/>
      <c r="S97" s="198"/>
      <c r="T97" s="198"/>
      <c r="U97" s="198"/>
    </row>
    <row r="98" spans="1:33" s="12" customFormat="1" x14ac:dyDescent="0.25">
      <c r="A98" s="201"/>
      <c r="B98" s="217"/>
      <c r="C98" s="217"/>
      <c r="D98" s="217"/>
      <c r="E98" s="217"/>
      <c r="F98" s="217"/>
      <c r="G98" s="217"/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198"/>
      <c r="S98" s="198"/>
      <c r="T98" s="198"/>
      <c r="U98" s="198"/>
    </row>
    <row r="99" spans="1:33" s="12" customFormat="1" x14ac:dyDescent="0.25">
      <c r="A99" s="201"/>
      <c r="B99" s="217"/>
      <c r="C99" s="217"/>
      <c r="D99" s="217"/>
      <c r="E99" s="217"/>
      <c r="F99" s="217"/>
      <c r="G99" s="217"/>
      <c r="H99" s="217"/>
      <c r="I99" s="217"/>
      <c r="J99" s="217"/>
      <c r="K99" s="217"/>
      <c r="L99" s="217"/>
      <c r="M99" s="217"/>
      <c r="N99" s="217"/>
      <c r="O99" s="217"/>
      <c r="P99" s="217"/>
      <c r="Q99" s="217"/>
      <c r="R99" s="198"/>
      <c r="S99" s="198"/>
      <c r="T99" s="198"/>
      <c r="U99" s="198"/>
    </row>
    <row r="100" spans="1:33" s="12" customFormat="1" x14ac:dyDescent="0.25">
      <c r="A100" s="201"/>
      <c r="B100" s="217"/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217"/>
      <c r="C101" s="217"/>
      <c r="D101" s="217"/>
      <c r="E101" s="217"/>
      <c r="F101" s="217"/>
      <c r="G101" s="217"/>
      <c r="H101" s="217"/>
      <c r="I101" s="217"/>
      <c r="J101" s="217"/>
      <c r="K101" s="217"/>
      <c r="L101" s="217"/>
      <c r="M101" s="217"/>
      <c r="N101" s="217"/>
      <c r="O101" s="217"/>
      <c r="P101" s="217"/>
      <c r="Q101" s="217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J110" si="4">COUNT(B9:B104)+44</f>
        <v>44</v>
      </c>
      <c r="C110" s="66">
        <f t="shared" si="4"/>
        <v>44</v>
      </c>
      <c r="D110" s="66">
        <f t="shared" si="4"/>
        <v>44</v>
      </c>
      <c r="E110" s="66">
        <f t="shared" si="4"/>
        <v>44</v>
      </c>
      <c r="F110" s="66">
        <f t="shared" si="4"/>
        <v>44</v>
      </c>
      <c r="G110" s="66">
        <f t="shared" si="4"/>
        <v>44</v>
      </c>
      <c r="H110" s="66">
        <f t="shared" si="4"/>
        <v>44</v>
      </c>
      <c r="I110" s="66">
        <f t="shared" si="4"/>
        <v>44</v>
      </c>
      <c r="J110" s="66">
        <f t="shared" si="4"/>
        <v>44</v>
      </c>
      <c r="K110" s="66">
        <f t="shared" ref="K110:P110" si="5">COUNT(K9:K104)+44</f>
        <v>44</v>
      </c>
      <c r="L110" s="66">
        <f t="shared" si="5"/>
        <v>44</v>
      </c>
      <c r="M110" s="66">
        <f t="shared" si="5"/>
        <v>44</v>
      </c>
      <c r="N110" s="66">
        <f t="shared" si="5"/>
        <v>44</v>
      </c>
      <c r="O110" s="66">
        <f t="shared" si="5"/>
        <v>44</v>
      </c>
      <c r="P110" s="66">
        <f t="shared" si="5"/>
        <v>44</v>
      </c>
      <c r="Q110" s="66">
        <f>COUNT(Q9:Q104)+45</f>
        <v>45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6">IF(C110&gt;=87,"&gt;90%",IF(C110&lt;=87,"&lt;90%"))</f>
        <v>&lt;90%</v>
      </c>
      <c r="D111" s="13" t="str">
        <f t="shared" si="6"/>
        <v>&lt;90%</v>
      </c>
      <c r="E111" s="13" t="str">
        <f t="shared" si="6"/>
        <v>&lt;90%</v>
      </c>
      <c r="F111" s="13" t="str">
        <f t="shared" si="6"/>
        <v>&lt;90%</v>
      </c>
      <c r="G111" s="13" t="str">
        <f t="shared" si="6"/>
        <v>&lt;90%</v>
      </c>
      <c r="H111" s="13" t="str">
        <f t="shared" si="6"/>
        <v>&lt;90%</v>
      </c>
      <c r="I111" s="13" t="str">
        <f t="shared" si="6"/>
        <v>&lt;90%</v>
      </c>
      <c r="J111" s="13" t="str">
        <f t="shared" si="6"/>
        <v>&lt;90%</v>
      </c>
      <c r="K111" s="13" t="str">
        <f t="shared" si="6"/>
        <v>&lt;90%</v>
      </c>
      <c r="L111" s="13" t="str">
        <f t="shared" si="6"/>
        <v>&lt;90%</v>
      </c>
      <c r="M111" s="13" t="str">
        <f t="shared" si="6"/>
        <v>&lt;90%</v>
      </c>
      <c r="N111" s="13" t="str">
        <f t="shared" si="6"/>
        <v>&lt;90%</v>
      </c>
      <c r="O111" s="13" t="str">
        <f t="shared" si="6"/>
        <v>&lt;90%</v>
      </c>
      <c r="P111" s="13" t="str">
        <f t="shared" si="6"/>
        <v>&lt;90%</v>
      </c>
      <c r="Q111" s="13" t="str">
        <f t="shared" si="6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7">IF(C110&gt;=87,"OK",IF(C110&lt;=87,"LESS"))</f>
        <v>LESS</v>
      </c>
      <c r="D112" s="13" t="str">
        <f t="shared" si="7"/>
        <v>LESS</v>
      </c>
      <c r="E112" s="13" t="str">
        <f t="shared" si="7"/>
        <v>LESS</v>
      </c>
      <c r="F112" s="13" t="str">
        <f t="shared" si="7"/>
        <v>LESS</v>
      </c>
      <c r="G112" s="13" t="str">
        <f t="shared" si="7"/>
        <v>LESS</v>
      </c>
      <c r="H112" s="13" t="str">
        <f t="shared" si="7"/>
        <v>LESS</v>
      </c>
      <c r="I112" s="13" t="str">
        <f t="shared" si="7"/>
        <v>LESS</v>
      </c>
      <c r="J112" s="13" t="str">
        <f t="shared" si="7"/>
        <v>LESS</v>
      </c>
      <c r="K112" s="13" t="str">
        <f t="shared" si="7"/>
        <v>LESS</v>
      </c>
      <c r="L112" s="13" t="str">
        <f t="shared" si="7"/>
        <v>LESS</v>
      </c>
      <c r="M112" s="13" t="str">
        <f t="shared" si="7"/>
        <v>LESS</v>
      </c>
      <c r="N112" s="13" t="str">
        <f t="shared" si="7"/>
        <v>LESS</v>
      </c>
      <c r="O112" s="13" t="str">
        <f t="shared" si="7"/>
        <v>LESS</v>
      </c>
      <c r="P112" s="13" t="str">
        <f t="shared" si="7"/>
        <v>LESS</v>
      </c>
      <c r="Q112" s="13" t="str">
        <f t="shared" si="7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>COUNT(H9:H104)</f>
        <v>0</v>
      </c>
      <c r="I110" s="66">
        <f>COUNT(I9:I104)</f>
        <v>0</v>
      </c>
      <c r="J110" s="66">
        <f>COUNT(J9:J104)</f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>COUNT(H9:H104)</f>
        <v>0</v>
      </c>
      <c r="I110" s="66">
        <f>COUNT(I9:I104)</f>
        <v>0</v>
      </c>
      <c r="J110" s="66">
        <f>COUNT(J9:J104)</f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21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212"/>
      <c r="H53" s="212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212"/>
      <c r="H54" s="212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212"/>
      <c r="H55" s="212"/>
      <c r="I55" s="6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212"/>
      <c r="H56" s="212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26"/>
      <c r="C61" s="26"/>
      <c r="D61" s="26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26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26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COUNT(B9:B104)+1</f>
        <v>1</v>
      </c>
      <c r="C110" s="66">
        <f>COUNT(C9:C104)+1</f>
        <v>1</v>
      </c>
      <c r="D110" s="66">
        <f>COUNT(D9:D104)+1</f>
        <v>1</v>
      </c>
      <c r="E110" s="66">
        <f t="shared" ref="E110:Q110" si="4">COUNT(E9:E104)</f>
        <v>0</v>
      </c>
      <c r="F110" s="66">
        <f t="shared" si="4"/>
        <v>0</v>
      </c>
      <c r="G110" s="66">
        <f>COUNT(G9:G104)</f>
        <v>0</v>
      </c>
      <c r="H110" s="66">
        <f>COUNT(H9:H104)+4</f>
        <v>4</v>
      </c>
      <c r="I110" s="66">
        <f>COUNT(I9:I104)+1</f>
        <v>1</v>
      </c>
      <c r="J110" s="66">
        <f>COUNT(J9:J104)</f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21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21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21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21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21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21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21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21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21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21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210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210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21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210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210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210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21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21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21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210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210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210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21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21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21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21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21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21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21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21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21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21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21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>COUNT(F9:F104)+1</f>
        <v>1</v>
      </c>
      <c r="G110" s="66">
        <f t="shared" si="4"/>
        <v>0</v>
      </c>
      <c r="H110" s="66">
        <f>COUNT(H9:H104)</f>
        <v>0</v>
      </c>
      <c r="I110" s="66">
        <f>COUNT(I9:I104)+7+25</f>
        <v>32</v>
      </c>
      <c r="J110" s="66">
        <f>COUNT(J9:J104)</f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6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216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216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216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216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216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216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216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216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216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216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216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216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216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216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216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216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216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216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216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216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216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216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216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216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216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216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216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216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216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216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216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216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216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216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216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216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216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216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216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216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216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216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216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216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216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216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216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216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216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216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216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216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216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216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216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216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216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216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216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216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216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216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216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216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216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216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216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216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216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216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216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216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216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216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216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216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216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216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216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217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217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217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217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217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217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216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216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216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216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216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216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216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216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216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216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216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>COUNT(H9:H104)</f>
        <v>0</v>
      </c>
      <c r="I110" s="66">
        <f>COUNT(I9:I104)</f>
        <v>0</v>
      </c>
      <c r="J110" s="66">
        <f>COUNT(J9:J104)</f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7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21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21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21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21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21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21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216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216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216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216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216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216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216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216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216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216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216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216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216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216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216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216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216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216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216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216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216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216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216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216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216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216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216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216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216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216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216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216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216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216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216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216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216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216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216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216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216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216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216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216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216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216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216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216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217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217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217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217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217"/>
      <c r="J67" s="60"/>
      <c r="K67" s="60"/>
      <c r="L67" s="60"/>
      <c r="M67" s="60"/>
      <c r="N67" s="60"/>
      <c r="O67" s="60"/>
      <c r="P67" s="60"/>
      <c r="Q67" s="21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217"/>
      <c r="J68" s="60"/>
      <c r="K68" s="60"/>
      <c r="L68" s="60"/>
      <c r="M68" s="60"/>
      <c r="N68" s="60"/>
      <c r="O68" s="60"/>
      <c r="P68" s="60"/>
      <c r="Q68" s="21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217"/>
      <c r="J69" s="60"/>
      <c r="K69" s="60"/>
      <c r="L69" s="60"/>
      <c r="M69" s="60"/>
      <c r="N69" s="60"/>
      <c r="O69" s="60"/>
      <c r="P69" s="60"/>
      <c r="Q69" s="21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218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218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218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218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218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218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218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218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218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218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218"/>
      <c r="J80" s="60"/>
      <c r="K80" s="60"/>
      <c r="L80" s="60"/>
      <c r="M80" s="60"/>
      <c r="N80" s="60"/>
      <c r="O80" s="60"/>
      <c r="P80" s="60"/>
      <c r="Q80" s="21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218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218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217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217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217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217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217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217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217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217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217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217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217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217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217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217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217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217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217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217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217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217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217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217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>COUNT(H9:H104)</f>
        <v>0</v>
      </c>
      <c r="I110" s="66">
        <f>COUNT(I9:I104)</f>
        <v>0</v>
      </c>
      <c r="J110" s="66">
        <f>COUNT(J9:J104)</f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7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21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21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>COUNT(H9:H104)</f>
        <v>0</v>
      </c>
      <c r="I110" s="66">
        <f>COUNT(I9:I104)</f>
        <v>0</v>
      </c>
      <c r="J110" s="66">
        <f>COUNT(J9:J104)</f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>COUNT(Q9:Q104)+2</f>
        <v>2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21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>COUNT(H9:H104)</f>
        <v>0</v>
      </c>
      <c r="I110" s="66">
        <f>COUNT(I9:I104)</f>
        <v>0</v>
      </c>
      <c r="J110" s="66">
        <f>COUNT(J9:J104)</f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>COUNT(Q9:Q104)+1</f>
        <v>1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21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212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>COUNT(H9:H104)</f>
        <v>0</v>
      </c>
      <c r="I110" s="66">
        <f>COUNT(I9:I104)</f>
        <v>0</v>
      </c>
      <c r="J110" s="66">
        <f>COUNT(J9:J104)</f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>COUNT(Q9:Q104)+2</f>
        <v>2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/>
      <c r="R9" s="198"/>
      <c r="S9" s="198"/>
      <c r="T9" s="198"/>
      <c r="U9" s="198"/>
    </row>
    <row r="10" spans="1:21" s="12" customFormat="1" x14ac:dyDescent="0.25">
      <c r="A10" s="213"/>
      <c r="R10" s="198"/>
      <c r="S10" s="198"/>
      <c r="T10" s="198"/>
      <c r="U10" s="198"/>
    </row>
    <row r="11" spans="1:21" s="12" customFormat="1" x14ac:dyDescent="0.25">
      <c r="A11" s="213"/>
      <c r="R11" s="198"/>
      <c r="S11" s="198"/>
      <c r="T11" s="198"/>
      <c r="U11" s="198"/>
    </row>
    <row r="12" spans="1:21" s="12" customFormat="1" x14ac:dyDescent="0.25">
      <c r="A12" s="213"/>
      <c r="R12" s="198"/>
      <c r="S12" s="198"/>
      <c r="T12" s="198"/>
      <c r="U12" s="198"/>
    </row>
    <row r="13" spans="1:21" s="12" customFormat="1" x14ac:dyDescent="0.25">
      <c r="A13" s="213"/>
      <c r="R13" s="198"/>
      <c r="S13" s="198"/>
      <c r="T13" s="198"/>
      <c r="U13" s="198"/>
    </row>
    <row r="14" spans="1:21" s="12" customFormat="1" x14ac:dyDescent="0.25">
      <c r="A14" s="213"/>
      <c r="R14" s="198"/>
      <c r="S14" s="198"/>
      <c r="T14" s="198"/>
      <c r="U14" s="198"/>
    </row>
    <row r="15" spans="1:21" s="12" customFormat="1" x14ac:dyDescent="0.25">
      <c r="A15" s="213"/>
      <c r="R15" s="198"/>
      <c r="S15" s="198"/>
      <c r="T15" s="198"/>
      <c r="U15" s="198"/>
    </row>
    <row r="16" spans="1:21" s="12" customFormat="1" x14ac:dyDescent="0.25">
      <c r="A16" s="213"/>
      <c r="R16" s="198"/>
      <c r="S16" s="198"/>
      <c r="T16" s="198"/>
      <c r="U16" s="198"/>
    </row>
    <row r="17" spans="1:21" s="12" customFormat="1" x14ac:dyDescent="0.25">
      <c r="A17" s="213"/>
      <c r="R17" s="198"/>
      <c r="S17" s="198"/>
      <c r="T17" s="198"/>
      <c r="U17" s="198"/>
    </row>
    <row r="18" spans="1:21" s="12" customFormat="1" x14ac:dyDescent="0.25">
      <c r="A18" s="213"/>
      <c r="R18" s="198"/>
      <c r="S18" s="198"/>
      <c r="T18" s="198"/>
      <c r="U18" s="198"/>
    </row>
    <row r="19" spans="1:21" s="12" customFormat="1" x14ac:dyDescent="0.25">
      <c r="A19" s="213"/>
      <c r="R19" s="198"/>
      <c r="S19" s="198"/>
      <c r="T19" s="198"/>
      <c r="U19" s="198"/>
    </row>
    <row r="20" spans="1:21" s="12" customFormat="1" x14ac:dyDescent="0.25">
      <c r="A20" s="213"/>
      <c r="R20" s="198"/>
      <c r="S20" s="198"/>
      <c r="T20" s="198"/>
      <c r="U20" s="198"/>
    </row>
    <row r="21" spans="1:21" s="12" customFormat="1" x14ac:dyDescent="0.25">
      <c r="A21" s="213"/>
      <c r="R21" s="198"/>
      <c r="S21" s="198"/>
      <c r="T21" s="198"/>
      <c r="U21" s="198"/>
    </row>
    <row r="22" spans="1:21" s="12" customFormat="1" x14ac:dyDescent="0.25">
      <c r="A22" s="213"/>
      <c r="R22" s="198"/>
      <c r="S22" s="198"/>
      <c r="T22" s="198"/>
      <c r="U22" s="198"/>
    </row>
    <row r="23" spans="1:21" s="12" customFormat="1" x14ac:dyDescent="0.25">
      <c r="A23" s="213"/>
      <c r="R23" s="198"/>
      <c r="S23" s="198"/>
      <c r="T23" s="198"/>
      <c r="U23" s="198"/>
    </row>
    <row r="24" spans="1:21" s="12" customFormat="1" x14ac:dyDescent="0.25">
      <c r="A24" s="213"/>
      <c r="R24" s="198"/>
      <c r="S24" s="198"/>
      <c r="T24" s="198"/>
      <c r="U24" s="198"/>
    </row>
    <row r="25" spans="1:21" s="12" customFormat="1" x14ac:dyDescent="0.25">
      <c r="A25" s="213"/>
      <c r="R25" s="198"/>
      <c r="S25" s="198"/>
      <c r="T25" s="198"/>
      <c r="U25" s="198"/>
    </row>
    <row r="26" spans="1:21" s="12" customFormat="1" x14ac:dyDescent="0.25">
      <c r="A26" s="213"/>
      <c r="R26" s="198"/>
      <c r="S26" s="198"/>
      <c r="T26" s="198"/>
      <c r="U26" s="198"/>
    </row>
    <row r="27" spans="1:21" s="12" customFormat="1" x14ac:dyDescent="0.25">
      <c r="A27" s="213"/>
      <c r="R27" s="198"/>
      <c r="S27" s="198"/>
      <c r="T27" s="198"/>
      <c r="U27" s="198"/>
    </row>
    <row r="28" spans="1:21" s="12" customFormat="1" x14ac:dyDescent="0.25">
      <c r="A28" s="213"/>
      <c r="R28" s="198"/>
      <c r="S28" s="198"/>
      <c r="T28" s="198"/>
      <c r="U28" s="198"/>
    </row>
    <row r="29" spans="1:21" s="12" customFormat="1" x14ac:dyDescent="0.25">
      <c r="A29" s="213"/>
      <c r="R29" s="198"/>
      <c r="S29" s="198"/>
      <c r="T29" s="198"/>
      <c r="U29" s="198"/>
    </row>
    <row r="30" spans="1:21" s="12" customFormat="1" x14ac:dyDescent="0.25">
      <c r="A30" s="213"/>
      <c r="R30" s="198"/>
      <c r="S30" s="198"/>
      <c r="T30" s="198"/>
      <c r="U30" s="198"/>
    </row>
    <row r="31" spans="1:21" s="12" customFormat="1" x14ac:dyDescent="0.25">
      <c r="A31" s="213"/>
      <c r="R31" s="198"/>
      <c r="S31" s="198"/>
      <c r="T31" s="198"/>
      <c r="U31" s="198"/>
    </row>
    <row r="32" spans="1:21" s="12" customFormat="1" x14ac:dyDescent="0.25">
      <c r="A32" s="213"/>
      <c r="R32" s="198"/>
      <c r="S32" s="198"/>
      <c r="T32" s="198"/>
      <c r="U32" s="198"/>
    </row>
    <row r="33" spans="1:21" s="12" customFormat="1" x14ac:dyDescent="0.25">
      <c r="A33" s="213"/>
      <c r="R33" s="198"/>
      <c r="S33" s="198"/>
      <c r="T33" s="198"/>
      <c r="U33" s="198"/>
    </row>
    <row r="34" spans="1:21" s="12" customFormat="1" x14ac:dyDescent="0.25">
      <c r="A34" s="213"/>
      <c r="R34" s="198"/>
      <c r="S34" s="198"/>
      <c r="T34" s="198"/>
      <c r="U34" s="198"/>
    </row>
    <row r="35" spans="1:21" s="12" customFormat="1" x14ac:dyDescent="0.25">
      <c r="A35" s="213"/>
      <c r="R35" s="198"/>
      <c r="S35" s="198"/>
      <c r="T35" s="198"/>
      <c r="U35" s="198"/>
    </row>
    <row r="36" spans="1:21" s="12" customFormat="1" x14ac:dyDescent="0.25">
      <c r="A36" s="213"/>
      <c r="R36" s="198"/>
      <c r="S36" s="198"/>
      <c r="T36" s="198"/>
      <c r="U36" s="198"/>
    </row>
    <row r="37" spans="1:21" s="12" customFormat="1" x14ac:dyDescent="0.25">
      <c r="A37" s="213"/>
      <c r="R37" s="198"/>
      <c r="S37" s="198"/>
      <c r="T37" s="198"/>
      <c r="U37" s="198"/>
    </row>
    <row r="38" spans="1:21" s="12" customFormat="1" x14ac:dyDescent="0.25">
      <c r="A38" s="213"/>
      <c r="R38" s="198"/>
      <c r="S38" s="198"/>
      <c r="T38" s="198"/>
      <c r="U38" s="198"/>
    </row>
    <row r="39" spans="1:21" s="12" customFormat="1" x14ac:dyDescent="0.25">
      <c r="A39" s="213"/>
      <c r="R39" s="198"/>
      <c r="S39" s="198"/>
      <c r="T39" s="198"/>
      <c r="U39" s="198"/>
    </row>
    <row r="40" spans="1:21" s="12" customFormat="1" x14ac:dyDescent="0.25">
      <c r="A40" s="213"/>
      <c r="R40" s="198"/>
      <c r="S40" s="198"/>
      <c r="T40" s="198"/>
      <c r="U40" s="198"/>
    </row>
    <row r="41" spans="1:21" s="12" customFormat="1" x14ac:dyDescent="0.25">
      <c r="A41" s="213"/>
      <c r="R41" s="198"/>
      <c r="S41" s="198"/>
      <c r="T41" s="198"/>
      <c r="U41" s="198"/>
    </row>
    <row r="42" spans="1:21" s="12" customFormat="1" x14ac:dyDescent="0.25">
      <c r="A42" s="213"/>
      <c r="R42" s="198"/>
      <c r="S42" s="198"/>
      <c r="T42" s="198"/>
      <c r="U42" s="198"/>
    </row>
    <row r="43" spans="1:21" s="12" customFormat="1" x14ac:dyDescent="0.25">
      <c r="A43" s="213"/>
      <c r="R43" s="198"/>
      <c r="S43" s="198"/>
      <c r="T43" s="198"/>
      <c r="U43" s="198"/>
    </row>
    <row r="44" spans="1:21" s="12" customFormat="1" x14ac:dyDescent="0.25">
      <c r="A44" s="213"/>
      <c r="R44" s="198"/>
      <c r="S44" s="198"/>
      <c r="T44" s="198"/>
      <c r="U44" s="198"/>
    </row>
    <row r="45" spans="1:21" s="12" customFormat="1" x14ac:dyDescent="0.25">
      <c r="A45" s="213"/>
      <c r="R45" s="198"/>
      <c r="S45" s="198"/>
      <c r="T45" s="198"/>
      <c r="U45" s="198"/>
    </row>
    <row r="46" spans="1:21" s="12" customFormat="1" x14ac:dyDescent="0.25">
      <c r="A46" s="213"/>
      <c r="R46" s="198"/>
      <c r="S46" s="198"/>
      <c r="T46" s="198"/>
      <c r="U46" s="198"/>
    </row>
    <row r="47" spans="1:21" s="12" customFormat="1" x14ac:dyDescent="0.25">
      <c r="A47" s="213"/>
      <c r="R47" s="198"/>
      <c r="S47" s="198"/>
      <c r="T47" s="198"/>
      <c r="U47" s="198"/>
    </row>
    <row r="48" spans="1:21" s="12" customFormat="1" x14ac:dyDescent="0.25">
      <c r="A48" s="213"/>
      <c r="R48" s="198"/>
      <c r="S48" s="198"/>
      <c r="T48" s="198"/>
      <c r="U48" s="198"/>
    </row>
    <row r="49" spans="1:21" s="12" customFormat="1" x14ac:dyDescent="0.25">
      <c r="A49" s="213"/>
      <c r="R49" s="198"/>
      <c r="S49" s="198"/>
      <c r="T49" s="198"/>
      <c r="U49" s="198"/>
    </row>
    <row r="50" spans="1:21" s="12" customFormat="1" x14ac:dyDescent="0.25">
      <c r="A50" s="213"/>
      <c r="R50" s="198"/>
      <c r="S50" s="198"/>
      <c r="T50" s="198"/>
      <c r="U50" s="198"/>
    </row>
    <row r="51" spans="1:21" s="12" customFormat="1" x14ac:dyDescent="0.25">
      <c r="A51" s="213"/>
      <c r="R51" s="198"/>
      <c r="S51" s="198"/>
      <c r="T51" s="198"/>
      <c r="U51" s="198"/>
    </row>
    <row r="52" spans="1:21" s="12" customFormat="1" x14ac:dyDescent="0.25">
      <c r="A52" s="213"/>
      <c r="R52" s="198"/>
      <c r="S52" s="198"/>
      <c r="T52" s="198"/>
      <c r="U52" s="198"/>
    </row>
    <row r="53" spans="1:21" s="12" customFormat="1" x14ac:dyDescent="0.25">
      <c r="A53" s="213"/>
      <c r="R53" s="198"/>
      <c r="S53" s="198"/>
      <c r="T53" s="198"/>
      <c r="U53" s="198"/>
    </row>
    <row r="54" spans="1:21" s="12" customFormat="1" x14ac:dyDescent="0.25">
      <c r="A54" s="213"/>
      <c r="R54" s="198"/>
      <c r="S54" s="198"/>
      <c r="T54" s="198"/>
      <c r="U54" s="198"/>
    </row>
    <row r="55" spans="1:21" s="12" customFormat="1" x14ac:dyDescent="0.25">
      <c r="A55" s="213"/>
      <c r="R55" s="198"/>
      <c r="S55" s="198"/>
      <c r="T55" s="198"/>
      <c r="U55" s="198"/>
    </row>
    <row r="56" spans="1:21" s="12" customFormat="1" x14ac:dyDescent="0.25">
      <c r="A56" s="213"/>
      <c r="R56" s="198"/>
      <c r="S56" s="198"/>
      <c r="T56" s="198"/>
      <c r="U56" s="198"/>
    </row>
    <row r="57" spans="1:21" s="12" customFormat="1" x14ac:dyDescent="0.25">
      <c r="A57" s="213"/>
      <c r="R57" s="198"/>
      <c r="S57" s="198"/>
      <c r="T57" s="198"/>
      <c r="U57" s="198"/>
    </row>
    <row r="58" spans="1:21" s="12" customFormat="1" x14ac:dyDescent="0.25">
      <c r="A58" s="213"/>
      <c r="R58" s="198"/>
      <c r="S58" s="198"/>
      <c r="T58" s="198"/>
      <c r="U58" s="198"/>
    </row>
    <row r="59" spans="1:21" s="12" customFormat="1" x14ac:dyDescent="0.25">
      <c r="A59" s="213"/>
      <c r="R59" s="198"/>
      <c r="S59" s="198"/>
      <c r="T59" s="198"/>
      <c r="U59" s="198"/>
    </row>
    <row r="60" spans="1:21" s="12" customFormat="1" x14ac:dyDescent="0.25">
      <c r="A60" s="213"/>
      <c r="R60" s="198"/>
      <c r="S60" s="198"/>
      <c r="T60" s="198"/>
      <c r="U60" s="198"/>
    </row>
    <row r="61" spans="1:21" s="12" customFormat="1" x14ac:dyDescent="0.25">
      <c r="A61" s="213"/>
      <c r="R61" s="198"/>
      <c r="S61" s="198"/>
      <c r="T61" s="198"/>
      <c r="U61" s="198"/>
    </row>
    <row r="62" spans="1:21" s="12" customFormat="1" x14ac:dyDescent="0.25">
      <c r="A62" s="213"/>
      <c r="R62" s="198"/>
      <c r="S62" s="198"/>
      <c r="T62" s="198"/>
      <c r="U62" s="198"/>
    </row>
    <row r="63" spans="1:21" s="12" customFormat="1" x14ac:dyDescent="0.25">
      <c r="A63" s="213"/>
      <c r="R63" s="198"/>
      <c r="S63" s="198"/>
      <c r="T63" s="198"/>
      <c r="U63" s="198"/>
    </row>
    <row r="64" spans="1:21" s="12" customFormat="1" x14ac:dyDescent="0.25">
      <c r="A64" s="213"/>
      <c r="R64" s="198"/>
      <c r="S64" s="198"/>
      <c r="T64" s="198"/>
      <c r="U64" s="198"/>
    </row>
    <row r="65" spans="1:21" s="12" customFormat="1" x14ac:dyDescent="0.25">
      <c r="A65" s="213"/>
      <c r="R65" s="198"/>
      <c r="S65" s="198"/>
      <c r="T65" s="198"/>
      <c r="U65" s="198"/>
    </row>
    <row r="66" spans="1:21" s="12" customFormat="1" x14ac:dyDescent="0.25">
      <c r="A66" s="213"/>
      <c r="R66" s="198"/>
      <c r="S66" s="198"/>
      <c r="T66" s="198"/>
      <c r="U66" s="198"/>
    </row>
    <row r="67" spans="1:21" s="12" customFormat="1" x14ac:dyDescent="0.25">
      <c r="A67" s="213"/>
      <c r="R67" s="198"/>
      <c r="S67" s="198"/>
      <c r="T67" s="198"/>
      <c r="U67" s="198"/>
    </row>
    <row r="68" spans="1:21" s="12" customFormat="1" x14ac:dyDescent="0.25">
      <c r="A68" s="213"/>
      <c r="R68" s="198"/>
      <c r="S68" s="198"/>
      <c r="T68" s="198"/>
      <c r="U68" s="198"/>
    </row>
    <row r="69" spans="1:21" s="12" customFormat="1" x14ac:dyDescent="0.25">
      <c r="A69" s="213"/>
      <c r="R69" s="198"/>
      <c r="S69" s="198"/>
      <c r="T69" s="198"/>
      <c r="U69" s="198"/>
    </row>
    <row r="70" spans="1:21" s="12" customFormat="1" x14ac:dyDescent="0.25">
      <c r="A70" s="213"/>
      <c r="R70" s="198"/>
      <c r="S70" s="198"/>
      <c r="T70" s="198"/>
      <c r="U70" s="198"/>
    </row>
    <row r="71" spans="1:21" s="12" customFormat="1" x14ac:dyDescent="0.25">
      <c r="A71" s="213"/>
      <c r="R71" s="198"/>
      <c r="S71" s="198"/>
      <c r="T71" s="198"/>
      <c r="U71" s="198"/>
    </row>
    <row r="72" spans="1:21" s="12" customFormat="1" x14ac:dyDescent="0.25">
      <c r="A72" s="213"/>
      <c r="R72" s="198"/>
      <c r="S72" s="198"/>
      <c r="T72" s="198"/>
      <c r="U72" s="198"/>
    </row>
    <row r="73" spans="1:21" s="12" customFormat="1" x14ac:dyDescent="0.25">
      <c r="A73" s="213"/>
      <c r="R73" s="198"/>
      <c r="S73" s="198"/>
      <c r="T73" s="198"/>
      <c r="U73" s="198"/>
    </row>
    <row r="74" spans="1:21" s="12" customFormat="1" x14ac:dyDescent="0.25">
      <c r="A74" s="213"/>
      <c r="R74" s="198"/>
      <c r="S74" s="198"/>
      <c r="T74" s="198"/>
      <c r="U74" s="198"/>
    </row>
    <row r="75" spans="1:21" s="12" customFormat="1" x14ac:dyDescent="0.25">
      <c r="A75" s="213"/>
      <c r="R75" s="198"/>
      <c r="S75" s="198"/>
      <c r="T75" s="198"/>
      <c r="U75" s="198"/>
    </row>
    <row r="76" spans="1:21" s="12" customFormat="1" x14ac:dyDescent="0.25">
      <c r="A76" s="213"/>
      <c r="R76" s="198"/>
      <c r="S76" s="198"/>
      <c r="T76" s="198"/>
      <c r="U76" s="198"/>
    </row>
    <row r="77" spans="1:21" s="12" customFormat="1" x14ac:dyDescent="0.25">
      <c r="A77" s="213"/>
      <c r="R77" s="198"/>
      <c r="S77" s="198"/>
      <c r="T77" s="198"/>
      <c r="U77" s="198"/>
    </row>
    <row r="78" spans="1:21" s="12" customFormat="1" x14ac:dyDescent="0.25">
      <c r="A78" s="213"/>
      <c r="R78" s="198"/>
      <c r="S78" s="198"/>
      <c r="T78" s="198"/>
      <c r="U78" s="198"/>
    </row>
    <row r="79" spans="1:21" s="12" customFormat="1" x14ac:dyDescent="0.25">
      <c r="A79" s="213"/>
      <c r="R79" s="198"/>
      <c r="S79" s="198"/>
      <c r="T79" s="198"/>
      <c r="U79" s="198"/>
    </row>
    <row r="80" spans="1:21" s="12" customFormat="1" x14ac:dyDescent="0.25">
      <c r="A80" s="213"/>
      <c r="R80" s="198"/>
      <c r="S80" s="198"/>
      <c r="T80" s="198"/>
      <c r="U80" s="198"/>
    </row>
    <row r="81" spans="1:26" s="12" customFormat="1" x14ac:dyDescent="0.25">
      <c r="A81" s="213"/>
      <c r="R81" s="198"/>
      <c r="S81" s="198"/>
      <c r="T81" s="198"/>
      <c r="U81" s="198"/>
    </row>
    <row r="82" spans="1:26" s="12" customFormat="1" x14ac:dyDescent="0.25">
      <c r="A82" s="213"/>
      <c r="R82" s="198"/>
      <c r="S82" s="198"/>
      <c r="T82" s="198"/>
      <c r="U82" s="198"/>
    </row>
    <row r="83" spans="1:26" s="12" customFormat="1" x14ac:dyDescent="0.25">
      <c r="A83" s="213"/>
      <c r="R83" s="198"/>
      <c r="S83" s="198"/>
      <c r="T83" s="198"/>
      <c r="U83" s="198"/>
    </row>
    <row r="84" spans="1:26" s="12" customFormat="1" x14ac:dyDescent="0.25">
      <c r="A84" s="213"/>
      <c r="R84" s="198"/>
      <c r="S84" s="198"/>
      <c r="T84" s="198"/>
      <c r="U84" s="198"/>
    </row>
    <row r="85" spans="1:26" s="12" customFormat="1" x14ac:dyDescent="0.25">
      <c r="A85" s="213"/>
      <c r="R85" s="198"/>
      <c r="S85" s="198"/>
      <c r="T85" s="198"/>
      <c r="U85" s="198"/>
    </row>
    <row r="86" spans="1:26" s="12" customFormat="1" x14ac:dyDescent="0.25">
      <c r="A86" s="213"/>
      <c r="R86" s="198"/>
      <c r="S86" s="198"/>
      <c r="T86" s="198"/>
      <c r="U86" s="198"/>
    </row>
    <row r="87" spans="1:26" s="12" customFormat="1" x14ac:dyDescent="0.25">
      <c r="A87" s="213"/>
      <c r="R87" s="198"/>
      <c r="S87" s="198"/>
      <c r="T87" s="198"/>
      <c r="U87" s="198"/>
    </row>
    <row r="88" spans="1:26" s="12" customFormat="1" x14ac:dyDescent="0.25">
      <c r="A88" s="213"/>
      <c r="R88" s="198"/>
      <c r="S88" s="198"/>
      <c r="T88" s="198"/>
      <c r="U88" s="198"/>
    </row>
    <row r="89" spans="1:26" s="12" customFormat="1" x14ac:dyDescent="0.25">
      <c r="A89" s="213"/>
      <c r="R89" s="198"/>
      <c r="S89" s="198"/>
      <c r="T89" s="198"/>
      <c r="U89" s="198"/>
    </row>
    <row r="90" spans="1:26" s="12" customFormat="1" x14ac:dyDescent="0.25">
      <c r="A90" s="213"/>
      <c r="R90" s="198"/>
      <c r="S90" s="198"/>
      <c r="T90" s="198"/>
      <c r="U90" s="198"/>
    </row>
    <row r="91" spans="1:26" s="12" customFormat="1" x14ac:dyDescent="0.25">
      <c r="A91" s="213"/>
      <c r="R91" s="198"/>
      <c r="S91" s="198"/>
      <c r="T91" s="198"/>
      <c r="U91" s="198"/>
    </row>
    <row r="92" spans="1:26" s="12" customFormat="1" x14ac:dyDescent="0.25">
      <c r="A92" s="213"/>
      <c r="R92" s="198"/>
      <c r="S92" s="198"/>
      <c r="T92" s="198"/>
      <c r="U92" s="198"/>
    </row>
    <row r="93" spans="1:26" s="12" customFormat="1" x14ac:dyDescent="0.25">
      <c r="A93" s="213"/>
      <c r="R93" s="198"/>
      <c r="S93" s="198"/>
      <c r="T93" s="198"/>
      <c r="U93" s="198"/>
    </row>
    <row r="94" spans="1:26" s="12" customFormat="1" x14ac:dyDescent="0.25">
      <c r="A94" s="213"/>
      <c r="R94" s="198"/>
      <c r="S94" s="198"/>
      <c r="T94" s="198"/>
      <c r="U94" s="198"/>
    </row>
    <row r="95" spans="1:26" s="12" customFormat="1" x14ac:dyDescent="0.25">
      <c r="A95" s="213"/>
      <c r="R95" s="198"/>
      <c r="S95" s="198"/>
      <c r="T95" s="198"/>
      <c r="U95" s="198"/>
    </row>
    <row r="96" spans="1:26" s="12" customFormat="1" x14ac:dyDescent="0.25">
      <c r="A96" s="213"/>
      <c r="R96" s="198"/>
      <c r="S96" s="198"/>
      <c r="T96" s="198"/>
      <c r="U96" s="198"/>
      <c r="Z96" s="109"/>
    </row>
    <row r="97" spans="1:33" s="12" customFormat="1" x14ac:dyDescent="0.25">
      <c r="A97" s="213"/>
      <c r="R97" s="198"/>
      <c r="S97" s="198"/>
      <c r="T97" s="198"/>
      <c r="U97" s="198"/>
    </row>
    <row r="98" spans="1:33" s="12" customFormat="1" x14ac:dyDescent="0.25">
      <c r="A98" s="213"/>
      <c r="R98" s="198"/>
      <c r="S98" s="198"/>
      <c r="T98" s="198"/>
      <c r="U98" s="198"/>
    </row>
    <row r="99" spans="1:33" s="12" customFormat="1" x14ac:dyDescent="0.25">
      <c r="A99" s="213"/>
      <c r="R99" s="198"/>
      <c r="S99" s="198"/>
      <c r="T99" s="198"/>
      <c r="U99" s="198"/>
    </row>
    <row r="100" spans="1:33" s="12" customFormat="1" x14ac:dyDescent="0.25">
      <c r="A100" s="213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/>
      <c r="R101" s="198"/>
      <c r="S101" s="198"/>
      <c r="T101" s="198"/>
      <c r="U101" s="198"/>
    </row>
    <row r="102" spans="1:33" s="12" customFormat="1" x14ac:dyDescent="0.25">
      <c r="A102" s="213"/>
      <c r="R102" s="198"/>
      <c r="S102" s="198"/>
      <c r="T102" s="198"/>
      <c r="U102" s="198"/>
    </row>
    <row r="103" spans="1:33" s="12" customFormat="1" x14ac:dyDescent="0.25">
      <c r="A103" s="213"/>
      <c r="R103" s="198"/>
      <c r="S103" s="198"/>
      <c r="T103" s="198"/>
      <c r="U103" s="198"/>
    </row>
    <row r="104" spans="1:33" s="12" customFormat="1" x14ac:dyDescent="0.25">
      <c r="A104" s="213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>COUNT(H9:H104)+9</f>
        <v>9</v>
      </c>
      <c r="I110" s="66">
        <f>COUNT(I9:I104)+7</f>
        <v>7</v>
      </c>
      <c r="J110" s="66">
        <f>COUNT(J9:J104)+7</f>
        <v>7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216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21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21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21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21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1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>COUNT(H9:H104)</f>
        <v>0</v>
      </c>
      <c r="I110" s="66">
        <f>COUNT(I9:I104)</f>
        <v>0</v>
      </c>
      <c r="J110" s="66">
        <f>COUNT(J9:J104)</f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>COUNT(Q9:Q104)+4</f>
        <v>4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211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211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>COUNT(H9:H104)</f>
        <v>0</v>
      </c>
      <c r="I110" s="66">
        <f>COUNT(I9:I104)</f>
        <v>0</v>
      </c>
      <c r="J110" s="66">
        <f>COUNT(J9:J104)</f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>COUNT(H9:H104)</f>
        <v>0</v>
      </c>
      <c r="I110" s="66">
        <f>COUNT(I9:I104)</f>
        <v>0</v>
      </c>
      <c r="J110" s="66">
        <f>COUNT(J9:J104)</f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210"/>
      <c r="H53" s="210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210"/>
      <c r="H54" s="210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210"/>
      <c r="H55" s="210"/>
      <c r="I55" s="6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210"/>
      <c r="H56" s="210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>COUNT(G9:G104)+4</f>
        <v>4</v>
      </c>
      <c r="H110" s="66">
        <f>COUNT(H9:H104)+4</f>
        <v>4</v>
      </c>
      <c r="I110" s="66">
        <f>COUNT(I9:I104)</f>
        <v>0</v>
      </c>
      <c r="J110" s="66">
        <f>COUNT(J9:J104)</f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>COUNT(H9:H104)</f>
        <v>0</v>
      </c>
      <c r="I110" s="66">
        <f>COUNT(I9:I104)</f>
        <v>0</v>
      </c>
      <c r="J110" s="66">
        <f>COUNT(J9:J104)</f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>COUNT(H9:H104)</f>
        <v>0</v>
      </c>
      <c r="I110" s="66">
        <f>COUNT(I9:I104)</f>
        <v>0</v>
      </c>
      <c r="J110" s="66">
        <f>COUNT(J9:J104)</f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71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217"/>
      <c r="C50" s="217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198"/>
      <c r="S50" s="198"/>
      <c r="T50" s="198"/>
      <c r="U50" s="198"/>
    </row>
    <row r="51" spans="1:21" s="12" customFormat="1" x14ac:dyDescent="0.25">
      <c r="A51" s="201"/>
      <c r="B51" s="217"/>
      <c r="C51" s="217"/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198"/>
      <c r="S51" s="198"/>
      <c r="T51" s="198"/>
      <c r="U51" s="198"/>
    </row>
    <row r="52" spans="1:21" s="12" customFormat="1" x14ac:dyDescent="0.25">
      <c r="A52" s="201"/>
      <c r="B52" s="217"/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198"/>
      <c r="S52" s="198"/>
      <c r="T52" s="198"/>
      <c r="U52" s="198"/>
    </row>
    <row r="53" spans="1:21" s="12" customFormat="1" x14ac:dyDescent="0.25">
      <c r="A53" s="201"/>
      <c r="B53" s="217"/>
      <c r="C53" s="217"/>
      <c r="D53" s="217"/>
      <c r="E53" s="217"/>
      <c r="F53" s="217"/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198"/>
      <c r="S53" s="198"/>
      <c r="T53" s="198"/>
      <c r="U53" s="198"/>
    </row>
    <row r="54" spans="1:21" s="12" customFormat="1" x14ac:dyDescent="0.25">
      <c r="A54" s="201"/>
      <c r="B54" s="217"/>
      <c r="C54" s="217"/>
      <c r="D54" s="217"/>
      <c r="E54" s="217"/>
      <c r="F54" s="217"/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198"/>
      <c r="S54" s="198"/>
      <c r="T54" s="198"/>
      <c r="U54" s="198"/>
    </row>
    <row r="55" spans="1:21" s="12" customFormat="1" x14ac:dyDescent="0.25">
      <c r="A55" s="201"/>
      <c r="B55" s="217"/>
      <c r="C55" s="217"/>
      <c r="D55" s="217"/>
      <c r="E55" s="217"/>
      <c r="F55" s="217"/>
      <c r="G55" s="217"/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198"/>
      <c r="S55" s="198"/>
      <c r="T55" s="198"/>
      <c r="U55" s="198"/>
    </row>
    <row r="56" spans="1:21" s="12" customFormat="1" x14ac:dyDescent="0.25">
      <c r="A56" s="201"/>
      <c r="B56" s="217"/>
      <c r="C56" s="217"/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198"/>
      <c r="S56" s="198"/>
      <c r="T56" s="198"/>
      <c r="U56" s="198"/>
    </row>
    <row r="57" spans="1:21" s="12" customFormat="1" x14ac:dyDescent="0.25">
      <c r="A57" s="201"/>
      <c r="B57" s="217"/>
      <c r="C57" s="217"/>
      <c r="D57" s="217"/>
      <c r="E57" s="217"/>
      <c r="F57" s="217"/>
      <c r="G57" s="217"/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198"/>
      <c r="S57" s="198"/>
      <c r="T57" s="198"/>
      <c r="U57" s="198"/>
    </row>
    <row r="58" spans="1:21" s="12" customFormat="1" x14ac:dyDescent="0.25">
      <c r="A58" s="201"/>
      <c r="B58" s="217"/>
      <c r="C58" s="217"/>
      <c r="D58" s="217"/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6"/>
      <c r="R58" s="198"/>
      <c r="S58" s="198"/>
      <c r="T58" s="198"/>
      <c r="U58" s="198"/>
    </row>
    <row r="59" spans="1:21" s="12" customFormat="1" x14ac:dyDescent="0.25">
      <c r="A59" s="201"/>
      <c r="B59" s="216"/>
      <c r="C59" s="216"/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198"/>
      <c r="S59" s="198"/>
      <c r="T59" s="198"/>
      <c r="U59" s="198"/>
    </row>
    <row r="60" spans="1:21" s="12" customFormat="1" x14ac:dyDescent="0.25">
      <c r="A60" s="201"/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198"/>
      <c r="S60" s="198"/>
      <c r="T60" s="198"/>
      <c r="U60" s="198"/>
    </row>
    <row r="61" spans="1:21" s="12" customFormat="1" x14ac:dyDescent="0.25">
      <c r="A61" s="201"/>
      <c r="B61" s="216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198"/>
      <c r="S61" s="198"/>
      <c r="T61" s="198"/>
      <c r="U61" s="198"/>
    </row>
    <row r="62" spans="1:21" s="12" customFormat="1" x14ac:dyDescent="0.25">
      <c r="A62" s="201"/>
      <c r="B62" s="216"/>
      <c r="C62" s="216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198"/>
      <c r="S62" s="198"/>
      <c r="T62" s="198"/>
      <c r="U62" s="198"/>
    </row>
    <row r="63" spans="1:21" s="12" customFormat="1" x14ac:dyDescent="0.25">
      <c r="A63" s="201"/>
      <c r="B63" s="216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198"/>
      <c r="S63" s="198"/>
      <c r="T63" s="198"/>
      <c r="U63" s="198"/>
    </row>
    <row r="64" spans="1:21" s="12" customFormat="1" x14ac:dyDescent="0.25">
      <c r="A64" s="201"/>
      <c r="B64" s="216"/>
      <c r="C64" s="216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198"/>
      <c r="S64" s="198"/>
      <c r="T64" s="198"/>
      <c r="U64" s="198"/>
    </row>
    <row r="65" spans="1:21" s="12" customFormat="1" x14ac:dyDescent="0.25">
      <c r="A65" s="201"/>
      <c r="B65" s="216"/>
      <c r="C65" s="216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198"/>
      <c r="S65" s="198"/>
      <c r="T65" s="198"/>
      <c r="U65" s="198"/>
    </row>
    <row r="66" spans="1:21" s="12" customFormat="1" x14ac:dyDescent="0.25">
      <c r="A66" s="201"/>
      <c r="B66" s="216"/>
      <c r="C66" s="216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198"/>
      <c r="S66" s="198"/>
      <c r="T66" s="198"/>
      <c r="U66" s="198"/>
    </row>
    <row r="67" spans="1:21" s="12" customFormat="1" x14ac:dyDescent="0.25">
      <c r="A67" s="201"/>
      <c r="B67" s="216"/>
      <c r="C67" s="216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198"/>
      <c r="S67" s="198"/>
      <c r="T67" s="198"/>
      <c r="U67" s="198"/>
    </row>
    <row r="68" spans="1:21" s="12" customFormat="1" x14ac:dyDescent="0.25">
      <c r="A68" s="201"/>
      <c r="B68" s="216"/>
      <c r="C68" s="216"/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198"/>
      <c r="S68" s="198"/>
      <c r="T68" s="198"/>
      <c r="U68" s="198"/>
    </row>
    <row r="69" spans="1:21" s="12" customFormat="1" x14ac:dyDescent="0.25">
      <c r="A69" s="201"/>
      <c r="B69" s="216"/>
      <c r="C69" s="216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198"/>
      <c r="S69" s="198"/>
      <c r="T69" s="198"/>
      <c r="U69" s="198"/>
    </row>
    <row r="70" spans="1:21" s="12" customFormat="1" x14ac:dyDescent="0.25">
      <c r="A70" s="201"/>
      <c r="B70" s="216"/>
      <c r="C70" s="216"/>
      <c r="D70" s="216"/>
      <c r="E70" s="216"/>
      <c r="F70" s="217"/>
      <c r="G70" s="217"/>
      <c r="H70" s="217"/>
      <c r="I70" s="216"/>
      <c r="J70" s="217"/>
      <c r="K70" s="217"/>
      <c r="L70" s="217"/>
      <c r="M70" s="217"/>
      <c r="N70" s="217"/>
      <c r="O70" s="217"/>
      <c r="P70" s="217"/>
      <c r="Q70" s="216"/>
      <c r="R70" s="198"/>
      <c r="S70" s="198"/>
      <c r="T70" s="198"/>
      <c r="U70" s="198"/>
    </row>
    <row r="71" spans="1:21" s="12" customFormat="1" x14ac:dyDescent="0.25">
      <c r="A71" s="201"/>
      <c r="B71" s="217"/>
      <c r="C71" s="217"/>
      <c r="D71" s="217"/>
      <c r="E71" s="217"/>
      <c r="F71" s="217"/>
      <c r="G71" s="217"/>
      <c r="H71" s="217"/>
      <c r="I71" s="216"/>
      <c r="J71" s="217"/>
      <c r="K71" s="217"/>
      <c r="L71" s="217"/>
      <c r="M71" s="217"/>
      <c r="N71" s="217"/>
      <c r="O71" s="217"/>
      <c r="P71" s="217"/>
      <c r="Q71" s="216"/>
      <c r="R71" s="198"/>
      <c r="S71" s="198"/>
      <c r="T71" s="198"/>
      <c r="U71" s="198"/>
    </row>
    <row r="72" spans="1:21" s="12" customFormat="1" x14ac:dyDescent="0.25">
      <c r="A72" s="201"/>
      <c r="B72" s="217"/>
      <c r="C72" s="217"/>
      <c r="D72" s="217"/>
      <c r="E72" s="217"/>
      <c r="F72" s="217"/>
      <c r="G72" s="217"/>
      <c r="H72" s="217"/>
      <c r="I72" s="216"/>
      <c r="J72" s="217"/>
      <c r="K72" s="217"/>
      <c r="L72" s="217"/>
      <c r="M72" s="217"/>
      <c r="N72" s="217"/>
      <c r="O72" s="217"/>
      <c r="P72" s="217"/>
      <c r="Q72" s="217"/>
      <c r="R72" s="198"/>
      <c r="S72" s="198"/>
      <c r="T72" s="198"/>
      <c r="U72" s="198"/>
    </row>
    <row r="73" spans="1:21" s="12" customFormat="1" x14ac:dyDescent="0.25">
      <c r="A73" s="201"/>
      <c r="B73" s="217"/>
      <c r="C73" s="217"/>
      <c r="D73" s="217"/>
      <c r="E73" s="217"/>
      <c r="F73" s="217"/>
      <c r="G73" s="217"/>
      <c r="H73" s="217"/>
      <c r="I73" s="216"/>
      <c r="J73" s="217"/>
      <c r="K73" s="217"/>
      <c r="L73" s="217"/>
      <c r="M73" s="217"/>
      <c r="N73" s="217"/>
      <c r="O73" s="217"/>
      <c r="P73" s="217"/>
      <c r="Q73" s="217"/>
      <c r="R73" s="198"/>
      <c r="S73" s="198"/>
      <c r="T73" s="198"/>
      <c r="U73" s="198"/>
    </row>
    <row r="74" spans="1:21" s="12" customFormat="1" x14ac:dyDescent="0.25">
      <c r="A74" s="201"/>
      <c r="B74" s="217"/>
      <c r="C74" s="217"/>
      <c r="D74" s="217"/>
      <c r="E74" s="217"/>
      <c r="F74" s="217"/>
      <c r="G74" s="217"/>
      <c r="H74" s="217"/>
      <c r="I74" s="216"/>
      <c r="J74" s="217"/>
      <c r="K74" s="217"/>
      <c r="L74" s="217"/>
      <c r="M74" s="217"/>
      <c r="N74" s="217"/>
      <c r="O74" s="217"/>
      <c r="P74" s="217"/>
      <c r="Q74" s="217"/>
      <c r="R74" s="198"/>
      <c r="S74" s="198"/>
      <c r="T74" s="198"/>
      <c r="U74" s="198"/>
    </row>
    <row r="75" spans="1:21" s="12" customFormat="1" x14ac:dyDescent="0.25">
      <c r="A75" s="201"/>
      <c r="B75" s="217"/>
      <c r="C75" s="217"/>
      <c r="D75" s="217"/>
      <c r="E75" s="217"/>
      <c r="F75" s="217"/>
      <c r="G75" s="217"/>
      <c r="H75" s="217"/>
      <c r="I75" s="216"/>
      <c r="J75" s="217"/>
      <c r="K75" s="217"/>
      <c r="L75" s="217"/>
      <c r="M75" s="217"/>
      <c r="N75" s="217"/>
      <c r="O75" s="217"/>
      <c r="P75" s="217"/>
      <c r="Q75" s="217"/>
      <c r="R75" s="198"/>
      <c r="S75" s="198"/>
      <c r="T75" s="198"/>
      <c r="U75" s="198"/>
    </row>
    <row r="76" spans="1:21" s="12" customFormat="1" x14ac:dyDescent="0.25">
      <c r="A76" s="201"/>
      <c r="B76" s="217"/>
      <c r="C76" s="217"/>
      <c r="D76" s="217"/>
      <c r="E76" s="217"/>
      <c r="F76" s="217"/>
      <c r="G76" s="217"/>
      <c r="H76" s="217"/>
      <c r="I76" s="216"/>
      <c r="J76" s="217"/>
      <c r="K76" s="217"/>
      <c r="L76" s="217"/>
      <c r="M76" s="217"/>
      <c r="N76" s="217"/>
      <c r="O76" s="217"/>
      <c r="P76" s="217"/>
      <c r="Q76" s="217"/>
      <c r="R76" s="198"/>
      <c r="S76" s="198"/>
      <c r="T76" s="198"/>
      <c r="U76" s="198"/>
    </row>
    <row r="77" spans="1:21" s="12" customFormat="1" x14ac:dyDescent="0.25">
      <c r="A77" s="201"/>
      <c r="B77" s="217"/>
      <c r="C77" s="217"/>
      <c r="D77" s="217"/>
      <c r="E77" s="217"/>
      <c r="F77" s="217"/>
      <c r="G77" s="217"/>
      <c r="H77" s="217"/>
      <c r="I77" s="216"/>
      <c r="J77" s="217"/>
      <c r="K77" s="217"/>
      <c r="L77" s="217"/>
      <c r="M77" s="217"/>
      <c r="N77" s="217"/>
      <c r="O77" s="217"/>
      <c r="P77" s="217"/>
      <c r="Q77" s="217"/>
      <c r="R77" s="198"/>
      <c r="S77" s="198"/>
      <c r="T77" s="198"/>
      <c r="U77" s="198"/>
    </row>
    <row r="78" spans="1:21" s="12" customFormat="1" x14ac:dyDescent="0.25">
      <c r="A78" s="201"/>
      <c r="B78" s="217"/>
      <c r="C78" s="217"/>
      <c r="D78" s="217"/>
      <c r="E78" s="217"/>
      <c r="F78" s="217"/>
      <c r="G78" s="217"/>
      <c r="H78" s="217"/>
      <c r="I78" s="216"/>
      <c r="J78" s="217"/>
      <c r="K78" s="217"/>
      <c r="L78" s="217"/>
      <c r="M78" s="217"/>
      <c r="N78" s="217"/>
      <c r="O78" s="217"/>
      <c r="P78" s="217"/>
      <c r="Q78" s="217"/>
      <c r="R78" s="198"/>
      <c r="S78" s="198"/>
      <c r="T78" s="198"/>
      <c r="U78" s="198"/>
    </row>
    <row r="79" spans="1:21" s="12" customFormat="1" x14ac:dyDescent="0.25">
      <c r="A79" s="201"/>
      <c r="B79" s="217"/>
      <c r="C79" s="217"/>
      <c r="D79" s="217"/>
      <c r="E79" s="218"/>
      <c r="F79" s="217"/>
      <c r="G79" s="217"/>
      <c r="H79" s="217"/>
      <c r="I79" s="216"/>
      <c r="J79" s="217"/>
      <c r="K79" s="217"/>
      <c r="L79" s="217"/>
      <c r="M79" s="217"/>
      <c r="N79" s="217"/>
      <c r="O79" s="217"/>
      <c r="P79" s="217"/>
      <c r="Q79" s="217"/>
      <c r="R79" s="198"/>
      <c r="S79" s="198"/>
      <c r="T79" s="198"/>
      <c r="U79" s="198"/>
    </row>
    <row r="80" spans="1:21" s="12" customFormat="1" x14ac:dyDescent="0.25">
      <c r="A80" s="201"/>
      <c r="B80" s="217"/>
      <c r="C80" s="217"/>
      <c r="D80" s="217"/>
      <c r="E80" s="218"/>
      <c r="F80" s="217"/>
      <c r="G80" s="217"/>
      <c r="H80" s="217"/>
      <c r="I80" s="216"/>
      <c r="J80" s="217"/>
      <c r="K80" s="217"/>
      <c r="L80" s="217"/>
      <c r="M80" s="217"/>
      <c r="N80" s="217"/>
      <c r="O80" s="217"/>
      <c r="P80" s="217"/>
      <c r="Q80" s="217"/>
      <c r="R80" s="198"/>
      <c r="S80" s="198"/>
      <c r="T80" s="198"/>
      <c r="U80" s="198"/>
    </row>
    <row r="81" spans="1:26" s="12" customFormat="1" x14ac:dyDescent="0.25">
      <c r="A81" s="201"/>
      <c r="B81" s="217"/>
      <c r="C81" s="217"/>
      <c r="D81" s="217"/>
      <c r="E81" s="218"/>
      <c r="F81" s="217"/>
      <c r="G81" s="217"/>
      <c r="H81" s="217"/>
      <c r="I81" s="216"/>
      <c r="J81" s="217"/>
      <c r="K81" s="217"/>
      <c r="L81" s="217"/>
      <c r="M81" s="217"/>
      <c r="N81" s="217"/>
      <c r="O81" s="217"/>
      <c r="P81" s="217"/>
      <c r="Q81" s="217"/>
      <c r="R81" s="198"/>
      <c r="S81" s="198"/>
      <c r="T81" s="198"/>
      <c r="U81" s="198"/>
    </row>
    <row r="82" spans="1:26" s="12" customFormat="1" x14ac:dyDescent="0.25">
      <c r="A82" s="201"/>
      <c r="B82" s="217"/>
      <c r="C82" s="217"/>
      <c r="D82" s="217"/>
      <c r="E82" s="218"/>
      <c r="F82" s="217"/>
      <c r="G82" s="217"/>
      <c r="H82" s="217"/>
      <c r="I82" s="216"/>
      <c r="J82" s="217"/>
      <c r="K82" s="217"/>
      <c r="L82" s="217"/>
      <c r="M82" s="217"/>
      <c r="N82" s="217"/>
      <c r="O82" s="217"/>
      <c r="P82" s="217"/>
      <c r="Q82" s="217"/>
      <c r="R82" s="198"/>
      <c r="S82" s="198"/>
      <c r="T82" s="198"/>
      <c r="U82" s="198"/>
    </row>
    <row r="83" spans="1:26" s="12" customFormat="1" x14ac:dyDescent="0.25">
      <c r="A83" s="201"/>
      <c r="B83" s="217"/>
      <c r="C83" s="217"/>
      <c r="D83" s="217"/>
      <c r="E83" s="218"/>
      <c r="F83" s="217"/>
      <c r="G83" s="217"/>
      <c r="H83" s="217"/>
      <c r="I83" s="216"/>
      <c r="J83" s="217"/>
      <c r="K83" s="217"/>
      <c r="L83" s="217"/>
      <c r="M83" s="217"/>
      <c r="N83" s="217"/>
      <c r="O83" s="217"/>
      <c r="P83" s="217"/>
      <c r="Q83" s="217"/>
      <c r="R83" s="198"/>
      <c r="S83" s="198"/>
      <c r="T83" s="198"/>
      <c r="U83" s="198"/>
    </row>
    <row r="84" spans="1:26" s="12" customFormat="1" x14ac:dyDescent="0.25">
      <c r="A84" s="201"/>
      <c r="B84" s="217"/>
      <c r="C84" s="217"/>
      <c r="D84" s="217"/>
      <c r="E84" s="218"/>
      <c r="F84" s="217"/>
      <c r="G84" s="217"/>
      <c r="H84" s="217"/>
      <c r="I84" s="216"/>
      <c r="J84" s="217"/>
      <c r="K84" s="217"/>
      <c r="L84" s="217"/>
      <c r="M84" s="217"/>
      <c r="N84" s="217"/>
      <c r="O84" s="217"/>
      <c r="P84" s="217"/>
      <c r="Q84" s="217"/>
      <c r="R84" s="198"/>
      <c r="S84" s="198"/>
      <c r="T84" s="198"/>
      <c r="U84" s="198"/>
    </row>
    <row r="85" spans="1:26" s="12" customFormat="1" x14ac:dyDescent="0.25">
      <c r="A85" s="201"/>
      <c r="B85" s="217"/>
      <c r="C85" s="217"/>
      <c r="D85" s="217"/>
      <c r="E85" s="218"/>
      <c r="F85" s="217"/>
      <c r="G85" s="217"/>
      <c r="H85" s="217"/>
      <c r="I85" s="216"/>
      <c r="J85" s="217"/>
      <c r="K85" s="217"/>
      <c r="L85" s="217"/>
      <c r="M85" s="217"/>
      <c r="N85" s="217"/>
      <c r="O85" s="217"/>
      <c r="P85" s="217"/>
      <c r="Q85" s="217"/>
      <c r="R85" s="198"/>
      <c r="S85" s="198"/>
      <c r="T85" s="198"/>
      <c r="U85" s="198"/>
    </row>
    <row r="86" spans="1:26" s="12" customFormat="1" x14ac:dyDescent="0.25">
      <c r="A86" s="201"/>
      <c r="B86" s="217"/>
      <c r="C86" s="217"/>
      <c r="D86" s="217"/>
      <c r="E86" s="218"/>
      <c r="F86" s="217"/>
      <c r="G86" s="217"/>
      <c r="H86" s="217"/>
      <c r="I86" s="216"/>
      <c r="J86" s="217"/>
      <c r="K86" s="217"/>
      <c r="L86" s="217"/>
      <c r="M86" s="217"/>
      <c r="N86" s="217"/>
      <c r="O86" s="217"/>
      <c r="P86" s="217"/>
      <c r="Q86" s="217"/>
      <c r="R86" s="198"/>
      <c r="S86" s="198"/>
      <c r="T86" s="198"/>
      <c r="U86" s="198"/>
    </row>
    <row r="87" spans="1:26" s="12" customFormat="1" x14ac:dyDescent="0.25">
      <c r="A87" s="201"/>
      <c r="B87" s="217"/>
      <c r="C87" s="217"/>
      <c r="D87" s="217"/>
      <c r="E87" s="218"/>
      <c r="F87" s="217"/>
      <c r="G87" s="217"/>
      <c r="H87" s="217"/>
      <c r="I87" s="216"/>
      <c r="J87" s="217"/>
      <c r="K87" s="217"/>
      <c r="L87" s="217"/>
      <c r="M87" s="217"/>
      <c r="N87" s="217"/>
      <c r="O87" s="217"/>
      <c r="P87" s="217"/>
      <c r="Q87" s="217"/>
      <c r="R87" s="198"/>
      <c r="S87" s="198"/>
      <c r="T87" s="198"/>
      <c r="U87" s="198"/>
    </row>
    <row r="88" spans="1:26" s="12" customFormat="1" x14ac:dyDescent="0.25">
      <c r="A88" s="201"/>
      <c r="B88" s="217"/>
      <c r="C88" s="217"/>
      <c r="D88" s="217"/>
      <c r="E88" s="217"/>
      <c r="F88" s="217"/>
      <c r="G88" s="217"/>
      <c r="H88" s="217"/>
      <c r="I88" s="216"/>
      <c r="J88" s="217"/>
      <c r="K88" s="217"/>
      <c r="L88" s="217"/>
      <c r="M88" s="217"/>
      <c r="N88" s="217"/>
      <c r="O88" s="217"/>
      <c r="P88" s="217"/>
      <c r="Q88" s="217"/>
      <c r="R88" s="198"/>
      <c r="S88" s="198"/>
      <c r="T88" s="198"/>
      <c r="U88" s="198"/>
    </row>
    <row r="89" spans="1:26" s="12" customFormat="1" x14ac:dyDescent="0.25">
      <c r="A89" s="201"/>
      <c r="B89" s="217"/>
      <c r="C89" s="217"/>
      <c r="D89" s="217"/>
      <c r="E89" s="217"/>
      <c r="F89" s="217"/>
      <c r="G89" s="217"/>
      <c r="H89" s="217"/>
      <c r="I89" s="216"/>
      <c r="J89" s="217"/>
      <c r="K89" s="217"/>
      <c r="L89" s="217"/>
      <c r="M89" s="217"/>
      <c r="N89" s="217"/>
      <c r="O89" s="217"/>
      <c r="P89" s="217"/>
      <c r="Q89" s="217"/>
      <c r="R89" s="198"/>
      <c r="S89" s="198"/>
      <c r="T89" s="198"/>
      <c r="U89" s="198"/>
    </row>
    <row r="90" spans="1:26" s="12" customFormat="1" x14ac:dyDescent="0.25">
      <c r="A90" s="201"/>
      <c r="B90" s="217"/>
      <c r="C90" s="217"/>
      <c r="D90" s="217"/>
      <c r="E90" s="217"/>
      <c r="F90" s="217"/>
      <c r="G90" s="217"/>
      <c r="H90" s="217"/>
      <c r="I90" s="216"/>
      <c r="J90" s="217"/>
      <c r="K90" s="217"/>
      <c r="L90" s="217"/>
      <c r="M90" s="217"/>
      <c r="N90" s="217"/>
      <c r="O90" s="217"/>
      <c r="P90" s="217"/>
      <c r="Q90" s="217"/>
      <c r="R90" s="198"/>
      <c r="S90" s="198"/>
      <c r="T90" s="198"/>
      <c r="U90" s="198"/>
    </row>
    <row r="91" spans="1:26" s="12" customFormat="1" x14ac:dyDescent="0.25">
      <c r="A91" s="201"/>
      <c r="B91" s="217"/>
      <c r="C91" s="217"/>
      <c r="D91" s="217"/>
      <c r="E91" s="217"/>
      <c r="F91" s="217"/>
      <c r="G91" s="217"/>
      <c r="H91" s="217"/>
      <c r="I91" s="216"/>
      <c r="J91" s="217"/>
      <c r="K91" s="217"/>
      <c r="L91" s="217"/>
      <c r="M91" s="217"/>
      <c r="N91" s="217"/>
      <c r="O91" s="217"/>
      <c r="P91" s="217"/>
      <c r="Q91" s="217"/>
      <c r="R91" s="198"/>
      <c r="S91" s="198"/>
      <c r="T91" s="198"/>
      <c r="U91" s="198"/>
    </row>
    <row r="92" spans="1:26" s="12" customFormat="1" x14ac:dyDescent="0.25">
      <c r="A92" s="201"/>
      <c r="B92" s="217"/>
      <c r="C92" s="217"/>
      <c r="D92" s="217"/>
      <c r="E92" s="217"/>
      <c r="F92" s="217"/>
      <c r="G92" s="217"/>
      <c r="H92" s="217"/>
      <c r="I92" s="216"/>
      <c r="J92" s="217"/>
      <c r="K92" s="217"/>
      <c r="L92" s="217"/>
      <c r="M92" s="217"/>
      <c r="N92" s="217"/>
      <c r="O92" s="217"/>
      <c r="P92" s="217"/>
      <c r="Q92" s="217"/>
      <c r="R92" s="198"/>
      <c r="S92" s="198"/>
      <c r="T92" s="198"/>
      <c r="U92" s="198"/>
    </row>
    <row r="93" spans="1:26" s="12" customFormat="1" x14ac:dyDescent="0.25">
      <c r="A93" s="201"/>
      <c r="B93" s="217"/>
      <c r="C93" s="217"/>
      <c r="D93" s="217"/>
      <c r="E93" s="217"/>
      <c r="F93" s="217"/>
      <c r="G93" s="217"/>
      <c r="H93" s="217"/>
      <c r="I93" s="216"/>
      <c r="J93" s="217"/>
      <c r="K93" s="217"/>
      <c r="L93" s="217"/>
      <c r="M93" s="217"/>
      <c r="N93" s="217"/>
      <c r="O93" s="217"/>
      <c r="P93" s="217"/>
      <c r="Q93" s="217"/>
      <c r="R93" s="198"/>
      <c r="S93" s="198"/>
      <c r="T93" s="198"/>
      <c r="U93" s="198"/>
    </row>
    <row r="94" spans="1:26" s="12" customFormat="1" x14ac:dyDescent="0.25">
      <c r="A94" s="201"/>
      <c r="B94" s="217"/>
      <c r="C94" s="217"/>
      <c r="D94" s="217"/>
      <c r="E94" s="217"/>
      <c r="F94" s="217"/>
      <c r="G94" s="217"/>
      <c r="H94" s="217"/>
      <c r="I94" s="216"/>
      <c r="J94" s="217"/>
      <c r="K94" s="217"/>
      <c r="L94" s="217"/>
      <c r="M94" s="217"/>
      <c r="N94" s="217"/>
      <c r="O94" s="217"/>
      <c r="P94" s="217"/>
      <c r="Q94" s="217"/>
      <c r="R94" s="198"/>
      <c r="S94" s="198"/>
      <c r="T94" s="198"/>
      <c r="U94" s="198"/>
    </row>
    <row r="95" spans="1:26" s="12" customFormat="1" x14ac:dyDescent="0.25">
      <c r="A95" s="201"/>
      <c r="B95" s="217"/>
      <c r="C95" s="217"/>
      <c r="D95" s="217"/>
      <c r="E95" s="217"/>
      <c r="F95" s="217"/>
      <c r="G95" s="217"/>
      <c r="H95" s="217"/>
      <c r="I95" s="216"/>
      <c r="J95" s="217"/>
      <c r="K95" s="217"/>
      <c r="L95" s="217"/>
      <c r="M95" s="217"/>
      <c r="N95" s="217"/>
      <c r="O95" s="217"/>
      <c r="P95" s="217"/>
      <c r="Q95" s="217"/>
      <c r="R95" s="198"/>
      <c r="S95" s="198"/>
      <c r="T95" s="198"/>
      <c r="U95" s="198"/>
    </row>
    <row r="96" spans="1:26" s="12" customFormat="1" x14ac:dyDescent="0.25">
      <c r="A96" s="201"/>
      <c r="B96" s="217"/>
      <c r="C96" s="217"/>
      <c r="D96" s="217"/>
      <c r="E96" s="217"/>
      <c r="F96" s="217"/>
      <c r="G96" s="217"/>
      <c r="H96" s="217"/>
      <c r="I96" s="216"/>
      <c r="J96" s="217"/>
      <c r="K96" s="217"/>
      <c r="L96" s="217"/>
      <c r="M96" s="217"/>
      <c r="N96" s="217"/>
      <c r="O96" s="217"/>
      <c r="P96" s="217"/>
      <c r="Q96" s="217"/>
      <c r="R96" s="198"/>
      <c r="S96" s="198"/>
      <c r="T96" s="198"/>
      <c r="U96" s="198"/>
      <c r="Z96" s="109"/>
    </row>
    <row r="97" spans="1:33" s="12" customFormat="1" x14ac:dyDescent="0.25">
      <c r="A97" s="201"/>
      <c r="B97" s="217"/>
      <c r="C97" s="217"/>
      <c r="D97" s="217"/>
      <c r="E97" s="217"/>
      <c r="F97" s="217"/>
      <c r="G97" s="217"/>
      <c r="H97" s="217"/>
      <c r="I97" s="216"/>
      <c r="J97" s="217"/>
      <c r="K97" s="217"/>
      <c r="L97" s="217"/>
      <c r="M97" s="217"/>
      <c r="N97" s="217"/>
      <c r="O97" s="217"/>
      <c r="P97" s="217"/>
      <c r="Q97" s="217"/>
      <c r="R97" s="198"/>
      <c r="S97" s="198"/>
      <c r="T97" s="198"/>
      <c r="U97" s="198"/>
    </row>
    <row r="98" spans="1:33" s="12" customFormat="1" x14ac:dyDescent="0.25">
      <c r="A98" s="201"/>
      <c r="B98" s="217"/>
      <c r="C98" s="217"/>
      <c r="D98" s="217"/>
      <c r="E98" s="217"/>
      <c r="F98" s="217"/>
      <c r="G98" s="217"/>
      <c r="H98" s="217"/>
      <c r="I98" s="216"/>
      <c r="J98" s="217"/>
      <c r="K98" s="217"/>
      <c r="L98" s="217"/>
      <c r="M98" s="217"/>
      <c r="N98" s="217"/>
      <c r="O98" s="217"/>
      <c r="P98" s="217"/>
      <c r="Q98" s="217"/>
      <c r="R98" s="198"/>
      <c r="S98" s="198"/>
      <c r="T98" s="198"/>
      <c r="U98" s="198"/>
    </row>
    <row r="99" spans="1:33" s="12" customFormat="1" x14ac:dyDescent="0.25">
      <c r="A99" s="201"/>
      <c r="B99" s="217"/>
      <c r="C99" s="217"/>
      <c r="D99" s="217"/>
      <c r="E99" s="217"/>
      <c r="F99" s="217"/>
      <c r="G99" s="217"/>
      <c r="H99" s="217"/>
      <c r="I99" s="216"/>
      <c r="J99" s="217"/>
      <c r="K99" s="217"/>
      <c r="L99" s="217"/>
      <c r="M99" s="217"/>
      <c r="N99" s="217"/>
      <c r="O99" s="217"/>
      <c r="P99" s="217"/>
      <c r="Q99" s="217"/>
      <c r="R99" s="198"/>
      <c r="S99" s="198"/>
      <c r="T99" s="198"/>
      <c r="U99" s="198"/>
    </row>
    <row r="100" spans="1:33" s="12" customFormat="1" x14ac:dyDescent="0.25">
      <c r="A100" s="201"/>
      <c r="B100" s="217"/>
      <c r="C100" s="217"/>
      <c r="D100" s="217"/>
      <c r="E100" s="217"/>
      <c r="F100" s="217"/>
      <c r="G100" s="217"/>
      <c r="H100" s="217"/>
      <c r="I100" s="216"/>
      <c r="J100" s="217"/>
      <c r="K100" s="217"/>
      <c r="L100" s="217"/>
      <c r="M100" s="217"/>
      <c r="N100" s="217"/>
      <c r="O100" s="217"/>
      <c r="P100" s="217"/>
      <c r="Q100" s="217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217"/>
      <c r="C101" s="217"/>
      <c r="D101" s="217"/>
      <c r="E101" s="217"/>
      <c r="F101" s="217"/>
      <c r="G101" s="217"/>
      <c r="H101" s="217"/>
      <c r="I101" s="216"/>
      <c r="J101" s="217"/>
      <c r="K101" s="217"/>
      <c r="L101" s="217"/>
      <c r="M101" s="217"/>
      <c r="N101" s="217"/>
      <c r="O101" s="217"/>
      <c r="P101" s="217"/>
      <c r="Q101" s="217"/>
      <c r="R101" s="198"/>
      <c r="S101" s="198"/>
      <c r="T101" s="198"/>
      <c r="U101" s="198"/>
    </row>
    <row r="102" spans="1:33" s="12" customFormat="1" x14ac:dyDescent="0.25">
      <c r="A102" s="201"/>
      <c r="B102" s="217"/>
      <c r="C102" s="217"/>
      <c r="D102" s="217"/>
      <c r="E102" s="217"/>
      <c r="F102" s="217"/>
      <c r="G102" s="217"/>
      <c r="H102" s="217"/>
      <c r="I102" s="216"/>
      <c r="J102" s="217"/>
      <c r="K102" s="217"/>
      <c r="L102" s="217"/>
      <c r="M102" s="217"/>
      <c r="N102" s="217"/>
      <c r="O102" s="217"/>
      <c r="P102" s="217"/>
      <c r="Q102" s="217"/>
      <c r="R102" s="198"/>
      <c r="S102" s="198"/>
      <c r="T102" s="198"/>
      <c r="U102" s="198"/>
    </row>
    <row r="103" spans="1:33" s="12" customFormat="1" x14ac:dyDescent="0.25">
      <c r="A103" s="201"/>
      <c r="B103" s="217"/>
      <c r="C103" s="217"/>
      <c r="D103" s="217"/>
      <c r="E103" s="217"/>
      <c r="F103" s="217"/>
      <c r="G103" s="217"/>
      <c r="H103" s="217"/>
      <c r="I103" s="216"/>
      <c r="J103" s="217"/>
      <c r="K103" s="217"/>
      <c r="L103" s="217"/>
      <c r="M103" s="217"/>
      <c r="N103" s="217"/>
      <c r="O103" s="217"/>
      <c r="P103" s="217"/>
      <c r="Q103" s="217"/>
      <c r="R103" s="198"/>
      <c r="S103" s="198"/>
      <c r="T103" s="198"/>
      <c r="U103" s="198"/>
    </row>
    <row r="104" spans="1:33" s="12" customFormat="1" x14ac:dyDescent="0.25">
      <c r="A104" s="201"/>
      <c r="B104" s="217"/>
      <c r="C104" s="217"/>
      <c r="D104" s="217"/>
      <c r="E104" s="217"/>
      <c r="F104" s="217"/>
      <c r="G104" s="217"/>
      <c r="H104" s="217"/>
      <c r="I104" s="216"/>
      <c r="J104" s="217"/>
      <c r="K104" s="217"/>
      <c r="L104" s="217"/>
      <c r="M104" s="217"/>
      <c r="N104" s="217"/>
      <c r="O104" s="217"/>
      <c r="P104" s="217"/>
      <c r="Q104" s="217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0</v>
      </c>
      <c r="C110" s="66">
        <f t="shared" ref="C110:Q110" si="4">COUNT(C9:C104)</f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 t="shared" si="4"/>
        <v>0</v>
      </c>
      <c r="I110" s="66">
        <f t="shared" si="4"/>
        <v>0</v>
      </c>
      <c r="J110" s="66">
        <f t="shared" si="4"/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217"/>
      <c r="D9" s="217"/>
      <c r="E9" s="217"/>
      <c r="F9" s="217"/>
      <c r="G9" s="217"/>
      <c r="H9" s="217"/>
      <c r="I9" s="216"/>
      <c r="J9" s="217"/>
      <c r="K9" s="217"/>
      <c r="L9" s="217"/>
      <c r="M9" s="217"/>
      <c r="N9" s="217"/>
      <c r="O9" s="217"/>
      <c r="P9" s="217"/>
      <c r="Q9" s="217"/>
      <c r="R9" s="198"/>
      <c r="S9" s="198"/>
      <c r="T9" s="198"/>
      <c r="U9" s="198"/>
    </row>
    <row r="10" spans="1:21" s="12" customFormat="1" x14ac:dyDescent="0.25">
      <c r="A10" s="201"/>
      <c r="B10" s="60"/>
      <c r="C10" s="217"/>
      <c r="D10" s="217"/>
      <c r="E10" s="217"/>
      <c r="F10" s="217"/>
      <c r="G10" s="217"/>
      <c r="H10" s="217"/>
      <c r="I10" s="216"/>
      <c r="J10" s="217"/>
      <c r="K10" s="217"/>
      <c r="L10" s="217"/>
      <c r="M10" s="217"/>
      <c r="N10" s="217"/>
      <c r="O10" s="217"/>
      <c r="P10" s="217"/>
      <c r="Q10" s="216"/>
      <c r="R10" s="198"/>
      <c r="S10" s="198"/>
      <c r="T10" s="198"/>
      <c r="U10" s="198"/>
    </row>
    <row r="11" spans="1:21" s="12" customFormat="1" x14ac:dyDescent="0.25">
      <c r="A11" s="201"/>
      <c r="B11" s="60"/>
      <c r="C11" s="217"/>
      <c r="D11" s="217"/>
      <c r="E11" s="217"/>
      <c r="F11" s="217"/>
      <c r="G11" s="217"/>
      <c r="H11" s="217"/>
      <c r="I11" s="216"/>
      <c r="J11" s="217"/>
      <c r="K11" s="217"/>
      <c r="L11" s="217"/>
      <c r="M11" s="217"/>
      <c r="N11" s="217"/>
      <c r="O11" s="217"/>
      <c r="P11" s="217"/>
      <c r="Q11" s="217"/>
      <c r="R11" s="198"/>
      <c r="S11" s="198"/>
      <c r="T11" s="198"/>
      <c r="U11" s="198"/>
    </row>
    <row r="12" spans="1:21" s="12" customFormat="1" x14ac:dyDescent="0.25">
      <c r="A12" s="201"/>
      <c r="B12" s="60"/>
      <c r="C12" s="217"/>
      <c r="D12" s="217"/>
      <c r="E12" s="217"/>
      <c r="F12" s="217"/>
      <c r="G12" s="217"/>
      <c r="H12" s="217"/>
      <c r="I12" s="216"/>
      <c r="J12" s="217"/>
      <c r="K12" s="217"/>
      <c r="L12" s="217"/>
      <c r="M12" s="217"/>
      <c r="N12" s="217"/>
      <c r="O12" s="217"/>
      <c r="P12" s="217"/>
      <c r="Q12" s="217"/>
      <c r="R12" s="198"/>
      <c r="S12" s="198"/>
      <c r="T12" s="198"/>
      <c r="U12" s="198"/>
    </row>
    <row r="13" spans="1:21" s="12" customFormat="1" x14ac:dyDescent="0.25">
      <c r="A13" s="201"/>
      <c r="B13" s="60"/>
      <c r="C13" s="217"/>
      <c r="D13" s="217"/>
      <c r="E13" s="217"/>
      <c r="F13" s="217"/>
      <c r="G13" s="217"/>
      <c r="H13" s="217"/>
      <c r="I13" s="216"/>
      <c r="J13" s="217"/>
      <c r="K13" s="217"/>
      <c r="L13" s="217"/>
      <c r="M13" s="217"/>
      <c r="N13" s="217"/>
      <c r="O13" s="217"/>
      <c r="P13" s="217"/>
      <c r="Q13" s="217"/>
      <c r="R13" s="198"/>
      <c r="S13" s="198"/>
      <c r="T13" s="198"/>
      <c r="U13" s="198"/>
    </row>
    <row r="14" spans="1:21" s="12" customFormat="1" x14ac:dyDescent="0.25">
      <c r="A14" s="201"/>
      <c r="B14" s="60"/>
      <c r="C14" s="217"/>
      <c r="D14" s="217"/>
      <c r="E14" s="217"/>
      <c r="F14" s="217"/>
      <c r="G14" s="217"/>
      <c r="H14" s="217"/>
      <c r="I14" s="216"/>
      <c r="J14" s="217"/>
      <c r="K14" s="217"/>
      <c r="L14" s="217"/>
      <c r="M14" s="217"/>
      <c r="N14" s="217"/>
      <c r="O14" s="217"/>
      <c r="P14" s="217"/>
      <c r="Q14" s="217"/>
      <c r="R14" s="198"/>
      <c r="S14" s="198"/>
      <c r="T14" s="198"/>
      <c r="U14" s="198"/>
    </row>
    <row r="15" spans="1:21" s="12" customFormat="1" x14ac:dyDescent="0.25">
      <c r="A15" s="201"/>
      <c r="B15" s="60"/>
      <c r="C15" s="217"/>
      <c r="D15" s="217"/>
      <c r="E15" s="217"/>
      <c r="F15" s="217"/>
      <c r="G15" s="217"/>
      <c r="H15" s="217"/>
      <c r="I15" s="216"/>
      <c r="J15" s="217"/>
      <c r="K15" s="217"/>
      <c r="L15" s="217"/>
      <c r="M15" s="217"/>
      <c r="N15" s="217"/>
      <c r="O15" s="217"/>
      <c r="P15" s="217"/>
      <c r="Q15" s="217"/>
      <c r="R15" s="198"/>
      <c r="S15" s="198"/>
      <c r="T15" s="198"/>
      <c r="U15" s="198"/>
    </row>
    <row r="16" spans="1:21" s="12" customFormat="1" x14ac:dyDescent="0.25">
      <c r="A16" s="201"/>
      <c r="B16" s="60"/>
      <c r="C16" s="217"/>
      <c r="D16" s="217"/>
      <c r="E16" s="217"/>
      <c r="F16" s="217"/>
      <c r="G16" s="217"/>
      <c r="H16" s="217"/>
      <c r="I16" s="216"/>
      <c r="J16" s="217"/>
      <c r="K16" s="217"/>
      <c r="L16" s="217"/>
      <c r="M16" s="217"/>
      <c r="N16" s="217"/>
      <c r="O16" s="217"/>
      <c r="P16" s="217"/>
      <c r="Q16" s="217"/>
      <c r="R16" s="198"/>
      <c r="S16" s="198"/>
      <c r="T16" s="198"/>
      <c r="U16" s="198"/>
    </row>
    <row r="17" spans="1:21" s="12" customFormat="1" x14ac:dyDescent="0.25">
      <c r="A17" s="201"/>
      <c r="B17" s="60"/>
      <c r="C17" s="217"/>
      <c r="D17" s="217"/>
      <c r="E17" s="217"/>
      <c r="F17" s="217"/>
      <c r="G17" s="217"/>
      <c r="H17" s="217"/>
      <c r="I17" s="216"/>
      <c r="J17" s="217"/>
      <c r="K17" s="217"/>
      <c r="L17" s="217"/>
      <c r="M17" s="217"/>
      <c r="N17" s="217"/>
      <c r="O17" s="217"/>
      <c r="P17" s="217"/>
      <c r="Q17" s="217"/>
      <c r="R17" s="198"/>
      <c r="S17" s="198"/>
      <c r="T17" s="198"/>
      <c r="U17" s="198"/>
    </row>
    <row r="18" spans="1:21" s="12" customFormat="1" x14ac:dyDescent="0.25">
      <c r="A18" s="201"/>
      <c r="B18" s="60"/>
      <c r="C18" s="217"/>
      <c r="D18" s="217"/>
      <c r="E18" s="217"/>
      <c r="F18" s="217"/>
      <c r="G18" s="217"/>
      <c r="H18" s="217"/>
      <c r="I18" s="216"/>
      <c r="J18" s="217"/>
      <c r="K18" s="217"/>
      <c r="L18" s="217"/>
      <c r="M18" s="217"/>
      <c r="N18" s="217"/>
      <c r="O18" s="217"/>
      <c r="P18" s="217"/>
      <c r="Q18" s="216"/>
      <c r="R18" s="198"/>
      <c r="S18" s="198"/>
      <c r="T18" s="198"/>
      <c r="U18" s="198"/>
    </row>
    <row r="19" spans="1:21" s="12" customFormat="1" x14ac:dyDescent="0.25">
      <c r="A19" s="201"/>
      <c r="B19" s="60"/>
      <c r="C19" s="217"/>
      <c r="D19" s="217"/>
      <c r="E19" s="217"/>
      <c r="F19" s="217"/>
      <c r="G19" s="217"/>
      <c r="H19" s="217"/>
      <c r="I19" s="216"/>
      <c r="J19" s="217"/>
      <c r="K19" s="217"/>
      <c r="L19" s="217"/>
      <c r="M19" s="217"/>
      <c r="N19" s="217"/>
      <c r="O19" s="217"/>
      <c r="P19" s="217"/>
      <c r="Q19" s="216"/>
      <c r="R19" s="198"/>
      <c r="S19" s="198"/>
      <c r="T19" s="198"/>
      <c r="U19" s="198"/>
    </row>
    <row r="20" spans="1:21" s="12" customFormat="1" x14ac:dyDescent="0.25">
      <c r="A20" s="201"/>
      <c r="B20" s="60"/>
      <c r="C20" s="217"/>
      <c r="D20" s="217"/>
      <c r="E20" s="217"/>
      <c r="F20" s="217"/>
      <c r="G20" s="217"/>
      <c r="H20" s="217"/>
      <c r="I20" s="216"/>
      <c r="J20" s="217"/>
      <c r="K20" s="217"/>
      <c r="L20" s="217"/>
      <c r="M20" s="217"/>
      <c r="N20" s="217"/>
      <c r="O20" s="217"/>
      <c r="P20" s="217"/>
      <c r="Q20" s="216"/>
      <c r="R20" s="198"/>
      <c r="S20" s="198"/>
      <c r="T20" s="198"/>
      <c r="U20" s="198"/>
    </row>
    <row r="21" spans="1:21" s="12" customFormat="1" x14ac:dyDescent="0.25">
      <c r="A21" s="201"/>
      <c r="B21" s="60"/>
      <c r="C21" s="217"/>
      <c r="D21" s="217"/>
      <c r="E21" s="217"/>
      <c r="F21" s="217"/>
      <c r="G21" s="217"/>
      <c r="H21" s="217"/>
      <c r="I21" s="216"/>
      <c r="J21" s="217"/>
      <c r="K21" s="217"/>
      <c r="L21" s="217"/>
      <c r="M21" s="217"/>
      <c r="N21" s="217"/>
      <c r="O21" s="217"/>
      <c r="P21" s="217"/>
      <c r="Q21" s="216"/>
      <c r="R21" s="198"/>
      <c r="S21" s="198"/>
      <c r="T21" s="198"/>
      <c r="U21" s="198"/>
    </row>
    <row r="22" spans="1:21" s="12" customFormat="1" x14ac:dyDescent="0.25">
      <c r="A22" s="201"/>
      <c r="B22" s="60"/>
      <c r="C22" s="217"/>
      <c r="D22" s="217"/>
      <c r="E22" s="217"/>
      <c r="F22" s="217"/>
      <c r="G22" s="217"/>
      <c r="H22" s="217"/>
      <c r="I22" s="216"/>
      <c r="J22" s="217"/>
      <c r="K22" s="217"/>
      <c r="L22" s="217"/>
      <c r="M22" s="217"/>
      <c r="N22" s="217"/>
      <c r="O22" s="217"/>
      <c r="P22" s="217"/>
      <c r="Q22" s="216"/>
      <c r="R22" s="198"/>
      <c r="S22" s="198"/>
      <c r="T22" s="198"/>
      <c r="U22" s="198"/>
    </row>
    <row r="23" spans="1:21" s="12" customFormat="1" x14ac:dyDescent="0.25">
      <c r="A23" s="201"/>
      <c r="B23" s="60"/>
      <c r="C23" s="217"/>
      <c r="D23" s="217"/>
      <c r="E23" s="217"/>
      <c r="F23" s="217"/>
      <c r="G23" s="217"/>
      <c r="H23" s="217"/>
      <c r="I23" s="216"/>
      <c r="J23" s="217"/>
      <c r="K23" s="217"/>
      <c r="L23" s="217"/>
      <c r="M23" s="217"/>
      <c r="N23" s="217"/>
      <c r="O23" s="217"/>
      <c r="P23" s="217"/>
      <c r="Q23" s="216"/>
      <c r="R23" s="198"/>
      <c r="S23" s="198"/>
      <c r="T23" s="198"/>
      <c r="U23" s="198"/>
    </row>
    <row r="24" spans="1:21" s="12" customFormat="1" x14ac:dyDescent="0.25">
      <c r="A24" s="201"/>
      <c r="B24" s="60"/>
      <c r="C24" s="217"/>
      <c r="D24" s="217"/>
      <c r="E24" s="217"/>
      <c r="F24" s="217"/>
      <c r="G24" s="217"/>
      <c r="H24" s="217"/>
      <c r="I24" s="216"/>
      <c r="J24" s="217"/>
      <c r="K24" s="217"/>
      <c r="L24" s="217"/>
      <c r="M24" s="217"/>
      <c r="N24" s="217"/>
      <c r="O24" s="217"/>
      <c r="P24" s="217"/>
      <c r="Q24" s="216"/>
      <c r="R24" s="198"/>
      <c r="S24" s="198"/>
      <c r="T24" s="198"/>
      <c r="U24" s="198"/>
    </row>
    <row r="25" spans="1:21" s="12" customFormat="1" x14ac:dyDescent="0.25">
      <c r="A25" s="201"/>
      <c r="B25" s="60"/>
      <c r="C25" s="217"/>
      <c r="D25" s="217"/>
      <c r="E25" s="217"/>
      <c r="F25" s="217"/>
      <c r="G25" s="217"/>
      <c r="H25" s="217"/>
      <c r="I25" s="216"/>
      <c r="J25" s="217"/>
      <c r="K25" s="217"/>
      <c r="L25" s="217"/>
      <c r="M25" s="217"/>
      <c r="N25" s="217"/>
      <c r="O25" s="217"/>
      <c r="P25" s="217"/>
      <c r="Q25" s="216"/>
      <c r="R25" s="198"/>
      <c r="S25" s="198"/>
      <c r="T25" s="198"/>
      <c r="U25" s="198"/>
    </row>
    <row r="26" spans="1:21" s="12" customFormat="1" x14ac:dyDescent="0.25">
      <c r="A26" s="201"/>
      <c r="B26" s="60"/>
      <c r="C26" s="217"/>
      <c r="D26" s="217"/>
      <c r="E26" s="217"/>
      <c r="F26" s="217"/>
      <c r="G26" s="217"/>
      <c r="H26" s="217"/>
      <c r="I26" s="216"/>
      <c r="J26" s="217"/>
      <c r="K26" s="217"/>
      <c r="L26" s="217"/>
      <c r="M26" s="217"/>
      <c r="N26" s="217"/>
      <c r="O26" s="217"/>
      <c r="P26" s="217"/>
      <c r="Q26" s="216"/>
      <c r="R26" s="198"/>
      <c r="S26" s="198"/>
      <c r="T26" s="198"/>
      <c r="U26" s="198"/>
    </row>
    <row r="27" spans="1:21" s="12" customFormat="1" x14ac:dyDescent="0.25">
      <c r="A27" s="201"/>
      <c r="B27" s="60"/>
      <c r="C27" s="217"/>
      <c r="D27" s="217"/>
      <c r="E27" s="217"/>
      <c r="F27" s="217"/>
      <c r="G27" s="217"/>
      <c r="H27" s="217"/>
      <c r="I27" s="216"/>
      <c r="J27" s="217"/>
      <c r="K27" s="217"/>
      <c r="L27" s="217"/>
      <c r="M27" s="217"/>
      <c r="N27" s="217"/>
      <c r="O27" s="217"/>
      <c r="P27" s="217"/>
      <c r="Q27" s="216"/>
      <c r="R27" s="198"/>
      <c r="S27" s="198"/>
      <c r="T27" s="198"/>
      <c r="U27" s="198"/>
    </row>
    <row r="28" spans="1:21" s="12" customFormat="1" x14ac:dyDescent="0.25">
      <c r="A28" s="201"/>
      <c r="B28" s="60"/>
      <c r="C28" s="217"/>
      <c r="D28" s="217"/>
      <c r="E28" s="217"/>
      <c r="F28" s="217"/>
      <c r="G28" s="217"/>
      <c r="H28" s="217"/>
      <c r="I28" s="216"/>
      <c r="J28" s="217"/>
      <c r="K28" s="217"/>
      <c r="L28" s="217"/>
      <c r="M28" s="217"/>
      <c r="N28" s="217"/>
      <c r="O28" s="217"/>
      <c r="P28" s="217"/>
      <c r="Q28" s="216"/>
      <c r="R28" s="198"/>
      <c r="S28" s="198"/>
      <c r="T28" s="198"/>
      <c r="U28" s="198"/>
    </row>
    <row r="29" spans="1:21" s="12" customFormat="1" x14ac:dyDescent="0.25">
      <c r="A29" s="201"/>
      <c r="B29" s="60"/>
      <c r="C29" s="217"/>
      <c r="D29" s="217"/>
      <c r="E29" s="217"/>
      <c r="F29" s="217"/>
      <c r="G29" s="217"/>
      <c r="H29" s="217"/>
      <c r="I29" s="216"/>
      <c r="J29" s="217"/>
      <c r="K29" s="217"/>
      <c r="L29" s="217"/>
      <c r="M29" s="217"/>
      <c r="N29" s="217"/>
      <c r="O29" s="217"/>
      <c r="P29" s="217"/>
      <c r="Q29" s="216"/>
      <c r="R29" s="198"/>
      <c r="S29" s="198"/>
      <c r="T29" s="198"/>
      <c r="U29" s="198"/>
    </row>
    <row r="30" spans="1:21" s="12" customFormat="1" x14ac:dyDescent="0.25">
      <c r="A30" s="201"/>
      <c r="B30" s="60"/>
      <c r="C30" s="217"/>
      <c r="D30" s="217"/>
      <c r="E30" s="217"/>
      <c r="F30" s="217"/>
      <c r="G30" s="217"/>
      <c r="H30" s="217"/>
      <c r="I30" s="216"/>
      <c r="J30" s="217"/>
      <c r="K30" s="217"/>
      <c r="L30" s="217"/>
      <c r="M30" s="217"/>
      <c r="N30" s="217"/>
      <c r="O30" s="217"/>
      <c r="P30" s="217"/>
      <c r="Q30" s="216"/>
      <c r="R30" s="198"/>
      <c r="S30" s="198"/>
      <c r="T30" s="198"/>
      <c r="U30" s="198"/>
    </row>
    <row r="31" spans="1:21" s="12" customFormat="1" x14ac:dyDescent="0.25">
      <c r="A31" s="201"/>
      <c r="B31" s="60"/>
      <c r="C31" s="217"/>
      <c r="D31" s="217"/>
      <c r="E31" s="217"/>
      <c r="F31" s="217"/>
      <c r="G31" s="217"/>
      <c r="H31" s="217"/>
      <c r="I31" s="216"/>
      <c r="J31" s="217"/>
      <c r="K31" s="217"/>
      <c r="L31" s="217"/>
      <c r="M31" s="217"/>
      <c r="N31" s="217"/>
      <c r="O31" s="217"/>
      <c r="P31" s="217"/>
      <c r="Q31" s="216"/>
      <c r="R31" s="198"/>
      <c r="S31" s="198"/>
      <c r="T31" s="198"/>
      <c r="U31" s="198"/>
    </row>
    <row r="32" spans="1:21" s="12" customFormat="1" x14ac:dyDescent="0.25">
      <c r="A32" s="201"/>
      <c r="B32" s="60"/>
      <c r="C32" s="217"/>
      <c r="D32" s="217"/>
      <c r="E32" s="217"/>
      <c r="F32" s="217"/>
      <c r="G32" s="217"/>
      <c r="H32" s="217"/>
      <c r="I32" s="216"/>
      <c r="J32" s="217"/>
      <c r="K32" s="217"/>
      <c r="L32" s="217"/>
      <c r="M32" s="217"/>
      <c r="N32" s="217"/>
      <c r="O32" s="217"/>
      <c r="P32" s="217"/>
      <c r="Q32" s="216"/>
      <c r="R32" s="198"/>
      <c r="S32" s="198"/>
      <c r="T32" s="198"/>
      <c r="U32" s="198"/>
    </row>
    <row r="33" spans="1:21" s="12" customFormat="1" x14ac:dyDescent="0.25">
      <c r="A33" s="201"/>
      <c r="B33" s="60"/>
      <c r="C33" s="217"/>
      <c r="D33" s="217"/>
      <c r="E33" s="217"/>
      <c r="F33" s="217"/>
      <c r="G33" s="217"/>
      <c r="H33" s="217"/>
      <c r="I33" s="216"/>
      <c r="J33" s="217"/>
      <c r="K33" s="217"/>
      <c r="L33" s="217"/>
      <c r="M33" s="217"/>
      <c r="N33" s="217"/>
      <c r="O33" s="217"/>
      <c r="P33" s="217"/>
      <c r="Q33" s="216"/>
      <c r="R33" s="198"/>
      <c r="S33" s="198"/>
      <c r="T33" s="198"/>
      <c r="U33" s="198"/>
    </row>
    <row r="34" spans="1:21" s="12" customFormat="1" x14ac:dyDescent="0.25">
      <c r="A34" s="201"/>
      <c r="B34" s="60"/>
      <c r="C34" s="217"/>
      <c r="D34" s="217"/>
      <c r="E34" s="217"/>
      <c r="F34" s="217"/>
      <c r="G34" s="217"/>
      <c r="H34" s="217"/>
      <c r="I34" s="216"/>
      <c r="J34" s="217"/>
      <c r="K34" s="217"/>
      <c r="L34" s="217"/>
      <c r="M34" s="217"/>
      <c r="N34" s="217"/>
      <c r="O34" s="217"/>
      <c r="P34" s="217"/>
      <c r="Q34" s="216"/>
      <c r="R34" s="198"/>
      <c r="S34" s="198"/>
      <c r="T34" s="198"/>
      <c r="U34" s="198"/>
    </row>
    <row r="35" spans="1:21" s="12" customFormat="1" x14ac:dyDescent="0.25">
      <c r="A35" s="201"/>
      <c r="B35" s="60"/>
      <c r="C35" s="217"/>
      <c r="D35" s="217"/>
      <c r="E35" s="217"/>
      <c r="F35" s="217"/>
      <c r="G35" s="217"/>
      <c r="H35" s="217"/>
      <c r="I35" s="216"/>
      <c r="J35" s="217"/>
      <c r="K35" s="217"/>
      <c r="L35" s="217"/>
      <c r="M35" s="217"/>
      <c r="N35" s="217"/>
      <c r="O35" s="217"/>
      <c r="P35" s="217"/>
      <c r="Q35" s="216"/>
      <c r="R35" s="198"/>
      <c r="S35" s="198"/>
      <c r="T35" s="198"/>
      <c r="U35" s="198"/>
    </row>
    <row r="36" spans="1:21" s="12" customFormat="1" x14ac:dyDescent="0.25">
      <c r="A36" s="201"/>
      <c r="B36" s="60"/>
      <c r="C36" s="217"/>
      <c r="D36" s="217"/>
      <c r="E36" s="217"/>
      <c r="F36" s="217"/>
      <c r="G36" s="217"/>
      <c r="H36" s="217"/>
      <c r="I36" s="216"/>
      <c r="J36" s="217"/>
      <c r="K36" s="217"/>
      <c r="L36" s="217"/>
      <c r="M36" s="217"/>
      <c r="N36" s="217"/>
      <c r="O36" s="217"/>
      <c r="P36" s="217"/>
      <c r="Q36" s="216"/>
      <c r="R36" s="198"/>
      <c r="S36" s="198"/>
      <c r="T36" s="198"/>
      <c r="U36" s="198"/>
    </row>
    <row r="37" spans="1:21" s="12" customFormat="1" x14ac:dyDescent="0.25">
      <c r="A37" s="201"/>
      <c r="B37" s="60"/>
      <c r="C37" s="217"/>
      <c r="D37" s="217"/>
      <c r="E37" s="217"/>
      <c r="F37" s="217"/>
      <c r="G37" s="217"/>
      <c r="H37" s="217"/>
      <c r="I37" s="216"/>
      <c r="J37" s="217"/>
      <c r="K37" s="217"/>
      <c r="L37" s="217"/>
      <c r="M37" s="217"/>
      <c r="N37" s="217"/>
      <c r="O37" s="217"/>
      <c r="P37" s="217"/>
      <c r="Q37" s="216"/>
      <c r="R37" s="198"/>
      <c r="S37" s="198"/>
      <c r="T37" s="198"/>
      <c r="U37" s="198"/>
    </row>
    <row r="38" spans="1:21" s="12" customFormat="1" x14ac:dyDescent="0.25">
      <c r="A38" s="201"/>
      <c r="B38" s="60"/>
      <c r="C38" s="217"/>
      <c r="D38" s="217"/>
      <c r="E38" s="217"/>
      <c r="F38" s="217"/>
      <c r="G38" s="217"/>
      <c r="H38" s="217"/>
      <c r="I38" s="216"/>
      <c r="J38" s="217"/>
      <c r="K38" s="217"/>
      <c r="L38" s="217"/>
      <c r="M38" s="217"/>
      <c r="N38" s="217"/>
      <c r="O38" s="217"/>
      <c r="P38" s="217"/>
      <c r="Q38" s="216"/>
      <c r="R38" s="198"/>
      <c r="S38" s="198"/>
      <c r="T38" s="198"/>
      <c r="U38" s="198"/>
    </row>
    <row r="39" spans="1:21" s="12" customFormat="1" x14ac:dyDescent="0.25">
      <c r="A39" s="201"/>
      <c r="B39" s="60"/>
      <c r="C39" s="217"/>
      <c r="D39" s="217"/>
      <c r="E39" s="217"/>
      <c r="F39" s="217"/>
      <c r="G39" s="217"/>
      <c r="H39" s="217"/>
      <c r="I39" s="216"/>
      <c r="J39" s="217"/>
      <c r="K39" s="217"/>
      <c r="L39" s="217"/>
      <c r="M39" s="217"/>
      <c r="N39" s="217"/>
      <c r="O39" s="217"/>
      <c r="P39" s="217"/>
      <c r="Q39" s="216"/>
      <c r="R39" s="198"/>
      <c r="S39" s="198"/>
      <c r="T39" s="198"/>
      <c r="U39" s="198"/>
    </row>
    <row r="40" spans="1:21" s="12" customFormat="1" x14ac:dyDescent="0.25">
      <c r="A40" s="201"/>
      <c r="B40" s="60"/>
      <c r="C40" s="217"/>
      <c r="D40" s="217"/>
      <c r="E40" s="217"/>
      <c r="F40" s="217"/>
      <c r="G40" s="217"/>
      <c r="H40" s="217"/>
      <c r="I40" s="216"/>
      <c r="J40" s="217"/>
      <c r="K40" s="217"/>
      <c r="L40" s="217"/>
      <c r="M40" s="217"/>
      <c r="N40" s="217"/>
      <c r="O40" s="217"/>
      <c r="P40" s="217"/>
      <c r="Q40" s="216"/>
      <c r="R40" s="198"/>
      <c r="S40" s="198"/>
      <c r="T40" s="198"/>
      <c r="U40" s="198"/>
    </row>
    <row r="41" spans="1:21" s="12" customFormat="1" x14ac:dyDescent="0.25">
      <c r="A41" s="201"/>
      <c r="B41" s="60"/>
      <c r="C41" s="217"/>
      <c r="D41" s="217"/>
      <c r="E41" s="217"/>
      <c r="F41" s="217"/>
      <c r="G41" s="217"/>
      <c r="H41" s="217"/>
      <c r="I41" s="216"/>
      <c r="J41" s="217"/>
      <c r="K41" s="217"/>
      <c r="L41" s="217"/>
      <c r="M41" s="217"/>
      <c r="N41" s="217"/>
      <c r="O41" s="217"/>
      <c r="P41" s="217"/>
      <c r="Q41" s="216"/>
      <c r="R41" s="198"/>
      <c r="S41" s="198"/>
      <c r="T41" s="198"/>
      <c r="U41" s="198"/>
    </row>
    <row r="42" spans="1:21" s="12" customFormat="1" x14ac:dyDescent="0.25">
      <c r="A42" s="201"/>
      <c r="B42" s="60"/>
      <c r="C42" s="217"/>
      <c r="D42" s="217"/>
      <c r="E42" s="217"/>
      <c r="F42" s="217"/>
      <c r="G42" s="217"/>
      <c r="H42" s="217"/>
      <c r="I42" s="216"/>
      <c r="J42" s="217"/>
      <c r="K42" s="217"/>
      <c r="L42" s="217"/>
      <c r="M42" s="217"/>
      <c r="N42" s="217"/>
      <c r="O42" s="217"/>
      <c r="P42" s="217"/>
      <c r="Q42" s="216"/>
      <c r="R42" s="198"/>
      <c r="S42" s="198"/>
      <c r="T42" s="198"/>
      <c r="U42" s="198"/>
    </row>
    <row r="43" spans="1:21" s="12" customFormat="1" x14ac:dyDescent="0.25">
      <c r="A43" s="201"/>
      <c r="B43" s="60"/>
      <c r="C43" s="217"/>
      <c r="D43" s="217"/>
      <c r="E43" s="217"/>
      <c r="F43" s="217"/>
      <c r="G43" s="217"/>
      <c r="H43" s="217"/>
      <c r="I43" s="216"/>
      <c r="J43" s="217"/>
      <c r="K43" s="217"/>
      <c r="L43" s="217"/>
      <c r="M43" s="217"/>
      <c r="N43" s="217"/>
      <c r="O43" s="217"/>
      <c r="P43" s="217"/>
      <c r="Q43" s="216"/>
      <c r="R43" s="198"/>
      <c r="S43" s="198"/>
      <c r="T43" s="198"/>
      <c r="U43" s="198"/>
    </row>
    <row r="44" spans="1:21" s="12" customFormat="1" x14ac:dyDescent="0.25">
      <c r="A44" s="201"/>
      <c r="B44" s="60"/>
      <c r="C44" s="217"/>
      <c r="D44" s="217"/>
      <c r="E44" s="217"/>
      <c r="F44" s="217"/>
      <c r="G44" s="217"/>
      <c r="H44" s="217"/>
      <c r="I44" s="216"/>
      <c r="J44" s="217"/>
      <c r="K44" s="217"/>
      <c r="L44" s="217"/>
      <c r="M44" s="217"/>
      <c r="N44" s="217"/>
      <c r="O44" s="217"/>
      <c r="P44" s="217"/>
      <c r="Q44" s="216"/>
      <c r="R44" s="198"/>
      <c r="S44" s="198"/>
      <c r="T44" s="198"/>
      <c r="U44" s="198"/>
    </row>
    <row r="45" spans="1:21" s="12" customFormat="1" x14ac:dyDescent="0.25">
      <c r="A45" s="201"/>
      <c r="B45" s="60"/>
      <c r="C45" s="217"/>
      <c r="D45" s="217"/>
      <c r="E45" s="217"/>
      <c r="F45" s="217"/>
      <c r="G45" s="217"/>
      <c r="H45" s="217"/>
      <c r="I45" s="216"/>
      <c r="J45" s="217"/>
      <c r="K45" s="217"/>
      <c r="L45" s="217"/>
      <c r="M45" s="217"/>
      <c r="N45" s="217"/>
      <c r="O45" s="217"/>
      <c r="P45" s="217"/>
      <c r="Q45" s="216"/>
      <c r="R45" s="198"/>
      <c r="S45" s="198"/>
      <c r="T45" s="198"/>
      <c r="U45" s="198"/>
    </row>
    <row r="46" spans="1:21" s="12" customFormat="1" x14ac:dyDescent="0.25">
      <c r="A46" s="201"/>
      <c r="B46" s="60"/>
      <c r="C46" s="217"/>
      <c r="D46" s="217"/>
      <c r="E46" s="217"/>
      <c r="F46" s="217"/>
      <c r="G46" s="217"/>
      <c r="H46" s="217"/>
      <c r="I46" s="216"/>
      <c r="J46" s="217"/>
      <c r="K46" s="217"/>
      <c r="L46" s="217"/>
      <c r="M46" s="217"/>
      <c r="N46" s="217"/>
      <c r="O46" s="217"/>
      <c r="P46" s="217"/>
      <c r="Q46" s="216"/>
      <c r="R46" s="198"/>
      <c r="S46" s="198"/>
      <c r="T46" s="198"/>
      <c r="U46" s="198"/>
    </row>
    <row r="47" spans="1:21" s="12" customFormat="1" x14ac:dyDescent="0.25">
      <c r="A47" s="201"/>
      <c r="B47" s="60"/>
      <c r="C47" s="217"/>
      <c r="D47" s="217"/>
      <c r="E47" s="217"/>
      <c r="F47" s="217"/>
      <c r="G47" s="217"/>
      <c r="H47" s="217"/>
      <c r="I47" s="216"/>
      <c r="J47" s="217"/>
      <c r="K47" s="217"/>
      <c r="L47" s="217"/>
      <c r="M47" s="217"/>
      <c r="N47" s="217"/>
      <c r="O47" s="217"/>
      <c r="P47" s="217"/>
      <c r="Q47" s="216"/>
      <c r="R47" s="198"/>
      <c r="S47" s="198"/>
      <c r="T47" s="198"/>
      <c r="U47" s="198"/>
    </row>
    <row r="48" spans="1:21" s="12" customFormat="1" x14ac:dyDescent="0.25">
      <c r="A48" s="201"/>
      <c r="B48" s="60"/>
      <c r="C48" s="217"/>
      <c r="D48" s="217"/>
      <c r="E48" s="217"/>
      <c r="F48" s="217"/>
      <c r="G48" s="217"/>
      <c r="H48" s="217"/>
      <c r="I48" s="216"/>
      <c r="J48" s="217"/>
      <c r="K48" s="217"/>
      <c r="L48" s="217"/>
      <c r="M48" s="217"/>
      <c r="N48" s="217"/>
      <c r="O48" s="217"/>
      <c r="P48" s="217"/>
      <c r="Q48" s="216"/>
      <c r="R48" s="198"/>
      <c r="S48" s="198"/>
      <c r="T48" s="198"/>
      <c r="U48" s="198"/>
    </row>
    <row r="49" spans="1:21" s="12" customFormat="1" x14ac:dyDescent="0.25">
      <c r="A49" s="201"/>
      <c r="B49" s="60"/>
      <c r="C49" s="217"/>
      <c r="D49" s="217"/>
      <c r="E49" s="217"/>
      <c r="F49" s="217"/>
      <c r="G49" s="217"/>
      <c r="H49" s="217"/>
      <c r="I49" s="216"/>
      <c r="J49" s="217"/>
      <c r="K49" s="217"/>
      <c r="L49" s="217"/>
      <c r="M49" s="217"/>
      <c r="N49" s="217"/>
      <c r="O49" s="217"/>
      <c r="P49" s="217"/>
      <c r="Q49" s="216"/>
      <c r="R49" s="198"/>
      <c r="S49" s="198"/>
      <c r="T49" s="198"/>
      <c r="U49" s="198"/>
    </row>
    <row r="50" spans="1:21" s="12" customFormat="1" x14ac:dyDescent="0.25">
      <c r="A50" s="201"/>
      <c r="B50" s="60"/>
      <c r="C50" s="217"/>
      <c r="D50" s="217"/>
      <c r="E50" s="217"/>
      <c r="F50" s="216"/>
      <c r="G50" s="217"/>
      <c r="H50" s="217"/>
      <c r="I50" s="216"/>
      <c r="J50" s="217"/>
      <c r="K50" s="217"/>
      <c r="L50" s="217"/>
      <c r="M50" s="217"/>
      <c r="N50" s="217"/>
      <c r="O50" s="217"/>
      <c r="P50" s="217"/>
      <c r="Q50" s="216"/>
      <c r="R50" s="198"/>
      <c r="S50" s="198"/>
      <c r="T50" s="198"/>
      <c r="U50" s="198"/>
    </row>
    <row r="51" spans="1:21" s="12" customFormat="1" x14ac:dyDescent="0.25">
      <c r="A51" s="201"/>
      <c r="B51" s="212"/>
      <c r="C51" s="216"/>
      <c r="D51" s="216"/>
      <c r="E51" s="216"/>
      <c r="F51" s="216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198"/>
      <c r="S51" s="198"/>
      <c r="T51" s="198"/>
      <c r="U51" s="198"/>
    </row>
    <row r="52" spans="1:21" s="12" customFormat="1" x14ac:dyDescent="0.25">
      <c r="A52" s="201"/>
      <c r="B52" s="60"/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198"/>
      <c r="S52" s="198"/>
      <c r="T52" s="198"/>
      <c r="U52" s="198"/>
    </row>
    <row r="53" spans="1:21" s="12" customFormat="1" x14ac:dyDescent="0.25">
      <c r="A53" s="201"/>
      <c r="B53" s="60"/>
      <c r="C53" s="217"/>
      <c r="D53" s="217"/>
      <c r="E53" s="217"/>
      <c r="F53" s="217"/>
      <c r="G53" s="216"/>
      <c r="H53" s="216"/>
      <c r="I53" s="217"/>
      <c r="J53" s="217"/>
      <c r="K53" s="217"/>
      <c r="L53" s="217"/>
      <c r="M53" s="217"/>
      <c r="N53" s="217"/>
      <c r="O53" s="217"/>
      <c r="P53" s="217"/>
      <c r="Q53" s="217"/>
      <c r="R53" s="198"/>
      <c r="S53" s="198"/>
      <c r="T53" s="198"/>
      <c r="U53" s="198"/>
    </row>
    <row r="54" spans="1:21" s="12" customFormat="1" x14ac:dyDescent="0.25">
      <c r="A54" s="201"/>
      <c r="B54" s="60"/>
      <c r="C54" s="217"/>
      <c r="D54" s="217"/>
      <c r="E54" s="217"/>
      <c r="F54" s="217"/>
      <c r="G54" s="216"/>
      <c r="H54" s="216"/>
      <c r="I54" s="217"/>
      <c r="J54" s="217"/>
      <c r="K54" s="217"/>
      <c r="L54" s="217"/>
      <c r="M54" s="217"/>
      <c r="N54" s="217"/>
      <c r="O54" s="217"/>
      <c r="P54" s="217"/>
      <c r="Q54" s="217"/>
      <c r="R54" s="198"/>
      <c r="S54" s="198"/>
      <c r="T54" s="198"/>
      <c r="U54" s="198"/>
    </row>
    <row r="55" spans="1:21" s="12" customFormat="1" x14ac:dyDescent="0.25">
      <c r="A55" s="201"/>
      <c r="B55" s="60"/>
      <c r="C55" s="217"/>
      <c r="D55" s="217"/>
      <c r="E55" s="217"/>
      <c r="F55" s="217"/>
      <c r="G55" s="216"/>
      <c r="H55" s="216"/>
      <c r="I55" s="217"/>
      <c r="J55" s="217"/>
      <c r="K55" s="217"/>
      <c r="L55" s="217"/>
      <c r="M55" s="217"/>
      <c r="N55" s="217"/>
      <c r="O55" s="217"/>
      <c r="P55" s="217"/>
      <c r="Q55" s="217"/>
      <c r="R55" s="198"/>
      <c r="S55" s="198"/>
      <c r="T55" s="198"/>
      <c r="U55" s="198"/>
    </row>
    <row r="56" spans="1:21" s="12" customFormat="1" x14ac:dyDescent="0.25">
      <c r="A56" s="201"/>
      <c r="B56" s="60"/>
      <c r="C56" s="217"/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198"/>
      <c r="S56" s="198"/>
      <c r="T56" s="198"/>
      <c r="U56" s="198"/>
    </row>
    <row r="57" spans="1:21" s="12" customFormat="1" x14ac:dyDescent="0.25">
      <c r="A57" s="201"/>
      <c r="B57" s="60"/>
      <c r="C57" s="217"/>
      <c r="D57" s="217"/>
      <c r="E57" s="217"/>
      <c r="F57" s="217"/>
      <c r="G57" s="217"/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198"/>
      <c r="S57" s="198"/>
      <c r="T57" s="198"/>
      <c r="U57" s="198"/>
    </row>
    <row r="58" spans="1:21" s="12" customFormat="1" x14ac:dyDescent="0.25">
      <c r="A58" s="201"/>
      <c r="B58" s="60"/>
      <c r="C58" s="217"/>
      <c r="D58" s="217"/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198"/>
      <c r="S58" s="198"/>
      <c r="T58" s="198"/>
      <c r="U58" s="198"/>
    </row>
    <row r="59" spans="1:21" s="12" customFormat="1" x14ac:dyDescent="0.25">
      <c r="A59" s="201"/>
      <c r="B59" s="60"/>
      <c r="C59" s="217"/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198"/>
      <c r="S59" s="198"/>
      <c r="T59" s="198"/>
      <c r="U59" s="198"/>
    </row>
    <row r="60" spans="1:21" s="12" customFormat="1" x14ac:dyDescent="0.25">
      <c r="A60" s="201"/>
      <c r="B60" s="60"/>
      <c r="C60" s="217"/>
      <c r="D60" s="217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198"/>
      <c r="S60" s="198"/>
      <c r="T60" s="198"/>
      <c r="U60" s="198"/>
    </row>
    <row r="61" spans="1:21" s="12" customFormat="1" x14ac:dyDescent="0.25">
      <c r="A61" s="201"/>
      <c r="B61" s="60"/>
      <c r="C61" s="217"/>
      <c r="D61" s="217"/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198"/>
      <c r="S61" s="198"/>
      <c r="T61" s="198"/>
      <c r="U61" s="198"/>
    </row>
    <row r="62" spans="1:21" s="12" customFormat="1" x14ac:dyDescent="0.25">
      <c r="A62" s="201"/>
      <c r="B62" s="60"/>
      <c r="C62" s="217"/>
      <c r="D62" s="217"/>
      <c r="E62" s="217"/>
      <c r="F62" s="217"/>
      <c r="G62" s="217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198"/>
      <c r="S62" s="198"/>
      <c r="T62" s="198"/>
      <c r="U62" s="198"/>
    </row>
    <row r="63" spans="1:21" s="12" customFormat="1" x14ac:dyDescent="0.25">
      <c r="A63" s="201"/>
      <c r="B63" s="60"/>
      <c r="C63" s="217"/>
      <c r="D63" s="217"/>
      <c r="E63" s="217"/>
      <c r="F63" s="217"/>
      <c r="G63" s="217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198"/>
      <c r="S63" s="198"/>
      <c r="T63" s="198"/>
      <c r="U63" s="198"/>
    </row>
    <row r="64" spans="1:21" s="12" customFormat="1" x14ac:dyDescent="0.25">
      <c r="A64" s="201"/>
      <c r="B64" s="60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198"/>
      <c r="S64" s="198"/>
      <c r="T64" s="198"/>
      <c r="U64" s="198"/>
    </row>
    <row r="65" spans="1:21" s="12" customFormat="1" x14ac:dyDescent="0.25">
      <c r="A65" s="201"/>
      <c r="B65" s="60"/>
      <c r="C65" s="217"/>
      <c r="D65" s="217"/>
      <c r="E65" s="217"/>
      <c r="F65" s="217"/>
      <c r="G65" s="217"/>
      <c r="H65" s="217"/>
      <c r="I65" s="216"/>
      <c r="J65" s="217"/>
      <c r="K65" s="217"/>
      <c r="L65" s="217"/>
      <c r="M65" s="217"/>
      <c r="N65" s="217"/>
      <c r="O65" s="217"/>
      <c r="P65" s="217"/>
      <c r="Q65" s="217"/>
      <c r="R65" s="198"/>
      <c r="S65" s="198"/>
      <c r="T65" s="198"/>
      <c r="U65" s="198"/>
    </row>
    <row r="66" spans="1:21" s="12" customFormat="1" x14ac:dyDescent="0.25">
      <c r="A66" s="201"/>
      <c r="B66" s="60"/>
      <c r="C66" s="217"/>
      <c r="D66" s="217"/>
      <c r="E66" s="217"/>
      <c r="F66" s="217"/>
      <c r="G66" s="217"/>
      <c r="H66" s="217"/>
      <c r="I66" s="216"/>
      <c r="J66" s="217"/>
      <c r="K66" s="217"/>
      <c r="L66" s="217"/>
      <c r="M66" s="217"/>
      <c r="N66" s="217"/>
      <c r="O66" s="217"/>
      <c r="P66" s="217"/>
      <c r="Q66" s="217"/>
      <c r="R66" s="198"/>
      <c r="S66" s="198"/>
      <c r="T66" s="198"/>
      <c r="U66" s="198"/>
    </row>
    <row r="67" spans="1:21" s="12" customFormat="1" x14ac:dyDescent="0.25">
      <c r="A67" s="201"/>
      <c r="B67" s="60"/>
      <c r="C67" s="217"/>
      <c r="D67" s="217"/>
      <c r="E67" s="217"/>
      <c r="F67" s="217"/>
      <c r="G67" s="217"/>
      <c r="H67" s="217"/>
      <c r="I67" s="216"/>
      <c r="J67" s="217"/>
      <c r="K67" s="217"/>
      <c r="L67" s="217"/>
      <c r="M67" s="217"/>
      <c r="N67" s="217"/>
      <c r="O67" s="217"/>
      <c r="P67" s="217"/>
      <c r="Q67" s="217"/>
      <c r="R67" s="198"/>
      <c r="S67" s="198"/>
      <c r="T67" s="198"/>
      <c r="U67" s="198"/>
    </row>
    <row r="68" spans="1:21" s="12" customFormat="1" x14ac:dyDescent="0.25">
      <c r="A68" s="201"/>
      <c r="B68" s="60"/>
      <c r="C68" s="217"/>
      <c r="D68" s="217"/>
      <c r="E68" s="217"/>
      <c r="F68" s="217"/>
      <c r="G68" s="217"/>
      <c r="H68" s="217"/>
      <c r="I68" s="216"/>
      <c r="J68" s="217"/>
      <c r="K68" s="217"/>
      <c r="L68" s="217"/>
      <c r="M68" s="217"/>
      <c r="N68" s="217"/>
      <c r="O68" s="217"/>
      <c r="P68" s="217"/>
      <c r="Q68" s="217"/>
      <c r="R68" s="198"/>
      <c r="S68" s="198"/>
      <c r="T68" s="198"/>
      <c r="U68" s="198"/>
    </row>
    <row r="69" spans="1:21" s="12" customFormat="1" x14ac:dyDescent="0.25">
      <c r="A69" s="201"/>
      <c r="B69" s="60"/>
      <c r="C69" s="217"/>
      <c r="D69" s="217"/>
      <c r="E69" s="217"/>
      <c r="F69" s="217"/>
      <c r="G69" s="217"/>
      <c r="H69" s="217"/>
      <c r="I69" s="216"/>
      <c r="J69" s="217"/>
      <c r="K69" s="217"/>
      <c r="L69" s="217"/>
      <c r="M69" s="217"/>
      <c r="N69" s="217"/>
      <c r="O69" s="217"/>
      <c r="P69" s="217"/>
      <c r="Q69" s="217"/>
      <c r="R69" s="198"/>
      <c r="S69" s="198"/>
      <c r="T69" s="198"/>
      <c r="U69" s="198"/>
    </row>
    <row r="70" spans="1:21" s="12" customFormat="1" x14ac:dyDescent="0.25">
      <c r="A70" s="201"/>
      <c r="B70" s="60"/>
      <c r="C70" s="217"/>
      <c r="D70" s="217"/>
      <c r="E70" s="217"/>
      <c r="F70" s="217"/>
      <c r="G70" s="217"/>
      <c r="H70" s="217"/>
      <c r="I70" s="216"/>
      <c r="J70" s="217"/>
      <c r="K70" s="217"/>
      <c r="L70" s="217"/>
      <c r="M70" s="217"/>
      <c r="N70" s="217"/>
      <c r="O70" s="217"/>
      <c r="P70" s="217"/>
      <c r="Q70" s="217"/>
      <c r="R70" s="198"/>
      <c r="S70" s="198"/>
      <c r="T70" s="198"/>
      <c r="U70" s="198"/>
    </row>
    <row r="71" spans="1:21" s="12" customFormat="1" x14ac:dyDescent="0.25">
      <c r="A71" s="201"/>
      <c r="B71" s="60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198"/>
      <c r="S71" s="198"/>
      <c r="T71" s="198"/>
      <c r="U71" s="198"/>
    </row>
    <row r="72" spans="1:21" s="12" customFormat="1" x14ac:dyDescent="0.25">
      <c r="A72" s="201"/>
      <c r="B72" s="60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198"/>
      <c r="S72" s="198"/>
      <c r="T72" s="198"/>
      <c r="U72" s="198"/>
    </row>
    <row r="73" spans="1:21" s="12" customFormat="1" x14ac:dyDescent="0.25">
      <c r="A73" s="201"/>
      <c r="B73" s="60"/>
      <c r="C73" s="217"/>
      <c r="D73" s="217"/>
      <c r="E73" s="217"/>
      <c r="F73" s="217"/>
      <c r="G73" s="217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198"/>
      <c r="S73" s="198"/>
      <c r="T73" s="198"/>
      <c r="U73" s="198"/>
    </row>
    <row r="74" spans="1:21" s="12" customFormat="1" x14ac:dyDescent="0.25">
      <c r="A74" s="201"/>
      <c r="B74" s="60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198"/>
      <c r="S74" s="198"/>
      <c r="T74" s="198"/>
      <c r="U74" s="198"/>
    </row>
    <row r="75" spans="1:21" s="12" customFormat="1" x14ac:dyDescent="0.25">
      <c r="A75" s="201"/>
      <c r="B75" s="60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198"/>
      <c r="S75" s="198"/>
      <c r="T75" s="198"/>
      <c r="U75" s="198"/>
    </row>
    <row r="76" spans="1:21" s="12" customFormat="1" x14ac:dyDescent="0.25">
      <c r="A76" s="201"/>
      <c r="B76" s="60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198"/>
      <c r="S76" s="198"/>
      <c r="T76" s="198"/>
      <c r="U76" s="198"/>
    </row>
    <row r="77" spans="1:21" s="12" customFormat="1" x14ac:dyDescent="0.25">
      <c r="A77" s="201"/>
      <c r="B77" s="60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198"/>
      <c r="S77" s="198"/>
      <c r="T77" s="198"/>
      <c r="U77" s="198"/>
    </row>
    <row r="78" spans="1:21" s="12" customFormat="1" x14ac:dyDescent="0.25">
      <c r="A78" s="201"/>
      <c r="B78" s="60"/>
      <c r="C78" s="217"/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198"/>
      <c r="S78" s="198"/>
      <c r="T78" s="198"/>
      <c r="U78" s="198"/>
    </row>
    <row r="79" spans="1:21" s="12" customFormat="1" x14ac:dyDescent="0.25">
      <c r="A79" s="201"/>
      <c r="B79" s="60"/>
      <c r="C79" s="217"/>
      <c r="D79" s="217"/>
      <c r="E79" s="217"/>
      <c r="F79" s="217"/>
      <c r="G79" s="217"/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198"/>
      <c r="S79" s="198"/>
      <c r="T79" s="198"/>
      <c r="U79" s="198"/>
    </row>
    <row r="80" spans="1:21" s="12" customFormat="1" x14ac:dyDescent="0.25">
      <c r="A80" s="201"/>
      <c r="B80" s="60"/>
      <c r="C80" s="217"/>
      <c r="D80" s="217"/>
      <c r="E80" s="217"/>
      <c r="F80" s="217"/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198"/>
      <c r="S80" s="198"/>
      <c r="T80" s="198"/>
      <c r="U80" s="198"/>
    </row>
    <row r="81" spans="1:26" s="12" customFormat="1" x14ac:dyDescent="0.25">
      <c r="A81" s="201"/>
      <c r="B81" s="60"/>
      <c r="C81" s="217"/>
      <c r="D81" s="217"/>
      <c r="E81" s="217"/>
      <c r="F81" s="217"/>
      <c r="G81" s="217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198"/>
      <c r="S81" s="198"/>
      <c r="T81" s="198"/>
      <c r="U81" s="198"/>
    </row>
    <row r="82" spans="1:26" s="12" customFormat="1" x14ac:dyDescent="0.25">
      <c r="A82" s="201"/>
      <c r="B82" s="60"/>
      <c r="C82" s="217"/>
      <c r="D82" s="217"/>
      <c r="E82" s="217"/>
      <c r="F82" s="217"/>
      <c r="G82" s="217"/>
      <c r="H82" s="217"/>
      <c r="I82" s="217"/>
      <c r="J82" s="217"/>
      <c r="K82" s="217"/>
      <c r="L82" s="217"/>
      <c r="M82" s="217"/>
      <c r="N82" s="217"/>
      <c r="O82" s="217"/>
      <c r="P82" s="217"/>
      <c r="Q82" s="217"/>
      <c r="R82" s="198"/>
      <c r="S82" s="198"/>
      <c r="T82" s="198"/>
      <c r="U82" s="198"/>
    </row>
    <row r="83" spans="1:26" s="12" customFormat="1" x14ac:dyDescent="0.25">
      <c r="A83" s="201"/>
      <c r="B83" s="60"/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198"/>
      <c r="S83" s="198"/>
      <c r="T83" s="198"/>
      <c r="U83" s="198"/>
    </row>
    <row r="84" spans="1:26" s="12" customFormat="1" x14ac:dyDescent="0.25">
      <c r="A84" s="201"/>
      <c r="B84" s="60"/>
      <c r="C84" s="217"/>
      <c r="D84" s="217"/>
      <c r="E84" s="217"/>
      <c r="F84" s="217"/>
      <c r="G84" s="217"/>
      <c r="H84" s="217"/>
      <c r="I84" s="217"/>
      <c r="J84" s="217"/>
      <c r="K84" s="217"/>
      <c r="L84" s="217"/>
      <c r="M84" s="217"/>
      <c r="N84" s="217"/>
      <c r="O84" s="217"/>
      <c r="P84" s="217"/>
      <c r="Q84" s="217"/>
      <c r="R84" s="198"/>
      <c r="S84" s="198"/>
      <c r="T84" s="198"/>
      <c r="U84" s="198"/>
    </row>
    <row r="85" spans="1:26" s="12" customFormat="1" x14ac:dyDescent="0.25">
      <c r="A85" s="201"/>
      <c r="B85" s="60"/>
      <c r="C85" s="217"/>
      <c r="D85" s="217"/>
      <c r="E85" s="217"/>
      <c r="F85" s="217"/>
      <c r="G85" s="217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198"/>
      <c r="S85" s="198"/>
      <c r="T85" s="198"/>
      <c r="U85" s="198"/>
    </row>
    <row r="86" spans="1:26" s="12" customFormat="1" x14ac:dyDescent="0.25">
      <c r="A86" s="201"/>
      <c r="B86" s="60"/>
      <c r="C86" s="217"/>
      <c r="D86" s="217"/>
      <c r="E86" s="217"/>
      <c r="F86" s="217"/>
      <c r="G86" s="217"/>
      <c r="H86" s="217"/>
      <c r="I86" s="217"/>
      <c r="J86" s="217"/>
      <c r="K86" s="217"/>
      <c r="L86" s="217"/>
      <c r="M86" s="217"/>
      <c r="N86" s="217"/>
      <c r="O86" s="217"/>
      <c r="P86" s="217"/>
      <c r="Q86" s="217"/>
      <c r="R86" s="198"/>
      <c r="S86" s="198"/>
      <c r="T86" s="198"/>
      <c r="U86" s="198"/>
    </row>
    <row r="87" spans="1:26" s="12" customFormat="1" x14ac:dyDescent="0.25">
      <c r="A87" s="201"/>
      <c r="B87" s="60"/>
      <c r="C87" s="217"/>
      <c r="D87" s="217"/>
      <c r="E87" s="217"/>
      <c r="F87" s="217"/>
      <c r="G87" s="217"/>
      <c r="H87" s="217"/>
      <c r="I87" s="217"/>
      <c r="J87" s="217"/>
      <c r="K87" s="217"/>
      <c r="L87" s="217"/>
      <c r="M87" s="217"/>
      <c r="N87" s="217"/>
      <c r="O87" s="217"/>
      <c r="P87" s="217"/>
      <c r="Q87" s="217"/>
      <c r="R87" s="198"/>
      <c r="S87" s="198"/>
      <c r="T87" s="198"/>
      <c r="U87" s="198"/>
    </row>
    <row r="88" spans="1:26" s="12" customFormat="1" x14ac:dyDescent="0.25">
      <c r="A88" s="201"/>
      <c r="B88" s="60"/>
      <c r="C88" s="217"/>
      <c r="D88" s="217"/>
      <c r="E88" s="217"/>
      <c r="F88" s="217"/>
      <c r="G88" s="217"/>
      <c r="H88" s="217"/>
      <c r="I88" s="216"/>
      <c r="J88" s="217"/>
      <c r="K88" s="217"/>
      <c r="L88" s="217"/>
      <c r="M88" s="217"/>
      <c r="N88" s="217"/>
      <c r="O88" s="217"/>
      <c r="P88" s="217"/>
      <c r="Q88" s="217"/>
      <c r="R88" s="198"/>
      <c r="S88" s="198"/>
      <c r="T88" s="198"/>
      <c r="U88" s="198"/>
    </row>
    <row r="89" spans="1:26" s="12" customFormat="1" x14ac:dyDescent="0.25">
      <c r="A89" s="201"/>
      <c r="B89" s="60"/>
      <c r="C89" s="217"/>
      <c r="D89" s="217"/>
      <c r="E89" s="217"/>
      <c r="F89" s="217"/>
      <c r="G89" s="217"/>
      <c r="H89" s="217"/>
      <c r="I89" s="216"/>
      <c r="J89" s="217"/>
      <c r="K89" s="217"/>
      <c r="L89" s="217"/>
      <c r="M89" s="217"/>
      <c r="N89" s="217"/>
      <c r="O89" s="217"/>
      <c r="P89" s="217"/>
      <c r="Q89" s="217"/>
      <c r="R89" s="198"/>
      <c r="S89" s="198"/>
      <c r="T89" s="198"/>
      <c r="U89" s="198"/>
    </row>
    <row r="90" spans="1:26" s="12" customFormat="1" x14ac:dyDescent="0.25">
      <c r="A90" s="201"/>
      <c r="B90" s="60"/>
      <c r="C90" s="217"/>
      <c r="D90" s="217"/>
      <c r="E90" s="217"/>
      <c r="F90" s="217"/>
      <c r="G90" s="217"/>
      <c r="H90" s="217"/>
      <c r="I90" s="216"/>
      <c r="J90" s="217"/>
      <c r="K90" s="217"/>
      <c r="L90" s="217"/>
      <c r="M90" s="217"/>
      <c r="N90" s="217"/>
      <c r="O90" s="217"/>
      <c r="P90" s="217"/>
      <c r="Q90" s="217"/>
      <c r="R90" s="198"/>
      <c r="S90" s="198"/>
      <c r="T90" s="198"/>
      <c r="U90" s="198"/>
    </row>
    <row r="91" spans="1:26" s="12" customFormat="1" x14ac:dyDescent="0.25">
      <c r="A91" s="201"/>
      <c r="B91" s="60"/>
      <c r="C91" s="217"/>
      <c r="D91" s="217"/>
      <c r="E91" s="217"/>
      <c r="F91" s="217"/>
      <c r="G91" s="217"/>
      <c r="H91" s="217"/>
      <c r="I91" s="216"/>
      <c r="J91" s="217"/>
      <c r="K91" s="217"/>
      <c r="L91" s="217"/>
      <c r="M91" s="217"/>
      <c r="N91" s="217"/>
      <c r="O91" s="217"/>
      <c r="P91" s="217"/>
      <c r="Q91" s="217"/>
      <c r="R91" s="198"/>
      <c r="S91" s="198"/>
      <c r="T91" s="198"/>
      <c r="U91" s="198"/>
    </row>
    <row r="92" spans="1:26" s="12" customFormat="1" x14ac:dyDescent="0.25">
      <c r="A92" s="201"/>
      <c r="B92" s="60"/>
      <c r="C92" s="217"/>
      <c r="D92" s="217"/>
      <c r="E92" s="217"/>
      <c r="F92" s="217"/>
      <c r="G92" s="217"/>
      <c r="H92" s="217"/>
      <c r="I92" s="216"/>
      <c r="J92" s="217"/>
      <c r="K92" s="217"/>
      <c r="L92" s="217"/>
      <c r="M92" s="217"/>
      <c r="N92" s="217"/>
      <c r="O92" s="217"/>
      <c r="P92" s="217"/>
      <c r="Q92" s="217"/>
      <c r="R92" s="198"/>
      <c r="S92" s="198"/>
      <c r="T92" s="198"/>
      <c r="U92" s="198"/>
    </row>
    <row r="93" spans="1:26" s="12" customFormat="1" x14ac:dyDescent="0.25">
      <c r="A93" s="201"/>
      <c r="B93" s="60"/>
      <c r="C93" s="217"/>
      <c r="D93" s="217"/>
      <c r="E93" s="217"/>
      <c r="F93" s="217"/>
      <c r="G93" s="217"/>
      <c r="H93" s="217"/>
      <c r="I93" s="216"/>
      <c r="J93" s="217"/>
      <c r="K93" s="217"/>
      <c r="L93" s="217"/>
      <c r="M93" s="217"/>
      <c r="N93" s="217"/>
      <c r="O93" s="217"/>
      <c r="P93" s="217"/>
      <c r="Q93" s="217"/>
      <c r="R93" s="198"/>
      <c r="S93" s="198"/>
      <c r="T93" s="198"/>
      <c r="U93" s="198"/>
    </row>
    <row r="94" spans="1:26" s="12" customFormat="1" x14ac:dyDescent="0.25">
      <c r="A94" s="201"/>
      <c r="B94" s="60"/>
      <c r="C94" s="217"/>
      <c r="D94" s="217"/>
      <c r="E94" s="217"/>
      <c r="F94" s="217"/>
      <c r="G94" s="217"/>
      <c r="H94" s="217"/>
      <c r="I94" s="216"/>
      <c r="J94" s="217"/>
      <c r="K94" s="217"/>
      <c r="L94" s="217"/>
      <c r="M94" s="217"/>
      <c r="N94" s="217"/>
      <c r="O94" s="217"/>
      <c r="P94" s="217"/>
      <c r="Q94" s="217"/>
      <c r="R94" s="198"/>
      <c r="S94" s="198"/>
      <c r="T94" s="198"/>
      <c r="U94" s="198"/>
    </row>
    <row r="95" spans="1:26" s="12" customFormat="1" x14ac:dyDescent="0.25">
      <c r="A95" s="201"/>
      <c r="B95" s="60"/>
      <c r="C95" s="217"/>
      <c r="D95" s="217"/>
      <c r="E95" s="217"/>
      <c r="F95" s="217"/>
      <c r="G95" s="217"/>
      <c r="H95" s="217"/>
      <c r="I95" s="216"/>
      <c r="J95" s="217"/>
      <c r="K95" s="217"/>
      <c r="L95" s="217"/>
      <c r="M95" s="217"/>
      <c r="N95" s="217"/>
      <c r="O95" s="217"/>
      <c r="P95" s="217"/>
      <c r="Q95" s="217"/>
      <c r="R95" s="198"/>
      <c r="S95" s="198"/>
      <c r="T95" s="198"/>
      <c r="U95" s="198"/>
    </row>
    <row r="96" spans="1:26" s="12" customFormat="1" x14ac:dyDescent="0.25">
      <c r="A96" s="201"/>
      <c r="B96" s="60"/>
      <c r="C96" s="217"/>
      <c r="D96" s="217"/>
      <c r="E96" s="217"/>
      <c r="F96" s="217"/>
      <c r="G96" s="217"/>
      <c r="H96" s="217"/>
      <c r="I96" s="216"/>
      <c r="J96" s="217"/>
      <c r="K96" s="217"/>
      <c r="L96" s="217"/>
      <c r="M96" s="217"/>
      <c r="N96" s="217"/>
      <c r="O96" s="217"/>
      <c r="P96" s="217"/>
      <c r="Q96" s="217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217"/>
      <c r="D97" s="217"/>
      <c r="E97" s="217"/>
      <c r="F97" s="217"/>
      <c r="G97" s="217"/>
      <c r="H97" s="217"/>
      <c r="I97" s="216"/>
      <c r="J97" s="217"/>
      <c r="K97" s="217"/>
      <c r="L97" s="217"/>
      <c r="M97" s="217"/>
      <c r="N97" s="217"/>
      <c r="O97" s="217"/>
      <c r="P97" s="217"/>
      <c r="Q97" s="217"/>
      <c r="R97" s="198"/>
      <c r="S97" s="198"/>
      <c r="T97" s="198"/>
      <c r="U97" s="198"/>
    </row>
    <row r="98" spans="1:33" s="12" customFormat="1" x14ac:dyDescent="0.25">
      <c r="A98" s="201"/>
      <c r="B98" s="60"/>
      <c r="C98" s="217"/>
      <c r="D98" s="217"/>
      <c r="E98" s="217"/>
      <c r="F98" s="217"/>
      <c r="G98" s="217"/>
      <c r="H98" s="217"/>
      <c r="I98" s="216"/>
      <c r="J98" s="217"/>
      <c r="K98" s="217"/>
      <c r="L98" s="217"/>
      <c r="M98" s="217"/>
      <c r="N98" s="217"/>
      <c r="O98" s="217"/>
      <c r="P98" s="217"/>
      <c r="Q98" s="217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216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216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216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216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216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216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0</v>
      </c>
      <c r="C110" s="66">
        <f>COUNT(C9:C104)</f>
        <v>0</v>
      </c>
      <c r="D110" s="66">
        <f>COUNT(D9:D104)</f>
        <v>0</v>
      </c>
      <c r="E110" s="66">
        <f t="shared" ref="E110:Q110" si="4">COUNT(E9:E104)</f>
        <v>0</v>
      </c>
      <c r="F110" s="66">
        <f t="shared" si="4"/>
        <v>0</v>
      </c>
      <c r="G110" s="66">
        <f t="shared" si="4"/>
        <v>0</v>
      </c>
      <c r="H110" s="66">
        <f t="shared" si="4"/>
        <v>0</v>
      </c>
      <c r="I110" s="66">
        <f t="shared" si="4"/>
        <v>0</v>
      </c>
      <c r="J110" s="66">
        <f t="shared" si="4"/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7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5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 t="shared" si="4"/>
        <v>0</v>
      </c>
      <c r="I110" s="66">
        <f>COUNT(I9:I104)+45</f>
        <v>45</v>
      </c>
      <c r="J110" s="66">
        <f t="shared" si="4"/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/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216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210"/>
      <c r="K92" s="60"/>
      <c r="L92" s="60"/>
      <c r="M92" s="60"/>
      <c r="N92" s="60"/>
      <c r="O92" s="60"/>
      <c r="P92" s="60"/>
      <c r="Q92" s="60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>COUNT(H9:H104)</f>
        <v>0</v>
      </c>
      <c r="I110" s="66">
        <f>COUNT(I9:I104)</f>
        <v>0</v>
      </c>
      <c r="J110" s="66">
        <f>COUNT(J9:J104)+1</f>
        <v>1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21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21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>COUNT(H9:H104)</f>
        <v>0</v>
      </c>
      <c r="I110" s="66">
        <f>COUNT(I9:I104)</f>
        <v>0</v>
      </c>
      <c r="J110" s="66">
        <f>COUNT(J9:J104)+2</f>
        <v>2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21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21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21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21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21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21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210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210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21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210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210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210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21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21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21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210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210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210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21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21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21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21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21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21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21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21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21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21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21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21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21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21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21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21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21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21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21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21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21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21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21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210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21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21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21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21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21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21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21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>COUNT(H9:H104)</f>
        <v>0</v>
      </c>
      <c r="I110" s="66">
        <f>COUNT(I9:I104)+48</f>
        <v>48</v>
      </c>
      <c r="J110" s="66">
        <f>COUNT(J9:J104)</f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21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21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21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21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21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21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21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21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21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21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21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21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21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21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21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21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21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21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21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21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21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21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21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21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21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21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21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21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21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21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21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21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21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21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21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21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21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21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21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21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21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21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21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21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21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21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21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21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21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21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21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21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21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210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210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21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21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211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212"/>
      <c r="H69" s="212"/>
      <c r="I69" s="6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212"/>
      <c r="H70" s="212"/>
      <c r="I70" s="6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212"/>
      <c r="H71" s="212"/>
      <c r="I71" s="60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212"/>
      <c r="H72" s="212"/>
      <c r="I72" s="60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>COUNT(G9:G104)+4</f>
        <v>4</v>
      </c>
      <c r="H110" s="66">
        <f>COUNT(H9:H104)+4</f>
        <v>4</v>
      </c>
      <c r="I110" s="66">
        <f>COUNT(I9:I104)+56</f>
        <v>56</v>
      </c>
      <c r="J110" s="66">
        <f>COUNT(J9:J104)</f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>COUNT(Q9:Q104)+1</f>
        <v>1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P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21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21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210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210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210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>COUNT(H9:H104)</f>
        <v>0</v>
      </c>
      <c r="I110" s="66">
        <f>COUNT(I9:I104)+5</f>
        <v>5</v>
      </c>
      <c r="J110" s="66">
        <f>COUNT(J9:J104)</f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226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214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214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212"/>
      <c r="H53" s="212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212"/>
      <c r="H54" s="212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212"/>
      <c r="H55" s="212"/>
      <c r="I55" s="6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212"/>
      <c r="H56" s="212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212"/>
      <c r="H57" s="212"/>
      <c r="I57" s="6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212"/>
      <c r="H58" s="212"/>
      <c r="I58" s="6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1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1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>COUNT(G9:G104)+6</f>
        <v>6</v>
      </c>
      <c r="H110" s="66">
        <f>COUNT(H9:H104)+6</f>
        <v>6</v>
      </c>
      <c r="I110" s="66">
        <f>COUNT(I9:I104)</f>
        <v>0</v>
      </c>
      <c r="J110" s="66">
        <f>COUNT(J9:J104)+2</f>
        <v>2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9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9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9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9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9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9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9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9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9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9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9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9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9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9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9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9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9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>COUNT(H9:H104)</f>
        <v>0</v>
      </c>
      <c r="I110" s="66">
        <f>COUNT(I9:I104)+17</f>
        <v>17</v>
      </c>
      <c r="J110" s="66">
        <f>COUNT(J9:J104)</f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21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211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211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211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211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211"/>
      <c r="R96" s="198"/>
      <c r="S96" s="198"/>
      <c r="T96" s="215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211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211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211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211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0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</v>
      </c>
      <c r="K106" s="67">
        <f t="shared" si="0"/>
        <v>0</v>
      </c>
      <c r="L106" s="67">
        <f t="shared" si="0"/>
        <v>0</v>
      </c>
      <c r="M106" s="67">
        <f t="shared" si="0"/>
        <v>0</v>
      </c>
      <c r="N106" s="67">
        <f t="shared" si="0"/>
        <v>0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0</v>
      </c>
      <c r="F107" s="66">
        <f t="shared" si="1"/>
        <v>0</v>
      </c>
      <c r="G107" s="66">
        <f t="shared" si="1"/>
        <v>0</v>
      </c>
      <c r="H107" s="66">
        <f t="shared" si="1"/>
        <v>0</v>
      </c>
      <c r="I107" s="66">
        <f t="shared" si="1"/>
        <v>0</v>
      </c>
      <c r="J107" s="66">
        <f t="shared" si="1"/>
        <v>0</v>
      </c>
      <c r="K107" s="66">
        <f t="shared" si="1"/>
        <v>0</v>
      </c>
      <c r="L107" s="66">
        <f t="shared" si="1"/>
        <v>0</v>
      </c>
      <c r="M107" s="66">
        <f t="shared" si="1"/>
        <v>0</v>
      </c>
      <c r="N107" s="66">
        <f t="shared" si="1"/>
        <v>0</v>
      </c>
      <c r="O107" s="66">
        <f t="shared" si="1"/>
        <v>0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 t="e">
        <f t="shared" si="2"/>
        <v>#DIV/0!</v>
      </c>
      <c r="F108" s="67" t="e">
        <f t="shared" si="2"/>
        <v>#DIV/0!</v>
      </c>
      <c r="G108" s="67" t="e">
        <f t="shared" si="2"/>
        <v>#DIV/0!</v>
      </c>
      <c r="H108" s="67" t="e">
        <f t="shared" si="2"/>
        <v>#DIV/0!</v>
      </c>
      <c r="I108" s="67" t="e">
        <f t="shared" si="2"/>
        <v>#DIV/0!</v>
      </c>
      <c r="J108" s="67" t="e">
        <f t="shared" si="2"/>
        <v>#DIV/0!</v>
      </c>
      <c r="K108" s="67" t="e">
        <f t="shared" si="2"/>
        <v>#DIV/0!</v>
      </c>
      <c r="L108" s="67" t="e">
        <f t="shared" si="2"/>
        <v>#DIV/0!</v>
      </c>
      <c r="M108" s="67" t="e">
        <f t="shared" si="2"/>
        <v>#DIV/0!</v>
      </c>
      <c r="N108" s="67" t="e">
        <f t="shared" si="2"/>
        <v>#DIV/0!</v>
      </c>
      <c r="O108" s="67" t="e">
        <f t="shared" si="2"/>
        <v>#DIV/0!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 t="e">
        <f t="shared" si="3"/>
        <v>#DIV/0!</v>
      </c>
      <c r="F109" s="67" t="e">
        <f t="shared" si="3"/>
        <v>#DIV/0!</v>
      </c>
      <c r="G109" s="67" t="e">
        <f t="shared" si="3"/>
        <v>#DIV/0!</v>
      </c>
      <c r="H109" s="67" t="e">
        <f t="shared" si="3"/>
        <v>#DIV/0!</v>
      </c>
      <c r="I109" s="67" t="e">
        <f t="shared" si="3"/>
        <v>#DIV/0!</v>
      </c>
      <c r="J109" s="67" t="e">
        <f t="shared" si="3"/>
        <v>#DIV/0!</v>
      </c>
      <c r="K109" s="67" t="e">
        <f t="shared" si="3"/>
        <v>#DIV/0!</v>
      </c>
      <c r="L109" s="67" t="e">
        <f t="shared" si="3"/>
        <v>#DIV/0!</v>
      </c>
      <c r="M109" s="67" t="e">
        <f t="shared" si="3"/>
        <v>#DIV/0!</v>
      </c>
      <c r="N109" s="67" t="e">
        <f t="shared" si="3"/>
        <v>#DIV/0!</v>
      </c>
      <c r="O109" s="67" t="e">
        <f t="shared" si="3"/>
        <v>#DIV/0!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0</v>
      </c>
      <c r="C110" s="66">
        <f t="shared" si="4"/>
        <v>0</v>
      </c>
      <c r="D110" s="66">
        <f t="shared" si="4"/>
        <v>0</v>
      </c>
      <c r="E110" s="66">
        <f t="shared" si="4"/>
        <v>0</v>
      </c>
      <c r="F110" s="66">
        <f t="shared" si="4"/>
        <v>0</v>
      </c>
      <c r="G110" s="66">
        <f t="shared" si="4"/>
        <v>0</v>
      </c>
      <c r="H110" s="66">
        <f>COUNT(H9:H104)</f>
        <v>0</v>
      </c>
      <c r="I110" s="66">
        <f>COUNT(I9:I104)+1</f>
        <v>1</v>
      </c>
      <c r="J110" s="66">
        <f>COUNT(J9:J104)</f>
        <v>0</v>
      </c>
      <c r="K110" s="66">
        <f t="shared" si="4"/>
        <v>0</v>
      </c>
      <c r="L110" s="66">
        <f t="shared" si="4"/>
        <v>0</v>
      </c>
      <c r="M110" s="66">
        <f t="shared" si="4"/>
        <v>0</v>
      </c>
      <c r="N110" s="66">
        <f t="shared" si="4"/>
        <v>0</v>
      </c>
      <c r="O110" s="66">
        <f t="shared" si="4"/>
        <v>0</v>
      </c>
      <c r="P110" s="66">
        <f t="shared" si="4"/>
        <v>0</v>
      </c>
      <c r="Q110" s="66">
        <f t="shared" si="4"/>
        <v>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&lt;90%</v>
      </c>
      <c r="C111" s="13" t="str">
        <f t="shared" ref="C111:Q111" si="5">IF(C110&gt;=87,"&gt;90%",IF(C110&lt;=87,"&lt;90%"))</f>
        <v>&lt;90%</v>
      </c>
      <c r="D111" s="13" t="str">
        <f t="shared" si="5"/>
        <v>&lt;90%</v>
      </c>
      <c r="E111" s="13" t="str">
        <f t="shared" si="5"/>
        <v>&lt;90%</v>
      </c>
      <c r="F111" s="13" t="str">
        <f t="shared" si="5"/>
        <v>&lt;90%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&lt;90%</v>
      </c>
      <c r="J111" s="13" t="str">
        <f t="shared" si="5"/>
        <v>&lt;90%</v>
      </c>
      <c r="K111" s="13" t="str">
        <f t="shared" si="5"/>
        <v>&lt;90%</v>
      </c>
      <c r="L111" s="13" t="str">
        <f t="shared" si="5"/>
        <v>&lt;90%</v>
      </c>
      <c r="M111" s="13" t="str">
        <f t="shared" si="5"/>
        <v>&lt;90%</v>
      </c>
      <c r="N111" s="13" t="str">
        <f t="shared" si="5"/>
        <v>&lt;90%</v>
      </c>
      <c r="O111" s="13" t="str">
        <f t="shared" si="5"/>
        <v>&lt;90%</v>
      </c>
      <c r="P111" s="13" t="str">
        <f t="shared" si="5"/>
        <v>&lt;90%</v>
      </c>
      <c r="Q111" s="13" t="str">
        <f t="shared" si="5"/>
        <v>&lt;90%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LESS</v>
      </c>
      <c r="C112" s="13" t="str">
        <f t="shared" ref="C112:Q112" si="6">IF(C110&gt;=87,"OK",IF(C110&lt;=87,"LESS"))</f>
        <v>LESS</v>
      </c>
      <c r="D112" s="13" t="str">
        <f t="shared" si="6"/>
        <v>LESS</v>
      </c>
      <c r="E112" s="13" t="str">
        <f t="shared" si="6"/>
        <v>LESS</v>
      </c>
      <c r="F112" s="13" t="str">
        <f t="shared" si="6"/>
        <v>LESS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LESS</v>
      </c>
      <c r="J112" s="13" t="str">
        <f t="shared" si="6"/>
        <v>LESS</v>
      </c>
      <c r="K112" s="13" t="str">
        <f t="shared" si="6"/>
        <v>LESS</v>
      </c>
      <c r="L112" s="13" t="str">
        <f t="shared" si="6"/>
        <v>LESS</v>
      </c>
      <c r="M112" s="13" t="str">
        <f t="shared" si="6"/>
        <v>LESS</v>
      </c>
      <c r="N112" s="13" t="str">
        <f t="shared" si="6"/>
        <v>LESS</v>
      </c>
      <c r="O112" s="13" t="str">
        <f t="shared" si="6"/>
        <v>LESS</v>
      </c>
      <c r="P112" s="13" t="str">
        <f t="shared" si="6"/>
        <v>LESS</v>
      </c>
      <c r="Q112" s="13" t="str">
        <f t="shared" si="6"/>
        <v>LESS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217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B1" sqref="B1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246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>
        <f>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230</v>
      </c>
      <c r="C7" s="198" t="s">
        <v>231</v>
      </c>
      <c r="D7" s="198" t="s">
        <v>232</v>
      </c>
      <c r="E7" s="198" t="s">
        <v>233</v>
      </c>
      <c r="F7" s="198" t="s">
        <v>234</v>
      </c>
      <c r="G7" s="198" t="s">
        <v>235</v>
      </c>
      <c r="H7" s="198" t="s">
        <v>236</v>
      </c>
      <c r="I7" s="198" t="s">
        <v>237</v>
      </c>
      <c r="J7" s="198" t="s">
        <v>238</v>
      </c>
      <c r="K7" s="198" t="s">
        <v>239</v>
      </c>
      <c r="L7" s="198" t="s">
        <v>240</v>
      </c>
      <c r="M7" s="198" t="s">
        <v>241</v>
      </c>
      <c r="N7" s="198" t="s">
        <v>242</v>
      </c>
      <c r="O7" s="198" t="s">
        <v>243</v>
      </c>
      <c r="P7" s="198" t="s">
        <v>244</v>
      </c>
      <c r="Q7" s="198" t="s">
        <v>245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226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>
        <f>'01'!$B$2</f>
        <v>0</v>
      </c>
      <c r="B9" s="61" t="e">
        <f>'01'!B108</f>
        <v>#DIV/0!</v>
      </c>
      <c r="C9" s="61" t="e">
        <f>'01'!C108</f>
        <v>#DIV/0!</v>
      </c>
      <c r="D9" s="61" t="e">
        <f>'01'!D108</f>
        <v>#DIV/0!</v>
      </c>
      <c r="E9" s="61" t="e">
        <f>'01'!E108</f>
        <v>#DIV/0!</v>
      </c>
      <c r="F9" s="61" t="e">
        <f>'01'!F108</f>
        <v>#DIV/0!</v>
      </c>
      <c r="G9" s="99" t="e">
        <f>'01'!$G$108</f>
        <v>#DIV/0!</v>
      </c>
      <c r="H9" s="61" t="e">
        <f>'01'!H108</f>
        <v>#DIV/0!</v>
      </c>
      <c r="I9" s="61" t="e">
        <f>'01'!I108</f>
        <v>#DIV/0!</v>
      </c>
      <c r="J9" s="61" t="e">
        <f>'01'!J108</f>
        <v>#DIV/0!</v>
      </c>
      <c r="K9" s="61" t="e">
        <f>'01'!K108</f>
        <v>#DIV/0!</v>
      </c>
      <c r="L9" s="61" t="e">
        <f>'01'!L108</f>
        <v>#DIV/0!</v>
      </c>
      <c r="M9" s="61" t="e">
        <f>'01'!M108</f>
        <v>#DIV/0!</v>
      </c>
      <c r="N9" s="61" t="e">
        <f>'01'!N108</f>
        <v>#DIV/0!</v>
      </c>
      <c r="O9" s="61" t="e">
        <f>'01'!O108</f>
        <v>#DIV/0!</v>
      </c>
      <c r="P9" s="202" t="e">
        <f>'01'!P108</f>
        <v>#DIV/0!</v>
      </c>
      <c r="Q9" s="61" t="e">
        <f>'01'!Q108</f>
        <v>#DIV/0!</v>
      </c>
      <c r="R9" s="118"/>
      <c r="S9" s="118"/>
      <c r="T9" s="118"/>
      <c r="U9" s="118"/>
    </row>
    <row r="10" spans="1:21" x14ac:dyDescent="0.25">
      <c r="A10" s="94">
        <f>'02'!$B$2</f>
        <v>0</v>
      </c>
      <c r="B10" s="61" t="e">
        <f>'02'!B108</f>
        <v>#DIV/0!</v>
      </c>
      <c r="C10" s="61" t="e">
        <f>'02'!C108</f>
        <v>#DIV/0!</v>
      </c>
      <c r="D10" s="61" t="e">
        <f>'02'!D108</f>
        <v>#DIV/0!</v>
      </c>
      <c r="E10" s="61" t="e">
        <f>'02'!E108</f>
        <v>#DIV/0!</v>
      </c>
      <c r="F10" s="61" t="e">
        <f>'02'!F108</f>
        <v>#DIV/0!</v>
      </c>
      <c r="G10" s="61" t="e">
        <f>'02'!G108</f>
        <v>#DIV/0!</v>
      </c>
      <c r="H10" s="61" t="e">
        <f>'02'!H108</f>
        <v>#DIV/0!</v>
      </c>
      <c r="I10" s="61" t="e">
        <f>'02'!I108</f>
        <v>#DIV/0!</v>
      </c>
      <c r="J10" s="61" t="e">
        <f>'02'!J108</f>
        <v>#DIV/0!</v>
      </c>
      <c r="K10" s="61" t="e">
        <f>'02'!K108</f>
        <v>#DIV/0!</v>
      </c>
      <c r="L10" s="61" t="e">
        <f>'02'!L108</f>
        <v>#DIV/0!</v>
      </c>
      <c r="M10" s="61" t="e">
        <f>'02'!M108</f>
        <v>#DIV/0!</v>
      </c>
      <c r="N10" s="61" t="e">
        <f>'02'!N108</f>
        <v>#DIV/0!</v>
      </c>
      <c r="O10" s="61" t="e">
        <f>'02'!O108</f>
        <v>#DIV/0!</v>
      </c>
      <c r="P10" s="202" t="e">
        <f>'02'!P108</f>
        <v>#DIV/0!</v>
      </c>
      <c r="Q10" s="61" t="e">
        <f>'02'!Q108</f>
        <v>#DIV/0!</v>
      </c>
      <c r="R10" s="118"/>
      <c r="S10" s="118"/>
      <c r="T10" s="118"/>
      <c r="U10" s="118"/>
    </row>
    <row r="11" spans="1:21" x14ac:dyDescent="0.25">
      <c r="A11" s="94">
        <f>'03'!$B$2</f>
        <v>0</v>
      </c>
      <c r="B11" s="61" t="e">
        <f>'03'!B108</f>
        <v>#DIV/0!</v>
      </c>
      <c r="C11" s="61" t="e">
        <f>'03'!C108</f>
        <v>#DIV/0!</v>
      </c>
      <c r="D11" s="61" t="e">
        <f>'03'!D108</f>
        <v>#DIV/0!</v>
      </c>
      <c r="E11" s="61" t="e">
        <f>'03'!E108</f>
        <v>#DIV/0!</v>
      </c>
      <c r="F11" s="61" t="e">
        <f>'03'!F108</f>
        <v>#DIV/0!</v>
      </c>
      <c r="G11" s="61" t="e">
        <f>'03'!G108</f>
        <v>#DIV/0!</v>
      </c>
      <c r="H11" s="61" t="e">
        <f>'03'!H108</f>
        <v>#DIV/0!</v>
      </c>
      <c r="I11" s="61" t="e">
        <f>'03'!I108</f>
        <v>#DIV/0!</v>
      </c>
      <c r="J11" s="61" t="e">
        <f>'03'!J108</f>
        <v>#DIV/0!</v>
      </c>
      <c r="K11" s="61" t="e">
        <f>'03'!K108</f>
        <v>#DIV/0!</v>
      </c>
      <c r="L11" s="61" t="e">
        <f>'03'!L108</f>
        <v>#DIV/0!</v>
      </c>
      <c r="M11" s="61" t="e">
        <f>'03'!M108</f>
        <v>#DIV/0!</v>
      </c>
      <c r="N11" s="61" t="e">
        <f>'03'!N108</f>
        <v>#DIV/0!</v>
      </c>
      <c r="O11" s="61" t="e">
        <f>'03'!O108</f>
        <v>#DIV/0!</v>
      </c>
      <c r="P11" s="202" t="e">
        <f>'03'!P108</f>
        <v>#DIV/0!</v>
      </c>
      <c r="Q11" s="61" t="e">
        <f>'03'!Q108</f>
        <v>#DIV/0!</v>
      </c>
      <c r="R11" s="118"/>
      <c r="S11" s="118"/>
      <c r="T11" s="118"/>
      <c r="U11" s="118"/>
    </row>
    <row r="12" spans="1:21" x14ac:dyDescent="0.25">
      <c r="A12" s="94">
        <f>'04'!$B$2</f>
        <v>0</v>
      </c>
      <c r="B12" s="61" t="e">
        <f>'04'!B108</f>
        <v>#DIV/0!</v>
      </c>
      <c r="C12" s="61" t="e">
        <f>'04'!C108</f>
        <v>#DIV/0!</v>
      </c>
      <c r="D12" s="61" t="e">
        <f>'04'!D108</f>
        <v>#DIV/0!</v>
      </c>
      <c r="E12" s="61" t="e">
        <f>'04'!E108</f>
        <v>#DIV/0!</v>
      </c>
      <c r="F12" s="61" t="e">
        <f>'04'!F108</f>
        <v>#DIV/0!</v>
      </c>
      <c r="G12" s="61" t="e">
        <f>'04'!G108</f>
        <v>#DIV/0!</v>
      </c>
      <c r="H12" s="61" t="e">
        <f>'04'!H108</f>
        <v>#DIV/0!</v>
      </c>
      <c r="I12" s="61" t="e">
        <f>'04'!I108</f>
        <v>#DIV/0!</v>
      </c>
      <c r="J12" s="61" t="e">
        <f>'04'!J108</f>
        <v>#DIV/0!</v>
      </c>
      <c r="K12" s="61" t="e">
        <f>'04'!K108</f>
        <v>#DIV/0!</v>
      </c>
      <c r="L12" s="61" t="e">
        <f>'04'!L108</f>
        <v>#DIV/0!</v>
      </c>
      <c r="M12" s="61" t="e">
        <f>'04'!M108</f>
        <v>#DIV/0!</v>
      </c>
      <c r="N12" s="61" t="e">
        <f>'04'!N108</f>
        <v>#DIV/0!</v>
      </c>
      <c r="O12" s="61" t="e">
        <f>'04'!O108</f>
        <v>#DIV/0!</v>
      </c>
      <c r="P12" s="202" t="e">
        <f>'04'!P108</f>
        <v>#DIV/0!</v>
      </c>
      <c r="Q12" s="61" t="e">
        <f>'04'!Q108</f>
        <v>#DIV/0!</v>
      </c>
      <c r="R12" s="118"/>
      <c r="S12" s="118"/>
      <c r="T12" s="118"/>
      <c r="U12" s="118"/>
    </row>
    <row r="13" spans="1:21" x14ac:dyDescent="0.25">
      <c r="A13" s="94">
        <f>'05'!$B$2</f>
        <v>0</v>
      </c>
      <c r="B13" s="61" t="e">
        <f>'05'!B108</f>
        <v>#DIV/0!</v>
      </c>
      <c r="C13" s="61" t="e">
        <f>'05'!C108</f>
        <v>#DIV/0!</v>
      </c>
      <c r="D13" s="61" t="e">
        <f>'05'!D108</f>
        <v>#DIV/0!</v>
      </c>
      <c r="E13" s="61" t="e">
        <f>'05'!E108</f>
        <v>#DIV/0!</v>
      </c>
      <c r="F13" s="61" t="e">
        <f>'05'!F108</f>
        <v>#DIV/0!</v>
      </c>
      <c r="G13" s="61" t="e">
        <f>'05'!G108</f>
        <v>#DIV/0!</v>
      </c>
      <c r="H13" s="61" t="e">
        <f>'05'!H108</f>
        <v>#DIV/0!</v>
      </c>
      <c r="I13" s="61" t="e">
        <f>'05'!I108</f>
        <v>#DIV/0!</v>
      </c>
      <c r="J13" s="61" t="e">
        <f>'05'!J108</f>
        <v>#DIV/0!</v>
      </c>
      <c r="K13" s="61" t="e">
        <f>'05'!K108</f>
        <v>#DIV/0!</v>
      </c>
      <c r="L13" s="61" t="e">
        <f>'05'!L108</f>
        <v>#DIV/0!</v>
      </c>
      <c r="M13" s="61" t="e">
        <f>'05'!M108</f>
        <v>#DIV/0!</v>
      </c>
      <c r="N13" s="61" t="e">
        <f>'05'!N108</f>
        <v>#DIV/0!</v>
      </c>
      <c r="O13" s="61" t="e">
        <f>'05'!O108</f>
        <v>#DIV/0!</v>
      </c>
      <c r="P13" s="202" t="e">
        <f>'05'!P108</f>
        <v>#DIV/0!</v>
      </c>
      <c r="Q13" s="61" t="e">
        <f>'05'!Q108</f>
        <v>#DIV/0!</v>
      </c>
      <c r="R13" s="118"/>
      <c r="S13" s="118"/>
      <c r="T13" s="118"/>
      <c r="U13" s="118"/>
    </row>
    <row r="14" spans="1:21" x14ac:dyDescent="0.25">
      <c r="A14" s="94">
        <f>'06'!$B$2</f>
        <v>0</v>
      </c>
      <c r="B14" s="61" t="e">
        <f>'06'!B108</f>
        <v>#DIV/0!</v>
      </c>
      <c r="C14" s="61" t="e">
        <f>'06'!C108</f>
        <v>#DIV/0!</v>
      </c>
      <c r="D14" s="61" t="e">
        <f>'06'!D108</f>
        <v>#DIV/0!</v>
      </c>
      <c r="E14" s="61" t="e">
        <f>'06'!E108</f>
        <v>#DIV/0!</v>
      </c>
      <c r="F14" s="61" t="e">
        <f>'06'!F108</f>
        <v>#DIV/0!</v>
      </c>
      <c r="G14" s="61" t="e">
        <f>'06'!G108</f>
        <v>#DIV/0!</v>
      </c>
      <c r="H14" s="61" t="e">
        <f>'06'!H108</f>
        <v>#DIV/0!</v>
      </c>
      <c r="I14" s="61" t="e">
        <f>'06'!I108</f>
        <v>#DIV/0!</v>
      </c>
      <c r="J14" s="61" t="e">
        <f>'06'!J108</f>
        <v>#DIV/0!</v>
      </c>
      <c r="K14" s="61" t="e">
        <f>'06'!K108</f>
        <v>#DIV/0!</v>
      </c>
      <c r="L14" s="61" t="e">
        <f>'06'!L108</f>
        <v>#DIV/0!</v>
      </c>
      <c r="M14" s="61" t="e">
        <f>'06'!M108</f>
        <v>#DIV/0!</v>
      </c>
      <c r="N14" s="61" t="e">
        <f>'06'!N108</f>
        <v>#DIV/0!</v>
      </c>
      <c r="O14" s="61" t="e">
        <f>'06'!O108</f>
        <v>#DIV/0!</v>
      </c>
      <c r="P14" s="202" t="e">
        <f>'06'!P108</f>
        <v>#DIV/0!</v>
      </c>
      <c r="Q14" s="61" t="e">
        <f>'06'!Q108</f>
        <v>#DIV/0!</v>
      </c>
      <c r="R14" s="118"/>
      <c r="S14" s="118"/>
      <c r="T14" s="118"/>
      <c r="U14" s="118"/>
    </row>
    <row r="15" spans="1:21" x14ac:dyDescent="0.25">
      <c r="A15" s="94">
        <f>'07'!$B$2</f>
        <v>0</v>
      </c>
      <c r="B15" s="61" t="e">
        <f>'07'!B108</f>
        <v>#DIV/0!</v>
      </c>
      <c r="C15" s="61" t="e">
        <f>'07'!C108</f>
        <v>#DIV/0!</v>
      </c>
      <c r="D15" s="61" t="e">
        <f>'07'!D108</f>
        <v>#DIV/0!</v>
      </c>
      <c r="E15" s="61" t="e">
        <f>'07'!E108</f>
        <v>#DIV/0!</v>
      </c>
      <c r="F15" s="61" t="e">
        <f>'07'!F108</f>
        <v>#DIV/0!</v>
      </c>
      <c r="G15" s="100" t="e">
        <f>'07'!$G$108</f>
        <v>#DIV/0!</v>
      </c>
      <c r="H15" s="61" t="e">
        <f>'07'!H108</f>
        <v>#DIV/0!</v>
      </c>
      <c r="I15" s="61" t="e">
        <f>'07'!I108</f>
        <v>#DIV/0!</v>
      </c>
      <c r="J15" s="61" t="e">
        <f>'07'!J108</f>
        <v>#DIV/0!</v>
      </c>
      <c r="K15" s="61" t="e">
        <f>'07'!K108</f>
        <v>#DIV/0!</v>
      </c>
      <c r="L15" s="61" t="e">
        <f>'07'!L108</f>
        <v>#DIV/0!</v>
      </c>
      <c r="M15" s="61" t="e">
        <f>'07'!M108</f>
        <v>#DIV/0!</v>
      </c>
      <c r="N15" s="61" t="e">
        <f>'07'!N108</f>
        <v>#DIV/0!</v>
      </c>
      <c r="O15" s="61" t="e">
        <f>'07'!O108</f>
        <v>#DIV/0!</v>
      </c>
      <c r="P15" s="202" t="e">
        <f>'07'!P108</f>
        <v>#DIV/0!</v>
      </c>
      <c r="Q15" s="61" t="e">
        <f>'07'!Q108</f>
        <v>#DIV/0!</v>
      </c>
      <c r="R15" s="118"/>
      <c r="S15" s="118"/>
      <c r="T15" s="118"/>
      <c r="U15" s="118"/>
    </row>
    <row r="16" spans="1:21" x14ac:dyDescent="0.25">
      <c r="A16" s="94">
        <f>'08'!$B$2</f>
        <v>0</v>
      </c>
      <c r="B16" s="61" t="e">
        <f>'08'!B108</f>
        <v>#DIV/0!</v>
      </c>
      <c r="C16" s="61" t="e">
        <f>'08'!C108</f>
        <v>#DIV/0!</v>
      </c>
      <c r="D16" s="61" t="e">
        <f>'08'!D108</f>
        <v>#DIV/0!</v>
      </c>
      <c r="E16" s="61" t="e">
        <f>'08'!E108</f>
        <v>#DIV/0!</v>
      </c>
      <c r="F16" s="61" t="e">
        <f>'08'!F108</f>
        <v>#DIV/0!</v>
      </c>
      <c r="G16" s="100" t="e">
        <f>'08'!$G$108</f>
        <v>#DIV/0!</v>
      </c>
      <c r="H16" s="61" t="e">
        <f>'08'!H108</f>
        <v>#DIV/0!</v>
      </c>
      <c r="I16" s="61" t="e">
        <f>'08'!I108</f>
        <v>#DIV/0!</v>
      </c>
      <c r="J16" s="61" t="e">
        <f>'08'!J108</f>
        <v>#DIV/0!</v>
      </c>
      <c r="K16" s="61" t="e">
        <f>'08'!K108</f>
        <v>#DIV/0!</v>
      </c>
      <c r="L16" s="61" t="e">
        <f>'08'!L108</f>
        <v>#DIV/0!</v>
      </c>
      <c r="M16" s="61" t="e">
        <f>'08'!M108</f>
        <v>#DIV/0!</v>
      </c>
      <c r="N16" s="61" t="e">
        <f>'08'!N108</f>
        <v>#DIV/0!</v>
      </c>
      <c r="O16" s="61" t="e">
        <f>'08'!O108</f>
        <v>#DIV/0!</v>
      </c>
      <c r="P16" s="202" t="e">
        <f>'08'!P108</f>
        <v>#DIV/0!</v>
      </c>
      <c r="Q16" s="61" t="e">
        <f>'08'!Q108</f>
        <v>#DIV/0!</v>
      </c>
      <c r="R16" s="118"/>
      <c r="S16" s="118"/>
      <c r="T16" s="118"/>
      <c r="U16" s="118"/>
    </row>
    <row r="17" spans="1:21" x14ac:dyDescent="0.25">
      <c r="A17" s="94">
        <f>'09'!$B$2</f>
        <v>0</v>
      </c>
      <c r="B17" s="61" t="e">
        <f>'09'!B108</f>
        <v>#DIV/0!</v>
      </c>
      <c r="C17" s="61" t="e">
        <f>'09'!C108</f>
        <v>#DIV/0!</v>
      </c>
      <c r="D17" s="61" t="e">
        <f>'09'!D108</f>
        <v>#DIV/0!</v>
      </c>
      <c r="E17" s="61" t="e">
        <f>'09'!E108</f>
        <v>#DIV/0!</v>
      </c>
      <c r="F17" s="61" t="e">
        <f>'09'!F108</f>
        <v>#DIV/0!</v>
      </c>
      <c r="G17" s="100" t="e">
        <f>'09'!$G$108</f>
        <v>#DIV/0!</v>
      </c>
      <c r="H17" s="61" t="e">
        <f>'09'!H108</f>
        <v>#DIV/0!</v>
      </c>
      <c r="I17" s="61" t="e">
        <f>'09'!I108</f>
        <v>#DIV/0!</v>
      </c>
      <c r="J17" s="61" t="e">
        <f>'09'!J108</f>
        <v>#DIV/0!</v>
      </c>
      <c r="K17" s="61" t="e">
        <f>'09'!K108</f>
        <v>#DIV/0!</v>
      </c>
      <c r="L17" s="61" t="e">
        <f>'09'!L108</f>
        <v>#DIV/0!</v>
      </c>
      <c r="M17" s="61" t="e">
        <f>'09'!M108</f>
        <v>#DIV/0!</v>
      </c>
      <c r="N17" s="61" t="e">
        <f>'09'!N108</f>
        <v>#DIV/0!</v>
      </c>
      <c r="O17" s="61" t="e">
        <f>'09'!O108</f>
        <v>#DIV/0!</v>
      </c>
      <c r="P17" s="202" t="e">
        <f>'09'!P108</f>
        <v>#DIV/0!</v>
      </c>
      <c r="Q17" s="61" t="e">
        <f>'09'!Q108</f>
        <v>#DIV/0!</v>
      </c>
      <c r="R17" s="118"/>
      <c r="S17" s="118"/>
      <c r="T17" s="118"/>
      <c r="U17" s="118"/>
    </row>
    <row r="18" spans="1:21" x14ac:dyDescent="0.25">
      <c r="A18" s="94">
        <f>'10'!$B$2</f>
        <v>0</v>
      </c>
      <c r="B18" s="61" t="e">
        <f>'10'!B108</f>
        <v>#DIV/0!</v>
      </c>
      <c r="C18" s="61" t="e">
        <f>'10'!C108</f>
        <v>#DIV/0!</v>
      </c>
      <c r="D18" s="61" t="e">
        <f>'10'!D108</f>
        <v>#DIV/0!</v>
      </c>
      <c r="E18" s="61" t="e">
        <f>'10'!E108</f>
        <v>#DIV/0!</v>
      </c>
      <c r="F18" s="61" t="e">
        <f>'10'!F108</f>
        <v>#DIV/0!</v>
      </c>
      <c r="G18" s="101" t="e">
        <f>'10'!$G$108</f>
        <v>#DIV/0!</v>
      </c>
      <c r="H18" s="61" t="e">
        <f>'10'!H108</f>
        <v>#DIV/0!</v>
      </c>
      <c r="I18" s="61" t="e">
        <f>'10'!I108</f>
        <v>#DIV/0!</v>
      </c>
      <c r="J18" s="61" t="e">
        <f>'10'!J108</f>
        <v>#DIV/0!</v>
      </c>
      <c r="K18" s="61" t="e">
        <f>'10'!K108</f>
        <v>#DIV/0!</v>
      </c>
      <c r="L18" s="61" t="e">
        <f>'10'!L108</f>
        <v>#DIV/0!</v>
      </c>
      <c r="M18" s="61" t="e">
        <f>'10'!M108</f>
        <v>#DIV/0!</v>
      </c>
      <c r="N18" s="61" t="e">
        <f>'10'!N108</f>
        <v>#DIV/0!</v>
      </c>
      <c r="O18" s="61" t="e">
        <f>'10'!O108</f>
        <v>#DIV/0!</v>
      </c>
      <c r="P18" s="202" t="e">
        <f>'10'!P108</f>
        <v>#DIV/0!</v>
      </c>
      <c r="Q18" s="61" t="e">
        <f>'10'!Q108</f>
        <v>#DIV/0!</v>
      </c>
      <c r="R18" s="118"/>
      <c r="S18" s="118"/>
      <c r="T18" s="118"/>
      <c r="U18" s="118"/>
    </row>
    <row r="19" spans="1:21" x14ac:dyDescent="0.25">
      <c r="A19" s="94">
        <f>'11'!$B$2</f>
        <v>0</v>
      </c>
      <c r="B19" s="61" t="e">
        <f>'11'!B108</f>
        <v>#DIV/0!</v>
      </c>
      <c r="C19" s="61" t="e">
        <f>'11'!C108</f>
        <v>#DIV/0!</v>
      </c>
      <c r="D19" s="61" t="e">
        <f>'11'!D108</f>
        <v>#DIV/0!</v>
      </c>
      <c r="E19" s="61" t="e">
        <f>'11'!E108</f>
        <v>#DIV/0!</v>
      </c>
      <c r="F19" s="61" t="e">
        <f>'11'!F108</f>
        <v>#DIV/0!</v>
      </c>
      <c r="G19" s="99" t="e">
        <f>'11'!$G$108</f>
        <v>#DIV/0!</v>
      </c>
      <c r="H19" s="61" t="e">
        <f>'11'!H108</f>
        <v>#DIV/0!</v>
      </c>
      <c r="I19" s="61" t="e">
        <f>'11'!I108</f>
        <v>#DIV/0!</v>
      </c>
      <c r="J19" s="61" t="e">
        <f>'11'!J108</f>
        <v>#DIV/0!</v>
      </c>
      <c r="K19" s="61" t="e">
        <f>'11'!K108</f>
        <v>#DIV/0!</v>
      </c>
      <c r="L19" s="61" t="e">
        <f>'11'!L108</f>
        <v>#DIV/0!</v>
      </c>
      <c r="M19" s="61" t="e">
        <f>'11'!M108</f>
        <v>#DIV/0!</v>
      </c>
      <c r="N19" s="61" t="e">
        <f>'11'!N108</f>
        <v>#DIV/0!</v>
      </c>
      <c r="O19" s="61" t="e">
        <f>'11'!O108</f>
        <v>#DIV/0!</v>
      </c>
      <c r="P19" s="202" t="e">
        <f>'11'!P108</f>
        <v>#DIV/0!</v>
      </c>
      <c r="Q19" s="61" t="e">
        <f>'11'!Q108</f>
        <v>#DIV/0!</v>
      </c>
      <c r="R19" s="118"/>
      <c r="S19" s="118"/>
      <c r="T19" s="118"/>
      <c r="U19" s="118"/>
    </row>
    <row r="20" spans="1:21" x14ac:dyDescent="0.25">
      <c r="A20" s="94">
        <f>'12'!$B$2</f>
        <v>0</v>
      </c>
      <c r="B20" s="61" t="e">
        <f>'12'!B108</f>
        <v>#DIV/0!</v>
      </c>
      <c r="C20" s="61" t="e">
        <f>'12'!C108</f>
        <v>#DIV/0!</v>
      </c>
      <c r="D20" s="61" t="e">
        <f>'12'!D108</f>
        <v>#DIV/0!</v>
      </c>
      <c r="E20" s="61" t="e">
        <f>'12'!E108</f>
        <v>#DIV/0!</v>
      </c>
      <c r="F20" s="61" t="e">
        <f>'12'!F108</f>
        <v>#DIV/0!</v>
      </c>
      <c r="G20" s="101" t="e">
        <f>'12'!$G$108</f>
        <v>#DIV/0!</v>
      </c>
      <c r="H20" s="61" t="e">
        <f>'12'!H108</f>
        <v>#DIV/0!</v>
      </c>
      <c r="I20" s="61" t="e">
        <f>'12'!I108</f>
        <v>#DIV/0!</v>
      </c>
      <c r="J20" s="61" t="e">
        <f>'12'!J108</f>
        <v>#DIV/0!</v>
      </c>
      <c r="K20" s="61" t="e">
        <f>'12'!K108</f>
        <v>#DIV/0!</v>
      </c>
      <c r="L20" s="61" t="e">
        <f>'12'!L108</f>
        <v>#DIV/0!</v>
      </c>
      <c r="M20" s="61" t="e">
        <f>'12'!M108</f>
        <v>#DIV/0!</v>
      </c>
      <c r="N20" s="61" t="e">
        <f>'12'!N108</f>
        <v>#DIV/0!</v>
      </c>
      <c r="O20" s="61" t="e">
        <f>'12'!O108</f>
        <v>#DIV/0!</v>
      </c>
      <c r="P20" s="202" t="e">
        <f>'12'!P108</f>
        <v>#DIV/0!</v>
      </c>
      <c r="Q20" s="61" t="e">
        <f>'12'!Q108</f>
        <v>#DIV/0!</v>
      </c>
      <c r="R20" s="118"/>
      <c r="S20" s="118"/>
      <c r="T20" s="118"/>
      <c r="U20" s="118"/>
    </row>
    <row r="21" spans="1:21" s="89" customFormat="1" x14ac:dyDescent="0.25">
      <c r="A21" s="94">
        <f>'13'!$B$2</f>
        <v>0</v>
      </c>
      <c r="B21" s="91" t="e">
        <f>'13'!B108</f>
        <v>#DIV/0!</v>
      </c>
      <c r="C21" s="91" t="e">
        <f>'13'!C108</f>
        <v>#DIV/0!</v>
      </c>
      <c r="D21" s="91" t="e">
        <f>'13'!D108</f>
        <v>#DIV/0!</v>
      </c>
      <c r="E21" s="91" t="e">
        <f>'13'!E108</f>
        <v>#DIV/0!</v>
      </c>
      <c r="F21" s="91" t="e">
        <f>'13'!F108</f>
        <v>#DIV/0!</v>
      </c>
      <c r="G21" s="100" t="e">
        <f>'13'!$G$108</f>
        <v>#DIV/0!</v>
      </c>
      <c r="H21" s="91" t="e">
        <f>'13'!H108</f>
        <v>#DIV/0!</v>
      </c>
      <c r="I21" s="91" t="e">
        <f>'13'!I108</f>
        <v>#DIV/0!</v>
      </c>
      <c r="J21" s="91" t="e">
        <f>'13'!J108</f>
        <v>#DIV/0!</v>
      </c>
      <c r="K21" s="91" t="e">
        <f>'13'!K108</f>
        <v>#DIV/0!</v>
      </c>
      <c r="L21" s="91" t="e">
        <f>'13'!L108</f>
        <v>#DIV/0!</v>
      </c>
      <c r="M21" s="91" t="e">
        <f>'13'!M108</f>
        <v>#DIV/0!</v>
      </c>
      <c r="N21" s="91" t="e">
        <f>'13'!N108</f>
        <v>#DIV/0!</v>
      </c>
      <c r="O21" s="91" t="e">
        <f>'13'!O108</f>
        <v>#DIV/0!</v>
      </c>
      <c r="P21" s="203" t="e">
        <f>'13'!P108</f>
        <v>#DIV/0!</v>
      </c>
      <c r="Q21" s="91" t="e">
        <f>'13'!Q108</f>
        <v>#DIV/0!</v>
      </c>
      <c r="R21" s="205"/>
      <c r="S21" s="205"/>
      <c r="T21" s="205"/>
      <c r="U21" s="205"/>
    </row>
    <row r="22" spans="1:21" s="89" customFormat="1" x14ac:dyDescent="0.25">
      <c r="A22" s="94">
        <f>'14'!$B$2</f>
        <v>0</v>
      </c>
      <c r="B22" s="90" t="e">
        <f>'14'!B108</f>
        <v>#DIV/0!</v>
      </c>
      <c r="C22" s="90" t="e">
        <f>'14'!C108</f>
        <v>#DIV/0!</v>
      </c>
      <c r="D22" s="90" t="e">
        <f>'14'!D108</f>
        <v>#DIV/0!</v>
      </c>
      <c r="E22" s="90" t="e">
        <f>'14'!E108</f>
        <v>#DIV/0!</v>
      </c>
      <c r="F22" s="90" t="e">
        <f>'14'!F108</f>
        <v>#DIV/0!</v>
      </c>
      <c r="G22" s="100" t="e">
        <f>'14'!$G$108</f>
        <v>#DIV/0!</v>
      </c>
      <c r="H22" s="100" t="e">
        <f>'14'!$G$108</f>
        <v>#DIV/0!</v>
      </c>
      <c r="I22" s="90" t="e">
        <f>'14'!I108</f>
        <v>#DIV/0!</v>
      </c>
      <c r="J22" s="90" t="e">
        <f>'14'!J108</f>
        <v>#DIV/0!</v>
      </c>
      <c r="K22" s="90" t="e">
        <f>'14'!K108</f>
        <v>#DIV/0!</v>
      </c>
      <c r="L22" s="90" t="e">
        <f>'14'!L108</f>
        <v>#DIV/0!</v>
      </c>
      <c r="M22" s="90" t="e">
        <f>'14'!M108</f>
        <v>#DIV/0!</v>
      </c>
      <c r="N22" s="90" t="e">
        <f>'14'!N108</f>
        <v>#DIV/0!</v>
      </c>
      <c r="O22" s="90" t="e">
        <f>'14'!O108</f>
        <v>#DIV/0!</v>
      </c>
      <c r="P22" s="204" t="e">
        <f>'14'!P108</f>
        <v>#DIV/0!</v>
      </c>
      <c r="Q22" s="90" t="e">
        <f>'14'!Q108</f>
        <v>#DIV/0!</v>
      </c>
      <c r="R22" s="206"/>
      <c r="S22" s="206"/>
      <c r="T22" s="206"/>
      <c r="U22" s="206"/>
    </row>
    <row r="23" spans="1:21" x14ac:dyDescent="0.25">
      <c r="A23" s="94">
        <f>'15'!$B$2</f>
        <v>0</v>
      </c>
      <c r="B23" s="61" t="e">
        <f>'15'!B108</f>
        <v>#DIV/0!</v>
      </c>
      <c r="C23" s="61" t="e">
        <f>'15'!C108</f>
        <v>#DIV/0!</v>
      </c>
      <c r="D23" s="61" t="e">
        <f>'15'!D108</f>
        <v>#DIV/0!</v>
      </c>
      <c r="E23" s="61" t="e">
        <f>'15'!E108</f>
        <v>#DIV/0!</v>
      </c>
      <c r="F23" s="61" t="e">
        <f>'15'!F108</f>
        <v>#DIV/0!</v>
      </c>
      <c r="G23" s="100" t="e">
        <f>'15'!$G$108</f>
        <v>#DIV/0!</v>
      </c>
      <c r="H23" s="61" t="e">
        <f>'15'!H108</f>
        <v>#DIV/0!</v>
      </c>
      <c r="I23" s="61" t="e">
        <f>'15'!I108</f>
        <v>#DIV/0!</v>
      </c>
      <c r="J23" s="61" t="e">
        <f>'15'!J108</f>
        <v>#DIV/0!</v>
      </c>
      <c r="K23" s="61" t="e">
        <f>'15'!K108</f>
        <v>#DIV/0!</v>
      </c>
      <c r="L23" s="61" t="e">
        <f>'15'!L108</f>
        <v>#DIV/0!</v>
      </c>
      <c r="M23" s="61" t="e">
        <f>'15'!M108</f>
        <v>#DIV/0!</v>
      </c>
      <c r="N23" s="61" t="e">
        <f>'15'!N108</f>
        <v>#DIV/0!</v>
      </c>
      <c r="O23" s="61" t="e">
        <f>'15'!O108</f>
        <v>#DIV/0!</v>
      </c>
      <c r="P23" s="202" t="e">
        <f>'15'!P108</f>
        <v>#DIV/0!</v>
      </c>
      <c r="Q23" s="61" t="e">
        <f>'15'!Q108</f>
        <v>#DIV/0!</v>
      </c>
      <c r="R23" s="118"/>
      <c r="S23" s="118"/>
      <c r="T23" s="118"/>
      <c r="U23" s="118"/>
    </row>
    <row r="24" spans="1:21" x14ac:dyDescent="0.25">
      <c r="A24" s="94">
        <f>'16'!$B$2</f>
        <v>0</v>
      </c>
      <c r="B24" s="61" t="e">
        <f>'16'!B108</f>
        <v>#DIV/0!</v>
      </c>
      <c r="C24" s="61" t="e">
        <f>'16'!C108</f>
        <v>#DIV/0!</v>
      </c>
      <c r="D24" s="61" t="e">
        <f>'16'!D108</f>
        <v>#DIV/0!</v>
      </c>
      <c r="E24" s="61" t="e">
        <f>'16'!E108</f>
        <v>#DIV/0!</v>
      </c>
      <c r="F24" s="61" t="e">
        <f>'16'!F108</f>
        <v>#DIV/0!</v>
      </c>
      <c r="G24" s="100" t="e">
        <f>'16'!$G$108</f>
        <v>#DIV/0!</v>
      </c>
      <c r="H24" s="61" t="e">
        <f>'16'!H108</f>
        <v>#DIV/0!</v>
      </c>
      <c r="I24" s="61" t="e">
        <f>'16'!I108</f>
        <v>#DIV/0!</v>
      </c>
      <c r="J24" s="61" t="e">
        <f>'16'!J108</f>
        <v>#DIV/0!</v>
      </c>
      <c r="K24" s="61" t="e">
        <f>'16'!K108</f>
        <v>#DIV/0!</v>
      </c>
      <c r="L24" s="61" t="e">
        <f>'16'!L108</f>
        <v>#DIV/0!</v>
      </c>
      <c r="M24" s="61" t="e">
        <f>'16'!M108</f>
        <v>#DIV/0!</v>
      </c>
      <c r="N24" s="61" t="e">
        <f>'16'!N108</f>
        <v>#DIV/0!</v>
      </c>
      <c r="O24" s="61" t="e">
        <f>'16'!O108</f>
        <v>#DIV/0!</v>
      </c>
      <c r="P24" s="202" t="e">
        <f>'16'!P108</f>
        <v>#DIV/0!</v>
      </c>
      <c r="Q24" s="61" t="e">
        <f>'16'!Q108</f>
        <v>#DIV/0!</v>
      </c>
      <c r="R24" s="118"/>
      <c r="S24" s="118"/>
      <c r="T24" s="118"/>
      <c r="U24" s="118"/>
    </row>
    <row r="25" spans="1:21" x14ac:dyDescent="0.25">
      <c r="A25" s="94">
        <f>'17'!$B$2</f>
        <v>0</v>
      </c>
      <c r="B25" s="61" t="e">
        <f>'17'!B108</f>
        <v>#DIV/0!</v>
      </c>
      <c r="C25" s="61" t="e">
        <f>'17'!C108</f>
        <v>#DIV/0!</v>
      </c>
      <c r="D25" s="61" t="e">
        <f>'17'!D108</f>
        <v>#DIV/0!</v>
      </c>
      <c r="E25" s="61" t="e">
        <f>'17'!E108</f>
        <v>#DIV/0!</v>
      </c>
      <c r="F25" s="61" t="e">
        <f>'17'!F108</f>
        <v>#DIV/0!</v>
      </c>
      <c r="G25" s="101" t="e">
        <f>'17'!$G$108</f>
        <v>#DIV/0!</v>
      </c>
      <c r="H25" s="61" t="e">
        <f>'17'!H108</f>
        <v>#DIV/0!</v>
      </c>
      <c r="I25" s="61" t="e">
        <f>'17'!I108</f>
        <v>#DIV/0!</v>
      </c>
      <c r="J25" s="61" t="e">
        <f>'17'!J108</f>
        <v>#DIV/0!</v>
      </c>
      <c r="K25" s="61" t="e">
        <f>'17'!K108</f>
        <v>#DIV/0!</v>
      </c>
      <c r="L25" s="61" t="e">
        <f>'17'!L108</f>
        <v>#DIV/0!</v>
      </c>
      <c r="M25" s="61" t="e">
        <f>'17'!M108</f>
        <v>#DIV/0!</v>
      </c>
      <c r="N25" s="61" t="e">
        <f>'17'!N108</f>
        <v>#DIV/0!</v>
      </c>
      <c r="O25" s="61" t="e">
        <f>'17'!O108</f>
        <v>#DIV/0!</v>
      </c>
      <c r="P25" s="202" t="e">
        <f>'17'!P108</f>
        <v>#DIV/0!</v>
      </c>
      <c r="Q25" s="61" t="e">
        <f>'17'!Q108</f>
        <v>#DIV/0!</v>
      </c>
      <c r="R25" s="118"/>
      <c r="S25" s="118"/>
      <c r="T25" s="118"/>
      <c r="U25" s="118"/>
    </row>
    <row r="26" spans="1:21" x14ac:dyDescent="0.25">
      <c r="A26" s="94">
        <f>'18'!$B$2</f>
        <v>0</v>
      </c>
      <c r="B26" s="61" t="e">
        <f>'18'!B108</f>
        <v>#DIV/0!</v>
      </c>
      <c r="C26" s="61" t="e">
        <f>'18'!C108</f>
        <v>#DIV/0!</v>
      </c>
      <c r="D26" s="61" t="e">
        <f>'18'!D108</f>
        <v>#DIV/0!</v>
      </c>
      <c r="E26" s="61" t="e">
        <f>'18'!E108</f>
        <v>#DIV/0!</v>
      </c>
      <c r="F26" s="61" t="e">
        <f>'18'!F108</f>
        <v>#DIV/0!</v>
      </c>
      <c r="G26" s="99" t="e">
        <f>'18'!$G$108</f>
        <v>#DIV/0!</v>
      </c>
      <c r="H26" s="61" t="e">
        <f>'18'!H108</f>
        <v>#DIV/0!</v>
      </c>
      <c r="I26" s="61" t="e">
        <f>'18'!I108</f>
        <v>#DIV/0!</v>
      </c>
      <c r="J26" s="61" t="e">
        <f>'18'!J108</f>
        <v>#DIV/0!</v>
      </c>
      <c r="K26" s="61" t="e">
        <f>'18'!K108</f>
        <v>#DIV/0!</v>
      </c>
      <c r="L26" s="61" t="e">
        <f>'18'!L108</f>
        <v>#DIV/0!</v>
      </c>
      <c r="M26" s="61" t="e">
        <f>'18'!M108</f>
        <v>#DIV/0!</v>
      </c>
      <c r="N26" s="61" t="e">
        <f>'18'!N108</f>
        <v>#DIV/0!</v>
      </c>
      <c r="O26" s="61" t="e">
        <f>'18'!O108</f>
        <v>#DIV/0!</v>
      </c>
      <c r="P26" s="202" t="e">
        <f>'18'!P108</f>
        <v>#DIV/0!</v>
      </c>
      <c r="Q26" s="61" t="e">
        <f>'18'!Q108</f>
        <v>#DIV/0!</v>
      </c>
      <c r="R26" s="118"/>
      <c r="S26" s="118"/>
      <c r="T26" s="118"/>
      <c r="U26" s="118"/>
    </row>
    <row r="27" spans="1:21" x14ac:dyDescent="0.25">
      <c r="A27" s="94">
        <f>'19'!$B$2</f>
        <v>0</v>
      </c>
      <c r="B27" s="61" t="e">
        <f>'19'!B108</f>
        <v>#DIV/0!</v>
      </c>
      <c r="C27" s="61" t="e">
        <f>'19'!C108</f>
        <v>#DIV/0!</v>
      </c>
      <c r="D27" s="61" t="e">
        <f>'19'!D108</f>
        <v>#DIV/0!</v>
      </c>
      <c r="E27" s="61" t="e">
        <f>'19'!E108</f>
        <v>#DIV/0!</v>
      </c>
      <c r="F27" s="61" t="e">
        <f>'19'!F108</f>
        <v>#DIV/0!</v>
      </c>
      <c r="G27" s="61" t="e">
        <f>'19'!G108</f>
        <v>#DIV/0!</v>
      </c>
      <c r="H27" s="61" t="e">
        <f>'19'!H108</f>
        <v>#DIV/0!</v>
      </c>
      <c r="I27" s="61" t="e">
        <f>'19'!I108</f>
        <v>#DIV/0!</v>
      </c>
      <c r="J27" s="61" t="e">
        <f>'19'!J108</f>
        <v>#DIV/0!</v>
      </c>
      <c r="K27" s="61" t="e">
        <f>'19'!K108</f>
        <v>#DIV/0!</v>
      </c>
      <c r="L27" s="61" t="e">
        <f>'19'!L108</f>
        <v>#DIV/0!</v>
      </c>
      <c r="M27" s="61" t="e">
        <f>'19'!M108</f>
        <v>#DIV/0!</v>
      </c>
      <c r="N27" s="61" t="e">
        <f>'19'!N108</f>
        <v>#DIV/0!</v>
      </c>
      <c r="O27" s="61" t="e">
        <f>'19'!O108</f>
        <v>#DIV/0!</v>
      </c>
      <c r="P27" s="202" t="e">
        <f>'19'!P108</f>
        <v>#DIV/0!</v>
      </c>
      <c r="Q27" s="61" t="e">
        <f>'19'!Q108</f>
        <v>#DIV/0!</v>
      </c>
      <c r="R27" s="118"/>
      <c r="S27" s="118"/>
      <c r="T27" s="118"/>
      <c r="U27" s="118"/>
    </row>
    <row r="28" spans="1:21" x14ac:dyDescent="0.25">
      <c r="A28" s="94">
        <f>'20'!$B$2</f>
        <v>0</v>
      </c>
      <c r="B28" s="61" t="e">
        <f>'20'!B108</f>
        <v>#DIV/0!</v>
      </c>
      <c r="C28" s="61" t="e">
        <f>'20'!C108</f>
        <v>#DIV/0!</v>
      </c>
      <c r="D28" s="61" t="e">
        <f>'20'!D108</f>
        <v>#DIV/0!</v>
      </c>
      <c r="E28" s="61" t="e">
        <f>'20'!E108</f>
        <v>#DIV/0!</v>
      </c>
      <c r="F28" s="61" t="e">
        <f>'20'!F108</f>
        <v>#DIV/0!</v>
      </c>
      <c r="G28" s="61" t="e">
        <f>'20'!G108</f>
        <v>#DIV/0!</v>
      </c>
      <c r="H28" s="61" t="e">
        <f>'20'!H108</f>
        <v>#DIV/0!</v>
      </c>
      <c r="I28" s="61" t="e">
        <f>'20'!I108</f>
        <v>#DIV/0!</v>
      </c>
      <c r="J28" s="61" t="e">
        <f>'20'!J108</f>
        <v>#DIV/0!</v>
      </c>
      <c r="K28" s="61" t="e">
        <f>'20'!K108</f>
        <v>#DIV/0!</v>
      </c>
      <c r="L28" s="61" t="e">
        <f>'20'!L108</f>
        <v>#DIV/0!</v>
      </c>
      <c r="M28" s="61" t="e">
        <f>'20'!M108</f>
        <v>#DIV/0!</v>
      </c>
      <c r="N28" s="61" t="e">
        <f>'20'!N108</f>
        <v>#DIV/0!</v>
      </c>
      <c r="O28" s="61" t="e">
        <f>'20'!O108</f>
        <v>#DIV/0!</v>
      </c>
      <c r="P28" s="202" t="e">
        <f>'20'!P108</f>
        <v>#DIV/0!</v>
      </c>
      <c r="Q28" s="61" t="e">
        <f>'20'!Q108</f>
        <v>#DIV/0!</v>
      </c>
      <c r="R28" s="118"/>
      <c r="S28" s="118"/>
      <c r="T28" s="118"/>
      <c r="U28" s="118"/>
    </row>
    <row r="29" spans="1:21" x14ac:dyDescent="0.25">
      <c r="A29" s="94">
        <f>'21'!$B$2</f>
        <v>0</v>
      </c>
      <c r="B29" s="61" t="e">
        <f>'21'!B108</f>
        <v>#DIV/0!</v>
      </c>
      <c r="C29" s="61" t="e">
        <f>'21'!C108</f>
        <v>#DIV/0!</v>
      </c>
      <c r="D29" s="61" t="e">
        <f>'21'!D108</f>
        <v>#DIV/0!</v>
      </c>
      <c r="E29" s="61" t="e">
        <f>'21'!E108</f>
        <v>#DIV/0!</v>
      </c>
      <c r="F29" s="61" t="e">
        <f>'21'!F108</f>
        <v>#DIV/0!</v>
      </c>
      <c r="G29" s="61" t="e">
        <f>'21'!G108</f>
        <v>#DIV/0!</v>
      </c>
      <c r="H29" s="61" t="e">
        <f>'21'!H108</f>
        <v>#DIV/0!</v>
      </c>
      <c r="I29" s="61" t="e">
        <f>'21'!I108</f>
        <v>#DIV/0!</v>
      </c>
      <c r="J29" s="61" t="e">
        <f>'21'!J108</f>
        <v>#DIV/0!</v>
      </c>
      <c r="K29" s="61" t="e">
        <f>'21'!K108</f>
        <v>#DIV/0!</v>
      </c>
      <c r="L29" s="61" t="e">
        <f>'21'!L108</f>
        <v>#DIV/0!</v>
      </c>
      <c r="M29" s="61" t="e">
        <f>'21'!M108</f>
        <v>#DIV/0!</v>
      </c>
      <c r="N29" s="61" t="e">
        <f>'21'!N108</f>
        <v>#DIV/0!</v>
      </c>
      <c r="O29" s="61" t="e">
        <f>'21'!O108</f>
        <v>#DIV/0!</v>
      </c>
      <c r="P29" s="202" t="e">
        <f>'21'!P108</f>
        <v>#DIV/0!</v>
      </c>
      <c r="Q29" s="61" t="e">
        <f>'21'!Q108</f>
        <v>#DIV/0!</v>
      </c>
      <c r="R29" s="118"/>
      <c r="S29" s="118"/>
      <c r="T29" s="118"/>
      <c r="U29" s="118"/>
    </row>
    <row r="30" spans="1:21" x14ac:dyDescent="0.25">
      <c r="A30" s="94">
        <f>'22'!$B$2</f>
        <v>0</v>
      </c>
      <c r="B30" s="61" t="e">
        <f>'22'!B108</f>
        <v>#DIV/0!</v>
      </c>
      <c r="C30" s="61" t="e">
        <f>'22'!C108</f>
        <v>#DIV/0!</v>
      </c>
      <c r="D30" s="61" t="e">
        <f>'22'!D108</f>
        <v>#DIV/0!</v>
      </c>
      <c r="E30" s="61" t="e">
        <f>'22'!E108</f>
        <v>#DIV/0!</v>
      </c>
      <c r="F30" s="61" t="e">
        <f>'22'!F108</f>
        <v>#DIV/0!</v>
      </c>
      <c r="G30" s="61" t="e">
        <f>'22'!G108</f>
        <v>#DIV/0!</v>
      </c>
      <c r="H30" s="61" t="e">
        <f>'22'!H108</f>
        <v>#DIV/0!</v>
      </c>
      <c r="I30" s="61" t="e">
        <f>'22'!I108</f>
        <v>#DIV/0!</v>
      </c>
      <c r="J30" s="61" t="e">
        <f>'22'!J108</f>
        <v>#DIV/0!</v>
      </c>
      <c r="K30" s="61" t="e">
        <f>'22'!K108</f>
        <v>#DIV/0!</v>
      </c>
      <c r="L30" s="61" t="e">
        <f>'22'!L108</f>
        <v>#DIV/0!</v>
      </c>
      <c r="M30" s="61" t="e">
        <f>'22'!M108</f>
        <v>#DIV/0!</v>
      </c>
      <c r="N30" s="61" t="e">
        <f>'22'!N108</f>
        <v>#DIV/0!</v>
      </c>
      <c r="O30" s="61" t="e">
        <f>'22'!O108</f>
        <v>#DIV/0!</v>
      </c>
      <c r="P30" s="202" t="e">
        <f>'22'!P108</f>
        <v>#DIV/0!</v>
      </c>
      <c r="Q30" s="61" t="e">
        <f>'22'!Q108</f>
        <v>#DIV/0!</v>
      </c>
      <c r="R30" s="118"/>
      <c r="S30" s="118"/>
      <c r="T30" s="118"/>
      <c r="U30" s="118"/>
    </row>
    <row r="31" spans="1:21" x14ac:dyDescent="0.25">
      <c r="A31" s="94">
        <f>'23'!$B$2</f>
        <v>0</v>
      </c>
      <c r="B31" s="61" t="e">
        <f>'23'!B108</f>
        <v>#DIV/0!</v>
      </c>
      <c r="C31" s="61" t="e">
        <f>'23'!C108</f>
        <v>#DIV/0!</v>
      </c>
      <c r="D31" s="61" t="e">
        <f>'23'!D108</f>
        <v>#DIV/0!</v>
      </c>
      <c r="E31" s="61" t="e">
        <f>'23'!E108</f>
        <v>#DIV/0!</v>
      </c>
      <c r="F31" s="61" t="e">
        <f>'23'!F108</f>
        <v>#DIV/0!</v>
      </c>
      <c r="G31" s="61" t="e">
        <f>'23'!G108</f>
        <v>#DIV/0!</v>
      </c>
      <c r="H31" s="61" t="e">
        <f>'23'!H108</f>
        <v>#DIV/0!</v>
      </c>
      <c r="I31" s="61" t="e">
        <f>'23'!I108</f>
        <v>#DIV/0!</v>
      </c>
      <c r="J31" s="61" t="e">
        <f>'23'!J108</f>
        <v>#DIV/0!</v>
      </c>
      <c r="K31" s="61" t="e">
        <f>'23'!K108</f>
        <v>#DIV/0!</v>
      </c>
      <c r="L31" s="61" t="e">
        <f>'23'!L108</f>
        <v>#DIV/0!</v>
      </c>
      <c r="M31" s="61" t="e">
        <f>'23'!M108</f>
        <v>#DIV/0!</v>
      </c>
      <c r="N31" s="61" t="e">
        <f>'23'!N108</f>
        <v>#DIV/0!</v>
      </c>
      <c r="O31" s="61" t="e">
        <f>'23'!O108</f>
        <v>#DIV/0!</v>
      </c>
      <c r="P31" s="202" t="e">
        <f>'23'!P108</f>
        <v>#DIV/0!</v>
      </c>
      <c r="Q31" s="61" t="e">
        <f>'23'!Q108</f>
        <v>#DIV/0!</v>
      </c>
      <c r="R31" s="118"/>
      <c r="S31" s="207"/>
      <c r="T31" s="118"/>
      <c r="U31" s="118"/>
    </row>
    <row r="32" spans="1:21" x14ac:dyDescent="0.25">
      <c r="A32" s="94">
        <f>'24'!$B$2</f>
        <v>0</v>
      </c>
      <c r="B32" s="61" t="e">
        <f>'24'!B108</f>
        <v>#DIV/0!</v>
      </c>
      <c r="C32" s="61" t="e">
        <f>'24'!C108</f>
        <v>#DIV/0!</v>
      </c>
      <c r="D32" s="61" t="e">
        <f>'24'!D108</f>
        <v>#DIV/0!</v>
      </c>
      <c r="E32" s="61" t="e">
        <f>'24'!E108</f>
        <v>#DIV/0!</v>
      </c>
      <c r="F32" s="61" t="e">
        <f>'24'!F108</f>
        <v>#DIV/0!</v>
      </c>
      <c r="G32" s="61" t="e">
        <f>'24'!G108</f>
        <v>#DIV/0!</v>
      </c>
      <c r="H32" s="61" t="e">
        <f>'24'!H108</f>
        <v>#DIV/0!</v>
      </c>
      <c r="I32" s="61" t="e">
        <f>'24'!I108</f>
        <v>#DIV/0!</v>
      </c>
      <c r="J32" s="61" t="e">
        <f>'24'!J108</f>
        <v>#DIV/0!</v>
      </c>
      <c r="K32" s="61" t="e">
        <f>'24'!K108</f>
        <v>#DIV/0!</v>
      </c>
      <c r="L32" s="61" t="e">
        <f>'24'!L108</f>
        <v>#DIV/0!</v>
      </c>
      <c r="M32" s="61" t="e">
        <f>'24'!M108</f>
        <v>#DIV/0!</v>
      </c>
      <c r="N32" s="61" t="e">
        <f>'24'!N108</f>
        <v>#DIV/0!</v>
      </c>
      <c r="O32" s="61" t="e">
        <f>'24'!O108</f>
        <v>#DIV/0!</v>
      </c>
      <c r="P32" s="202" t="e">
        <f>'24'!P108</f>
        <v>#DIV/0!</v>
      </c>
      <c r="Q32" s="61" t="e">
        <f>'24'!Q108</f>
        <v>#DIV/0!</v>
      </c>
      <c r="R32" s="118"/>
      <c r="S32" s="118"/>
      <c r="T32" s="118"/>
      <c r="U32" s="118"/>
    </row>
    <row r="33" spans="1:21" x14ac:dyDescent="0.25">
      <c r="A33" s="94">
        <f>'25'!$B$2</f>
        <v>0</v>
      </c>
      <c r="B33" s="61" t="e">
        <f>'25'!B108</f>
        <v>#DIV/0!</v>
      </c>
      <c r="C33" s="61" t="e">
        <f>'25'!C108</f>
        <v>#DIV/0!</v>
      </c>
      <c r="D33" s="61" t="e">
        <f>'25'!D108</f>
        <v>#DIV/0!</v>
      </c>
      <c r="E33" s="61" t="e">
        <f>'25'!E108</f>
        <v>#DIV/0!</v>
      </c>
      <c r="F33" s="61" t="e">
        <f>'25'!F108</f>
        <v>#DIV/0!</v>
      </c>
      <c r="G33" s="61" t="e">
        <f>'25'!G108</f>
        <v>#DIV/0!</v>
      </c>
      <c r="H33" s="61" t="e">
        <f>'25'!H108</f>
        <v>#DIV/0!</v>
      </c>
      <c r="I33" s="61" t="e">
        <f>'25'!I108</f>
        <v>#DIV/0!</v>
      </c>
      <c r="J33" s="61" t="e">
        <f>'25'!J108</f>
        <v>#DIV/0!</v>
      </c>
      <c r="K33" s="61" t="e">
        <f>'25'!K108</f>
        <v>#DIV/0!</v>
      </c>
      <c r="L33" s="61" t="e">
        <f>'25'!L108</f>
        <v>#DIV/0!</v>
      </c>
      <c r="M33" s="61" t="e">
        <f>'25'!M108</f>
        <v>#DIV/0!</v>
      </c>
      <c r="N33" s="61" t="e">
        <f>'25'!N108</f>
        <v>#DIV/0!</v>
      </c>
      <c r="O33" s="61" t="e">
        <f>'25'!O108</f>
        <v>#DIV/0!</v>
      </c>
      <c r="P33" s="202" t="e">
        <f>'25'!P108</f>
        <v>#DIV/0!</v>
      </c>
      <c r="Q33" s="61" t="e">
        <f>'25'!Q108</f>
        <v>#DIV/0!</v>
      </c>
      <c r="R33" s="118"/>
      <c r="S33" s="207"/>
      <c r="T33" s="118"/>
      <c r="U33" s="118"/>
    </row>
    <row r="34" spans="1:21" x14ac:dyDescent="0.25">
      <c r="A34" s="94">
        <f>'26'!$B$2</f>
        <v>0</v>
      </c>
      <c r="B34" s="61" t="e">
        <f>'26'!B108</f>
        <v>#DIV/0!</v>
      </c>
      <c r="C34" s="61" t="e">
        <f>'26'!C108</f>
        <v>#DIV/0!</v>
      </c>
      <c r="D34" s="61" t="e">
        <f>'26'!D108</f>
        <v>#DIV/0!</v>
      </c>
      <c r="E34" s="61" t="e">
        <f>'26'!E108</f>
        <v>#DIV/0!</v>
      </c>
      <c r="F34" s="61" t="e">
        <f>'26'!F108</f>
        <v>#DIV/0!</v>
      </c>
      <c r="G34" s="61" t="e">
        <f>'26'!G108</f>
        <v>#DIV/0!</v>
      </c>
      <c r="H34" s="61" t="e">
        <f>'26'!H108</f>
        <v>#DIV/0!</v>
      </c>
      <c r="I34" s="61" t="e">
        <f>'26'!I108</f>
        <v>#DIV/0!</v>
      </c>
      <c r="J34" s="61" t="e">
        <f>'26'!J108</f>
        <v>#DIV/0!</v>
      </c>
      <c r="K34" s="61" t="e">
        <f>'26'!K108</f>
        <v>#DIV/0!</v>
      </c>
      <c r="L34" s="61" t="e">
        <f>'26'!L108</f>
        <v>#DIV/0!</v>
      </c>
      <c r="M34" s="61" t="e">
        <f>'26'!M108</f>
        <v>#DIV/0!</v>
      </c>
      <c r="N34" s="61" t="e">
        <f>'26'!N108</f>
        <v>#DIV/0!</v>
      </c>
      <c r="O34" s="61" t="e">
        <f>'26'!O108</f>
        <v>#DIV/0!</v>
      </c>
      <c r="P34" s="202" t="e">
        <f>'26'!P108</f>
        <v>#DIV/0!</v>
      </c>
      <c r="Q34" s="61" t="e">
        <f>'26'!Q108</f>
        <v>#DIV/0!</v>
      </c>
      <c r="R34" s="118"/>
      <c r="S34" s="118"/>
      <c r="T34" s="118"/>
      <c r="U34" s="118"/>
    </row>
    <row r="35" spans="1:21" x14ac:dyDescent="0.25">
      <c r="A35" s="94">
        <f>'27'!$B$2</f>
        <v>0</v>
      </c>
      <c r="B35" s="61" t="e">
        <f>'27'!B108</f>
        <v>#DIV/0!</v>
      </c>
      <c r="C35" s="61" t="e">
        <f>'27'!C108</f>
        <v>#DIV/0!</v>
      </c>
      <c r="D35" s="61" t="e">
        <f>'27'!D108</f>
        <v>#DIV/0!</v>
      </c>
      <c r="E35" s="61" t="e">
        <f>'27'!E108</f>
        <v>#DIV/0!</v>
      </c>
      <c r="F35" s="61" t="e">
        <f>'27'!F108</f>
        <v>#DIV/0!</v>
      </c>
      <c r="G35" s="61" t="e">
        <f>'27'!G108</f>
        <v>#DIV/0!</v>
      </c>
      <c r="H35" s="61" t="e">
        <f>'27'!H108</f>
        <v>#DIV/0!</v>
      </c>
      <c r="I35" s="61" t="e">
        <f>'27'!I108</f>
        <v>#DIV/0!</v>
      </c>
      <c r="J35" s="61" t="e">
        <f>'27'!J108</f>
        <v>#DIV/0!</v>
      </c>
      <c r="K35" s="61" t="e">
        <f>'27'!K108</f>
        <v>#DIV/0!</v>
      </c>
      <c r="L35" s="61" t="e">
        <f>'27'!L108</f>
        <v>#DIV/0!</v>
      </c>
      <c r="M35" s="61" t="e">
        <f>'27'!M108</f>
        <v>#DIV/0!</v>
      </c>
      <c r="N35" s="61" t="e">
        <f>'27'!N108</f>
        <v>#DIV/0!</v>
      </c>
      <c r="O35" s="61" t="e">
        <f>'27'!O108</f>
        <v>#DIV/0!</v>
      </c>
      <c r="P35" s="202" t="e">
        <f>'27'!P108</f>
        <v>#DIV/0!</v>
      </c>
      <c r="Q35" s="61" t="e">
        <f>'27'!Q108</f>
        <v>#DIV/0!</v>
      </c>
      <c r="R35" s="118"/>
      <c r="S35" s="118"/>
      <c r="T35" s="118"/>
      <c r="U35" s="118"/>
    </row>
    <row r="36" spans="1:21" x14ac:dyDescent="0.25">
      <c r="A36" s="94">
        <f>'28'!$B$2</f>
        <v>0</v>
      </c>
      <c r="B36" s="61" t="e">
        <f>'28'!B108</f>
        <v>#DIV/0!</v>
      </c>
      <c r="C36" s="61" t="e">
        <f>'28'!C108</f>
        <v>#DIV/0!</v>
      </c>
      <c r="D36" s="61" t="e">
        <f>'28'!D108</f>
        <v>#DIV/0!</v>
      </c>
      <c r="E36" s="61" t="e">
        <f>'28'!E108</f>
        <v>#DIV/0!</v>
      </c>
      <c r="F36" s="61" t="e">
        <f>'28'!F108</f>
        <v>#DIV/0!</v>
      </c>
      <c r="G36" s="61" t="e">
        <f>'28'!G108</f>
        <v>#DIV/0!</v>
      </c>
      <c r="H36" s="61" t="e">
        <f>'28'!H108</f>
        <v>#DIV/0!</v>
      </c>
      <c r="I36" s="61" t="e">
        <f>'28'!I108</f>
        <v>#DIV/0!</v>
      </c>
      <c r="J36" s="61" t="e">
        <f>'28'!J108</f>
        <v>#DIV/0!</v>
      </c>
      <c r="K36" s="61" t="e">
        <f>'28'!K108</f>
        <v>#DIV/0!</v>
      </c>
      <c r="L36" s="61" t="e">
        <f>'28'!L108</f>
        <v>#DIV/0!</v>
      </c>
      <c r="M36" s="61" t="e">
        <f>'28'!M108</f>
        <v>#DIV/0!</v>
      </c>
      <c r="N36" s="61" t="e">
        <f>'28'!N108</f>
        <v>#DIV/0!</v>
      </c>
      <c r="O36" s="61" t="e">
        <f>'28'!O108</f>
        <v>#DIV/0!</v>
      </c>
      <c r="P36" s="202" t="e">
        <f>'28'!P108</f>
        <v>#DIV/0!</v>
      </c>
      <c r="Q36" s="61" t="e">
        <f>'28'!Q108</f>
        <v>#DIV/0!</v>
      </c>
      <c r="R36" s="118"/>
      <c r="S36" s="118"/>
      <c r="T36" s="118"/>
      <c r="U36" s="118"/>
    </row>
    <row r="37" spans="1:21" s="54" customFormat="1" x14ac:dyDescent="0.25">
      <c r="A37" s="94">
        <f>'29'!$B$2</f>
        <v>0</v>
      </c>
      <c r="B37" s="61" t="e">
        <f>'29'!B108</f>
        <v>#DIV/0!</v>
      </c>
      <c r="C37" s="61" t="e">
        <f>'29'!C108</f>
        <v>#DIV/0!</v>
      </c>
      <c r="D37" s="61" t="e">
        <f>'29'!D108</f>
        <v>#DIV/0!</v>
      </c>
      <c r="E37" s="61" t="e">
        <f>'29'!E108</f>
        <v>#DIV/0!</v>
      </c>
      <c r="F37" s="61" t="e">
        <f>'29'!F108</f>
        <v>#DIV/0!</v>
      </c>
      <c r="G37" s="61" t="e">
        <f>'29'!G108</f>
        <v>#DIV/0!</v>
      </c>
      <c r="H37" s="61" t="e">
        <f>'29'!H108</f>
        <v>#DIV/0!</v>
      </c>
      <c r="I37" s="61" t="e">
        <f>'29'!I108</f>
        <v>#DIV/0!</v>
      </c>
      <c r="J37" s="61" t="e">
        <f>'29'!J108</f>
        <v>#DIV/0!</v>
      </c>
      <c r="K37" s="61" t="e">
        <f>'29'!K108</f>
        <v>#DIV/0!</v>
      </c>
      <c r="L37" s="61" t="e">
        <f>'29'!L108</f>
        <v>#DIV/0!</v>
      </c>
      <c r="M37" s="61" t="e">
        <f>'29'!M108</f>
        <v>#DIV/0!</v>
      </c>
      <c r="N37" s="61" t="e">
        <f>'29'!N108</f>
        <v>#DIV/0!</v>
      </c>
      <c r="O37" s="61" t="e">
        <f>'29'!O108</f>
        <v>#DIV/0!</v>
      </c>
      <c r="P37" s="202" t="e">
        <f>'29'!P108</f>
        <v>#DIV/0!</v>
      </c>
      <c r="Q37" s="61" t="e">
        <f>'29'!Q108</f>
        <v>#DIV/0!</v>
      </c>
      <c r="R37" s="118"/>
      <c r="S37" s="118"/>
      <c r="T37" s="118"/>
      <c r="U37" s="118"/>
    </row>
    <row r="38" spans="1:21" s="54" customFormat="1" x14ac:dyDescent="0.25">
      <c r="A38" s="94">
        <f>'30'!$B$2</f>
        <v>0</v>
      </c>
      <c r="B38" s="61" t="e">
        <f>'30'!B108</f>
        <v>#DIV/0!</v>
      </c>
      <c r="C38" s="61" t="e">
        <f>'30'!C108</f>
        <v>#DIV/0!</v>
      </c>
      <c r="D38" s="61" t="e">
        <f>'30'!D108</f>
        <v>#DIV/0!</v>
      </c>
      <c r="E38" s="61" t="e">
        <f>'30'!E108</f>
        <v>#DIV/0!</v>
      </c>
      <c r="F38" s="61" t="e">
        <f>'30'!F108</f>
        <v>#DIV/0!</v>
      </c>
      <c r="G38" s="61" t="e">
        <f>'30'!G108</f>
        <v>#DIV/0!</v>
      </c>
      <c r="H38" s="61" t="e">
        <f>'30'!H108</f>
        <v>#DIV/0!</v>
      </c>
      <c r="I38" s="61" t="e">
        <f>'30'!I108</f>
        <v>#DIV/0!</v>
      </c>
      <c r="J38" s="61" t="e">
        <f>'30'!J108</f>
        <v>#DIV/0!</v>
      </c>
      <c r="K38" s="61" t="e">
        <f>'30'!K108</f>
        <v>#DIV/0!</v>
      </c>
      <c r="L38" s="61" t="e">
        <f>'30'!L108</f>
        <v>#DIV/0!</v>
      </c>
      <c r="M38" s="61" t="e">
        <f>'30'!M108</f>
        <v>#DIV/0!</v>
      </c>
      <c r="N38" s="61" t="e">
        <f>'30'!N108</f>
        <v>#DIV/0!</v>
      </c>
      <c r="O38" s="61" t="e">
        <f>'30'!O108</f>
        <v>#DIV/0!</v>
      </c>
      <c r="P38" s="202" t="e">
        <f>'30'!P108</f>
        <v>#DIV/0!</v>
      </c>
      <c r="Q38" s="61" t="e">
        <f>'30'!Q108</f>
        <v>#DIV/0!</v>
      </c>
      <c r="R38" s="118"/>
      <c r="S38" s="118"/>
      <c r="T38" s="118"/>
      <c r="U38" s="118"/>
    </row>
    <row r="39" spans="1:21" s="54" customFormat="1" x14ac:dyDescent="0.25">
      <c r="A39" s="94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</row>
    <row r="40" spans="1:21" s="54" customFormat="1" x14ac:dyDescent="0.25">
      <c r="A40" s="94" t="s">
        <v>59</v>
      </c>
      <c r="B40" s="16" t="e">
        <f t="shared" ref="B40:Q40" si="0">MIN(B9:B38)</f>
        <v>#DIV/0!</v>
      </c>
      <c r="C40" s="16" t="e">
        <f t="shared" si="0"/>
        <v>#DIV/0!</v>
      </c>
      <c r="D40" s="16" t="e">
        <f t="shared" si="0"/>
        <v>#DIV/0!</v>
      </c>
      <c r="E40" s="16" t="e">
        <f t="shared" si="0"/>
        <v>#DIV/0!</v>
      </c>
      <c r="F40" s="16" t="e">
        <f t="shared" si="0"/>
        <v>#DIV/0!</v>
      </c>
      <c r="G40" s="16" t="e">
        <f t="shared" si="0"/>
        <v>#DIV/0!</v>
      </c>
      <c r="H40" s="16" t="e">
        <f t="shared" si="0"/>
        <v>#DIV/0!</v>
      </c>
      <c r="I40" s="16" t="e">
        <f t="shared" si="0"/>
        <v>#DIV/0!</v>
      </c>
      <c r="J40" s="16" t="e">
        <f t="shared" si="0"/>
        <v>#DIV/0!</v>
      </c>
      <c r="K40" s="16" t="e">
        <f t="shared" si="0"/>
        <v>#DIV/0!</v>
      </c>
      <c r="L40" s="16" t="e">
        <f t="shared" si="0"/>
        <v>#DIV/0!</v>
      </c>
      <c r="M40" s="16" t="e">
        <f t="shared" si="0"/>
        <v>#DIV/0!</v>
      </c>
      <c r="N40" s="16" t="e">
        <f t="shared" si="0"/>
        <v>#DIV/0!</v>
      </c>
      <c r="O40" s="16" t="e">
        <f t="shared" si="0"/>
        <v>#DIV/0!</v>
      </c>
      <c r="P40" s="16" t="e">
        <f t="shared" si="0"/>
        <v>#DIV/0!</v>
      </c>
      <c r="Q40" s="16" t="e">
        <f t="shared" si="0"/>
        <v>#DIV/0!</v>
      </c>
      <c r="R40" s="16"/>
      <c r="S40" s="16"/>
      <c r="T40" s="16"/>
      <c r="U40" s="16"/>
    </row>
    <row r="41" spans="1:21" s="54" customFormat="1" x14ac:dyDescent="0.25">
      <c r="A41" s="94" t="s">
        <v>60</v>
      </c>
      <c r="B41" s="16" t="e">
        <f t="shared" ref="B41:Q41" si="1">MAX(B9:B38)</f>
        <v>#DIV/0!</v>
      </c>
      <c r="C41" s="16" t="e">
        <f t="shared" si="1"/>
        <v>#DIV/0!</v>
      </c>
      <c r="D41" s="16" t="e">
        <f t="shared" si="1"/>
        <v>#DIV/0!</v>
      </c>
      <c r="E41" s="16" t="e">
        <f t="shared" si="1"/>
        <v>#DIV/0!</v>
      </c>
      <c r="F41" s="16" t="e">
        <f t="shared" si="1"/>
        <v>#DIV/0!</v>
      </c>
      <c r="G41" s="16" t="e">
        <f t="shared" si="1"/>
        <v>#DIV/0!</v>
      </c>
      <c r="H41" s="16" t="e">
        <f t="shared" si="1"/>
        <v>#DIV/0!</v>
      </c>
      <c r="I41" s="16" t="e">
        <f t="shared" si="1"/>
        <v>#DIV/0!</v>
      </c>
      <c r="J41" s="16" t="e">
        <f t="shared" si="1"/>
        <v>#DIV/0!</v>
      </c>
      <c r="K41" s="16" t="e">
        <f t="shared" si="1"/>
        <v>#DIV/0!</v>
      </c>
      <c r="L41" s="16" t="e">
        <f t="shared" si="1"/>
        <v>#DIV/0!</v>
      </c>
      <c r="M41" s="16" t="e">
        <f t="shared" si="1"/>
        <v>#DIV/0!</v>
      </c>
      <c r="N41" s="16" t="e">
        <f t="shared" si="1"/>
        <v>#DIV/0!</v>
      </c>
      <c r="O41" s="16" t="e">
        <f t="shared" si="1"/>
        <v>#DIV/0!</v>
      </c>
      <c r="P41" s="16" t="e">
        <f t="shared" si="1"/>
        <v>#DIV/0!</v>
      </c>
      <c r="Q41" s="16" t="e">
        <f t="shared" si="1"/>
        <v>#DIV/0!</v>
      </c>
      <c r="R41" s="16"/>
      <c r="S41" s="16"/>
      <c r="T41" s="16"/>
      <c r="U41" s="16"/>
    </row>
    <row r="42" spans="1:21" s="54" customFormat="1" x14ac:dyDescent="0.25">
      <c r="A42" s="94" t="s">
        <v>61</v>
      </c>
      <c r="B42" s="16" t="e">
        <f t="shared" ref="B42:Q42" si="2">AVERAGE(B9:B38)</f>
        <v>#DIV/0!</v>
      </c>
      <c r="C42" s="16" t="e">
        <f t="shared" si="2"/>
        <v>#DIV/0!</v>
      </c>
      <c r="D42" s="16" t="e">
        <f t="shared" si="2"/>
        <v>#DIV/0!</v>
      </c>
      <c r="E42" s="16" t="e">
        <f t="shared" si="2"/>
        <v>#DIV/0!</v>
      </c>
      <c r="F42" s="16" t="e">
        <f t="shared" si="2"/>
        <v>#DIV/0!</v>
      </c>
      <c r="G42" s="16" t="e">
        <f t="shared" si="2"/>
        <v>#DIV/0!</v>
      </c>
      <c r="H42" s="16" t="e">
        <f t="shared" si="2"/>
        <v>#DIV/0!</v>
      </c>
      <c r="I42" s="16" t="e">
        <f t="shared" si="2"/>
        <v>#DIV/0!</v>
      </c>
      <c r="J42" s="16" t="e">
        <f t="shared" si="2"/>
        <v>#DIV/0!</v>
      </c>
      <c r="K42" s="16" t="e">
        <f t="shared" si="2"/>
        <v>#DIV/0!</v>
      </c>
      <c r="L42" s="16" t="e">
        <f t="shared" si="2"/>
        <v>#DIV/0!</v>
      </c>
      <c r="M42" s="16" t="e">
        <f t="shared" si="2"/>
        <v>#DIV/0!</v>
      </c>
      <c r="N42" s="16" t="e">
        <f t="shared" si="2"/>
        <v>#DIV/0!</v>
      </c>
      <c r="O42" s="16" t="e">
        <f t="shared" si="2"/>
        <v>#DIV/0!</v>
      </c>
      <c r="P42" s="16" t="e">
        <f t="shared" si="2"/>
        <v>#DIV/0!</v>
      </c>
      <c r="Q42" s="16" t="e">
        <f t="shared" si="2"/>
        <v>#DIV/0!</v>
      </c>
      <c r="R42" s="16"/>
      <c r="S42" s="16"/>
      <c r="T42" s="16"/>
      <c r="U42" s="16"/>
    </row>
    <row r="43" spans="1:21" s="54" customFormat="1" x14ac:dyDescent="0.25">
      <c r="A43" s="94" t="s">
        <v>77</v>
      </c>
      <c r="B43" s="16" t="e">
        <f t="shared" ref="B43:Q43" si="3">STDEV(B9:B38)</f>
        <v>#DIV/0!</v>
      </c>
      <c r="C43" s="16" t="e">
        <f t="shared" si="3"/>
        <v>#DIV/0!</v>
      </c>
      <c r="D43" s="16" t="e">
        <f t="shared" si="3"/>
        <v>#DIV/0!</v>
      </c>
      <c r="E43" s="16" t="e">
        <f t="shared" si="3"/>
        <v>#DIV/0!</v>
      </c>
      <c r="F43" s="16" t="e">
        <f t="shared" si="3"/>
        <v>#DIV/0!</v>
      </c>
      <c r="G43" s="16" t="e">
        <f t="shared" si="3"/>
        <v>#DIV/0!</v>
      </c>
      <c r="H43" s="16" t="e">
        <f t="shared" si="3"/>
        <v>#DIV/0!</v>
      </c>
      <c r="I43" s="16" t="e">
        <f t="shared" si="3"/>
        <v>#DIV/0!</v>
      </c>
      <c r="J43" s="16" t="e">
        <f t="shared" si="3"/>
        <v>#DIV/0!</v>
      </c>
      <c r="K43" s="16" t="e">
        <f t="shared" si="3"/>
        <v>#DIV/0!</v>
      </c>
      <c r="L43" s="16" t="e">
        <f t="shared" si="3"/>
        <v>#DIV/0!</v>
      </c>
      <c r="M43" s="16" t="e">
        <f t="shared" si="3"/>
        <v>#DIV/0!</v>
      </c>
      <c r="N43" s="16" t="e">
        <f t="shared" si="3"/>
        <v>#DIV/0!</v>
      </c>
      <c r="O43" s="16" t="e">
        <f t="shared" si="3"/>
        <v>#DIV/0!</v>
      </c>
      <c r="P43" s="16" t="e">
        <f t="shared" si="3"/>
        <v>#DIV/0!</v>
      </c>
      <c r="Q43" s="16" t="e">
        <f t="shared" si="3"/>
        <v>#DIV/0!</v>
      </c>
      <c r="R43" s="16"/>
      <c r="S43" s="16"/>
      <c r="T43" s="16"/>
      <c r="U43" s="16"/>
    </row>
    <row r="44" spans="1:21" s="54" customFormat="1" x14ac:dyDescent="0.25">
      <c r="A44" s="94" t="s">
        <v>62</v>
      </c>
      <c r="B44" s="13">
        <f t="shared" ref="B44:Q44" si="4">COUNT(B9:B38)</f>
        <v>0</v>
      </c>
      <c r="C44" s="13">
        <f t="shared" si="4"/>
        <v>0</v>
      </c>
      <c r="D44" s="13">
        <f t="shared" si="4"/>
        <v>0</v>
      </c>
      <c r="E44" s="13">
        <f t="shared" si="4"/>
        <v>0</v>
      </c>
      <c r="F44" s="13">
        <f t="shared" si="4"/>
        <v>0</v>
      </c>
      <c r="G44" s="13">
        <f t="shared" si="4"/>
        <v>0</v>
      </c>
      <c r="H44" s="13">
        <f t="shared" si="4"/>
        <v>0</v>
      </c>
      <c r="I44" s="13">
        <f t="shared" si="4"/>
        <v>0</v>
      </c>
      <c r="J44" s="13">
        <f t="shared" si="4"/>
        <v>0</v>
      </c>
      <c r="K44" s="13">
        <f t="shared" si="4"/>
        <v>0</v>
      </c>
      <c r="L44" s="13">
        <f t="shared" si="4"/>
        <v>0</v>
      </c>
      <c r="M44" s="13">
        <f t="shared" si="4"/>
        <v>0</v>
      </c>
      <c r="N44" s="13">
        <f t="shared" si="4"/>
        <v>0</v>
      </c>
      <c r="O44" s="13">
        <f t="shared" si="4"/>
        <v>0</v>
      </c>
      <c r="P44" s="13">
        <f t="shared" si="4"/>
        <v>0</v>
      </c>
      <c r="Q44" s="13">
        <f t="shared" si="4"/>
        <v>0</v>
      </c>
      <c r="R44" s="13"/>
      <c r="S44" s="13"/>
      <c r="T44" s="13"/>
      <c r="U44" s="13"/>
    </row>
    <row r="45" spans="1:21" s="54" customFormat="1" x14ac:dyDescent="0.25">
      <c r="A45" s="94" t="s">
        <v>63</v>
      </c>
      <c r="B45" s="13" t="str">
        <f>IF(B44&gt;=28,"&gt;90%",IF(B44&lt;=28,"&lt;90%"))</f>
        <v>&lt;90%</v>
      </c>
      <c r="C45" s="13" t="str">
        <f t="shared" ref="C45:Q45" si="5">IF(C44&gt;=28,"&gt;90%",IF(C44&lt;=28,"&lt;90%"))</f>
        <v>&lt;90%</v>
      </c>
      <c r="D45" s="13" t="str">
        <f t="shared" si="5"/>
        <v>&lt;90%</v>
      </c>
      <c r="E45" s="13" t="str">
        <f t="shared" si="5"/>
        <v>&lt;90%</v>
      </c>
      <c r="F45" s="13" t="str">
        <f t="shared" si="5"/>
        <v>&lt;90%</v>
      </c>
      <c r="G45" s="13" t="str">
        <f t="shared" si="5"/>
        <v>&lt;90%</v>
      </c>
      <c r="H45" s="13" t="str">
        <f t="shared" si="5"/>
        <v>&lt;90%</v>
      </c>
      <c r="I45" s="13" t="str">
        <f t="shared" si="5"/>
        <v>&lt;90%</v>
      </c>
      <c r="J45" s="13" t="str">
        <f t="shared" si="5"/>
        <v>&lt;90%</v>
      </c>
      <c r="K45" s="13" t="str">
        <f t="shared" si="5"/>
        <v>&lt;90%</v>
      </c>
      <c r="L45" s="13" t="str">
        <f t="shared" si="5"/>
        <v>&lt;90%</v>
      </c>
      <c r="M45" s="13" t="str">
        <f t="shared" si="5"/>
        <v>&lt;90%</v>
      </c>
      <c r="N45" s="13" t="str">
        <f t="shared" si="5"/>
        <v>&lt;90%</v>
      </c>
      <c r="O45" s="13" t="str">
        <f t="shared" si="5"/>
        <v>&lt;90%</v>
      </c>
      <c r="P45" s="13" t="str">
        <f t="shared" si="5"/>
        <v>&lt;90%</v>
      </c>
      <c r="Q45" s="13" t="str">
        <f t="shared" si="5"/>
        <v>&lt;90%</v>
      </c>
      <c r="R45" s="13"/>
      <c r="S45" s="13"/>
      <c r="T45" s="13"/>
      <c r="U45" s="13"/>
    </row>
    <row r="46" spans="1:21" x14ac:dyDescent="0.25">
      <c r="A46" s="94" t="s">
        <v>5</v>
      </c>
      <c r="B46" s="13" t="str">
        <f>IF(B44&gt;=28,"OK",IF(B44&lt;=28,"LESS"))</f>
        <v>LESS</v>
      </c>
      <c r="C46" s="13" t="str">
        <f t="shared" ref="C46:Q46" si="6">IF(C44&gt;=28,"OK",IF(C44&lt;=28,"LESS"))</f>
        <v>LESS</v>
      </c>
      <c r="D46" s="13" t="str">
        <f t="shared" si="6"/>
        <v>LESS</v>
      </c>
      <c r="E46" s="13" t="str">
        <f t="shared" si="6"/>
        <v>LESS</v>
      </c>
      <c r="F46" s="13" t="str">
        <f t="shared" si="6"/>
        <v>LESS</v>
      </c>
      <c r="G46" s="13" t="str">
        <f t="shared" si="6"/>
        <v>LESS</v>
      </c>
      <c r="H46" s="13" t="str">
        <f t="shared" si="6"/>
        <v>LESS</v>
      </c>
      <c r="I46" s="13" t="str">
        <f t="shared" si="6"/>
        <v>LESS</v>
      </c>
      <c r="J46" s="13" t="str">
        <f t="shared" si="6"/>
        <v>LESS</v>
      </c>
      <c r="K46" s="13" t="str">
        <f t="shared" si="6"/>
        <v>LESS</v>
      </c>
      <c r="L46" s="13" t="str">
        <f t="shared" si="6"/>
        <v>LESS</v>
      </c>
      <c r="M46" s="13" t="str">
        <f t="shared" si="6"/>
        <v>LESS</v>
      </c>
      <c r="N46" s="13" t="str">
        <f t="shared" si="6"/>
        <v>LESS</v>
      </c>
      <c r="O46" s="13" t="str">
        <f t="shared" si="6"/>
        <v>LESS</v>
      </c>
      <c r="P46" s="13" t="str">
        <f t="shared" si="6"/>
        <v>LESS</v>
      </c>
      <c r="Q46" s="13" t="str">
        <f t="shared" si="6"/>
        <v>LESS</v>
      </c>
      <c r="R46" s="13"/>
      <c r="S46" s="13"/>
      <c r="T46" s="13"/>
      <c r="U46" s="13"/>
    </row>
    <row r="47" spans="1:21" x14ac:dyDescent="0.25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9" spans="1:16" x14ac:dyDescent="0.25">
      <c r="A49" s="94" t="s">
        <v>64</v>
      </c>
      <c r="B49" s="107" t="s">
        <v>133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 spans="1:16" x14ac:dyDescent="0.25">
      <c r="A50" s="97"/>
      <c r="B50" s="54"/>
      <c r="C50" s="54"/>
      <c r="D50" s="2"/>
      <c r="E50" s="2"/>
      <c r="F50" s="2"/>
      <c r="G50" s="2"/>
      <c r="H50" s="2"/>
      <c r="I50" s="2"/>
      <c r="J50" s="54"/>
      <c r="K50" s="54"/>
      <c r="L50" s="54"/>
      <c r="M50" s="54"/>
      <c r="N50" s="54"/>
      <c r="O50" s="54"/>
      <c r="P50" s="54"/>
    </row>
    <row r="51" spans="1:16" ht="15.75" x14ac:dyDescent="0.25">
      <c r="A51" s="98" t="s">
        <v>65</v>
      </c>
      <c r="B51" s="221"/>
      <c r="C51" s="221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</row>
    <row r="52" spans="1:16" x14ac:dyDescent="0.2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</sheetData>
  <mergeCells count="1">
    <mergeCell ref="B51:P51"/>
  </mergeCells>
  <pageMargins left="0.17" right="0.17" top="0.19" bottom="0.16" header="0.17" footer="0.16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abSelected="1" zoomScale="85" zoomScaleNormal="85" workbookViewId="0">
      <selection activeCell="V28" sqref="V28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2" t="s">
        <v>247</v>
      </c>
      <c r="E1" s="222"/>
      <c r="F1" s="222"/>
      <c r="G1" s="222"/>
      <c r="H1" s="222"/>
      <c r="I1" s="222"/>
      <c r="J1" s="223"/>
    </row>
    <row r="2" spans="2:24" ht="22.5" customHeight="1" thickBot="1" x14ac:dyDescent="0.3">
      <c r="B2" s="54"/>
      <c r="C2" s="111" t="s">
        <v>0</v>
      </c>
      <c r="D2" s="112" t="s">
        <v>225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6" t="s">
        <v>1</v>
      </c>
      <c r="H5" s="226"/>
      <c r="I5" s="40"/>
      <c r="J5" s="40"/>
      <c r="K5" s="40"/>
      <c r="L5" s="40"/>
      <c r="M5" s="41"/>
      <c r="O5" s="68"/>
      <c r="P5" s="69"/>
      <c r="Q5" s="69"/>
      <c r="R5" s="69"/>
      <c r="S5" s="208" t="s">
        <v>222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/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/>
      <c r="I8" s="60">
        <v>0</v>
      </c>
      <c r="J8" s="61" t="e">
        <f>F8/H8</f>
        <v>#DIV/0!</v>
      </c>
      <c r="K8" s="61">
        <f>(H8-F8)*100/F8</f>
        <v>-100</v>
      </c>
      <c r="L8" s="60" t="s">
        <v>67</v>
      </c>
      <c r="M8" s="78" t="s">
        <v>217</v>
      </c>
      <c r="O8" s="63">
        <v>46024.444444444445</v>
      </c>
      <c r="P8" s="64" t="s">
        <v>70</v>
      </c>
      <c r="Q8" s="64">
        <v>6067.25</v>
      </c>
      <c r="R8" s="64">
        <v>4384.59</v>
      </c>
      <c r="S8" s="77" t="s">
        <v>228</v>
      </c>
      <c r="T8" s="77">
        <v>836.43</v>
      </c>
      <c r="U8" s="86">
        <v>0.75570000000000004</v>
      </c>
      <c r="V8" s="86">
        <v>0.75439999999999996</v>
      </c>
      <c r="W8" s="60" t="s">
        <v>67</v>
      </c>
      <c r="X8" s="78" t="s">
        <v>217</v>
      </c>
    </row>
    <row r="9" spans="2:24" ht="15.75" x14ac:dyDescent="0.25">
      <c r="B9" s="63"/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/>
      <c r="I9" s="60">
        <v>0</v>
      </c>
      <c r="J9" s="61" t="e">
        <f t="shared" ref="J9:J14" si="0">F9/H9</f>
        <v>#DIV/0!</v>
      </c>
      <c r="K9" s="61">
        <f t="shared" ref="K9:K14" si="1">(H9-F9)*100/F9</f>
        <v>-100</v>
      </c>
      <c r="L9" s="60" t="s">
        <v>67</v>
      </c>
      <c r="M9" s="62" t="s">
        <v>217</v>
      </c>
      <c r="O9" s="63"/>
      <c r="P9" s="64" t="s">
        <v>70</v>
      </c>
      <c r="Q9" s="64"/>
      <c r="R9" s="64"/>
      <c r="S9" s="77" t="s">
        <v>228</v>
      </c>
      <c r="T9" s="77"/>
      <c r="U9" s="86"/>
      <c r="V9" s="86"/>
      <c r="W9" s="60" t="s">
        <v>67</v>
      </c>
      <c r="X9" s="62" t="s">
        <v>217</v>
      </c>
    </row>
    <row r="10" spans="2:24" ht="15.75" x14ac:dyDescent="0.25">
      <c r="B10" s="63"/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/>
      <c r="I10" s="60">
        <v>0</v>
      </c>
      <c r="J10" s="61" t="e">
        <f t="shared" si="0"/>
        <v>#DIV/0!</v>
      </c>
      <c r="K10" s="61">
        <f t="shared" si="1"/>
        <v>-100</v>
      </c>
      <c r="L10" s="60" t="s">
        <v>67</v>
      </c>
      <c r="M10" s="62" t="s">
        <v>217</v>
      </c>
      <c r="O10" s="63"/>
      <c r="P10" s="64" t="s">
        <v>70</v>
      </c>
      <c r="Q10" s="64"/>
      <c r="R10" s="64"/>
      <c r="S10" s="77" t="s">
        <v>228</v>
      </c>
      <c r="T10" s="77"/>
      <c r="U10" s="86"/>
      <c r="V10" s="86"/>
      <c r="W10" s="60" t="s">
        <v>67</v>
      </c>
      <c r="X10" s="62" t="s">
        <v>217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217</v>
      </c>
      <c r="O11" s="63"/>
      <c r="P11" s="64" t="s">
        <v>70</v>
      </c>
      <c r="Q11" s="64"/>
      <c r="R11" s="64"/>
      <c r="S11" s="77" t="s">
        <v>228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228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5" t="s">
        <v>25</v>
      </c>
      <c r="D21" s="225"/>
      <c r="E21" s="225"/>
      <c r="F21" s="225"/>
      <c r="G21" s="225"/>
      <c r="H21" s="225"/>
      <c r="I21" s="45">
        <f>COUNT(B8:B20)</f>
        <v>0</v>
      </c>
      <c r="J21" s="46"/>
      <c r="K21" s="46"/>
      <c r="L21" s="47"/>
      <c r="M21" s="48"/>
      <c r="O21" s="80"/>
      <c r="P21" s="227" t="s">
        <v>84</v>
      </c>
      <c r="Q21" s="227"/>
      <c r="R21" s="227"/>
      <c r="S21" s="227"/>
      <c r="T21" s="81">
        <f>COUNT(O8:O20)</f>
        <v>1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4" t="s">
        <v>2</v>
      </c>
      <c r="H24" s="224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45020.524305555555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215.02</v>
      </c>
      <c r="I27" s="60">
        <v>0</v>
      </c>
      <c r="J27" s="61">
        <f>F27/H27</f>
        <v>0.93014603292716957</v>
      </c>
      <c r="K27" s="61">
        <f>(H27-F27)*100/F27</f>
        <v>7.5100000000000042</v>
      </c>
      <c r="L27" s="60" t="s">
        <v>67</v>
      </c>
      <c r="M27" s="78" t="s">
        <v>217</v>
      </c>
      <c r="O27" s="63">
        <v>46024.444444444445</v>
      </c>
      <c r="P27" s="64" t="s">
        <v>71</v>
      </c>
      <c r="Q27" s="64">
        <v>5335.62</v>
      </c>
      <c r="R27" s="64">
        <v>4142.3</v>
      </c>
      <c r="S27" s="77" t="s">
        <v>227</v>
      </c>
      <c r="T27" s="77">
        <v>846.39</v>
      </c>
      <c r="U27" s="86">
        <v>0.96640000000000004</v>
      </c>
      <c r="V27" s="86">
        <v>0.96709999999999996</v>
      </c>
      <c r="W27" s="60" t="s">
        <v>67</v>
      </c>
      <c r="X27" s="78" t="s">
        <v>217</v>
      </c>
    </row>
    <row r="28" spans="2:24" s="24" customFormat="1" ht="15.75" x14ac:dyDescent="0.25">
      <c r="B28" s="63"/>
      <c r="C28" s="60" t="s">
        <v>68</v>
      </c>
      <c r="D28" s="60" t="s">
        <v>51</v>
      </c>
      <c r="E28" s="60">
        <v>0</v>
      </c>
      <c r="F28" s="60">
        <v>200</v>
      </c>
      <c r="G28" s="60"/>
      <c r="H28" s="61"/>
      <c r="I28" s="60">
        <v>0</v>
      </c>
      <c r="J28" s="61" t="e">
        <f t="shared" ref="J28:J33" si="2">F28/H28</f>
        <v>#DIV/0!</v>
      </c>
      <c r="K28" s="61">
        <f t="shared" ref="K28:K33" si="3">(H28-F28)*100/F28</f>
        <v>-100</v>
      </c>
      <c r="L28" s="60" t="s">
        <v>67</v>
      </c>
      <c r="M28" s="62" t="s">
        <v>223</v>
      </c>
      <c r="O28" s="63"/>
      <c r="P28" s="64" t="s">
        <v>71</v>
      </c>
      <c r="Q28" s="64"/>
      <c r="R28" s="64"/>
      <c r="S28" s="77" t="s">
        <v>227</v>
      </c>
      <c r="T28" s="77"/>
      <c r="U28" s="86"/>
      <c r="V28" s="86"/>
      <c r="W28" s="60" t="s">
        <v>67</v>
      </c>
      <c r="X28" s="62" t="s">
        <v>217</v>
      </c>
    </row>
    <row r="29" spans="2:24" s="24" customFormat="1" ht="15.75" x14ac:dyDescent="0.25">
      <c r="B29" s="63"/>
      <c r="C29" s="60" t="s">
        <v>68</v>
      </c>
      <c r="D29" s="60" t="s">
        <v>51</v>
      </c>
      <c r="E29" s="60">
        <v>0</v>
      </c>
      <c r="F29" s="60">
        <v>200</v>
      </c>
      <c r="G29" s="60"/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62" t="s">
        <v>224</v>
      </c>
      <c r="O29" s="63"/>
      <c r="P29" s="64" t="s">
        <v>71</v>
      </c>
      <c r="Q29" s="64"/>
      <c r="R29" s="64"/>
      <c r="S29" s="77" t="s">
        <v>227</v>
      </c>
      <c r="T29" s="77"/>
      <c r="U29" s="86"/>
      <c r="V29" s="86"/>
      <c r="W29" s="60" t="s">
        <v>67</v>
      </c>
      <c r="X29" s="62" t="s">
        <v>217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224</v>
      </c>
      <c r="O30" s="63"/>
      <c r="P30" s="64" t="s">
        <v>71</v>
      </c>
      <c r="Q30" s="64"/>
      <c r="R30" s="64"/>
      <c r="S30" s="77" t="s">
        <v>227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7" t="s">
        <v>85</v>
      </c>
      <c r="Q40" s="227"/>
      <c r="R40" s="227"/>
      <c r="S40" s="227"/>
      <c r="T40" s="81">
        <f>COUNT(O27:O39)</f>
        <v>1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5" t="s">
        <v>26</v>
      </c>
      <c r="E41" s="225"/>
      <c r="F41" s="225"/>
      <c r="G41" s="225"/>
      <c r="H41" s="225"/>
      <c r="I41" s="225"/>
      <c r="J41" s="52">
        <f>COUNT(B27:B39)</f>
        <v>1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4" t="s">
        <v>23</v>
      </c>
      <c r="H44" s="224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223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5" t="s">
        <v>27</v>
      </c>
      <c r="E61" s="225"/>
      <c r="F61" s="225"/>
      <c r="G61" s="225"/>
      <c r="H61" s="225"/>
      <c r="I61" s="225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4" t="s">
        <v>3</v>
      </c>
      <c r="H64" s="224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45020.527777777781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5.13</v>
      </c>
      <c r="I67" s="60">
        <v>0</v>
      </c>
      <c r="J67" s="61">
        <f>F67/H67</f>
        <v>0.97465886939571156</v>
      </c>
      <c r="K67" s="61">
        <f>(H67-F67)*100/F67</f>
        <v>2.5999999999999979</v>
      </c>
      <c r="L67" s="60" t="s">
        <v>67</v>
      </c>
      <c r="M67" s="78" t="s">
        <v>223</v>
      </c>
    </row>
    <row r="68" spans="2:13" ht="15.75" x14ac:dyDescent="0.25">
      <c r="B68" s="63"/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/>
      <c r="I68" s="60">
        <v>0</v>
      </c>
      <c r="J68" s="61" t="e">
        <f t="shared" ref="J68:J73" si="4">F68/H68</f>
        <v>#DIV/0!</v>
      </c>
      <c r="K68" s="61">
        <f t="shared" ref="K68:K73" si="5">(H68-F68)*100/F68</f>
        <v>-100</v>
      </c>
      <c r="L68" s="60" t="s">
        <v>67</v>
      </c>
      <c r="M68" s="62" t="s">
        <v>224</v>
      </c>
    </row>
    <row r="69" spans="2:13" ht="15.75" x14ac:dyDescent="0.25">
      <c r="B69" s="63"/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/>
      <c r="I69" s="60">
        <v>0</v>
      </c>
      <c r="J69" s="61" t="e">
        <f t="shared" si="4"/>
        <v>#DIV/0!</v>
      </c>
      <c r="K69" s="61">
        <f t="shared" si="5"/>
        <v>-100</v>
      </c>
      <c r="L69" s="60" t="s">
        <v>67</v>
      </c>
      <c r="M69" s="62" t="s">
        <v>224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224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5" t="s">
        <v>28</v>
      </c>
      <c r="E81" s="225"/>
      <c r="F81" s="225"/>
      <c r="G81" s="225"/>
      <c r="H81" s="225"/>
      <c r="I81" s="225"/>
      <c r="J81" s="52">
        <f>COUNT(B67:B79)</f>
        <v>1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4" t="s">
        <v>24</v>
      </c>
      <c r="H84" s="224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5" t="s">
        <v>29</v>
      </c>
      <c r="E101" s="225"/>
      <c r="F101" s="225"/>
      <c r="G101" s="225"/>
      <c r="H101" s="225"/>
      <c r="I101" s="225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6" t="s">
        <v>4</v>
      </c>
      <c r="H104" s="226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/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/>
      <c r="I107" s="60">
        <f>G107-E107</f>
        <v>0</v>
      </c>
      <c r="J107" s="61" t="e">
        <f>F107/H107</f>
        <v>#DIV/0!</v>
      </c>
      <c r="K107" s="61">
        <f>(H107-F107)*100/F107</f>
        <v>-100</v>
      </c>
      <c r="L107" s="60" t="s">
        <v>67</v>
      </c>
      <c r="M107" s="62" t="s">
        <v>223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224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224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224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5" t="s">
        <v>69</v>
      </c>
      <c r="D119" s="225"/>
      <c r="E119" s="225"/>
      <c r="F119" s="225"/>
      <c r="G119" s="225"/>
      <c r="H119" s="225"/>
      <c r="I119" s="52">
        <f>COUNT(B107:B118)</f>
        <v>0</v>
      </c>
      <c r="J119" s="46"/>
      <c r="K119" s="46"/>
      <c r="L119" s="47"/>
      <c r="M119" s="48"/>
    </row>
  </sheetData>
  <mergeCells count="15"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B3" sqref="B3:C3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8" t="s">
        <v>229</v>
      </c>
      <c r="C2" s="228"/>
      <c r="D2" s="229">
        <v>45017</v>
      </c>
      <c r="E2" s="229"/>
    </row>
    <row r="3" spans="1:5" x14ac:dyDescent="0.25">
      <c r="B3" s="228" t="s">
        <v>21</v>
      </c>
      <c r="C3" s="228"/>
      <c r="D3" s="229"/>
      <c r="E3" s="229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30" t="s">
        <v>22</v>
      </c>
      <c r="C44" s="230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31" t="s">
        <v>221</v>
      </c>
      <c r="C2" s="231"/>
      <c r="D2" s="231"/>
      <c r="E2" s="231"/>
      <c r="F2" s="232">
        <v>44713</v>
      </c>
      <c r="G2" s="233"/>
      <c r="H2" s="233"/>
    </row>
    <row r="3" spans="2:24" s="12" customFormat="1" ht="15" customHeight="1" x14ac:dyDescent="0.25">
      <c r="B3" s="231"/>
      <c r="C3" s="231"/>
      <c r="D3" s="231"/>
      <c r="E3" s="231"/>
      <c r="F3" s="233"/>
      <c r="G3" s="233"/>
      <c r="H3" s="233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34" t="s">
        <v>4</v>
      </c>
      <c r="C12" s="236" t="s">
        <v>134</v>
      </c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7"/>
      <c r="P12" s="237"/>
      <c r="Q12" s="237"/>
      <c r="R12" s="127"/>
      <c r="U12" s="125"/>
    </row>
    <row r="13" spans="2:24" ht="15" customHeight="1" x14ac:dyDescent="0.25">
      <c r="B13" s="235"/>
      <c r="C13" s="128" t="s">
        <v>78</v>
      </c>
      <c r="D13" s="129" t="s">
        <v>83</v>
      </c>
      <c r="E13" s="129" t="s">
        <v>135</v>
      </c>
      <c r="F13" s="129" t="s">
        <v>218</v>
      </c>
      <c r="G13" s="129" t="s">
        <v>137</v>
      </c>
      <c r="H13" s="129" t="s">
        <v>138</v>
      </c>
      <c r="I13" s="129" t="s">
        <v>139</v>
      </c>
      <c r="J13" s="129" t="s">
        <v>140</v>
      </c>
      <c r="K13" s="129" t="s">
        <v>141</v>
      </c>
      <c r="L13" s="129" t="s">
        <v>142</v>
      </c>
      <c r="M13" s="129" t="s">
        <v>143</v>
      </c>
      <c r="N13" s="129" t="s">
        <v>144</v>
      </c>
      <c r="O13" s="129" t="s">
        <v>145</v>
      </c>
      <c r="P13" s="130" t="s">
        <v>146</v>
      </c>
      <c r="Q13" s="129" t="s">
        <v>147</v>
      </c>
      <c r="R13" s="131"/>
      <c r="U13" s="125"/>
    </row>
    <row r="14" spans="2:24" ht="15" customHeight="1" x14ac:dyDescent="0.25">
      <c r="B14" s="235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35"/>
      <c r="C15" s="132" t="s">
        <v>148</v>
      </c>
      <c r="D15" s="133" t="s">
        <v>149</v>
      </c>
      <c r="E15" s="133" t="s">
        <v>150</v>
      </c>
      <c r="F15" s="133" t="s">
        <v>151</v>
      </c>
      <c r="G15" s="133" t="s">
        <v>152</v>
      </c>
      <c r="H15" s="133" t="s">
        <v>153</v>
      </c>
      <c r="I15" s="133" t="s">
        <v>154</v>
      </c>
      <c r="J15" s="133" t="s">
        <v>155</v>
      </c>
      <c r="K15" s="133" t="s">
        <v>156</v>
      </c>
      <c r="L15" s="133" t="s">
        <v>157</v>
      </c>
      <c r="M15" s="133" t="s">
        <v>158</v>
      </c>
      <c r="N15" s="133" t="s">
        <v>159</v>
      </c>
      <c r="O15" s="133" t="s">
        <v>160</v>
      </c>
      <c r="P15" s="134" t="s">
        <v>161</v>
      </c>
      <c r="Q15" s="133" t="s">
        <v>162</v>
      </c>
      <c r="R15" s="135" t="s">
        <v>20</v>
      </c>
      <c r="X15" s="11"/>
    </row>
    <row r="16" spans="2:24" ht="15.75" customHeight="1" x14ac:dyDescent="0.25">
      <c r="B16" s="235"/>
      <c r="C16" s="195">
        <v>2425504512</v>
      </c>
      <c r="D16" s="195">
        <v>2513962496</v>
      </c>
      <c r="E16" s="60">
        <v>1445.7</v>
      </c>
      <c r="F16" s="60" t="s">
        <v>219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219</v>
      </c>
      <c r="L16" s="60" t="s">
        <v>220</v>
      </c>
      <c r="M16" s="60">
        <v>485</v>
      </c>
      <c r="N16" s="60" t="s">
        <v>220</v>
      </c>
      <c r="O16" s="60">
        <v>30</v>
      </c>
      <c r="P16" s="60">
        <v>49.5</v>
      </c>
      <c r="Q16" s="60">
        <v>50</v>
      </c>
      <c r="R16" s="150" t="s">
        <v>217</v>
      </c>
      <c r="X16" s="11"/>
    </row>
    <row r="17" spans="2:28" ht="15.75" customHeight="1" x14ac:dyDescent="0.25">
      <c r="B17" s="235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35"/>
      <c r="C18" s="142" t="s">
        <v>78</v>
      </c>
      <c r="D18" s="142" t="s">
        <v>83</v>
      </c>
      <c r="E18" s="142" t="s">
        <v>135</v>
      </c>
      <c r="F18" s="142" t="s">
        <v>136</v>
      </c>
      <c r="G18" s="142" t="s">
        <v>137</v>
      </c>
      <c r="H18" s="142" t="s">
        <v>138</v>
      </c>
      <c r="I18" s="142" t="s">
        <v>139</v>
      </c>
      <c r="J18" s="142" t="s">
        <v>140</v>
      </c>
      <c r="K18" s="142" t="s">
        <v>141</v>
      </c>
      <c r="L18" s="142" t="s">
        <v>142</v>
      </c>
      <c r="M18" s="142" t="s">
        <v>143</v>
      </c>
      <c r="N18" s="142" t="s">
        <v>144</v>
      </c>
      <c r="O18" s="142" t="s">
        <v>145</v>
      </c>
      <c r="P18" s="143" t="s">
        <v>146</v>
      </c>
      <c r="Q18" s="142" t="s">
        <v>147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148</v>
      </c>
      <c r="D20" s="133" t="s">
        <v>149</v>
      </c>
      <c r="E20" s="133" t="s">
        <v>150</v>
      </c>
      <c r="F20" s="133" t="s">
        <v>151</v>
      </c>
      <c r="G20" s="133" t="s">
        <v>152</v>
      </c>
      <c r="H20" s="133" t="s">
        <v>153</v>
      </c>
      <c r="I20" s="133" t="s">
        <v>154</v>
      </c>
      <c r="J20" s="133" t="s">
        <v>155</v>
      </c>
      <c r="K20" s="133" t="s">
        <v>156</v>
      </c>
      <c r="L20" s="133" t="s">
        <v>157</v>
      </c>
      <c r="M20" s="133" t="s">
        <v>158</v>
      </c>
      <c r="N20" s="133" t="s">
        <v>159</v>
      </c>
      <c r="O20" s="133" t="s">
        <v>160</v>
      </c>
      <c r="P20" s="134" t="s">
        <v>161</v>
      </c>
      <c r="Q20" s="133" t="s">
        <v>162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8" t="s">
        <v>2</v>
      </c>
      <c r="C25" s="240" t="s">
        <v>134</v>
      </c>
      <c r="D25" s="241"/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241"/>
      <c r="Q25" s="241"/>
      <c r="R25" s="242"/>
      <c r="S25" s="188"/>
      <c r="T25" s="189"/>
    </row>
    <row r="26" spans="2:28" ht="15" customHeight="1" x14ac:dyDescent="0.3">
      <c r="B26" s="238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214</v>
      </c>
      <c r="S26" s="179" t="s">
        <v>215</v>
      </c>
      <c r="T26" s="170" t="s">
        <v>20</v>
      </c>
      <c r="Z26" s="149"/>
      <c r="AA26" s="149"/>
      <c r="AB26" s="149"/>
    </row>
    <row r="27" spans="2:28" ht="15.75" customHeight="1" x14ac:dyDescent="0.25">
      <c r="B27" s="238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8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9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214</v>
      </c>
      <c r="S29" s="184" t="s">
        <v>215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46" t="s">
        <v>3</v>
      </c>
      <c r="C36" s="248" t="s">
        <v>134</v>
      </c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9"/>
    </row>
    <row r="37" spans="2:25" ht="15.75" customHeight="1" x14ac:dyDescent="0.25">
      <c r="B37" s="247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47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47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47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50" t="s">
        <v>1</v>
      </c>
      <c r="C48" s="163" t="s">
        <v>134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51"/>
      <c r="C49" s="152" t="s">
        <v>78</v>
      </c>
      <c r="D49" s="142" t="s">
        <v>155</v>
      </c>
      <c r="E49" s="142" t="s">
        <v>164</v>
      </c>
      <c r="F49" s="142" t="s">
        <v>165</v>
      </c>
      <c r="G49" s="142" t="s">
        <v>166</v>
      </c>
      <c r="H49" s="142" t="s">
        <v>167</v>
      </c>
      <c r="I49" s="142" t="s">
        <v>168</v>
      </c>
      <c r="J49" s="142" t="s">
        <v>140</v>
      </c>
      <c r="K49" s="142" t="s">
        <v>169</v>
      </c>
      <c r="L49" s="142" t="s">
        <v>170</v>
      </c>
      <c r="M49" s="142" t="s">
        <v>171</v>
      </c>
      <c r="N49" s="142" t="s">
        <v>172</v>
      </c>
      <c r="O49" s="142" t="s">
        <v>173</v>
      </c>
      <c r="P49" s="142" t="s">
        <v>79</v>
      </c>
      <c r="Q49" s="153" t="s">
        <v>174</v>
      </c>
    </row>
    <row r="50" spans="2:20" x14ac:dyDescent="0.25">
      <c r="B50" s="251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51"/>
      <c r="C51" s="152" t="s">
        <v>80</v>
      </c>
      <c r="D51" s="142" t="s">
        <v>175</v>
      </c>
      <c r="E51" s="142" t="s">
        <v>176</v>
      </c>
      <c r="F51" s="142" t="s">
        <v>177</v>
      </c>
      <c r="G51" s="142" t="s">
        <v>178</v>
      </c>
      <c r="H51" s="142" t="s">
        <v>179</v>
      </c>
      <c r="I51" s="133" t="s">
        <v>81</v>
      </c>
      <c r="J51" s="133" t="s">
        <v>180</v>
      </c>
      <c r="K51" s="133" t="s">
        <v>181</v>
      </c>
      <c r="L51" s="133" t="s">
        <v>86</v>
      </c>
      <c r="M51" s="133" t="s">
        <v>182</v>
      </c>
      <c r="N51" s="133" t="s">
        <v>161</v>
      </c>
      <c r="O51" s="133" t="s">
        <v>183</v>
      </c>
      <c r="P51" s="133" t="s">
        <v>184</v>
      </c>
      <c r="Q51" s="29" t="s">
        <v>20</v>
      </c>
    </row>
    <row r="52" spans="2:20" ht="15.75" x14ac:dyDescent="0.25">
      <c r="B52" s="251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155</v>
      </c>
      <c r="E54" s="142" t="s">
        <v>164</v>
      </c>
      <c r="F54" s="142" t="s">
        <v>165</v>
      </c>
      <c r="G54" s="142" t="s">
        <v>166</v>
      </c>
      <c r="H54" s="142" t="s">
        <v>167</v>
      </c>
      <c r="I54" s="142" t="s">
        <v>168</v>
      </c>
      <c r="J54" s="142" t="s">
        <v>140</v>
      </c>
      <c r="K54" s="142" t="s">
        <v>169</v>
      </c>
      <c r="L54" s="142" t="s">
        <v>170</v>
      </c>
      <c r="M54" s="142" t="s">
        <v>171</v>
      </c>
      <c r="N54" s="142" t="s">
        <v>172</v>
      </c>
      <c r="O54" s="142" t="s">
        <v>173</v>
      </c>
      <c r="P54" s="142" t="s">
        <v>79</v>
      </c>
      <c r="Q54" s="153" t="s">
        <v>174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175</v>
      </c>
      <c r="E56" s="142" t="s">
        <v>176</v>
      </c>
      <c r="F56" s="142" t="s">
        <v>177</v>
      </c>
      <c r="G56" s="142" t="s">
        <v>178</v>
      </c>
      <c r="H56" s="142" t="s">
        <v>179</v>
      </c>
      <c r="I56" s="133" t="s">
        <v>81</v>
      </c>
      <c r="J56" s="133" t="s">
        <v>180</v>
      </c>
      <c r="K56" s="133" t="s">
        <v>181</v>
      </c>
      <c r="L56" s="133" t="s">
        <v>86</v>
      </c>
      <c r="M56" s="133" t="s">
        <v>182</v>
      </c>
      <c r="N56" s="133" t="s">
        <v>161</v>
      </c>
      <c r="O56" s="133" t="s">
        <v>183</v>
      </c>
      <c r="P56" s="133" t="s">
        <v>184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8" t="s">
        <v>185</v>
      </c>
      <c r="C61" s="240" t="s">
        <v>134</v>
      </c>
      <c r="D61" s="241"/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241"/>
      <c r="Q61" s="241"/>
      <c r="R61" s="242"/>
      <c r="S61" s="166"/>
      <c r="T61" s="167"/>
    </row>
    <row r="62" spans="2:20" ht="15.75" x14ac:dyDescent="0.3">
      <c r="B62" s="238"/>
      <c r="C62" s="168" t="s">
        <v>78</v>
      </c>
      <c r="D62" s="168" t="s">
        <v>186</v>
      </c>
      <c r="E62" s="168" t="s">
        <v>187</v>
      </c>
      <c r="F62" s="168" t="s">
        <v>188</v>
      </c>
      <c r="G62" s="168" t="s">
        <v>189</v>
      </c>
      <c r="H62" s="168" t="s">
        <v>190</v>
      </c>
      <c r="I62" s="168" t="s">
        <v>191</v>
      </c>
      <c r="J62" s="168" t="s">
        <v>192</v>
      </c>
      <c r="K62" s="168" t="s">
        <v>193</v>
      </c>
      <c r="L62" s="168" t="s">
        <v>194</v>
      </c>
      <c r="M62" s="168" t="s">
        <v>195</v>
      </c>
      <c r="N62" s="168" t="s">
        <v>196</v>
      </c>
      <c r="O62" s="168" t="s">
        <v>197</v>
      </c>
      <c r="P62" s="168" t="s">
        <v>198</v>
      </c>
      <c r="Q62" s="168" t="s">
        <v>199</v>
      </c>
      <c r="R62" s="168" t="s">
        <v>200</v>
      </c>
      <c r="S62" s="169" t="s">
        <v>201</v>
      </c>
      <c r="T62" s="170" t="s">
        <v>20</v>
      </c>
    </row>
    <row r="63" spans="2:20" ht="15.75" x14ac:dyDescent="0.25">
      <c r="B63" s="252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52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9"/>
      <c r="C65" s="173" t="s">
        <v>78</v>
      </c>
      <c r="D65" s="173" t="s">
        <v>186</v>
      </c>
      <c r="E65" s="173" t="s">
        <v>187</v>
      </c>
      <c r="F65" s="173" t="s">
        <v>188</v>
      </c>
      <c r="G65" s="173" t="s">
        <v>189</v>
      </c>
      <c r="H65" s="173" t="s">
        <v>190</v>
      </c>
      <c r="I65" s="173" t="s">
        <v>191</v>
      </c>
      <c r="J65" s="173" t="s">
        <v>192</v>
      </c>
      <c r="K65" s="173" t="s">
        <v>193</v>
      </c>
      <c r="L65" s="173" t="s">
        <v>194</v>
      </c>
      <c r="M65" s="173" t="s">
        <v>195</v>
      </c>
      <c r="N65" s="173" t="s">
        <v>196</v>
      </c>
      <c r="O65" s="173" t="s">
        <v>197</v>
      </c>
      <c r="P65" s="173" t="s">
        <v>198</v>
      </c>
      <c r="Q65" s="173" t="s">
        <v>199</v>
      </c>
      <c r="R65" s="173" t="s">
        <v>200</v>
      </c>
      <c r="S65" s="174" t="s">
        <v>201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8" t="s">
        <v>202</v>
      </c>
      <c r="C69" s="240" t="s">
        <v>134</v>
      </c>
      <c r="D69" s="241"/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241"/>
      <c r="Q69" s="241"/>
      <c r="R69" s="242"/>
      <c r="S69" s="166"/>
      <c r="T69" s="167"/>
    </row>
    <row r="70" spans="2:20" ht="15.75" x14ac:dyDescent="0.3">
      <c r="B70" s="238"/>
      <c r="C70" s="173" t="s">
        <v>78</v>
      </c>
      <c r="D70" s="173" t="s">
        <v>186</v>
      </c>
      <c r="E70" s="173" t="s">
        <v>187</v>
      </c>
      <c r="F70" s="173" t="s">
        <v>188</v>
      </c>
      <c r="G70" s="173" t="s">
        <v>189</v>
      </c>
      <c r="H70" s="173" t="s">
        <v>190</v>
      </c>
      <c r="I70" s="173" t="s">
        <v>191</v>
      </c>
      <c r="J70" s="173" t="s">
        <v>192</v>
      </c>
      <c r="K70" s="173" t="s">
        <v>193</v>
      </c>
      <c r="L70" s="173" t="s">
        <v>194</v>
      </c>
      <c r="M70" s="173" t="s">
        <v>195</v>
      </c>
      <c r="N70" s="173" t="s">
        <v>196</v>
      </c>
      <c r="O70" s="173" t="s">
        <v>197</v>
      </c>
      <c r="P70" s="173" t="s">
        <v>198</v>
      </c>
      <c r="Q70" s="173" t="s">
        <v>199</v>
      </c>
      <c r="R70" s="173" t="s">
        <v>200</v>
      </c>
      <c r="S70" s="174" t="s">
        <v>201</v>
      </c>
      <c r="T70" s="175" t="s">
        <v>20</v>
      </c>
    </row>
    <row r="71" spans="2:20" ht="15.75" x14ac:dyDescent="0.25">
      <c r="B71" s="238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52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9"/>
      <c r="C73" s="173" t="s">
        <v>78</v>
      </c>
      <c r="D73" s="173" t="s">
        <v>186</v>
      </c>
      <c r="E73" s="173" t="s">
        <v>187</v>
      </c>
      <c r="F73" s="173" t="s">
        <v>188</v>
      </c>
      <c r="G73" s="173" t="s">
        <v>189</v>
      </c>
      <c r="H73" s="173" t="s">
        <v>190</v>
      </c>
      <c r="I73" s="173" t="s">
        <v>191</v>
      </c>
      <c r="J73" s="173" t="s">
        <v>192</v>
      </c>
      <c r="K73" s="173" t="s">
        <v>193</v>
      </c>
      <c r="L73" s="173" t="s">
        <v>194</v>
      </c>
      <c r="M73" s="173" t="s">
        <v>195</v>
      </c>
      <c r="N73" s="173" t="s">
        <v>196</v>
      </c>
      <c r="O73" s="173" t="s">
        <v>197</v>
      </c>
      <c r="P73" s="173" t="s">
        <v>198</v>
      </c>
      <c r="Q73" s="173" t="s">
        <v>199</v>
      </c>
      <c r="R73" s="173" t="s">
        <v>200</v>
      </c>
      <c r="S73" s="174" t="s">
        <v>201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43" t="s">
        <v>24</v>
      </c>
      <c r="C77" s="242" t="s">
        <v>134</v>
      </c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5"/>
      <c r="Q77" s="245"/>
      <c r="R77" s="177"/>
      <c r="S77" s="177"/>
      <c r="T77" s="178"/>
    </row>
    <row r="78" spans="2:20" x14ac:dyDescent="0.25">
      <c r="B78" s="244"/>
      <c r="C78" s="179" t="s">
        <v>78</v>
      </c>
      <c r="D78" s="179" t="s">
        <v>203</v>
      </c>
      <c r="E78" s="179" t="s">
        <v>204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205</v>
      </c>
      <c r="O78" s="180" t="s">
        <v>204</v>
      </c>
      <c r="P78" s="180" t="s">
        <v>116</v>
      </c>
      <c r="Q78" s="180" t="s">
        <v>206</v>
      </c>
      <c r="R78" s="180" t="s">
        <v>204</v>
      </c>
      <c r="S78" s="180" t="s">
        <v>207</v>
      </c>
      <c r="T78" s="173" t="s">
        <v>204</v>
      </c>
    </row>
    <row r="79" spans="2:20" x14ac:dyDescent="0.25">
      <c r="B79" s="244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44"/>
      <c r="C80" s="173" t="s">
        <v>117</v>
      </c>
      <c r="D80" s="173" t="s">
        <v>118</v>
      </c>
      <c r="E80" s="173" t="s">
        <v>208</v>
      </c>
      <c r="F80" s="173" t="s">
        <v>204</v>
      </c>
      <c r="G80" s="173" t="s">
        <v>116</v>
      </c>
      <c r="H80" s="173" t="s">
        <v>209</v>
      </c>
      <c r="I80" s="173" t="s">
        <v>204</v>
      </c>
      <c r="J80" s="173" t="s">
        <v>119</v>
      </c>
      <c r="K80" s="173" t="s">
        <v>120</v>
      </c>
      <c r="L80" s="173" t="s">
        <v>210</v>
      </c>
      <c r="M80" s="173" t="s">
        <v>204</v>
      </c>
      <c r="N80" s="173" t="s">
        <v>211</v>
      </c>
      <c r="O80" s="174" t="s">
        <v>204</v>
      </c>
      <c r="P80" s="174" t="s">
        <v>212</v>
      </c>
      <c r="Q80" s="174" t="s">
        <v>204</v>
      </c>
      <c r="R80" s="174" t="s">
        <v>213</v>
      </c>
      <c r="S80" s="174" t="s">
        <v>204</v>
      </c>
      <c r="T80" s="175" t="s">
        <v>20</v>
      </c>
    </row>
    <row r="81" spans="2:20" ht="15.75" x14ac:dyDescent="0.25">
      <c r="B81" s="244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163</v>
      </c>
    </row>
    <row r="82" spans="2:20" x14ac:dyDescent="0.25">
      <c r="B82" s="244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44"/>
      <c r="C83" s="184" t="s">
        <v>78</v>
      </c>
      <c r="D83" s="184" t="s">
        <v>203</v>
      </c>
      <c r="E83" s="184" t="s">
        <v>204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205</v>
      </c>
      <c r="O83" s="173" t="s">
        <v>204</v>
      </c>
      <c r="P83" s="173" t="s">
        <v>116</v>
      </c>
      <c r="Q83" s="173" t="s">
        <v>206</v>
      </c>
      <c r="R83" s="173" t="s">
        <v>204</v>
      </c>
      <c r="S83" s="173" t="s">
        <v>207</v>
      </c>
      <c r="T83" s="173" t="s">
        <v>204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208</v>
      </c>
      <c r="F85" s="173" t="s">
        <v>204</v>
      </c>
      <c r="G85" s="173" t="s">
        <v>116</v>
      </c>
      <c r="H85" s="173" t="s">
        <v>209</v>
      </c>
      <c r="I85" s="173" t="s">
        <v>204</v>
      </c>
      <c r="J85" s="173" t="s">
        <v>119</v>
      </c>
      <c r="K85" s="173" t="s">
        <v>120</v>
      </c>
      <c r="L85" s="173" t="s">
        <v>210</v>
      </c>
      <c r="M85" s="173" t="s">
        <v>204</v>
      </c>
      <c r="N85" s="173" t="s">
        <v>211</v>
      </c>
      <c r="O85" s="174" t="s">
        <v>204</v>
      </c>
      <c r="P85" s="174" t="s">
        <v>212</v>
      </c>
      <c r="Q85" s="174" t="s">
        <v>204</v>
      </c>
      <c r="R85" s="174" t="s">
        <v>213</v>
      </c>
      <c r="S85" s="174" t="s">
        <v>204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2026-01-02T10:46:20Z</dcterms:modified>
</cp:coreProperties>
</file>