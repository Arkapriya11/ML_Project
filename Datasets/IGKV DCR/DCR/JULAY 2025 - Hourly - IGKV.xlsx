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july 2025\"/>
    </mc:Choice>
  </mc:AlternateContent>
  <xr:revisionPtr revIDLastSave="0" documentId="13_ncr:1_{3C656DDE-E362-4A6A-AFFA-A81FD28C7E7D}" xr6:coauthVersionLast="47" xr6:coauthVersionMax="47" xr10:uidLastSave="{00000000-0000-0000-0000-000000000000}"/>
  <bookViews>
    <workbookView xWindow="-120" yWindow="-120" windowWidth="20730" windowHeight="11040" tabRatio="913" firstSheet="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Q44" i="39" l="1"/>
  <c r="H38" i="40"/>
  <c r="H40" i="40" s="1"/>
  <c r="G38" i="40"/>
  <c r="G40" i="40" s="1"/>
  <c r="E38" i="40"/>
  <c r="H38" i="29"/>
  <c r="E38" i="29"/>
  <c r="E39" i="29" s="1"/>
  <c r="F38" i="29"/>
  <c r="F39" i="29" s="1"/>
  <c r="G38" i="29"/>
  <c r="G40" i="29" s="1"/>
  <c r="C38" i="29"/>
  <c r="D38" i="29"/>
  <c r="D40" i="29" s="1"/>
  <c r="B38" i="29"/>
  <c r="B40" i="29" s="1"/>
  <c r="D38" i="19"/>
  <c r="C38" i="15"/>
  <c r="D38" i="15"/>
  <c r="D39" i="15" s="1"/>
  <c r="B38" i="15"/>
  <c r="C38" i="14"/>
  <c r="D38" i="14"/>
  <c r="B38" i="14"/>
  <c r="H38" i="12"/>
  <c r="G38" i="12"/>
  <c r="Q38" i="11"/>
  <c r="Q38" i="10"/>
  <c r="Q38" i="9"/>
  <c r="H29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C40" i="40"/>
  <c r="O39" i="40"/>
  <c r="M39" i="40"/>
  <c r="I39" i="40"/>
  <c r="H39" i="40"/>
  <c r="Q38" i="40"/>
  <c r="Q39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F38" i="40"/>
  <c r="F40" i="40" s="1"/>
  <c r="E40" i="40"/>
  <c r="D38" i="40"/>
  <c r="D40" i="40" s="1"/>
  <c r="C38" i="40"/>
  <c r="C39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P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F40" i="33"/>
  <c r="E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E40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H40" i="32"/>
  <c r="D40" i="32"/>
  <c r="B40" i="32"/>
  <c r="J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40" i="32" s="1"/>
  <c r="I38" i="32"/>
  <c r="I39" i="32" s="1"/>
  <c r="H38" i="32"/>
  <c r="H39" i="32" s="1"/>
  <c r="G38" i="32"/>
  <c r="G39" i="32" s="1"/>
  <c r="F38" i="32"/>
  <c r="F39" i="32" s="1"/>
  <c r="E38" i="32"/>
  <c r="E40" i="32" s="1"/>
  <c r="D38" i="32"/>
  <c r="D39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K40" i="31"/>
  <c r="I39" i="31"/>
  <c r="G39" i="31"/>
  <c r="C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K39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D39" i="30" s="1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J40" i="29"/>
  <c r="I40" i="29"/>
  <c r="L39" i="29"/>
  <c r="J39" i="29"/>
  <c r="I39" i="29"/>
  <c r="Q38" i="29"/>
  <c r="Q40" i="29" s="1"/>
  <c r="P38" i="29"/>
  <c r="P39" i="29" s="1"/>
  <c r="O38" i="29"/>
  <c r="O39" i="29" s="1"/>
  <c r="N38" i="29"/>
  <c r="N40" i="29" s="1"/>
  <c r="M38" i="29"/>
  <c r="M40" i="29" s="1"/>
  <c r="L38" i="29"/>
  <c r="L40" i="29" s="1"/>
  <c r="K38" i="29"/>
  <c r="K39" i="29" s="1"/>
  <c r="J38" i="29"/>
  <c r="I38" i="29"/>
  <c r="H40" i="29"/>
  <c r="C40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G40" i="28"/>
  <c r="O39" i="28"/>
  <c r="L39" i="28"/>
  <c r="G39" i="28"/>
  <c r="F39" i="28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F38" i="28"/>
  <c r="F40" i="28" s="1"/>
  <c r="E38" i="28"/>
  <c r="E40" i="28" s="1"/>
  <c r="D38" i="28"/>
  <c r="D39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I40" i="27"/>
  <c r="N39" i="27"/>
  <c r="I39" i="27"/>
  <c r="Q38" i="27"/>
  <c r="Q39" i="27" s="1"/>
  <c r="P38" i="27"/>
  <c r="P39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H40" i="26"/>
  <c r="F40" i="26"/>
  <c r="C40" i="26"/>
  <c r="N39" i="26"/>
  <c r="H39" i="26"/>
  <c r="F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40" i="26" s="1"/>
  <c r="H38" i="26"/>
  <c r="G38" i="26"/>
  <c r="G40" i="26" s="1"/>
  <c r="F38" i="26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P40" i="25"/>
  <c r="O40" i="25"/>
  <c r="O39" i="25"/>
  <c r="J39" i="25"/>
  <c r="I39" i="25"/>
  <c r="Q38" i="25"/>
  <c r="Q40" i="25" s="1"/>
  <c r="P38" i="25"/>
  <c r="P39" i="25" s="1"/>
  <c r="O38" i="25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9" i="24"/>
  <c r="P39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40" i="24" s="1"/>
  <c r="J38" i="24"/>
  <c r="J39" i="24" s="1"/>
  <c r="I38" i="24"/>
  <c r="I40" i="24" s="1"/>
  <c r="H38" i="24"/>
  <c r="H40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40" i="23"/>
  <c r="P40" i="23"/>
  <c r="C40" i="23"/>
  <c r="Q38" i="23"/>
  <c r="Q39" i="23" s="1"/>
  <c r="P38" i="23"/>
  <c r="P39" i="23" s="1"/>
  <c r="O38" i="23"/>
  <c r="O40" i="23" s="1"/>
  <c r="N38" i="23"/>
  <c r="N40" i="23" s="1"/>
  <c r="M38" i="23"/>
  <c r="M39" i="23" s="1"/>
  <c r="L38" i="23"/>
  <c r="L39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L40" i="22"/>
  <c r="G40" i="22"/>
  <c r="D40" i="22"/>
  <c r="L39" i="22"/>
  <c r="I39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K38" i="22"/>
  <c r="K40" i="22" s="1"/>
  <c r="J38" i="22"/>
  <c r="J39" i="22" s="1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40" i="21"/>
  <c r="H40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E40" i="20"/>
  <c r="D40" i="20"/>
  <c r="Q38" i="20"/>
  <c r="Q40" i="20" s="1"/>
  <c r="P38" i="20"/>
  <c r="P39" i="20" s="1"/>
  <c r="O38" i="20"/>
  <c r="O40" i="20" s="1"/>
  <c r="N38" i="20"/>
  <c r="N40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M40" i="19"/>
  <c r="L39" i="19"/>
  <c r="D39" i="19"/>
  <c r="Q38" i="19"/>
  <c r="Q39" i="19" s="1"/>
  <c r="P38" i="19"/>
  <c r="P39" i="19" s="1"/>
  <c r="O38" i="19"/>
  <c r="O39" i="19" s="1"/>
  <c r="N38" i="19"/>
  <c r="N40" i="19" s="1"/>
  <c r="M38" i="19"/>
  <c r="M39" i="19" s="1"/>
  <c r="L38" i="19"/>
  <c r="L40" i="19" s="1"/>
  <c r="K38" i="19"/>
  <c r="K39" i="19" s="1"/>
  <c r="J38" i="19"/>
  <c r="J39" i="19" s="1"/>
  <c r="I38" i="19"/>
  <c r="I40" i="19" s="1"/>
  <c r="H38" i="19"/>
  <c r="H40" i="19" s="1"/>
  <c r="G38" i="19"/>
  <c r="G39" i="19" s="1"/>
  <c r="F38" i="19"/>
  <c r="F40" i="19" s="1"/>
  <c r="E38" i="19"/>
  <c r="E39" i="19" s="1"/>
  <c r="D40" i="19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P40" i="18"/>
  <c r="N40" i="18"/>
  <c r="H40" i="18"/>
  <c r="F39" i="18"/>
  <c r="E39" i="18"/>
  <c r="Q38" i="18"/>
  <c r="Q39" i="18" s="1"/>
  <c r="P38" i="18"/>
  <c r="P39" i="18" s="1"/>
  <c r="O38" i="18"/>
  <c r="O40" i="18" s="1"/>
  <c r="N38" i="18"/>
  <c r="N39" i="18" s="1"/>
  <c r="M38" i="18"/>
  <c r="M40" i="18" s="1"/>
  <c r="L38" i="18"/>
  <c r="L40" i="18" s="1"/>
  <c r="K38" i="18"/>
  <c r="K40" i="18" s="1"/>
  <c r="J38" i="18"/>
  <c r="J39" i="18" s="1"/>
  <c r="I38" i="18"/>
  <c r="I40" i="18" s="1"/>
  <c r="H38" i="18"/>
  <c r="H39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L39" i="17"/>
  <c r="I39" i="17"/>
  <c r="H39" i="17"/>
  <c r="Q38" i="17"/>
  <c r="Q39" i="17" s="1"/>
  <c r="P38" i="17"/>
  <c r="P40" i="17" s="1"/>
  <c r="O38" i="17"/>
  <c r="O40" i="17" s="1"/>
  <c r="N38" i="17"/>
  <c r="N40" i="17" s="1"/>
  <c r="M38" i="17"/>
  <c r="M39" i="17" s="1"/>
  <c r="L38" i="17"/>
  <c r="L40" i="17" s="1"/>
  <c r="K38" i="17"/>
  <c r="K39" i="17" s="1"/>
  <c r="J38" i="17"/>
  <c r="J40" i="17" s="1"/>
  <c r="I38" i="17"/>
  <c r="I40" i="17" s="1"/>
  <c r="H38" i="17"/>
  <c r="H40" i="17" s="1"/>
  <c r="G38" i="17"/>
  <c r="G39" i="17" s="1"/>
  <c r="F38" i="17"/>
  <c r="F40" i="17" s="1"/>
  <c r="E38" i="17"/>
  <c r="E39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M40" i="15"/>
  <c r="I40" i="15"/>
  <c r="H40" i="15"/>
  <c r="G40" i="15"/>
  <c r="Q38" i="15"/>
  <c r="Q39" i="15" s="1"/>
  <c r="P38" i="15"/>
  <c r="P39" i="15" s="1"/>
  <c r="O38" i="15"/>
  <c r="O40" i="15" s="1"/>
  <c r="N38" i="15"/>
  <c r="N39" i="15" s="1"/>
  <c r="M38" i="15"/>
  <c r="M39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39" i="15" s="1"/>
  <c r="F38" i="15"/>
  <c r="F40" i="15" s="1"/>
  <c r="E38" i="15"/>
  <c r="E40" i="15" s="1"/>
  <c r="C40" i="15"/>
  <c r="B40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L40" i="14"/>
  <c r="K40" i="14"/>
  <c r="E39" i="14"/>
  <c r="D39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38" i="14"/>
  <c r="F40" i="14" s="1"/>
  <c r="E38" i="14"/>
  <c r="E40" i="14" s="1"/>
  <c r="D40" i="14"/>
  <c r="B39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40" i="12"/>
  <c r="G40" i="12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40" i="1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9" i="10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40" i="9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9" i="2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L39" i="41" l="1"/>
  <c r="F39" i="40"/>
  <c r="E39" i="43"/>
  <c r="I39" i="43"/>
  <c r="N39" i="43"/>
  <c r="B40" i="43"/>
  <c r="I40" i="33"/>
  <c r="J39" i="33"/>
  <c r="K39" i="33"/>
  <c r="Q39" i="33"/>
  <c r="C40" i="33"/>
  <c r="F40" i="32"/>
  <c r="G40" i="32"/>
  <c r="I40" i="32"/>
  <c r="K40" i="32"/>
  <c r="H39" i="31"/>
  <c r="J39" i="31"/>
  <c r="L39" i="31"/>
  <c r="M40" i="31"/>
  <c r="I39" i="30"/>
  <c r="J39" i="30"/>
  <c r="L39" i="30"/>
  <c r="M39" i="30"/>
  <c r="N39" i="30"/>
  <c r="B40" i="30"/>
  <c r="C39" i="29"/>
  <c r="G39" i="29"/>
  <c r="M39" i="29"/>
  <c r="N39" i="29"/>
  <c r="E40" i="29"/>
  <c r="F40" i="29"/>
  <c r="K40" i="29"/>
  <c r="M39" i="28"/>
  <c r="P39" i="28"/>
  <c r="Q39" i="28"/>
  <c r="D40" i="28"/>
  <c r="H39" i="27"/>
  <c r="K39" i="27"/>
  <c r="L39" i="27"/>
  <c r="M39" i="27"/>
  <c r="O39" i="27"/>
  <c r="P40" i="27"/>
  <c r="G39" i="27"/>
  <c r="I39" i="26"/>
  <c r="O39" i="26"/>
  <c r="Q39" i="26"/>
  <c r="B40" i="26"/>
  <c r="L40" i="26"/>
  <c r="K39" i="25"/>
  <c r="M39" i="25"/>
  <c r="N39" i="25"/>
  <c r="Q39" i="25"/>
  <c r="N40" i="24"/>
  <c r="H39" i="24"/>
  <c r="K39" i="24"/>
  <c r="C40" i="24"/>
  <c r="D40" i="24"/>
  <c r="E40" i="24"/>
  <c r="J40" i="24"/>
  <c r="L40" i="23"/>
  <c r="M40" i="23"/>
  <c r="K39" i="23"/>
  <c r="O39" i="23"/>
  <c r="B40" i="23"/>
  <c r="C40" i="22"/>
  <c r="F40" i="22"/>
  <c r="J40" i="22"/>
  <c r="M40" i="22"/>
  <c r="N39" i="22"/>
  <c r="N39" i="21"/>
  <c r="O39" i="21"/>
  <c r="B40" i="21"/>
  <c r="D40" i="21"/>
  <c r="E40" i="21"/>
  <c r="F40" i="21"/>
  <c r="G40" i="21"/>
  <c r="K40" i="21"/>
  <c r="M41" i="39"/>
  <c r="N39" i="20"/>
  <c r="O39" i="20"/>
  <c r="B40" i="20"/>
  <c r="C40" i="20"/>
  <c r="H40" i="20"/>
  <c r="I40" i="20"/>
  <c r="L40" i="20"/>
  <c r="P40" i="20"/>
  <c r="K40" i="19"/>
  <c r="P40" i="19"/>
  <c r="Q40" i="19"/>
  <c r="F39" i="19"/>
  <c r="H39" i="19"/>
  <c r="I39" i="19"/>
  <c r="O40" i="19"/>
  <c r="J40" i="19"/>
  <c r="I39" i="18"/>
  <c r="K39" i="18"/>
  <c r="L39" i="18"/>
  <c r="M39" i="18"/>
  <c r="B40" i="18"/>
  <c r="G40" i="18"/>
  <c r="J40" i="18"/>
  <c r="F39" i="17"/>
  <c r="J39" i="17"/>
  <c r="N39" i="17"/>
  <c r="O39" i="17"/>
  <c r="C40" i="17"/>
  <c r="G40" i="17"/>
  <c r="E40" i="17"/>
  <c r="K40" i="17"/>
  <c r="C40" i="16"/>
  <c r="D40" i="16"/>
  <c r="F40" i="16"/>
  <c r="G40" i="16"/>
  <c r="H40" i="16"/>
  <c r="I40" i="16"/>
  <c r="J40" i="16"/>
  <c r="M40" i="16"/>
  <c r="N40" i="16"/>
  <c r="E39" i="15"/>
  <c r="C39" i="15"/>
  <c r="L40" i="15"/>
  <c r="F39" i="15"/>
  <c r="P40" i="15"/>
  <c r="Q40" i="15"/>
  <c r="K39" i="15"/>
  <c r="O39" i="15"/>
  <c r="H40" i="14"/>
  <c r="F39" i="14"/>
  <c r="O40" i="14"/>
  <c r="P40" i="14"/>
  <c r="J39" i="14"/>
  <c r="N39" i="14"/>
  <c r="Q39" i="14"/>
  <c r="B40" i="14"/>
  <c r="G40" i="14"/>
  <c r="O40" i="39"/>
  <c r="D39" i="10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4" i="39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<sst xmlns="http://schemas.openxmlformats.org/spreadsheetml/2006/main" count="2623" uniqueCount="444">
  <si>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</si>
  <si>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</si>
  <si>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</si>
  <si>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</si>
  <si>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</si>
  <si>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</si>
  <si>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</si>
  <si>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</si>
  <si>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</si>
  <si>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</si>
  <si>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</si>
  <si>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</si>
  <si>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</si>
  <si>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</si>
  <si>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</si>
  <si>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</si>
  <si>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</si>
  <si>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</si>
  <si>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</si>
  <si>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</si>
  <si>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</si>
  <si>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</si>
  <si>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</si>
  <si>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</si>
  <si>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</si>
  <si>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</si>
  <si>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</si>
  <si>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</si>
  <si>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</si>
  <si>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</si>
  <si>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</si>
  <si>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</si>
  <si>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</si>
  <si>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</si>
  <si>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</si>
  <si>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</si>
  <si>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</si>
  <si>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</si>
  <si>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</si>
  <si>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</si>
  <si>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</si>
  <si>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</si>
  <si>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</si>
  <si>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</si>
  <si>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</si>
  <si>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</si>
  <si>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</si>
  <si>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</si>
  <si>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</si>
  <si>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</si>
  <si>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</si>
  <si>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</si>
  <si>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</si>
  <si>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</si>
  <si>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</si>
  <si>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</si>
  <si>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Comment</t>
  </si>
  <si>
    <t>IGKV, RAIPUR</t>
  </si>
  <si>
    <t>24 HRS</t>
  </si>
  <si>
    <t>animesh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</si>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</sst>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30" activePane="bottomRight" state="frozen"/>
      <selection pane="topRight"/>
      <selection pane="bottomLeft"/>
      <selection pane="bottomRight" activeCell="B43" sqref="B43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45839.041666666664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45839.041666666664</v>
      </c>
      <c r="B9" s="40">
        <v>5.03</v>
      </c>
      <c r="C9" s="40">
        <v>6.61</v>
      </c>
      <c r="D9" s="40">
        <v>2.7</v>
      </c>
      <c r="E9" s="40">
        <v>4.8600000000000003</v>
      </c>
      <c r="F9" s="40">
        <v>0</v>
      </c>
      <c r="G9" s="40">
        <v>12.81</v>
      </c>
      <c r="H9" s="40">
        <v>7.06</v>
      </c>
      <c r="I9" s="40">
        <v>5.2</v>
      </c>
      <c r="J9" s="40">
        <v>0.57999999999999996</v>
      </c>
      <c r="K9" s="40">
        <v>263.07</v>
      </c>
      <c r="L9" s="40">
        <v>25.03</v>
      </c>
      <c r="M9" s="40">
        <v>93.52</v>
      </c>
      <c r="N9" s="40">
        <v>2.2000000000000002</v>
      </c>
      <c r="O9" s="40">
        <v>0</v>
      </c>
      <c r="P9" s="40">
        <v>0.36</v>
      </c>
      <c r="Q9" s="28" t="s">
        <v>15</v>
      </c>
      <c r="R9" s="38"/>
      <c r="S9" s="38"/>
      <c r="T9" s="38"/>
      <c r="U9" s="38"/>
    </row>
    <row r="10" spans="1:21" customFormat="1">
      <c r="A10" s="39">
        <v>45839.083333333336</v>
      </c>
      <c r="B10" s="40">
        <v>4.7</v>
      </c>
      <c r="C10" s="40">
        <v>6.78</v>
      </c>
      <c r="D10" s="40">
        <v>3.32</v>
      </c>
      <c r="E10" s="40">
        <v>4.58</v>
      </c>
      <c r="F10" s="40">
        <v>0</v>
      </c>
      <c r="G10" s="40">
        <v>11.24</v>
      </c>
      <c r="H10" s="40">
        <v>7.38</v>
      </c>
      <c r="I10" s="40">
        <v>5</v>
      </c>
      <c r="J10" s="40">
        <v>0.72</v>
      </c>
      <c r="K10" s="40">
        <v>261.8</v>
      </c>
      <c r="L10" s="40">
        <v>25.21</v>
      </c>
      <c r="M10" s="40">
        <v>93.54</v>
      </c>
      <c r="N10" s="40">
        <v>2.2000000000000002</v>
      </c>
      <c r="O10" s="40">
        <v>0</v>
      </c>
      <c r="P10" s="40">
        <v>0.37</v>
      </c>
      <c r="Q10" s="28" t="s">
        <v>15</v>
      </c>
      <c r="R10" s="38"/>
      <c r="S10" s="38"/>
      <c r="T10" s="38"/>
      <c r="U10" s="38"/>
    </row>
    <row r="11" spans="1:21" customFormat="1">
      <c r="A11" s="39">
        <v>45839.125</v>
      </c>
      <c r="B11" s="40">
        <v>4.67</v>
      </c>
      <c r="C11" s="40">
        <v>6.94</v>
      </c>
      <c r="D11" s="40">
        <v>3.56</v>
      </c>
      <c r="E11" s="40">
        <v>4.72</v>
      </c>
      <c r="F11" s="40">
        <v>7.0000000000000007E-2</v>
      </c>
      <c r="G11" s="40">
        <v>11.45</v>
      </c>
      <c r="H11" s="40">
        <v>9.06</v>
      </c>
      <c r="I11" s="40">
        <v>5.33</v>
      </c>
      <c r="J11" s="40">
        <v>0.55000000000000004</v>
      </c>
      <c r="K11" s="40">
        <v>260.14</v>
      </c>
      <c r="L11" s="40">
        <v>25.11</v>
      </c>
      <c r="M11" s="40">
        <v>94.13</v>
      </c>
      <c r="N11" s="40">
        <v>2.4</v>
      </c>
      <c r="O11" s="40">
        <v>0</v>
      </c>
      <c r="P11" s="40">
        <v>0.39</v>
      </c>
      <c r="Q11" s="28" t="s">
        <v>15</v>
      </c>
      <c r="R11" s="38"/>
      <c r="S11" s="38"/>
      <c r="T11" s="38"/>
      <c r="U11" s="38"/>
    </row>
    <row r="12" spans="1:21" customFormat="1">
      <c r="A12" s="39">
        <v>45839.166666666664</v>
      </c>
      <c r="B12" s="40">
        <v>4.68</v>
      </c>
      <c r="C12" s="40">
        <v>6.86</v>
      </c>
      <c r="D12" s="40">
        <v>3.37</v>
      </c>
      <c r="E12" s="40">
        <v>5.0199999999999996</v>
      </c>
      <c r="F12" s="40">
        <v>0.61</v>
      </c>
      <c r="G12" s="40">
        <v>19.059999999999999</v>
      </c>
      <c r="H12" s="40">
        <v>10.14</v>
      </c>
      <c r="I12" s="40">
        <v>5.47</v>
      </c>
      <c r="J12" s="40">
        <v>0.78</v>
      </c>
      <c r="K12" s="40">
        <v>261.70999999999998</v>
      </c>
      <c r="L12" s="40">
        <v>25.06</v>
      </c>
      <c r="M12" s="40">
        <v>93.91</v>
      </c>
      <c r="N12" s="40">
        <v>2.4</v>
      </c>
      <c r="O12" s="40">
        <v>0</v>
      </c>
      <c r="P12" s="40">
        <v>0.4</v>
      </c>
      <c r="Q12" s="28" t="s">
        <v>15</v>
      </c>
      <c r="R12" s="38"/>
      <c r="S12" s="38"/>
      <c r="T12" s="38"/>
      <c r="U12" s="38"/>
    </row>
    <row r="13" spans="1:21" customFormat="1">
      <c r="A13" s="39">
        <v>45839.208333333336</v>
      </c>
      <c r="B13" s="40">
        <v>4.58</v>
      </c>
      <c r="C13" s="40">
        <v>6.73</v>
      </c>
      <c r="D13" s="40">
        <v>3.26</v>
      </c>
      <c r="E13" s="40">
        <v>5.3</v>
      </c>
      <c r="F13" s="40">
        <v>0.72</v>
      </c>
      <c r="G13" s="40">
        <v>19.09</v>
      </c>
      <c r="H13" s="40">
        <v>10.14</v>
      </c>
      <c r="I13" s="40">
        <v>5.34</v>
      </c>
      <c r="J13" s="40">
        <v>0.78</v>
      </c>
      <c r="K13" s="40">
        <v>261.43</v>
      </c>
      <c r="L13" s="40">
        <v>24.96</v>
      </c>
      <c r="M13" s="40">
        <v>96.9</v>
      </c>
      <c r="N13" s="40">
        <v>2.8</v>
      </c>
      <c r="O13" s="40">
        <v>0.2</v>
      </c>
      <c r="P13" s="40">
        <v>0.37</v>
      </c>
      <c r="Q13" s="28" t="s">
        <v>15</v>
      </c>
      <c r="R13" s="38"/>
      <c r="S13" s="38"/>
      <c r="T13" s="38"/>
      <c r="U13" s="38"/>
    </row>
    <row r="14" spans="1:21" customFormat="1">
      <c r="A14" s="39">
        <v>45839.25</v>
      </c>
      <c r="B14" s="40">
        <v>4.54</v>
      </c>
      <c r="C14" s="40">
        <v>6.48</v>
      </c>
      <c r="D14" s="40">
        <v>3.03</v>
      </c>
      <c r="E14" s="40">
        <v>5.75</v>
      </c>
      <c r="F14" s="40">
        <v>0.54</v>
      </c>
      <c r="G14" s="40">
        <v>19.09</v>
      </c>
      <c r="H14" s="40">
        <v>9.86</v>
      </c>
      <c r="I14" s="40">
        <v>4.78</v>
      </c>
      <c r="J14" s="40">
        <v>0.82</v>
      </c>
      <c r="K14" s="40">
        <v>265.91000000000003</v>
      </c>
      <c r="L14" s="40">
        <v>24.34</v>
      </c>
      <c r="M14" s="40">
        <v>97.65</v>
      </c>
      <c r="N14" s="40">
        <v>17</v>
      </c>
      <c r="O14" s="40">
        <v>0</v>
      </c>
      <c r="P14" s="40">
        <v>0.35</v>
      </c>
      <c r="Q14" s="28" t="s">
        <v>15</v>
      </c>
      <c r="R14" s="38"/>
      <c r="S14" s="38"/>
      <c r="T14" s="38"/>
      <c r="U14" s="38"/>
    </row>
    <row r="15" spans="1:21" customFormat="1">
      <c r="A15" s="39">
        <v>45839.291666666664</v>
      </c>
      <c r="B15" s="40">
        <v>4.7699999999999996</v>
      </c>
      <c r="C15" s="40">
        <v>6.3</v>
      </c>
      <c r="D15" s="40">
        <v>2.14</v>
      </c>
      <c r="E15" s="40">
        <v>5.05</v>
      </c>
      <c r="F15" s="40">
        <v>0.18</v>
      </c>
      <c r="G15" s="40">
        <v>13.88</v>
      </c>
      <c r="H15" s="40">
        <v>6.92</v>
      </c>
      <c r="I15" s="40">
        <v>4.38</v>
      </c>
      <c r="J15" s="40">
        <v>0.71</v>
      </c>
      <c r="K15" s="40">
        <v>266.5</v>
      </c>
      <c r="L15" s="40">
        <v>24.81</v>
      </c>
      <c r="M15" s="40">
        <v>97.84</v>
      </c>
      <c r="N15" s="40">
        <v>47.6</v>
      </c>
      <c r="O15" s="40">
        <v>0</v>
      </c>
      <c r="P15" s="40">
        <v>0.35</v>
      </c>
      <c r="Q15" s="28" t="s">
        <v>15</v>
      </c>
      <c r="R15" s="38"/>
      <c r="S15" s="38"/>
      <c r="T15" s="38"/>
      <c r="U15" s="38"/>
    </row>
    <row r="16" spans="1:21" customFormat="1">
      <c r="A16" s="39">
        <v>45839.333333333336</v>
      </c>
      <c r="B16" s="40">
        <v>5.18</v>
      </c>
      <c r="C16" s="40">
        <v>6.62</v>
      </c>
      <c r="D16" s="40">
        <v>2.13</v>
      </c>
      <c r="E16" s="40">
        <v>4.8499999999999996</v>
      </c>
      <c r="F16" s="40">
        <v>0.06</v>
      </c>
      <c r="G16" s="40">
        <v>13.82</v>
      </c>
      <c r="H16" s="40">
        <v>6.42</v>
      </c>
      <c r="I16" s="40">
        <v>4.2699999999999996</v>
      </c>
      <c r="J16" s="40">
        <v>0.78</v>
      </c>
      <c r="K16" s="40">
        <v>263.81</v>
      </c>
      <c r="L16" s="40">
        <v>26.1</v>
      </c>
      <c r="M16" s="40">
        <v>93.7</v>
      </c>
      <c r="N16" s="40">
        <v>140.4</v>
      </c>
      <c r="O16" s="40">
        <v>0</v>
      </c>
      <c r="P16" s="40">
        <v>0.37</v>
      </c>
      <c r="Q16" s="28" t="s">
        <v>15</v>
      </c>
      <c r="R16" s="38"/>
      <c r="S16" s="38"/>
      <c r="T16" s="38"/>
      <c r="U16" s="38"/>
    </row>
    <row r="17" spans="1:21" customFormat="1">
      <c r="A17" s="39">
        <v>45839.375</v>
      </c>
      <c r="B17" s="40">
        <v>5.79</v>
      </c>
      <c r="C17" s="40">
        <v>7.37</v>
      </c>
      <c r="D17" s="40">
        <v>2.62</v>
      </c>
      <c r="E17" s="40">
        <v>5.17</v>
      </c>
      <c r="F17" s="40">
        <v>0.22</v>
      </c>
      <c r="G17" s="40">
        <v>27.84</v>
      </c>
      <c r="H17" s="40">
        <v>6.55</v>
      </c>
      <c r="I17" s="40">
        <v>5.0599999999999996</v>
      </c>
      <c r="J17" s="40">
        <v>0.93</v>
      </c>
      <c r="K17" s="40">
        <v>280.61</v>
      </c>
      <c r="L17" s="40">
        <v>27.41</v>
      </c>
      <c r="M17" s="40">
        <v>87.2</v>
      </c>
      <c r="N17" s="40">
        <v>220.8</v>
      </c>
      <c r="O17" s="40">
        <v>0</v>
      </c>
      <c r="P17" s="40">
        <v>0.41</v>
      </c>
      <c r="Q17" s="28" t="s">
        <v>15</v>
      </c>
      <c r="R17" s="38"/>
      <c r="S17" s="38"/>
      <c r="T17" s="38"/>
      <c r="U17" s="38"/>
    </row>
    <row r="18" spans="1:21" customFormat="1">
      <c r="A18" s="39">
        <v>45839.416666666664</v>
      </c>
      <c r="B18" s="40">
        <v>6.56</v>
      </c>
      <c r="C18" s="40">
        <v>8.98</v>
      </c>
      <c r="D18" s="40">
        <v>4.54</v>
      </c>
      <c r="E18" s="40">
        <v>4.75</v>
      </c>
      <c r="F18" s="40">
        <v>0.24</v>
      </c>
      <c r="G18" s="40">
        <v>34.31</v>
      </c>
      <c r="H18" s="40">
        <v>6.55</v>
      </c>
      <c r="I18" s="40">
        <v>5.8</v>
      </c>
      <c r="J18" s="40">
        <v>1.1299999999999999</v>
      </c>
      <c r="K18" s="40">
        <v>282.18</v>
      </c>
      <c r="L18" s="40">
        <v>27.75</v>
      </c>
      <c r="M18" s="40">
        <v>83.43</v>
      </c>
      <c r="N18" s="40">
        <v>231.2</v>
      </c>
      <c r="O18" s="40">
        <v>0</v>
      </c>
      <c r="P18" s="40">
        <v>0.44</v>
      </c>
      <c r="Q18" s="28" t="s">
        <v>15</v>
      </c>
      <c r="R18" s="38"/>
      <c r="S18" s="38"/>
      <c r="T18" s="38"/>
      <c r="U18" s="38"/>
    </row>
    <row r="19" spans="1:21" customFormat="1">
      <c r="A19" s="39">
        <v>45839.458333333336</v>
      </c>
      <c r="B19" s="40">
        <v>6.87</v>
      </c>
      <c r="C19" s="40">
        <v>9.09</v>
      </c>
      <c r="D19" s="40">
        <v>4.26</v>
      </c>
      <c r="E19" s="40">
        <v>5.88</v>
      </c>
      <c r="F19" s="40">
        <v>0</v>
      </c>
      <c r="G19" s="40">
        <v>37.799999999999997</v>
      </c>
      <c r="H19" s="40">
        <v>7.09</v>
      </c>
      <c r="I19" s="40">
        <v>5.76</v>
      </c>
      <c r="J19" s="40">
        <v>1.1100000000000001</v>
      </c>
      <c r="K19" s="40">
        <v>290.31</v>
      </c>
      <c r="L19" s="40">
        <v>27.57</v>
      </c>
      <c r="M19" s="40">
        <v>83.38</v>
      </c>
      <c r="N19" s="40">
        <v>231.4</v>
      </c>
      <c r="O19" s="40">
        <v>0</v>
      </c>
      <c r="P19" s="40">
        <v>0.41</v>
      </c>
      <c r="Q19" s="28" t="s">
        <v>15</v>
      </c>
      <c r="R19" s="38"/>
      <c r="S19" s="38"/>
      <c r="T19" s="38"/>
      <c r="U19" s="38"/>
    </row>
    <row r="20" spans="1:21" customFormat="1">
      <c r="A20" s="39">
        <v>45839.5</v>
      </c>
      <c r="B20" s="40">
        <v>6.84</v>
      </c>
      <c r="C20" s="40">
        <v>9.98</v>
      </c>
      <c r="D20" s="40">
        <v>6.83</v>
      </c>
      <c r="E20" s="40">
        <v>5.79</v>
      </c>
      <c r="F20" s="40">
        <v>10.42</v>
      </c>
      <c r="G20" s="40">
        <v>37.799999999999997</v>
      </c>
      <c r="H20" s="40">
        <v>7.09</v>
      </c>
      <c r="I20" s="40">
        <v>5.75</v>
      </c>
      <c r="J20" s="40">
        <v>1.03</v>
      </c>
      <c r="K20" s="40">
        <v>295.48</v>
      </c>
      <c r="L20" s="40">
        <v>27.95</v>
      </c>
      <c r="M20" s="40">
        <v>83.96</v>
      </c>
      <c r="N20" s="40">
        <v>180.5</v>
      </c>
      <c r="O20" s="40">
        <v>0</v>
      </c>
      <c r="P20" s="40">
        <v>0.38</v>
      </c>
      <c r="Q20" s="40">
        <v>9.9700000000000006</v>
      </c>
      <c r="R20" s="38"/>
      <c r="S20" s="38"/>
      <c r="T20" s="38"/>
      <c r="U20" s="38"/>
    </row>
    <row r="21" spans="1:21" customFormat="1">
      <c r="A21" s="39">
        <v>45839.541666666664</v>
      </c>
      <c r="B21" s="40">
        <v>6.3</v>
      </c>
      <c r="C21" s="40">
        <v>9.9600000000000009</v>
      </c>
      <c r="D21" s="40">
        <v>6.82</v>
      </c>
      <c r="E21" s="40">
        <v>5.89</v>
      </c>
      <c r="F21" s="40">
        <v>16.97</v>
      </c>
      <c r="G21" s="40">
        <v>0</v>
      </c>
      <c r="H21" s="40">
        <v>0</v>
      </c>
      <c r="I21" s="40">
        <v>5.22</v>
      </c>
      <c r="J21" s="40">
        <v>1.22</v>
      </c>
      <c r="K21" s="40">
        <v>286.20999999999998</v>
      </c>
      <c r="L21" s="40">
        <v>28.1</v>
      </c>
      <c r="M21" s="40">
        <v>80.13</v>
      </c>
      <c r="N21" s="40">
        <v>277</v>
      </c>
      <c r="O21" s="40">
        <v>0</v>
      </c>
      <c r="P21" s="40">
        <v>0.39</v>
      </c>
      <c r="Q21" s="40">
        <v>9.9600000000000009</v>
      </c>
      <c r="R21" s="38"/>
      <c r="S21" s="38"/>
      <c r="T21" s="38"/>
      <c r="U21" s="38"/>
    </row>
    <row r="22" spans="1:21" customFormat="1">
      <c r="A22" s="39">
        <v>45839.583333333336</v>
      </c>
      <c r="B22" s="40">
        <v>1.57</v>
      </c>
      <c r="C22" s="40">
        <v>7.57</v>
      </c>
      <c r="D22" s="40">
        <v>6.01</v>
      </c>
      <c r="E22" s="40">
        <v>5.72</v>
      </c>
      <c r="F22" s="40">
        <v>18.37</v>
      </c>
      <c r="G22" s="40">
        <v>37.82</v>
      </c>
      <c r="H22" s="40">
        <v>11.27</v>
      </c>
      <c r="I22" s="40">
        <v>8.1</v>
      </c>
      <c r="J22" s="40">
        <v>1.19</v>
      </c>
      <c r="K22" s="40">
        <v>274.64999999999998</v>
      </c>
      <c r="L22" s="40">
        <v>28.5</v>
      </c>
      <c r="M22" s="40">
        <v>79.2</v>
      </c>
      <c r="N22" s="40">
        <v>247.5</v>
      </c>
      <c r="O22" s="40">
        <v>0</v>
      </c>
      <c r="P22" s="40">
        <v>0.28999999999999998</v>
      </c>
      <c r="Q22" s="40">
        <v>9.94</v>
      </c>
      <c r="R22" s="38"/>
      <c r="S22" s="38"/>
      <c r="T22" s="38"/>
      <c r="U22" s="38"/>
    </row>
    <row r="23" spans="1:21" customFormat="1">
      <c r="A23" s="39">
        <v>45839.625</v>
      </c>
      <c r="B23" s="40">
        <v>3.82</v>
      </c>
      <c r="C23" s="40">
        <v>12.09</v>
      </c>
      <c r="D23" s="40">
        <v>9.01</v>
      </c>
      <c r="E23" s="40">
        <v>7.85</v>
      </c>
      <c r="F23" s="40">
        <v>20.350000000000001</v>
      </c>
      <c r="G23" s="40">
        <v>37.82</v>
      </c>
      <c r="H23" s="40">
        <v>14.38</v>
      </c>
      <c r="I23" s="40">
        <v>14.4</v>
      </c>
      <c r="J23" s="40">
        <v>1.22</v>
      </c>
      <c r="K23" s="40">
        <v>289.52999999999997</v>
      </c>
      <c r="L23" s="40">
        <v>28.47</v>
      </c>
      <c r="M23" s="40">
        <v>80.650000000000006</v>
      </c>
      <c r="N23" s="40">
        <v>233.9</v>
      </c>
      <c r="O23" s="40">
        <v>0</v>
      </c>
      <c r="P23" s="40">
        <v>0.22</v>
      </c>
      <c r="Q23" s="40">
        <v>9.9499999999999993</v>
      </c>
      <c r="R23" s="38"/>
      <c r="S23" s="38"/>
      <c r="T23" s="38"/>
      <c r="U23" s="38"/>
    </row>
    <row r="24" spans="1:21" customFormat="1">
      <c r="A24" s="39">
        <v>45839.666666666664</v>
      </c>
      <c r="B24" s="40">
        <v>2.4900000000000002</v>
      </c>
      <c r="C24" s="40">
        <v>11.64</v>
      </c>
      <c r="D24" s="40">
        <v>9.15</v>
      </c>
      <c r="E24" s="40">
        <v>4.3499999999999996</v>
      </c>
      <c r="F24" s="40">
        <v>16.03</v>
      </c>
      <c r="G24" s="40">
        <v>35.53</v>
      </c>
      <c r="H24" s="40">
        <v>14.38</v>
      </c>
      <c r="I24" s="40">
        <v>15.26</v>
      </c>
      <c r="J24" s="40">
        <v>1.21</v>
      </c>
      <c r="K24" s="40">
        <v>286.49</v>
      </c>
      <c r="L24" s="40">
        <v>29.12</v>
      </c>
      <c r="M24" s="40">
        <v>77.78</v>
      </c>
      <c r="N24" s="40">
        <v>334.5</v>
      </c>
      <c r="O24" s="40">
        <v>0</v>
      </c>
      <c r="P24" s="40">
        <v>0.15</v>
      </c>
      <c r="Q24" s="40">
        <v>9.94</v>
      </c>
      <c r="R24" s="38"/>
      <c r="S24" s="38"/>
      <c r="T24" s="38"/>
      <c r="U24" s="38"/>
    </row>
    <row r="25" spans="1:21" customFormat="1">
      <c r="A25" s="39">
        <v>45839.708333333336</v>
      </c>
      <c r="B25" s="40">
        <v>2.35</v>
      </c>
      <c r="C25" s="40">
        <v>10.98</v>
      </c>
      <c r="D25" s="40">
        <v>8.6300000000000008</v>
      </c>
      <c r="E25" s="40">
        <v>4.53</v>
      </c>
      <c r="F25" s="40">
        <v>24.74</v>
      </c>
      <c r="G25" s="40">
        <v>35.53</v>
      </c>
      <c r="H25" s="40">
        <v>12.07</v>
      </c>
      <c r="I25" s="40">
        <v>8.23</v>
      </c>
      <c r="J25" s="40">
        <v>1.26</v>
      </c>
      <c r="K25" s="40">
        <v>283.43</v>
      </c>
      <c r="L25" s="40">
        <v>28.5</v>
      </c>
      <c r="M25" s="40">
        <v>78.62</v>
      </c>
      <c r="N25" s="40">
        <v>122.3</v>
      </c>
      <c r="O25" s="40">
        <v>0</v>
      </c>
      <c r="P25" s="40">
        <v>0.13</v>
      </c>
      <c r="Q25" s="40">
        <v>9.93</v>
      </c>
      <c r="R25" s="38"/>
      <c r="S25" s="38"/>
      <c r="T25" s="38"/>
      <c r="U25" s="38"/>
    </row>
    <row r="26" spans="1:21" customFormat="1">
      <c r="A26" s="39">
        <v>45839.75</v>
      </c>
      <c r="B26" s="40">
        <v>0.63</v>
      </c>
      <c r="C26" s="40">
        <v>6.33</v>
      </c>
      <c r="D26" s="40">
        <v>6.62</v>
      </c>
      <c r="E26" s="40">
        <v>4.32</v>
      </c>
      <c r="F26" s="40">
        <v>19.899999999999999</v>
      </c>
      <c r="G26" s="40">
        <v>33.71</v>
      </c>
      <c r="H26" s="40">
        <v>11.39</v>
      </c>
      <c r="I26" s="40">
        <v>5.57</v>
      </c>
      <c r="J26" s="40">
        <v>0.92</v>
      </c>
      <c r="K26" s="40">
        <v>269.49</v>
      </c>
      <c r="L26" s="40">
        <v>27.69</v>
      </c>
      <c r="M26" s="40">
        <v>82.29</v>
      </c>
      <c r="N26" s="40">
        <v>43.3</v>
      </c>
      <c r="O26" s="40">
        <v>0</v>
      </c>
      <c r="P26" s="40">
        <v>0.1</v>
      </c>
      <c r="Q26" s="40">
        <v>9.91</v>
      </c>
      <c r="R26" s="38"/>
      <c r="S26" s="38"/>
      <c r="T26" s="38"/>
      <c r="U26" s="38"/>
    </row>
    <row r="27" spans="1:21" customFormat="1">
      <c r="A27" s="39">
        <v>45839.791666666664</v>
      </c>
      <c r="B27" s="40">
        <v>0.71</v>
      </c>
      <c r="C27" s="40">
        <v>2.65</v>
      </c>
      <c r="D27" s="40">
        <v>4.3899999999999997</v>
      </c>
      <c r="E27" s="40">
        <v>4.1399999999999997</v>
      </c>
      <c r="F27" s="40">
        <v>6.05</v>
      </c>
      <c r="G27" s="40">
        <v>34.5</v>
      </c>
      <c r="H27" s="40">
        <v>8.1300000000000008</v>
      </c>
      <c r="I27" s="40">
        <v>4.59</v>
      </c>
      <c r="J27" s="40">
        <v>0.9</v>
      </c>
      <c r="K27" s="40">
        <v>263.04000000000002</v>
      </c>
      <c r="L27" s="40">
        <v>27.16</v>
      </c>
      <c r="M27" s="40">
        <v>86.15</v>
      </c>
      <c r="N27" s="40">
        <v>11.5</v>
      </c>
      <c r="O27" s="40">
        <v>0</v>
      </c>
      <c r="P27" s="40">
        <v>0.1</v>
      </c>
      <c r="Q27" s="40">
        <v>9.92</v>
      </c>
      <c r="R27" s="38"/>
      <c r="S27" s="38"/>
      <c r="T27" s="38"/>
      <c r="U27" s="38"/>
    </row>
    <row r="28" spans="1:21" customFormat="1">
      <c r="A28" s="39">
        <v>45839.833333333336</v>
      </c>
      <c r="B28" s="40">
        <v>1</v>
      </c>
      <c r="C28" s="40">
        <v>2.17</v>
      </c>
      <c r="D28" s="40">
        <v>2.9</v>
      </c>
      <c r="E28" s="40">
        <v>4.37</v>
      </c>
      <c r="F28" s="40">
        <v>3.33</v>
      </c>
      <c r="G28" s="40">
        <v>34.5</v>
      </c>
      <c r="H28" s="40">
        <v>7.43</v>
      </c>
      <c r="I28" s="40">
        <v>4.7</v>
      </c>
      <c r="J28" s="40">
        <v>0.77</v>
      </c>
      <c r="K28" s="40">
        <v>266.39999999999998</v>
      </c>
      <c r="L28" s="40">
        <v>26.59</v>
      </c>
      <c r="M28" s="40">
        <v>92.49</v>
      </c>
      <c r="N28" s="40">
        <v>2.9</v>
      </c>
      <c r="O28" s="40">
        <v>0</v>
      </c>
      <c r="P28" s="40">
        <v>0.11</v>
      </c>
      <c r="Q28" s="40">
        <v>9.92</v>
      </c>
      <c r="R28" s="38"/>
      <c r="S28" s="38"/>
      <c r="T28" s="38"/>
      <c r="U28" s="38"/>
    </row>
    <row r="29" spans="1:21" customFormat="1">
      <c r="A29" s="39">
        <v>45839.875</v>
      </c>
      <c r="B29" s="40">
        <v>1.0900000000000001</v>
      </c>
      <c r="C29" s="40">
        <v>2.87</v>
      </c>
      <c r="D29" s="40">
        <v>3.87</v>
      </c>
      <c r="E29" s="40">
        <v>5.33</v>
      </c>
      <c r="F29" s="40">
        <v>3.57</v>
      </c>
      <c r="G29" s="40">
        <v>25.76</v>
      </c>
      <c r="H29" s="40">
        <v>7.2</v>
      </c>
      <c r="I29" s="40">
        <v>4.75</v>
      </c>
      <c r="J29" s="40">
        <v>0.61</v>
      </c>
      <c r="K29" s="40">
        <v>262.11</v>
      </c>
      <c r="L29" s="40">
        <v>25.92</v>
      </c>
      <c r="M29" s="40">
        <v>93.81</v>
      </c>
      <c r="N29" s="40">
        <v>2.2000000000000002</v>
      </c>
      <c r="O29" s="40">
        <v>0.2</v>
      </c>
      <c r="P29" s="40">
        <v>0.14000000000000001</v>
      </c>
      <c r="Q29" s="40">
        <v>9.91</v>
      </c>
      <c r="R29" s="38"/>
      <c r="S29" s="38"/>
      <c r="T29" s="38"/>
      <c r="U29" s="38"/>
    </row>
    <row r="30" spans="1:21" customFormat="1">
      <c r="A30" s="39">
        <v>45839.916666666664</v>
      </c>
      <c r="B30" s="40">
        <v>1.1100000000000001</v>
      </c>
      <c r="C30" s="40">
        <v>2.62</v>
      </c>
      <c r="D30" s="40">
        <v>3.32</v>
      </c>
      <c r="E30" s="40">
        <v>5.71</v>
      </c>
      <c r="F30" s="40">
        <v>3.59</v>
      </c>
      <c r="G30" s="40">
        <v>22.51</v>
      </c>
      <c r="H30" s="40">
        <v>7.2</v>
      </c>
      <c r="I30" s="40">
        <v>4.54</v>
      </c>
      <c r="J30" s="40">
        <v>0.7</v>
      </c>
      <c r="K30" s="40">
        <v>263.27999999999997</v>
      </c>
      <c r="L30" s="40">
        <v>25.95</v>
      </c>
      <c r="M30" s="40">
        <v>91.84</v>
      </c>
      <c r="N30" s="40">
        <v>2.1</v>
      </c>
      <c r="O30" s="40">
        <v>0</v>
      </c>
      <c r="P30" s="40">
        <v>0.14000000000000001</v>
      </c>
      <c r="Q30" s="40">
        <v>9.91</v>
      </c>
      <c r="R30" s="38"/>
      <c r="S30" s="38"/>
      <c r="T30" s="38"/>
      <c r="U30" s="38"/>
    </row>
    <row r="31" spans="1:21" customFormat="1">
      <c r="A31" s="39">
        <v>45839.958333333336</v>
      </c>
      <c r="B31" s="40">
        <v>1.0900000000000001</v>
      </c>
      <c r="C31" s="40">
        <v>2.4300000000000002</v>
      </c>
      <c r="D31" s="40">
        <v>3.02</v>
      </c>
      <c r="E31" s="40">
        <v>6.21</v>
      </c>
      <c r="F31" s="40">
        <v>3.25</v>
      </c>
      <c r="G31" s="40">
        <v>25.86</v>
      </c>
      <c r="H31" s="40">
        <v>8.3800000000000008</v>
      </c>
      <c r="I31" s="40">
        <v>4.45</v>
      </c>
      <c r="J31" s="40">
        <v>0.67</v>
      </c>
      <c r="K31" s="40">
        <v>262.18</v>
      </c>
      <c r="L31" s="40">
        <v>25.89</v>
      </c>
      <c r="M31" s="40">
        <v>91.89</v>
      </c>
      <c r="N31" s="40">
        <v>2.2000000000000002</v>
      </c>
      <c r="O31" s="40">
        <v>0</v>
      </c>
      <c r="P31" s="40">
        <v>0.15</v>
      </c>
      <c r="Q31" s="40">
        <v>9.93</v>
      </c>
      <c r="R31" s="38"/>
      <c r="S31" s="38"/>
      <c r="T31" s="38"/>
      <c r="U31" s="38"/>
    </row>
    <row r="32" spans="1:21" customFormat="1">
      <c r="A32" s="40">
        <v>45840</v>
      </c>
      <c r="B32" s="40">
        <v>1.1100000000000001</v>
      </c>
      <c r="C32" s="40">
        <v>2.38</v>
      </c>
      <c r="D32" s="40">
        <v>2.87</v>
      </c>
      <c r="E32" s="40">
        <v>6.32</v>
      </c>
      <c r="F32" s="40">
        <v>2.86</v>
      </c>
      <c r="G32" s="40">
        <v>25.86</v>
      </c>
      <c r="H32" s="40">
        <v>10.64</v>
      </c>
      <c r="I32" s="40">
        <v>4.4000000000000004</v>
      </c>
      <c r="J32" s="40">
        <v>0.64</v>
      </c>
      <c r="K32" s="40">
        <v>261.13</v>
      </c>
      <c r="L32" s="40">
        <v>25.93</v>
      </c>
      <c r="M32" s="40">
        <v>92.45</v>
      </c>
      <c r="N32" s="40">
        <v>2.2000000000000002</v>
      </c>
      <c r="O32" s="40">
        <v>0</v>
      </c>
      <c r="P32" s="40">
        <v>0.14000000000000001</v>
      </c>
      <c r="Q32" s="40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0.63</v>
      </c>
      <c r="C34" s="18">
        <f t="shared" si="0"/>
        <v>2.17</v>
      </c>
      <c r="D34" s="18">
        <f t="shared" si="0"/>
        <v>2.13</v>
      </c>
      <c r="E34" s="18">
        <f t="shared" si="0"/>
        <v>4.1399999999999997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4.2699999999999996</v>
      </c>
      <c r="J34" s="18">
        <f t="shared" si="0"/>
        <v>0.55000000000000004</v>
      </c>
      <c r="K34" s="18">
        <f t="shared" si="0"/>
        <v>260.14</v>
      </c>
      <c r="L34" s="18">
        <f t="shared" si="0"/>
        <v>24.34</v>
      </c>
      <c r="M34" s="18">
        <f t="shared" si="0"/>
        <v>77.78</v>
      </c>
      <c r="N34" s="18">
        <f t="shared" si="0"/>
        <v>2.1</v>
      </c>
      <c r="O34" s="18">
        <f t="shared" si="0"/>
        <v>0</v>
      </c>
      <c r="P34" s="18">
        <f t="shared" si="0"/>
        <v>0.1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6.87</v>
      </c>
      <c r="C35" s="3">
        <f t="shared" si="1"/>
        <v>12.09</v>
      </c>
      <c r="D35" s="3">
        <f t="shared" si="1"/>
        <v>9.15</v>
      </c>
      <c r="E35" s="3">
        <f t="shared" si="1"/>
        <v>7.85</v>
      </c>
      <c r="F35" s="3">
        <f t="shared" si="1"/>
        <v>24.74</v>
      </c>
      <c r="G35" s="3">
        <f t="shared" si="1"/>
        <v>37.82</v>
      </c>
      <c r="H35" s="3">
        <f t="shared" si="1"/>
        <v>14.38</v>
      </c>
      <c r="I35" s="3">
        <f t="shared" si="1"/>
        <v>15.26</v>
      </c>
      <c r="J35" s="3">
        <f t="shared" si="1"/>
        <v>1.26</v>
      </c>
      <c r="K35" s="3">
        <f t="shared" si="1"/>
        <v>295.48</v>
      </c>
      <c r="L35" s="3">
        <f t="shared" si="1"/>
        <v>29.12</v>
      </c>
      <c r="M35" s="3">
        <f t="shared" si="1"/>
        <v>97.84</v>
      </c>
      <c r="N35" s="3">
        <f t="shared" si="1"/>
        <v>334.5</v>
      </c>
      <c r="O35" s="3">
        <f t="shared" si="1"/>
        <v>0.2</v>
      </c>
      <c r="P35" s="3">
        <f t="shared" si="1"/>
        <v>0.44</v>
      </c>
      <c r="Q35" s="3">
        <f t="shared" si="1"/>
        <v>9.9700000000000006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3.6449999999999982</v>
      </c>
      <c r="C36" s="18">
        <f t="shared" si="2"/>
        <v>6.7679166666666672</v>
      </c>
      <c r="D36" s="18">
        <f t="shared" si="2"/>
        <v>4.5154166666666669</v>
      </c>
      <c r="E36" s="18">
        <f t="shared" si="2"/>
        <v>5.2691666666666661</v>
      </c>
      <c r="F36" s="18">
        <f t="shared" si="2"/>
        <v>6.3362500000000006</v>
      </c>
      <c r="G36" s="18">
        <f t="shared" si="2"/>
        <v>25.31625</v>
      </c>
      <c r="H36" s="18">
        <f t="shared" si="2"/>
        <v>8.6137499999999978</v>
      </c>
      <c r="I36" s="18">
        <f t="shared" si="2"/>
        <v>6.0979166666666664</v>
      </c>
      <c r="J36" s="18">
        <f t="shared" si="2"/>
        <v>0.8845833333333335</v>
      </c>
      <c r="K36" s="18">
        <f t="shared" si="2"/>
        <v>271.70374999999996</v>
      </c>
      <c r="L36" s="18">
        <f t="shared" si="2"/>
        <v>26.63</v>
      </c>
      <c r="M36" s="18">
        <f t="shared" si="2"/>
        <v>88.602500000000006</v>
      </c>
      <c r="N36" s="18">
        <f t="shared" si="2"/>
        <v>98.4375</v>
      </c>
      <c r="O36" s="18">
        <f t="shared" si="2"/>
        <v>1.6666666666666666E-2</v>
      </c>
      <c r="P36" s="18">
        <f t="shared" si="2"/>
        <v>0.27749999999999997</v>
      </c>
      <c r="Q36" s="18">
        <f t="shared" si="2"/>
        <v>9.930769230769231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2.1785755218371117</v>
      </c>
      <c r="C37" s="18">
        <f t="shared" ref="C37:Q37" si="3">STDEV(C9:C32)</f>
        <v>3.027051915164563</v>
      </c>
      <c r="D37" s="18">
        <f t="shared" si="3"/>
        <v>2.1976251592525293</v>
      </c>
      <c r="E37" s="18">
        <f t="shared" si="3"/>
        <v>0.83920726914136878</v>
      </c>
      <c r="F37" s="18">
        <f t="shared" si="3"/>
        <v>8.1907083159755665</v>
      </c>
      <c r="G37" s="18">
        <f t="shared" si="3"/>
        <v>10.905586447361262</v>
      </c>
      <c r="H37" s="18">
        <f t="shared" si="3"/>
        <v>3.0100437848902688</v>
      </c>
      <c r="I37" s="18">
        <f t="shared" si="3"/>
        <v>2.8707156798423541</v>
      </c>
      <c r="J37" s="18">
        <f t="shared" si="3"/>
        <v>0.23112163495641722</v>
      </c>
      <c r="K37" s="18">
        <f t="shared" si="3"/>
        <v>11.6131978191606</v>
      </c>
      <c r="L37" s="18">
        <f t="shared" si="3"/>
        <v>1.438861264726532</v>
      </c>
      <c r="M37" s="18">
        <f t="shared" si="3"/>
        <v>6.630788037631727</v>
      </c>
      <c r="N37" s="18">
        <f t="shared" si="3"/>
        <v>114.14067145603613</v>
      </c>
      <c r="O37" s="18">
        <f t="shared" si="3"/>
        <v>5.6465970257327996E-2</v>
      </c>
      <c r="P37" s="18">
        <f t="shared" si="3"/>
        <v>0.12525625906429824</v>
      </c>
      <c r="Q37" s="18">
        <f t="shared" si="3"/>
        <v>2.0191391920625745E-2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v>13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45840.041666666664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45840.041666666664</v>
      </c>
      <c r="B9" s="40">
        <v>1.1399999999999999</v>
      </c>
      <c r="C9" s="40">
        <v>2.37</v>
      </c>
      <c r="D9" s="40">
        <v>2.84</v>
      </c>
      <c r="E9" s="40">
        <v>6.54</v>
      </c>
      <c r="F9" s="40">
        <v>3.33</v>
      </c>
      <c r="G9" s="40">
        <v>23.11</v>
      </c>
      <c r="H9" s="40">
        <v>10.64</v>
      </c>
      <c r="I9" s="40">
        <v>4.16</v>
      </c>
      <c r="J9" s="40">
        <v>0.55000000000000004</v>
      </c>
      <c r="K9" s="40">
        <v>261.89999999999998</v>
      </c>
      <c r="L9" s="40">
        <v>25.85</v>
      </c>
      <c r="M9" s="40">
        <v>92.61</v>
      </c>
      <c r="N9" s="40">
        <v>2.2999999999999998</v>
      </c>
      <c r="O9" s="40">
        <v>0</v>
      </c>
      <c r="P9" s="40">
        <v>0.13</v>
      </c>
      <c r="Q9" s="40">
        <v>9.93</v>
      </c>
      <c r="R9" s="38"/>
      <c r="S9" s="38"/>
      <c r="T9" s="38"/>
      <c r="U9" s="38"/>
    </row>
    <row r="10" spans="1:21" customFormat="1">
      <c r="A10" s="39">
        <v>45840.083333333336</v>
      </c>
      <c r="B10" s="40">
        <v>1.29</v>
      </c>
      <c r="C10" s="40">
        <v>2.2400000000000002</v>
      </c>
      <c r="D10" s="40">
        <v>2.4900000000000002</v>
      </c>
      <c r="E10" s="40">
        <v>6.64</v>
      </c>
      <c r="F10" s="40">
        <v>2.52</v>
      </c>
      <c r="G10" s="40">
        <v>21.44</v>
      </c>
      <c r="H10" s="40">
        <v>8.58</v>
      </c>
      <c r="I10" s="40">
        <v>3.91</v>
      </c>
      <c r="J10" s="40">
        <v>0.71</v>
      </c>
      <c r="K10" s="40">
        <v>262.79000000000002</v>
      </c>
      <c r="L10" s="40">
        <v>25.73</v>
      </c>
      <c r="M10" s="40">
        <v>93.27</v>
      </c>
      <c r="N10" s="40">
        <v>2.4</v>
      </c>
      <c r="O10" s="40">
        <v>0</v>
      </c>
      <c r="P10" s="40">
        <v>0.12</v>
      </c>
      <c r="Q10" s="40">
        <v>9.92</v>
      </c>
      <c r="R10" s="38"/>
      <c r="S10" s="38"/>
      <c r="T10" s="38"/>
      <c r="U10" s="38"/>
    </row>
    <row r="11" spans="1:21" customFormat="1">
      <c r="A11" s="39">
        <v>45840.125</v>
      </c>
      <c r="B11" s="40">
        <v>1.63</v>
      </c>
      <c r="C11" s="40">
        <v>2.2599999999999998</v>
      </c>
      <c r="D11" s="40">
        <v>1.87</v>
      </c>
      <c r="E11" s="40">
        <v>4.24</v>
      </c>
      <c r="F11" s="40">
        <v>2.99</v>
      </c>
      <c r="G11" s="40">
        <v>20.23</v>
      </c>
      <c r="H11" s="40">
        <v>8.58</v>
      </c>
      <c r="I11" s="40">
        <v>3.95</v>
      </c>
      <c r="J11" s="40">
        <v>0.68</v>
      </c>
      <c r="K11" s="40">
        <v>264.63</v>
      </c>
      <c r="L11" s="40">
        <v>25.55</v>
      </c>
      <c r="M11" s="40">
        <v>93.28</v>
      </c>
      <c r="N11" s="40">
        <v>2.2000000000000002</v>
      </c>
      <c r="O11" s="40">
        <v>0</v>
      </c>
      <c r="P11" s="40">
        <v>0.09</v>
      </c>
      <c r="Q11" s="40">
        <v>9.92</v>
      </c>
      <c r="R11" s="38"/>
      <c r="S11" s="38"/>
      <c r="T11" s="38"/>
      <c r="U11" s="38"/>
    </row>
    <row r="12" spans="1:21" customFormat="1">
      <c r="A12" s="39">
        <v>45840.166666666664</v>
      </c>
      <c r="B12" s="40">
        <v>1.98</v>
      </c>
      <c r="C12" s="40">
        <v>2.65</v>
      </c>
      <c r="D12" s="40">
        <v>2.16</v>
      </c>
      <c r="E12" s="40">
        <v>4.34</v>
      </c>
      <c r="F12" s="40">
        <v>2.4300000000000002</v>
      </c>
      <c r="G12" s="40">
        <v>20.99</v>
      </c>
      <c r="H12" s="40">
        <v>8.66</v>
      </c>
      <c r="I12" s="40">
        <v>4.5199999999999996</v>
      </c>
      <c r="J12" s="40">
        <v>0.73</v>
      </c>
      <c r="K12" s="40">
        <v>264.52999999999997</v>
      </c>
      <c r="L12" s="40">
        <v>25.43</v>
      </c>
      <c r="M12" s="40">
        <v>90.73</v>
      </c>
      <c r="N12" s="40">
        <v>2.4</v>
      </c>
      <c r="O12" s="40">
        <v>0</v>
      </c>
      <c r="P12" s="40">
        <v>0.11</v>
      </c>
      <c r="Q12" s="40">
        <v>9.94</v>
      </c>
      <c r="R12" s="38"/>
      <c r="S12" s="38"/>
      <c r="T12" s="38"/>
      <c r="U12" s="38"/>
    </row>
    <row r="13" spans="1:21" customFormat="1">
      <c r="A13" s="39">
        <v>45840.208333333336</v>
      </c>
      <c r="B13" s="40">
        <v>2.5099999999999998</v>
      </c>
      <c r="C13" s="40">
        <v>3.21</v>
      </c>
      <c r="D13" s="40">
        <v>2.2799999999999998</v>
      </c>
      <c r="E13" s="40">
        <v>4.3</v>
      </c>
      <c r="F13" s="40">
        <v>1.99</v>
      </c>
      <c r="G13" s="40">
        <v>29.9</v>
      </c>
      <c r="H13" s="40">
        <v>8.66</v>
      </c>
      <c r="I13" s="40">
        <v>5.84</v>
      </c>
      <c r="J13" s="40">
        <v>0.7</v>
      </c>
      <c r="K13" s="40">
        <v>259.3</v>
      </c>
      <c r="L13" s="40">
        <v>25.18</v>
      </c>
      <c r="M13" s="40">
        <v>93.43</v>
      </c>
      <c r="N13" s="40">
        <v>2.5</v>
      </c>
      <c r="O13" s="40">
        <v>0</v>
      </c>
      <c r="P13" s="40">
        <v>0.15</v>
      </c>
      <c r="Q13" s="40">
        <v>9.94</v>
      </c>
      <c r="R13" s="38"/>
      <c r="S13" s="38"/>
      <c r="T13" s="38"/>
      <c r="U13" s="38"/>
    </row>
    <row r="14" spans="1:21" customFormat="1">
      <c r="A14" s="39">
        <v>45840.25</v>
      </c>
      <c r="B14" s="40">
        <v>2.69</v>
      </c>
      <c r="C14" s="40">
        <v>3.43</v>
      </c>
      <c r="D14" s="40">
        <v>2.46</v>
      </c>
      <c r="E14" s="40">
        <v>4.4000000000000004</v>
      </c>
      <c r="F14" s="40">
        <v>2.82</v>
      </c>
      <c r="G14" s="40">
        <v>29.9</v>
      </c>
      <c r="H14" s="40">
        <v>12.24</v>
      </c>
      <c r="I14" s="40">
        <v>7.2</v>
      </c>
      <c r="J14" s="40">
        <v>0.68</v>
      </c>
      <c r="K14" s="40">
        <v>266.33</v>
      </c>
      <c r="L14" s="40">
        <v>25.07</v>
      </c>
      <c r="M14" s="40">
        <v>90.81</v>
      </c>
      <c r="N14" s="40">
        <v>6.9</v>
      </c>
      <c r="O14" s="40">
        <v>0</v>
      </c>
      <c r="P14" s="40">
        <v>0.17</v>
      </c>
      <c r="Q14" s="40">
        <v>9.94</v>
      </c>
      <c r="R14" s="38"/>
      <c r="S14" s="38"/>
      <c r="T14" s="38"/>
      <c r="U14" s="38"/>
    </row>
    <row r="15" spans="1:21" customFormat="1">
      <c r="A15" s="39">
        <v>45840.291666666664</v>
      </c>
      <c r="B15" s="40">
        <v>2.67</v>
      </c>
      <c r="C15" s="40">
        <v>3.87</v>
      </c>
      <c r="D15" s="40">
        <v>3.35</v>
      </c>
      <c r="E15" s="40">
        <v>5.01</v>
      </c>
      <c r="F15" s="40">
        <v>3.39</v>
      </c>
      <c r="G15" s="40">
        <v>32.11</v>
      </c>
      <c r="H15" s="40">
        <v>12.66</v>
      </c>
      <c r="I15" s="40">
        <v>7.1</v>
      </c>
      <c r="J15" s="40">
        <v>0.65</v>
      </c>
      <c r="K15" s="40">
        <v>263.79000000000002</v>
      </c>
      <c r="L15" s="40">
        <v>25.69</v>
      </c>
      <c r="M15" s="40">
        <v>89.09</v>
      </c>
      <c r="N15" s="40">
        <v>46.1</v>
      </c>
      <c r="O15" s="40">
        <v>0</v>
      </c>
      <c r="P15" s="40">
        <v>0.19</v>
      </c>
      <c r="Q15" s="40">
        <v>9.94</v>
      </c>
      <c r="R15" s="38"/>
      <c r="S15" s="38"/>
      <c r="T15" s="38"/>
      <c r="U15" s="38"/>
    </row>
    <row r="16" spans="1:21" customFormat="1">
      <c r="A16" s="39">
        <v>45840.333333333336</v>
      </c>
      <c r="B16" s="40">
        <v>3.04</v>
      </c>
      <c r="C16" s="40">
        <v>4.3</v>
      </c>
      <c r="D16" s="40">
        <v>3.57</v>
      </c>
      <c r="E16" s="40">
        <v>4.8899999999999997</v>
      </c>
      <c r="F16" s="40">
        <v>3.24</v>
      </c>
      <c r="G16" s="40">
        <v>36.229999999999997</v>
      </c>
      <c r="H16" s="40">
        <v>17.32</v>
      </c>
      <c r="I16" s="40">
        <v>8.09</v>
      </c>
      <c r="J16" s="40">
        <v>0.62</v>
      </c>
      <c r="K16" s="40">
        <v>263.92</v>
      </c>
      <c r="L16" s="40">
        <v>26.39</v>
      </c>
      <c r="M16" s="40">
        <v>88.26</v>
      </c>
      <c r="N16" s="40">
        <v>107.7</v>
      </c>
      <c r="O16" s="40">
        <v>0</v>
      </c>
      <c r="P16" s="40">
        <v>0.28000000000000003</v>
      </c>
      <c r="Q16" s="40">
        <v>9.9600000000000009</v>
      </c>
      <c r="R16" s="38"/>
      <c r="S16" s="38"/>
      <c r="T16" s="38"/>
      <c r="U16" s="38"/>
    </row>
    <row r="17" spans="1:21" customFormat="1">
      <c r="A17" s="39">
        <v>45840.375</v>
      </c>
      <c r="B17" s="40">
        <v>3.43</v>
      </c>
      <c r="C17" s="40">
        <v>4.58</v>
      </c>
      <c r="D17" s="40">
        <v>3.58</v>
      </c>
      <c r="E17" s="40">
        <v>5.21</v>
      </c>
      <c r="F17" s="40">
        <v>3.11</v>
      </c>
      <c r="G17" s="40">
        <v>45.37</v>
      </c>
      <c r="H17" s="40">
        <v>17.32</v>
      </c>
      <c r="I17" s="40">
        <v>12.61</v>
      </c>
      <c r="J17" s="40">
        <v>0.79</v>
      </c>
      <c r="K17" s="40">
        <v>269.62</v>
      </c>
      <c r="L17" s="40">
        <v>26.93</v>
      </c>
      <c r="M17" s="40">
        <v>87.05</v>
      </c>
      <c r="N17" s="40">
        <v>164.6</v>
      </c>
      <c r="O17" s="40">
        <v>0</v>
      </c>
      <c r="P17" s="40">
        <v>0.33</v>
      </c>
      <c r="Q17" s="40">
        <v>9.9600000000000009</v>
      </c>
      <c r="R17" s="38"/>
      <c r="S17" s="38"/>
      <c r="T17" s="38"/>
      <c r="U17" s="38"/>
    </row>
    <row r="18" spans="1:21" customFormat="1">
      <c r="A18" s="39">
        <v>45840.416666666664</v>
      </c>
      <c r="B18" s="40">
        <v>3.78</v>
      </c>
      <c r="C18" s="40">
        <v>4.91</v>
      </c>
      <c r="D18" s="40">
        <v>3.67</v>
      </c>
      <c r="E18" s="40">
        <v>5.09</v>
      </c>
      <c r="F18" s="40">
        <v>2.91</v>
      </c>
      <c r="G18" s="40">
        <v>47.98</v>
      </c>
      <c r="H18" s="40">
        <v>17.41</v>
      </c>
      <c r="I18" s="40">
        <v>13.97</v>
      </c>
      <c r="J18" s="40">
        <v>0.82</v>
      </c>
      <c r="K18" s="40">
        <v>269.63</v>
      </c>
      <c r="L18" s="40">
        <v>27.22</v>
      </c>
      <c r="M18" s="40">
        <v>85.54</v>
      </c>
      <c r="N18" s="40">
        <v>143.6</v>
      </c>
      <c r="O18" s="40">
        <v>0</v>
      </c>
      <c r="P18" s="40">
        <v>0.34</v>
      </c>
      <c r="Q18" s="40">
        <v>9.9700000000000006</v>
      </c>
      <c r="R18" s="38"/>
      <c r="S18" s="38"/>
      <c r="T18" s="38"/>
      <c r="U18" s="38"/>
    </row>
    <row r="19" spans="1:21" customFormat="1">
      <c r="A19" s="39">
        <v>45840.458333333336</v>
      </c>
      <c r="B19" s="40">
        <v>3.72</v>
      </c>
      <c r="C19" s="40">
        <v>4.84</v>
      </c>
      <c r="D19" s="40">
        <v>3.57</v>
      </c>
      <c r="E19" s="40">
        <v>5.55</v>
      </c>
      <c r="F19" s="40">
        <v>2.42</v>
      </c>
      <c r="G19" s="40">
        <v>47.98</v>
      </c>
      <c r="H19" s="40">
        <v>17.97</v>
      </c>
      <c r="I19" s="40">
        <v>14.29</v>
      </c>
      <c r="J19" s="40">
        <v>0.88</v>
      </c>
      <c r="K19" s="40">
        <v>268.98</v>
      </c>
      <c r="L19" s="40">
        <v>27.15</v>
      </c>
      <c r="M19" s="40">
        <v>86.51</v>
      </c>
      <c r="N19" s="40">
        <v>186.9</v>
      </c>
      <c r="O19" s="40">
        <v>0</v>
      </c>
      <c r="P19" s="40">
        <v>0.34</v>
      </c>
      <c r="Q19" s="40">
        <v>9.9700000000000006</v>
      </c>
      <c r="R19" s="38"/>
      <c r="S19" s="38"/>
      <c r="T19" s="38"/>
      <c r="U19" s="38"/>
    </row>
    <row r="20" spans="1:21" customFormat="1">
      <c r="A20" s="39">
        <v>45840.5</v>
      </c>
      <c r="B20" s="40">
        <v>3.59</v>
      </c>
      <c r="C20" s="40">
        <v>4.6399999999999997</v>
      </c>
      <c r="D20" s="40">
        <v>3.58</v>
      </c>
      <c r="E20" s="40">
        <v>5.69</v>
      </c>
      <c r="F20" s="40">
        <v>3.58</v>
      </c>
      <c r="G20" s="40">
        <v>46.47</v>
      </c>
      <c r="H20" s="40">
        <v>17.97</v>
      </c>
      <c r="I20" s="40">
        <v>13.69</v>
      </c>
      <c r="J20" s="40">
        <v>1.01</v>
      </c>
      <c r="K20" s="40">
        <v>274.14</v>
      </c>
      <c r="L20" s="40">
        <v>27.39</v>
      </c>
      <c r="M20" s="40">
        <v>84.83</v>
      </c>
      <c r="N20" s="40">
        <v>141</v>
      </c>
      <c r="O20" s="40">
        <v>0</v>
      </c>
      <c r="P20" s="40">
        <v>0.31</v>
      </c>
      <c r="Q20" s="40">
        <v>9.9700000000000006</v>
      </c>
      <c r="R20" s="38"/>
      <c r="S20" s="38"/>
      <c r="T20" s="38"/>
      <c r="U20" s="38"/>
    </row>
    <row r="21" spans="1:21" customFormat="1">
      <c r="A21" s="39">
        <v>45840.541666666664</v>
      </c>
      <c r="B21" s="40">
        <v>3.54</v>
      </c>
      <c r="C21" s="40">
        <v>4.28</v>
      </c>
      <c r="D21" s="40">
        <v>2.87</v>
      </c>
      <c r="E21" s="40">
        <v>4.8099999999999996</v>
      </c>
      <c r="F21" s="40">
        <v>3.48</v>
      </c>
      <c r="G21" s="40">
        <v>46.47</v>
      </c>
      <c r="H21" s="40">
        <v>16.04</v>
      </c>
      <c r="I21" s="40">
        <v>12.61</v>
      </c>
      <c r="J21" s="40">
        <v>0.89</v>
      </c>
      <c r="K21" s="40">
        <v>264.99</v>
      </c>
      <c r="L21" s="40">
        <v>26.53</v>
      </c>
      <c r="M21" s="40">
        <v>95.9</v>
      </c>
      <c r="N21" s="40">
        <v>80.400000000000006</v>
      </c>
      <c r="O21" s="40">
        <v>0.6</v>
      </c>
      <c r="P21" s="40">
        <v>0.28000000000000003</v>
      </c>
      <c r="Q21" s="40">
        <v>9.9600000000000009</v>
      </c>
      <c r="R21" s="38"/>
      <c r="S21" s="38"/>
      <c r="T21" s="38"/>
      <c r="U21" s="38"/>
    </row>
    <row r="22" spans="1:21" customFormat="1">
      <c r="A22" s="39">
        <v>45840.583333333336</v>
      </c>
      <c r="B22" s="40">
        <v>3.59</v>
      </c>
      <c r="C22" s="40">
        <v>4.41</v>
      </c>
      <c r="D22" s="40">
        <v>2.93</v>
      </c>
      <c r="E22" s="40">
        <v>4.96</v>
      </c>
      <c r="F22" s="40">
        <v>9.2100000000000009</v>
      </c>
      <c r="G22" s="40">
        <v>37.46</v>
      </c>
      <c r="H22" s="40">
        <v>16.04</v>
      </c>
      <c r="I22" s="40">
        <v>12.23</v>
      </c>
      <c r="J22" s="40">
        <v>0.57999999999999996</v>
      </c>
      <c r="K22" s="40">
        <v>270.10000000000002</v>
      </c>
      <c r="L22" s="40">
        <v>25.82</v>
      </c>
      <c r="M22" s="40">
        <v>96.4</v>
      </c>
      <c r="N22" s="40">
        <v>81</v>
      </c>
      <c r="O22" s="40">
        <v>0.2</v>
      </c>
      <c r="P22" s="40">
        <v>0.32</v>
      </c>
      <c r="Q22" s="40">
        <v>9.9600000000000009</v>
      </c>
      <c r="R22" s="38"/>
      <c r="S22" s="38"/>
      <c r="T22" s="38"/>
      <c r="U22" s="38"/>
    </row>
    <row r="23" spans="1:21" customFormat="1">
      <c r="A23" s="39">
        <v>45840.625</v>
      </c>
      <c r="B23" s="40">
        <v>0.5</v>
      </c>
      <c r="C23" s="40">
        <v>1.1399999999999999</v>
      </c>
      <c r="D23" s="40">
        <v>1.71</v>
      </c>
      <c r="E23" s="40">
        <v>4.04</v>
      </c>
      <c r="F23" s="40">
        <v>15.26</v>
      </c>
      <c r="G23" s="40">
        <v>32.94</v>
      </c>
      <c r="H23" s="40">
        <v>11.99</v>
      </c>
      <c r="I23" s="40">
        <v>13.19</v>
      </c>
      <c r="J23" s="40">
        <v>0.69</v>
      </c>
      <c r="K23" s="40">
        <v>266.69</v>
      </c>
      <c r="L23" s="40">
        <v>25.92</v>
      </c>
      <c r="M23" s="40">
        <v>96.99</v>
      </c>
      <c r="N23" s="40">
        <v>101.7</v>
      </c>
      <c r="O23" s="40">
        <v>0.2</v>
      </c>
      <c r="P23" s="40">
        <v>0.21</v>
      </c>
      <c r="Q23" s="40">
        <v>9.9600000000000009</v>
      </c>
      <c r="R23" s="38"/>
      <c r="S23" s="38"/>
      <c r="T23" s="38"/>
      <c r="U23" s="38"/>
    </row>
    <row r="24" spans="1:21" customFormat="1">
      <c r="A24" s="39">
        <v>45840.666666666664</v>
      </c>
      <c r="B24" s="40">
        <v>2.69</v>
      </c>
      <c r="C24" s="40">
        <v>4.9800000000000004</v>
      </c>
      <c r="D24" s="40">
        <v>2.54</v>
      </c>
      <c r="E24" s="40">
        <v>3.36</v>
      </c>
      <c r="F24" s="40">
        <v>11.28</v>
      </c>
      <c r="G24" s="40">
        <v>35.36</v>
      </c>
      <c r="H24" s="40">
        <v>16.95</v>
      </c>
      <c r="I24" s="40">
        <v>9.32</v>
      </c>
      <c r="J24" s="40">
        <v>0.63</v>
      </c>
      <c r="K24" s="40">
        <v>268.79000000000002</v>
      </c>
      <c r="L24" s="40">
        <v>26.27</v>
      </c>
      <c r="M24" s="40">
        <v>96.66</v>
      </c>
      <c r="N24" s="40">
        <v>100.2</v>
      </c>
      <c r="O24" s="40">
        <v>0</v>
      </c>
      <c r="P24" s="40">
        <v>0.17</v>
      </c>
      <c r="Q24" s="40">
        <v>9.94</v>
      </c>
      <c r="R24" s="38"/>
      <c r="S24" s="38"/>
      <c r="T24" s="38"/>
      <c r="U24" s="38"/>
    </row>
    <row r="25" spans="1:21" customFormat="1">
      <c r="A25" s="39">
        <v>45840.708333333336</v>
      </c>
      <c r="B25" s="40">
        <v>2.62</v>
      </c>
      <c r="C25" s="40">
        <v>4.97</v>
      </c>
      <c r="D25" s="40">
        <v>2.2999999999999998</v>
      </c>
      <c r="E25" s="40">
        <v>3.48</v>
      </c>
      <c r="F25" s="40">
        <v>3.06</v>
      </c>
      <c r="G25" s="40">
        <v>35.36</v>
      </c>
      <c r="H25" s="40">
        <v>16.95</v>
      </c>
      <c r="I25" s="40">
        <v>7</v>
      </c>
      <c r="J25" s="40">
        <v>0.6</v>
      </c>
      <c r="K25" s="40">
        <v>262</v>
      </c>
      <c r="L25" s="40">
        <v>26.46</v>
      </c>
      <c r="M25" s="40">
        <v>93.77</v>
      </c>
      <c r="N25" s="40">
        <v>116.1</v>
      </c>
      <c r="O25" s="40">
        <v>0</v>
      </c>
      <c r="P25" s="40">
        <v>0.15</v>
      </c>
      <c r="Q25" s="40">
        <v>9.93</v>
      </c>
      <c r="R25" s="38"/>
      <c r="S25" s="38"/>
      <c r="T25" s="38"/>
      <c r="U25" s="38"/>
    </row>
    <row r="26" spans="1:21" customFormat="1">
      <c r="A26" s="39">
        <v>45840.75</v>
      </c>
      <c r="B26" s="40">
        <v>2.64</v>
      </c>
      <c r="C26" s="40">
        <v>4.76</v>
      </c>
      <c r="D26" s="40">
        <v>2.12</v>
      </c>
      <c r="E26" s="40">
        <v>4.18</v>
      </c>
      <c r="F26" s="40">
        <v>2.0499999999999998</v>
      </c>
      <c r="G26" s="40">
        <v>29.32</v>
      </c>
      <c r="H26" s="40">
        <v>15.92</v>
      </c>
      <c r="I26" s="40">
        <v>6.47</v>
      </c>
      <c r="J26" s="40">
        <v>0.4</v>
      </c>
      <c r="K26" s="40">
        <v>265.57</v>
      </c>
      <c r="L26" s="40">
        <v>26.69</v>
      </c>
      <c r="M26" s="40">
        <v>92.2</v>
      </c>
      <c r="N26" s="40">
        <v>71.3</v>
      </c>
      <c r="O26" s="40">
        <v>0</v>
      </c>
      <c r="P26" s="40">
        <v>0.13</v>
      </c>
      <c r="Q26" s="40">
        <v>9.93</v>
      </c>
      <c r="R26" s="38"/>
      <c r="S26" s="38"/>
      <c r="T26" s="38"/>
      <c r="U26" s="38"/>
    </row>
    <row r="27" spans="1:21" customFormat="1">
      <c r="A27" s="39">
        <v>45840.791666666664</v>
      </c>
      <c r="B27" s="40">
        <v>2.66</v>
      </c>
      <c r="C27" s="40">
        <v>4.68</v>
      </c>
      <c r="D27" s="40">
        <v>2.04</v>
      </c>
      <c r="E27" s="40">
        <v>4.2</v>
      </c>
      <c r="F27" s="40">
        <v>2.91</v>
      </c>
      <c r="G27" s="40">
        <v>29.32</v>
      </c>
      <c r="H27" s="40">
        <v>15.92</v>
      </c>
      <c r="I27" s="40">
        <v>5.76</v>
      </c>
      <c r="J27" s="40">
        <v>0.49</v>
      </c>
      <c r="K27" s="40">
        <v>258.75</v>
      </c>
      <c r="L27" s="40">
        <v>26.47</v>
      </c>
      <c r="M27" s="40">
        <v>92.08</v>
      </c>
      <c r="N27" s="40">
        <v>19</v>
      </c>
      <c r="O27" s="40">
        <v>0</v>
      </c>
      <c r="P27" s="40">
        <v>0.12</v>
      </c>
      <c r="Q27" s="40">
        <v>9.92</v>
      </c>
      <c r="R27" s="38"/>
      <c r="S27" s="38"/>
      <c r="T27" s="38"/>
      <c r="U27" s="38"/>
    </row>
    <row r="28" spans="1:21" customFormat="1">
      <c r="A28" s="39">
        <v>45840.833333333336</v>
      </c>
      <c r="B28" s="40">
        <v>2.68</v>
      </c>
      <c r="C28" s="40">
        <v>4.6500000000000004</v>
      </c>
      <c r="D28" s="40">
        <v>2</v>
      </c>
      <c r="E28" s="40">
        <v>4.71</v>
      </c>
      <c r="F28" s="40">
        <v>2.62</v>
      </c>
      <c r="G28" s="40">
        <v>26.83</v>
      </c>
      <c r="H28" s="40">
        <v>11.64</v>
      </c>
      <c r="I28" s="40">
        <v>5.12</v>
      </c>
      <c r="J28" s="40">
        <v>0.55000000000000004</v>
      </c>
      <c r="K28" s="40">
        <v>262.06</v>
      </c>
      <c r="L28" s="40">
        <v>26.16</v>
      </c>
      <c r="M28" s="40">
        <v>92.4</v>
      </c>
      <c r="N28" s="40">
        <v>2.2999999999999998</v>
      </c>
      <c r="O28" s="40">
        <v>0</v>
      </c>
      <c r="P28" s="40">
        <v>0.11</v>
      </c>
      <c r="Q28" s="40">
        <v>9.91</v>
      </c>
      <c r="R28" s="38"/>
      <c r="S28" s="38"/>
      <c r="T28" s="38"/>
      <c r="U28" s="38"/>
    </row>
    <row r="29" spans="1:21" customFormat="1">
      <c r="A29" s="39">
        <v>45840.875</v>
      </c>
      <c r="B29" s="40">
        <v>2.71</v>
      </c>
      <c r="C29" s="40">
        <v>4.62</v>
      </c>
      <c r="D29" s="40">
        <v>1.97</v>
      </c>
      <c r="E29" s="40">
        <v>4.8600000000000003</v>
      </c>
      <c r="F29" s="40">
        <v>2.04</v>
      </c>
      <c r="G29" s="40">
        <v>20.75</v>
      </c>
      <c r="H29" s="40">
        <v>11.05</v>
      </c>
      <c r="I29" s="40">
        <v>4.9400000000000004</v>
      </c>
      <c r="J29" s="40">
        <v>0.44</v>
      </c>
      <c r="K29" s="40">
        <v>262.14</v>
      </c>
      <c r="L29" s="40">
        <v>26.03</v>
      </c>
      <c r="M29" s="40">
        <v>93.45</v>
      </c>
      <c r="N29" s="40">
        <v>2.2000000000000002</v>
      </c>
      <c r="O29" s="40">
        <v>0</v>
      </c>
      <c r="P29" s="40">
        <v>0.11</v>
      </c>
      <c r="Q29" s="40">
        <v>9.9</v>
      </c>
      <c r="R29" s="38"/>
      <c r="S29" s="38"/>
      <c r="T29" s="38"/>
      <c r="U29" s="38"/>
    </row>
    <row r="30" spans="1:21" customFormat="1">
      <c r="A30" s="39">
        <v>45840.916666666664</v>
      </c>
      <c r="B30" s="40">
        <v>2.81</v>
      </c>
      <c r="C30" s="40">
        <v>4.6100000000000003</v>
      </c>
      <c r="D30" s="40">
        <v>1.91</v>
      </c>
      <c r="E30" s="40">
        <v>5.03</v>
      </c>
      <c r="F30" s="40">
        <v>3</v>
      </c>
      <c r="G30" s="40">
        <v>22.09</v>
      </c>
      <c r="H30" s="40">
        <v>9.7100000000000009</v>
      </c>
      <c r="I30" s="40">
        <v>4.7</v>
      </c>
      <c r="J30" s="40">
        <v>0.45</v>
      </c>
      <c r="K30" s="40">
        <v>260.7</v>
      </c>
      <c r="L30" s="40">
        <v>25.77</v>
      </c>
      <c r="M30" s="40">
        <v>93.68</v>
      </c>
      <c r="N30" s="40">
        <v>2.2999999999999998</v>
      </c>
      <c r="O30" s="40">
        <v>0</v>
      </c>
      <c r="P30" s="40">
        <v>0.09</v>
      </c>
      <c r="Q30" s="40">
        <v>9.92</v>
      </c>
      <c r="R30" s="38"/>
      <c r="S30" s="38"/>
      <c r="T30" s="38"/>
      <c r="U30" s="38"/>
    </row>
    <row r="31" spans="1:21" customFormat="1">
      <c r="A31" s="39">
        <v>45840.958333333336</v>
      </c>
      <c r="B31" s="40">
        <v>2.89</v>
      </c>
      <c r="C31" s="40">
        <v>4.6500000000000004</v>
      </c>
      <c r="D31" s="40">
        <v>1.88</v>
      </c>
      <c r="E31" s="40">
        <v>4.34</v>
      </c>
      <c r="F31" s="40">
        <v>3.22</v>
      </c>
      <c r="G31" s="40">
        <v>24.31</v>
      </c>
      <c r="H31" s="40">
        <v>9.89</v>
      </c>
      <c r="I31" s="40">
        <v>4.78</v>
      </c>
      <c r="J31" s="40">
        <v>0.46</v>
      </c>
      <c r="K31" s="40">
        <v>261.05</v>
      </c>
      <c r="L31" s="40">
        <v>25.76</v>
      </c>
      <c r="M31" s="40">
        <v>93.26</v>
      </c>
      <c r="N31" s="40">
        <v>2.2999999999999998</v>
      </c>
      <c r="O31" s="40">
        <v>0</v>
      </c>
      <c r="P31" s="40">
        <v>0.08</v>
      </c>
      <c r="Q31" s="40">
        <v>9.93</v>
      </c>
      <c r="R31" s="38"/>
      <c r="S31" s="38"/>
      <c r="T31" s="38"/>
      <c r="U31" s="38"/>
    </row>
    <row r="32" spans="1:21" customFormat="1">
      <c r="A32" s="40">
        <v>45841</v>
      </c>
      <c r="B32" s="40">
        <v>2.9</v>
      </c>
      <c r="C32" s="40">
        <v>4.67</v>
      </c>
      <c r="D32" s="40">
        <v>1.88</v>
      </c>
      <c r="E32" s="40">
        <v>4.46</v>
      </c>
      <c r="F32" s="40">
        <v>4.29</v>
      </c>
      <c r="G32" s="40">
        <v>24.31</v>
      </c>
      <c r="H32" s="40">
        <v>9.99</v>
      </c>
      <c r="I32" s="40">
        <v>4.67</v>
      </c>
      <c r="J32" s="40">
        <v>0.59</v>
      </c>
      <c r="K32" s="40">
        <v>261.91000000000003</v>
      </c>
      <c r="L32" s="40">
        <v>25.7</v>
      </c>
      <c r="M32" s="40">
        <v>92.94</v>
      </c>
      <c r="N32" s="40">
        <v>2.2999999999999998</v>
      </c>
      <c r="O32" s="40">
        <v>0</v>
      </c>
      <c r="P32" s="40">
        <v>0.09</v>
      </c>
      <c r="Q32" s="40">
        <v>9.93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0.5</v>
      </c>
      <c r="C34" s="18">
        <f t="shared" si="0"/>
        <v>1.1399999999999999</v>
      </c>
      <c r="D34" s="18">
        <f t="shared" si="0"/>
        <v>1.71</v>
      </c>
      <c r="E34" s="18">
        <f t="shared" si="0"/>
        <v>3.36</v>
      </c>
      <c r="F34" s="18">
        <f t="shared" si="0"/>
        <v>1.99</v>
      </c>
      <c r="G34" s="18">
        <f t="shared" si="0"/>
        <v>20.23</v>
      </c>
      <c r="H34" s="18">
        <f t="shared" si="0"/>
        <v>8.58</v>
      </c>
      <c r="I34" s="18">
        <f t="shared" si="0"/>
        <v>3.91</v>
      </c>
      <c r="J34" s="18">
        <f t="shared" si="0"/>
        <v>0.4</v>
      </c>
      <c r="K34" s="18">
        <f t="shared" si="0"/>
        <v>258.75</v>
      </c>
      <c r="L34" s="18">
        <f t="shared" si="0"/>
        <v>25.07</v>
      </c>
      <c r="M34" s="18">
        <f t="shared" si="0"/>
        <v>84.83</v>
      </c>
      <c r="N34" s="18">
        <f t="shared" si="0"/>
        <v>2.2000000000000002</v>
      </c>
      <c r="O34" s="18">
        <f t="shared" si="0"/>
        <v>0</v>
      </c>
      <c r="P34" s="18">
        <f t="shared" si="0"/>
        <v>0.08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3.78</v>
      </c>
      <c r="C35" s="3">
        <f t="shared" si="1"/>
        <v>4.9800000000000004</v>
      </c>
      <c r="D35" s="3">
        <f t="shared" si="1"/>
        <v>3.67</v>
      </c>
      <c r="E35" s="3">
        <f t="shared" si="1"/>
        <v>6.64</v>
      </c>
      <c r="F35" s="3">
        <f t="shared" si="1"/>
        <v>15.26</v>
      </c>
      <c r="G35" s="3">
        <f t="shared" si="1"/>
        <v>47.98</v>
      </c>
      <c r="H35" s="3">
        <f t="shared" si="1"/>
        <v>17.97</v>
      </c>
      <c r="I35" s="3">
        <f t="shared" si="1"/>
        <v>14.29</v>
      </c>
      <c r="J35" s="3">
        <f t="shared" si="1"/>
        <v>1.01</v>
      </c>
      <c r="K35" s="3">
        <f t="shared" si="1"/>
        <v>274.14</v>
      </c>
      <c r="L35" s="3">
        <f t="shared" si="1"/>
        <v>27.39</v>
      </c>
      <c r="M35" s="3">
        <f t="shared" si="1"/>
        <v>96.99</v>
      </c>
      <c r="N35" s="3">
        <f t="shared" si="1"/>
        <v>186.9</v>
      </c>
      <c r="O35" s="3">
        <f t="shared" si="1"/>
        <v>0.6</v>
      </c>
      <c r="P35" s="3">
        <f t="shared" si="1"/>
        <v>0.34</v>
      </c>
      <c r="Q35" s="3">
        <f t="shared" si="1"/>
        <v>9.9700000000000006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2.6541666666666663</v>
      </c>
      <c r="C36" s="18">
        <f t="shared" si="2"/>
        <v>3.9883333333333346</v>
      </c>
      <c r="D36" s="18">
        <f t="shared" si="2"/>
        <v>2.5654166666666662</v>
      </c>
      <c r="E36" s="18">
        <f t="shared" si="2"/>
        <v>4.763749999999999</v>
      </c>
      <c r="F36" s="18">
        <f t="shared" si="2"/>
        <v>4.0479166666666666</v>
      </c>
      <c r="G36" s="18">
        <f t="shared" si="2"/>
        <v>31.926250000000007</v>
      </c>
      <c r="H36" s="18">
        <f t="shared" si="2"/>
        <v>13.337499999999997</v>
      </c>
      <c r="I36" s="18">
        <f t="shared" si="2"/>
        <v>7.9216666666666642</v>
      </c>
      <c r="J36" s="18">
        <f t="shared" si="2"/>
        <v>0.6495833333333334</v>
      </c>
      <c r="K36" s="18">
        <f t="shared" si="2"/>
        <v>264.76291666666663</v>
      </c>
      <c r="L36" s="18">
        <f t="shared" si="2"/>
        <v>26.131666666666661</v>
      </c>
      <c r="M36" s="18">
        <f t="shared" si="2"/>
        <v>91.880833333333342</v>
      </c>
      <c r="N36" s="18">
        <f t="shared" si="2"/>
        <v>57.904166666666661</v>
      </c>
      <c r="O36" s="18">
        <f t="shared" si="2"/>
        <v>4.1666666666666664E-2</v>
      </c>
      <c r="P36" s="18">
        <f t="shared" si="2"/>
        <v>0.18416666666666667</v>
      </c>
      <c r="Q36" s="18">
        <f t="shared" si="2"/>
        <v>9.939583333333335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0.83814451730239103</v>
      </c>
      <c r="C37" s="18">
        <f t="shared" ref="C37:Q37" si="3">STDEV(C9:C32)</f>
        <v>1.090566931409553</v>
      </c>
      <c r="D37" s="18">
        <f t="shared" si="3"/>
        <v>0.66857394743469467</v>
      </c>
      <c r="E37" s="18">
        <f t="shared" si="3"/>
        <v>0.79485745235559524</v>
      </c>
      <c r="F37" s="18">
        <f t="shared" si="3"/>
        <v>3.2142183838128635</v>
      </c>
      <c r="G37" s="18">
        <f t="shared" si="3"/>
        <v>9.3774557653147284</v>
      </c>
      <c r="H37" s="18">
        <f t="shared" si="3"/>
        <v>3.5473030171740714</v>
      </c>
      <c r="I37" s="18">
        <f t="shared" si="3"/>
        <v>3.7357470199548426</v>
      </c>
      <c r="J37" s="18">
        <f t="shared" si="3"/>
        <v>0.15394745480383781</v>
      </c>
      <c r="K37" s="18">
        <f t="shared" si="3"/>
        <v>3.8709345901796479</v>
      </c>
      <c r="L37" s="18">
        <f t="shared" si="3"/>
        <v>0.62998734746899032</v>
      </c>
      <c r="M37" s="18">
        <f t="shared" si="3"/>
        <v>3.4295162755202027</v>
      </c>
      <c r="N37" s="18">
        <f t="shared" si="3"/>
        <v>61.930995815937159</v>
      </c>
      <c r="O37" s="18">
        <f t="shared" si="3"/>
        <v>0.13160106602801569</v>
      </c>
      <c r="P37" s="18">
        <f t="shared" si="3"/>
        <v>9.1837127410511379E-2</v>
      </c>
      <c r="Q37" s="18">
        <f t="shared" si="3"/>
        <v>2.0103896803025014E-2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45841.041666666664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45841.041666666664</v>
      </c>
      <c r="B9" s="40">
        <v>2.99</v>
      </c>
      <c r="C9" s="40">
        <v>4.78</v>
      </c>
      <c r="D9" s="40">
        <v>1.9</v>
      </c>
      <c r="E9" s="40">
        <v>4.46</v>
      </c>
      <c r="F9" s="40">
        <v>2.66</v>
      </c>
      <c r="G9" s="40">
        <v>25.19</v>
      </c>
      <c r="H9" s="40">
        <v>11.7</v>
      </c>
      <c r="I9" s="40">
        <v>4.5999999999999996</v>
      </c>
      <c r="J9" s="40">
        <v>0.56000000000000005</v>
      </c>
      <c r="K9" s="40">
        <v>260.97000000000003</v>
      </c>
      <c r="L9" s="40">
        <v>25.65</v>
      </c>
      <c r="M9" s="40">
        <v>93.2</v>
      </c>
      <c r="N9" s="40">
        <v>2.2999999999999998</v>
      </c>
      <c r="O9" s="40">
        <v>0</v>
      </c>
      <c r="P9" s="40">
        <v>0.08</v>
      </c>
      <c r="Q9" s="40">
        <v>9.94</v>
      </c>
      <c r="R9" s="38"/>
      <c r="S9" s="38"/>
      <c r="T9" s="38"/>
      <c r="U9" s="38"/>
    </row>
    <row r="10" spans="1:21" customFormat="1">
      <c r="A10" s="39">
        <v>45841.083333333336</v>
      </c>
      <c r="B10" s="40">
        <v>3.02</v>
      </c>
      <c r="C10" s="40">
        <v>4.9000000000000004</v>
      </c>
      <c r="D10" s="40">
        <v>2</v>
      </c>
      <c r="E10" s="40">
        <v>4.62</v>
      </c>
      <c r="F10" s="40">
        <v>2.5299999999999998</v>
      </c>
      <c r="G10" s="40">
        <v>25.19</v>
      </c>
      <c r="H10" s="40">
        <v>11.7</v>
      </c>
      <c r="I10" s="40">
        <v>4.55</v>
      </c>
      <c r="J10" s="40">
        <v>0.52</v>
      </c>
      <c r="K10" s="40">
        <v>261.52</v>
      </c>
      <c r="L10" s="40">
        <v>25.62</v>
      </c>
      <c r="M10" s="40">
        <v>93.08</v>
      </c>
      <c r="N10" s="40">
        <v>2.2000000000000002</v>
      </c>
      <c r="O10" s="40">
        <v>0</v>
      </c>
      <c r="P10" s="40">
        <v>0.1</v>
      </c>
      <c r="Q10" s="40">
        <v>9.93</v>
      </c>
      <c r="R10" s="38"/>
      <c r="S10" s="38"/>
      <c r="T10" s="38"/>
      <c r="U10" s="38"/>
    </row>
    <row r="11" spans="1:21" customFormat="1">
      <c r="A11" s="39">
        <v>45841.125</v>
      </c>
      <c r="B11" s="40">
        <v>2.95</v>
      </c>
      <c r="C11" s="40">
        <v>4.8899999999999997</v>
      </c>
      <c r="D11" s="40">
        <v>2.0099999999999998</v>
      </c>
      <c r="E11" s="40">
        <v>5.23</v>
      </c>
      <c r="F11" s="40">
        <v>1.75</v>
      </c>
      <c r="G11" s="40">
        <v>20.88</v>
      </c>
      <c r="H11" s="40">
        <v>12.28</v>
      </c>
      <c r="I11" s="40">
        <v>4.2699999999999996</v>
      </c>
      <c r="J11" s="40">
        <v>0.56000000000000005</v>
      </c>
      <c r="K11" s="40">
        <v>259.60000000000002</v>
      </c>
      <c r="L11" s="40">
        <v>25.6</v>
      </c>
      <c r="M11" s="40">
        <v>92.38</v>
      </c>
      <c r="N11" s="40">
        <v>2.2999999999999998</v>
      </c>
      <c r="O11" s="40">
        <v>0</v>
      </c>
      <c r="P11" s="40">
        <v>0.1</v>
      </c>
      <c r="Q11" s="40">
        <v>9.92</v>
      </c>
      <c r="R11" s="38"/>
      <c r="S11" s="38"/>
      <c r="T11" s="38"/>
      <c r="U11" s="38"/>
    </row>
    <row r="12" spans="1:21" customFormat="1">
      <c r="A12" s="39">
        <v>45841.166666666664</v>
      </c>
      <c r="B12" s="40">
        <v>2.86</v>
      </c>
      <c r="C12" s="40">
        <v>4.78</v>
      </c>
      <c r="D12" s="40">
        <v>1.99</v>
      </c>
      <c r="E12" s="40">
        <v>5.63</v>
      </c>
      <c r="F12" s="40">
        <v>2.48</v>
      </c>
      <c r="G12" s="40">
        <v>18.68</v>
      </c>
      <c r="H12" s="40">
        <v>12.28</v>
      </c>
      <c r="I12" s="40">
        <v>3.95</v>
      </c>
      <c r="J12" s="40">
        <v>0.76</v>
      </c>
      <c r="K12" s="40">
        <v>261.70999999999998</v>
      </c>
      <c r="L12" s="40">
        <v>25.53</v>
      </c>
      <c r="M12" s="40">
        <v>92.29</v>
      </c>
      <c r="N12" s="40">
        <v>2.4</v>
      </c>
      <c r="O12" s="40">
        <v>0</v>
      </c>
      <c r="P12" s="40">
        <v>0.09</v>
      </c>
      <c r="Q12" s="40">
        <v>9.92</v>
      </c>
      <c r="R12" s="38"/>
      <c r="S12" s="38"/>
      <c r="T12" s="38"/>
      <c r="U12" s="38"/>
    </row>
    <row r="13" spans="1:21" customFormat="1">
      <c r="A13" s="39">
        <v>45841.208333333336</v>
      </c>
      <c r="B13" s="40">
        <v>2.82</v>
      </c>
      <c r="C13" s="40">
        <v>4.72</v>
      </c>
      <c r="D13" s="40">
        <v>1.96</v>
      </c>
      <c r="E13" s="40">
        <v>5.63</v>
      </c>
      <c r="F13" s="40">
        <v>2.54</v>
      </c>
      <c r="G13" s="40">
        <v>22.3</v>
      </c>
      <c r="H13" s="40">
        <v>9.0500000000000007</v>
      </c>
      <c r="I13" s="40">
        <v>3.55</v>
      </c>
      <c r="J13" s="40">
        <v>0.76</v>
      </c>
      <c r="K13" s="40">
        <v>261.24</v>
      </c>
      <c r="L13" s="40">
        <v>25.42</v>
      </c>
      <c r="M13" s="40">
        <v>91.63</v>
      </c>
      <c r="N13" s="40">
        <v>2.2999999999999998</v>
      </c>
      <c r="O13" s="40">
        <v>0</v>
      </c>
      <c r="P13" s="40">
        <v>7.0000000000000007E-2</v>
      </c>
      <c r="Q13" s="40">
        <v>9.91</v>
      </c>
      <c r="R13" s="38"/>
      <c r="S13" s="38"/>
      <c r="T13" s="38"/>
      <c r="U13" s="38"/>
    </row>
    <row r="14" spans="1:21" customFormat="1">
      <c r="A14" s="39">
        <v>45841.25</v>
      </c>
      <c r="B14" s="40">
        <v>2.81</v>
      </c>
      <c r="C14" s="40">
        <v>4.6900000000000004</v>
      </c>
      <c r="D14" s="40">
        <v>1.94</v>
      </c>
      <c r="E14" s="40">
        <v>5.83</v>
      </c>
      <c r="F14" s="40">
        <v>2.37</v>
      </c>
      <c r="G14" s="40">
        <v>22.3</v>
      </c>
      <c r="H14" s="40">
        <v>7.67</v>
      </c>
      <c r="I14" s="40">
        <v>3.38</v>
      </c>
      <c r="J14" s="40">
        <v>0.76</v>
      </c>
      <c r="K14" s="40">
        <v>261.94</v>
      </c>
      <c r="L14" s="40">
        <v>25.42</v>
      </c>
      <c r="M14" s="40">
        <v>90.81</v>
      </c>
      <c r="N14" s="40">
        <v>4.7</v>
      </c>
      <c r="O14" s="40">
        <v>0</v>
      </c>
      <c r="P14" s="40">
        <v>7.0000000000000007E-2</v>
      </c>
      <c r="Q14" s="40">
        <v>9.91</v>
      </c>
      <c r="R14" s="38"/>
      <c r="S14" s="38"/>
      <c r="T14" s="38"/>
      <c r="U14" s="38"/>
    </row>
    <row r="15" spans="1:21" customFormat="1">
      <c r="A15" s="39">
        <v>45841.291666666664</v>
      </c>
      <c r="B15" s="40">
        <v>2.85</v>
      </c>
      <c r="C15" s="40">
        <v>4.71</v>
      </c>
      <c r="D15" s="40">
        <v>1.95</v>
      </c>
      <c r="E15" s="40">
        <v>5.68</v>
      </c>
      <c r="F15" s="40">
        <v>2.59</v>
      </c>
      <c r="G15" s="40">
        <v>20.66</v>
      </c>
      <c r="H15" s="40">
        <v>9.58</v>
      </c>
      <c r="I15" s="40">
        <v>3.21</v>
      </c>
      <c r="J15" s="40">
        <v>0.81</v>
      </c>
      <c r="K15" s="40">
        <v>260.36</v>
      </c>
      <c r="L15" s="40">
        <v>25.36</v>
      </c>
      <c r="M15" s="40">
        <v>92.26</v>
      </c>
      <c r="N15" s="40">
        <v>9.1999999999999993</v>
      </c>
      <c r="O15" s="40">
        <v>0</v>
      </c>
      <c r="P15" s="40">
        <v>7.0000000000000007E-2</v>
      </c>
      <c r="Q15" s="40">
        <v>9.92</v>
      </c>
      <c r="R15" s="38"/>
      <c r="S15" s="38"/>
      <c r="T15" s="38"/>
      <c r="U15" s="38"/>
    </row>
    <row r="16" spans="1:21" customFormat="1">
      <c r="A16" s="39">
        <v>45841.333333333336</v>
      </c>
      <c r="B16" s="40">
        <v>2.94</v>
      </c>
      <c r="C16" s="40">
        <v>4.6900000000000004</v>
      </c>
      <c r="D16" s="40">
        <v>1.9</v>
      </c>
      <c r="E16" s="40">
        <v>5.25</v>
      </c>
      <c r="F16" s="40">
        <v>3.01</v>
      </c>
      <c r="G16" s="40">
        <v>20.66</v>
      </c>
      <c r="H16" s="40">
        <v>13.04</v>
      </c>
      <c r="I16" s="40">
        <v>3.32</v>
      </c>
      <c r="J16" s="40">
        <v>0.76</v>
      </c>
      <c r="K16" s="40">
        <v>262.14</v>
      </c>
      <c r="L16" s="40">
        <v>24.96</v>
      </c>
      <c r="M16" s="40">
        <v>94.24</v>
      </c>
      <c r="N16" s="40">
        <v>28.1</v>
      </c>
      <c r="O16" s="40">
        <v>0</v>
      </c>
      <c r="P16" s="40">
        <v>0.04</v>
      </c>
      <c r="Q16" s="40">
        <v>9.93</v>
      </c>
      <c r="R16" s="38"/>
      <c r="S16" s="38"/>
      <c r="T16" s="38"/>
      <c r="U16" s="38"/>
    </row>
    <row r="17" spans="1:21" customFormat="1">
      <c r="A17" s="39">
        <v>45841.375</v>
      </c>
      <c r="B17" s="40">
        <v>2.98</v>
      </c>
      <c r="C17" s="40">
        <v>4.72</v>
      </c>
      <c r="D17" s="40">
        <v>1.88</v>
      </c>
      <c r="E17" s="40">
        <v>5.0199999999999996</v>
      </c>
      <c r="F17" s="40">
        <v>2.48</v>
      </c>
      <c r="G17" s="40">
        <v>16.559999999999999</v>
      </c>
      <c r="H17" s="40">
        <v>13.04</v>
      </c>
      <c r="I17" s="40">
        <v>3.43</v>
      </c>
      <c r="J17" s="40">
        <v>0.94</v>
      </c>
      <c r="K17" s="40">
        <v>261.63</v>
      </c>
      <c r="L17" s="40">
        <v>25.15</v>
      </c>
      <c r="M17" s="40">
        <v>93.8</v>
      </c>
      <c r="N17" s="40">
        <v>32.4</v>
      </c>
      <c r="O17" s="40">
        <v>0</v>
      </c>
      <c r="P17" s="40">
        <v>0.04</v>
      </c>
      <c r="Q17" s="40">
        <v>9.92</v>
      </c>
      <c r="R17" s="38"/>
      <c r="S17" s="38"/>
      <c r="T17" s="38"/>
      <c r="U17" s="38"/>
    </row>
    <row r="18" spans="1:21" customFormat="1">
      <c r="A18" s="39">
        <v>45841.416666666664</v>
      </c>
      <c r="B18" s="40">
        <v>3.05</v>
      </c>
      <c r="C18" s="40">
        <v>4.8</v>
      </c>
      <c r="D18" s="40">
        <v>1.89</v>
      </c>
      <c r="E18" s="40">
        <v>5.03</v>
      </c>
      <c r="F18" s="40">
        <v>2.75</v>
      </c>
      <c r="G18" s="40">
        <v>18.47</v>
      </c>
      <c r="H18" s="40">
        <v>10.08</v>
      </c>
      <c r="I18" s="40">
        <v>3.48</v>
      </c>
      <c r="J18" s="40">
        <v>0.75</v>
      </c>
      <c r="K18" s="40">
        <v>265.44</v>
      </c>
      <c r="L18" s="40">
        <v>25.03</v>
      </c>
      <c r="M18" s="40">
        <v>95.25</v>
      </c>
      <c r="N18" s="40">
        <v>26.2</v>
      </c>
      <c r="O18" s="40">
        <v>0.2</v>
      </c>
      <c r="P18" s="40">
        <v>0.04</v>
      </c>
      <c r="Q18" s="40">
        <v>9.93</v>
      </c>
      <c r="R18" s="38"/>
      <c r="S18" s="38"/>
      <c r="T18" s="38"/>
      <c r="U18" s="38"/>
    </row>
    <row r="19" spans="1:21" customFormat="1">
      <c r="A19" s="39">
        <v>45841.458333333336</v>
      </c>
      <c r="B19" s="40">
        <v>3.04</v>
      </c>
      <c r="C19" s="40">
        <v>4.8</v>
      </c>
      <c r="D19" s="40">
        <v>1.89</v>
      </c>
      <c r="E19" s="40">
        <v>4.7300000000000004</v>
      </c>
      <c r="F19" s="40">
        <v>2.64</v>
      </c>
      <c r="G19" s="40">
        <v>21.56</v>
      </c>
      <c r="H19" s="40">
        <v>10.08</v>
      </c>
      <c r="I19" s="40">
        <v>3.42</v>
      </c>
      <c r="J19" s="40">
        <v>0.64</v>
      </c>
      <c r="K19" s="40">
        <v>270.24</v>
      </c>
      <c r="L19" s="40">
        <v>24.91</v>
      </c>
      <c r="M19" s="40">
        <v>96.55</v>
      </c>
      <c r="N19" s="40">
        <v>29.8</v>
      </c>
      <c r="O19" s="40">
        <v>0.2</v>
      </c>
      <c r="P19" s="40">
        <v>0.06</v>
      </c>
      <c r="Q19" s="40">
        <v>9.9499999999999993</v>
      </c>
      <c r="R19" s="38"/>
      <c r="S19" s="38"/>
      <c r="T19" s="38"/>
      <c r="U19" s="38"/>
    </row>
    <row r="20" spans="1:21" customFormat="1">
      <c r="A20" s="39">
        <v>45841.5</v>
      </c>
      <c r="B20" s="40">
        <v>3.07</v>
      </c>
      <c r="C20" s="40">
        <v>4.9400000000000004</v>
      </c>
      <c r="D20" s="40">
        <v>2.02</v>
      </c>
      <c r="E20" s="40">
        <v>4.83</v>
      </c>
      <c r="F20" s="40">
        <v>2.36</v>
      </c>
      <c r="G20" s="40">
        <v>21.56</v>
      </c>
      <c r="H20" s="40">
        <v>9.08</v>
      </c>
      <c r="I20" s="40">
        <v>3.73</v>
      </c>
      <c r="J20" s="40">
        <v>0.68</v>
      </c>
      <c r="K20" s="40">
        <v>262.72000000000003</v>
      </c>
      <c r="L20" s="40">
        <v>24.95</v>
      </c>
      <c r="M20" s="40">
        <v>97.21</v>
      </c>
      <c r="N20" s="40">
        <v>32.1</v>
      </c>
      <c r="O20" s="40">
        <v>0.2</v>
      </c>
      <c r="P20" s="40">
        <v>0.09</v>
      </c>
      <c r="Q20" s="40">
        <v>9.93</v>
      </c>
      <c r="R20" s="38"/>
      <c r="S20" s="38"/>
      <c r="T20" s="38"/>
      <c r="U20" s="38"/>
    </row>
    <row r="21" spans="1:21" customFormat="1">
      <c r="A21" s="39">
        <v>45841.541666666664</v>
      </c>
      <c r="B21" s="40">
        <v>2.97</v>
      </c>
      <c r="C21" s="40">
        <v>4.93</v>
      </c>
      <c r="D21" s="40">
        <v>2.04</v>
      </c>
      <c r="E21" s="40">
        <v>5.33</v>
      </c>
      <c r="F21" s="40">
        <v>2.16</v>
      </c>
      <c r="G21" s="40">
        <v>18.05</v>
      </c>
      <c r="H21" s="40">
        <v>10.3</v>
      </c>
      <c r="I21" s="40">
        <v>3.78</v>
      </c>
      <c r="J21" s="40">
        <v>0.68</v>
      </c>
      <c r="K21" s="40">
        <v>266.04000000000002</v>
      </c>
      <c r="L21" s="40">
        <v>25.18</v>
      </c>
      <c r="M21" s="40">
        <v>96.66</v>
      </c>
      <c r="N21" s="40">
        <v>46.7</v>
      </c>
      <c r="O21" s="40">
        <v>0.2</v>
      </c>
      <c r="P21" s="40">
        <v>0.1</v>
      </c>
      <c r="Q21" s="40">
        <v>9.92</v>
      </c>
      <c r="R21" s="38"/>
      <c r="S21" s="38"/>
      <c r="T21" s="38"/>
      <c r="U21" s="38"/>
    </row>
    <row r="22" spans="1:21" customFormat="1">
      <c r="A22" s="39">
        <v>45841.583333333336</v>
      </c>
      <c r="B22" s="40">
        <v>2.91</v>
      </c>
      <c r="C22" s="40">
        <v>4.88</v>
      </c>
      <c r="D22" s="40">
        <v>2.0299999999999998</v>
      </c>
      <c r="E22" s="40">
        <v>5.61</v>
      </c>
      <c r="F22" s="40">
        <v>1.92</v>
      </c>
      <c r="G22" s="40">
        <v>17.690000000000001</v>
      </c>
      <c r="H22" s="40">
        <v>10.3</v>
      </c>
      <c r="I22" s="40">
        <v>3.79</v>
      </c>
      <c r="J22" s="40">
        <v>0.75</v>
      </c>
      <c r="K22" s="40">
        <v>264.35000000000002</v>
      </c>
      <c r="L22" s="40">
        <v>25.89</v>
      </c>
      <c r="M22" s="40">
        <v>95.76</v>
      </c>
      <c r="N22" s="40">
        <v>123.8</v>
      </c>
      <c r="O22" s="40">
        <v>0</v>
      </c>
      <c r="P22" s="40">
        <v>0.1</v>
      </c>
      <c r="Q22" s="40">
        <v>9.92</v>
      </c>
      <c r="R22" s="38"/>
      <c r="S22" s="38"/>
      <c r="T22" s="38"/>
      <c r="U22" s="38"/>
    </row>
    <row r="23" spans="1:21" customFormat="1">
      <c r="A23" s="39">
        <v>45841.625</v>
      </c>
      <c r="B23" s="40">
        <v>2.86</v>
      </c>
      <c r="C23" s="40">
        <v>4.79</v>
      </c>
      <c r="D23" s="40">
        <v>1.99</v>
      </c>
      <c r="E23" s="40">
        <v>5.78</v>
      </c>
      <c r="F23" s="40">
        <v>2.61</v>
      </c>
      <c r="G23" s="40">
        <v>16.079999999999998</v>
      </c>
      <c r="H23" s="40">
        <v>9.2799999999999994</v>
      </c>
      <c r="I23" s="40">
        <v>3.73</v>
      </c>
      <c r="J23" s="40">
        <v>0.81</v>
      </c>
      <c r="K23" s="40">
        <v>262.38</v>
      </c>
      <c r="L23" s="40">
        <v>26.28</v>
      </c>
      <c r="M23" s="40">
        <v>92.65</v>
      </c>
      <c r="N23" s="40">
        <v>142.9</v>
      </c>
      <c r="O23" s="40">
        <v>0</v>
      </c>
      <c r="P23" s="40">
        <v>0.13</v>
      </c>
      <c r="Q23" s="40">
        <v>9.91</v>
      </c>
      <c r="R23" s="38"/>
      <c r="S23" s="38"/>
      <c r="T23" s="38"/>
      <c r="U23" s="38"/>
    </row>
    <row r="24" spans="1:21" customFormat="1">
      <c r="A24" s="39">
        <v>45841.666666666664</v>
      </c>
      <c r="B24" s="40">
        <v>2.79</v>
      </c>
      <c r="C24" s="40">
        <v>4.7</v>
      </c>
      <c r="D24" s="40">
        <v>1.96</v>
      </c>
      <c r="E24" s="40">
        <v>6.05</v>
      </c>
      <c r="F24" s="40">
        <v>2.58</v>
      </c>
      <c r="G24" s="40">
        <v>26.75</v>
      </c>
      <c r="H24" s="40">
        <v>14.87</v>
      </c>
      <c r="I24" s="40">
        <v>3.59</v>
      </c>
      <c r="J24" s="40">
        <v>0.77</v>
      </c>
      <c r="K24" s="40">
        <v>267.82</v>
      </c>
      <c r="L24" s="40">
        <v>27.56</v>
      </c>
      <c r="M24" s="40">
        <v>89.62</v>
      </c>
      <c r="N24" s="40">
        <v>221.1</v>
      </c>
      <c r="O24" s="40">
        <v>0</v>
      </c>
      <c r="P24" s="40">
        <v>0.13</v>
      </c>
      <c r="Q24" s="40">
        <v>9.92</v>
      </c>
      <c r="R24" s="38"/>
      <c r="S24" s="38"/>
      <c r="T24" s="38"/>
      <c r="U24" s="38"/>
    </row>
    <row r="25" spans="1:21" customFormat="1">
      <c r="A25" s="39">
        <v>45841.708333333336</v>
      </c>
      <c r="B25" s="40">
        <v>2.74</v>
      </c>
      <c r="C25" s="40">
        <v>4.62</v>
      </c>
      <c r="D25" s="40">
        <v>1.94</v>
      </c>
      <c r="E25" s="40">
        <v>5.81</v>
      </c>
      <c r="F25" s="40">
        <v>3.04</v>
      </c>
      <c r="G25" s="40">
        <v>26.75</v>
      </c>
      <c r="H25" s="40">
        <v>14.87</v>
      </c>
      <c r="I25" s="40">
        <v>3.55</v>
      </c>
      <c r="J25" s="40">
        <v>0.73</v>
      </c>
      <c r="K25" s="40">
        <v>263.44</v>
      </c>
      <c r="L25" s="40">
        <v>27.42</v>
      </c>
      <c r="M25" s="40">
        <v>87.24</v>
      </c>
      <c r="N25" s="40">
        <v>107.4</v>
      </c>
      <c r="O25" s="40">
        <v>0</v>
      </c>
      <c r="P25" s="40">
        <v>0.13</v>
      </c>
      <c r="Q25" s="40">
        <v>9.92</v>
      </c>
      <c r="R25" s="38"/>
      <c r="S25" s="38"/>
      <c r="T25" s="38"/>
      <c r="U25" s="38"/>
    </row>
    <row r="26" spans="1:21" customFormat="1">
      <c r="A26" s="39">
        <v>45841.75</v>
      </c>
      <c r="B26" s="40">
        <v>2.75</v>
      </c>
      <c r="C26" s="40">
        <v>4.54</v>
      </c>
      <c r="D26" s="40">
        <v>1.88</v>
      </c>
      <c r="E26" s="40">
        <v>5.38</v>
      </c>
      <c r="F26" s="40">
        <v>4.09</v>
      </c>
      <c r="G26" s="40">
        <v>28.94</v>
      </c>
      <c r="H26" s="40">
        <v>10.48</v>
      </c>
      <c r="I26" s="40">
        <v>3.67</v>
      </c>
      <c r="J26" s="40">
        <v>0.42</v>
      </c>
      <c r="K26" s="40">
        <v>265.31</v>
      </c>
      <c r="L26" s="40">
        <v>27.08</v>
      </c>
      <c r="M26" s="40">
        <v>87.56</v>
      </c>
      <c r="N26" s="40">
        <v>65.400000000000006</v>
      </c>
      <c r="O26" s="40">
        <v>0</v>
      </c>
      <c r="P26" s="40">
        <v>0.1</v>
      </c>
      <c r="Q26" s="40">
        <v>9.91</v>
      </c>
      <c r="R26" s="38"/>
      <c r="S26" s="38"/>
      <c r="T26" s="38"/>
      <c r="U26" s="38"/>
    </row>
    <row r="27" spans="1:21" customFormat="1">
      <c r="A27" s="39">
        <v>45841.791666666664</v>
      </c>
      <c r="B27" s="40">
        <v>2.78</v>
      </c>
      <c r="C27" s="40">
        <v>4.5599999999999996</v>
      </c>
      <c r="D27" s="40">
        <v>1.88</v>
      </c>
      <c r="E27" s="40">
        <v>4.96</v>
      </c>
      <c r="F27" s="40">
        <v>6.36</v>
      </c>
      <c r="G27" s="40">
        <v>29.15</v>
      </c>
      <c r="H27" s="40">
        <v>10.77</v>
      </c>
      <c r="I27" s="40">
        <v>3.75</v>
      </c>
      <c r="J27" s="40">
        <v>0.42</v>
      </c>
      <c r="K27" s="40">
        <v>260.37</v>
      </c>
      <c r="L27" s="40">
        <v>26.91</v>
      </c>
      <c r="M27" s="40">
        <v>88.22</v>
      </c>
      <c r="N27" s="40">
        <v>27.5</v>
      </c>
      <c r="O27" s="40">
        <v>0</v>
      </c>
      <c r="P27" s="40">
        <v>0.11</v>
      </c>
      <c r="Q27" s="40">
        <v>9.92</v>
      </c>
      <c r="R27" s="38"/>
      <c r="S27" s="38"/>
      <c r="T27" s="38"/>
      <c r="U27" s="38"/>
    </row>
    <row r="28" spans="1:21" customFormat="1">
      <c r="A28" s="39">
        <v>45841.833333333336</v>
      </c>
      <c r="B28" s="40">
        <v>2.79</v>
      </c>
      <c r="C28" s="40">
        <v>4.6100000000000003</v>
      </c>
      <c r="D28" s="40">
        <v>1.89</v>
      </c>
      <c r="E28" s="40">
        <v>5.07</v>
      </c>
      <c r="F28" s="40">
        <v>3.76</v>
      </c>
      <c r="G28" s="40">
        <v>29.15</v>
      </c>
      <c r="H28" s="40">
        <v>10.77</v>
      </c>
      <c r="I28" s="40">
        <v>3.82</v>
      </c>
      <c r="J28" s="40">
        <v>0.41</v>
      </c>
      <c r="K28" s="40">
        <v>258.51</v>
      </c>
      <c r="L28" s="40">
        <v>26.46</v>
      </c>
      <c r="M28" s="40">
        <v>89.53</v>
      </c>
      <c r="N28" s="40">
        <v>2.2999999999999998</v>
      </c>
      <c r="O28" s="40">
        <v>0</v>
      </c>
      <c r="P28" s="40">
        <v>0.11</v>
      </c>
      <c r="Q28" s="40">
        <v>9.91</v>
      </c>
      <c r="R28" s="38"/>
      <c r="S28" s="38"/>
      <c r="T28" s="38"/>
      <c r="U28" s="38"/>
    </row>
    <row r="29" spans="1:21" customFormat="1">
      <c r="A29" s="39">
        <v>45841.875</v>
      </c>
      <c r="B29" s="40">
        <v>2.88</v>
      </c>
      <c r="C29" s="40">
        <v>4.6399999999999997</v>
      </c>
      <c r="D29" s="40">
        <v>1.88</v>
      </c>
      <c r="E29" s="40">
        <v>4.78</v>
      </c>
      <c r="F29" s="40">
        <v>3.4</v>
      </c>
      <c r="G29" s="40">
        <v>32.950000000000003</v>
      </c>
      <c r="H29" s="40">
        <v>11.31</v>
      </c>
      <c r="I29" s="40">
        <v>3.95</v>
      </c>
      <c r="J29" s="40">
        <v>0.4</v>
      </c>
      <c r="K29" s="40">
        <v>262.89</v>
      </c>
      <c r="L29" s="40">
        <v>26.15</v>
      </c>
      <c r="M29" s="40">
        <v>92.24</v>
      </c>
      <c r="N29" s="40">
        <v>2.2999999999999998</v>
      </c>
      <c r="O29" s="40">
        <v>0</v>
      </c>
      <c r="P29" s="40">
        <v>0.12</v>
      </c>
      <c r="Q29" s="40">
        <v>9.92</v>
      </c>
      <c r="R29" s="38"/>
      <c r="S29" s="38"/>
      <c r="T29" s="38"/>
      <c r="U29" s="38"/>
    </row>
    <row r="30" spans="1:21" customFormat="1">
      <c r="A30" s="39">
        <v>45841.916666666664</v>
      </c>
      <c r="B30" s="40">
        <v>2.87</v>
      </c>
      <c r="C30" s="40">
        <v>4.75</v>
      </c>
      <c r="D30" s="40">
        <v>1.96</v>
      </c>
      <c r="E30" s="40">
        <v>5.27</v>
      </c>
      <c r="F30" s="40">
        <v>2.04</v>
      </c>
      <c r="G30" s="40">
        <v>33.630000000000003</v>
      </c>
      <c r="H30" s="40">
        <v>11.31</v>
      </c>
      <c r="I30" s="40">
        <v>4.0199999999999996</v>
      </c>
      <c r="J30" s="40">
        <v>0.28999999999999998</v>
      </c>
      <c r="K30" s="40">
        <v>264.55</v>
      </c>
      <c r="L30" s="40">
        <v>25.96</v>
      </c>
      <c r="M30" s="40">
        <v>92.72</v>
      </c>
      <c r="N30" s="40">
        <v>2.2000000000000002</v>
      </c>
      <c r="O30" s="40">
        <v>0</v>
      </c>
      <c r="P30" s="40">
        <v>0.14000000000000001</v>
      </c>
      <c r="Q30" s="40">
        <v>9.91</v>
      </c>
      <c r="R30" s="38"/>
      <c r="S30" s="38"/>
      <c r="T30" s="38"/>
      <c r="U30" s="38"/>
    </row>
    <row r="31" spans="1:21" customFormat="1">
      <c r="A31" s="39">
        <v>45841.958333333336</v>
      </c>
      <c r="B31" s="40">
        <v>2.83</v>
      </c>
      <c r="C31" s="40">
        <v>4.7300000000000004</v>
      </c>
      <c r="D31" s="40">
        <v>1.96</v>
      </c>
      <c r="E31" s="40">
        <v>5.49</v>
      </c>
      <c r="F31" s="40">
        <v>1.83</v>
      </c>
      <c r="G31" s="40">
        <v>33.630000000000003</v>
      </c>
      <c r="H31" s="40">
        <v>13.38</v>
      </c>
      <c r="I31" s="40">
        <v>3.88</v>
      </c>
      <c r="J31" s="40">
        <v>0.22</v>
      </c>
      <c r="K31" s="40">
        <v>255.12</v>
      </c>
      <c r="L31" s="40">
        <v>26.04</v>
      </c>
      <c r="M31" s="40">
        <v>91.63</v>
      </c>
      <c r="N31" s="40">
        <v>2.2999999999999998</v>
      </c>
      <c r="O31" s="40">
        <v>0</v>
      </c>
      <c r="P31" s="40">
        <v>0.14000000000000001</v>
      </c>
      <c r="Q31" s="40">
        <v>9.92</v>
      </c>
      <c r="R31" s="38"/>
      <c r="S31" s="38"/>
      <c r="T31" s="38"/>
      <c r="U31" s="38"/>
    </row>
    <row r="32" spans="1:21" customFormat="1">
      <c r="A32" s="40">
        <v>45842</v>
      </c>
      <c r="B32" s="40">
        <v>2.82</v>
      </c>
      <c r="C32" s="40">
        <v>4.6900000000000004</v>
      </c>
      <c r="D32" s="40">
        <v>1.94</v>
      </c>
      <c r="E32" s="40">
        <v>5.49</v>
      </c>
      <c r="F32" s="40">
        <v>2.19</v>
      </c>
      <c r="G32" s="40">
        <v>31.53</v>
      </c>
      <c r="H32" s="40">
        <v>13.38</v>
      </c>
      <c r="I32" s="40">
        <v>3.71</v>
      </c>
      <c r="J32" s="40">
        <v>0.32</v>
      </c>
      <c r="K32" s="40">
        <v>263.88</v>
      </c>
      <c r="L32" s="40">
        <v>25.91</v>
      </c>
      <c r="M32" s="40">
        <v>91.95</v>
      </c>
      <c r="N32" s="40">
        <v>2.2000000000000002</v>
      </c>
      <c r="O32" s="40">
        <v>0</v>
      </c>
      <c r="P32" s="40">
        <v>0.14000000000000001</v>
      </c>
      <c r="Q32" s="40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2.74</v>
      </c>
      <c r="C34" s="18">
        <f t="shared" si="0"/>
        <v>4.54</v>
      </c>
      <c r="D34" s="18">
        <f t="shared" si="0"/>
        <v>1.88</v>
      </c>
      <c r="E34" s="18">
        <f t="shared" si="0"/>
        <v>4.46</v>
      </c>
      <c r="F34" s="18">
        <f t="shared" si="0"/>
        <v>1.75</v>
      </c>
      <c r="G34" s="18">
        <f t="shared" si="0"/>
        <v>16.079999999999998</v>
      </c>
      <c r="H34" s="18">
        <f t="shared" si="0"/>
        <v>7.67</v>
      </c>
      <c r="I34" s="18">
        <f t="shared" si="0"/>
        <v>3.21</v>
      </c>
      <c r="J34" s="18">
        <f t="shared" si="0"/>
        <v>0.22</v>
      </c>
      <c r="K34" s="18">
        <f t="shared" si="0"/>
        <v>255.12</v>
      </c>
      <c r="L34" s="18">
        <f t="shared" si="0"/>
        <v>24.91</v>
      </c>
      <c r="M34" s="18">
        <f t="shared" si="0"/>
        <v>87.24</v>
      </c>
      <c r="N34" s="18">
        <f t="shared" si="0"/>
        <v>2.2000000000000002</v>
      </c>
      <c r="O34" s="18">
        <f t="shared" si="0"/>
        <v>0</v>
      </c>
      <c r="P34" s="18">
        <f t="shared" si="0"/>
        <v>0.04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3.07</v>
      </c>
      <c r="C35" s="3">
        <f t="shared" si="1"/>
        <v>4.9400000000000004</v>
      </c>
      <c r="D35" s="3">
        <f t="shared" si="1"/>
        <v>2.04</v>
      </c>
      <c r="E35" s="3">
        <f t="shared" si="1"/>
        <v>6.05</v>
      </c>
      <c r="F35" s="3">
        <f t="shared" si="1"/>
        <v>6.36</v>
      </c>
      <c r="G35" s="3">
        <f t="shared" si="1"/>
        <v>33.630000000000003</v>
      </c>
      <c r="H35" s="3">
        <f t="shared" si="1"/>
        <v>14.87</v>
      </c>
      <c r="I35" s="3">
        <f t="shared" si="1"/>
        <v>4.5999999999999996</v>
      </c>
      <c r="J35" s="3">
        <f t="shared" si="1"/>
        <v>0.94</v>
      </c>
      <c r="K35" s="3">
        <f t="shared" si="1"/>
        <v>270.24</v>
      </c>
      <c r="L35" s="3">
        <f t="shared" si="1"/>
        <v>27.56</v>
      </c>
      <c r="M35" s="3">
        <f t="shared" si="1"/>
        <v>97.21</v>
      </c>
      <c r="N35" s="3">
        <f t="shared" si="1"/>
        <v>221.1</v>
      </c>
      <c r="O35" s="3">
        <f t="shared" si="1"/>
        <v>0.2</v>
      </c>
      <c r="P35" s="3">
        <f t="shared" si="1"/>
        <v>0.14000000000000001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2.8904166666666669</v>
      </c>
      <c r="C36" s="18">
        <f t="shared" si="2"/>
        <v>4.7441666666666675</v>
      </c>
      <c r="D36" s="18">
        <f t="shared" si="2"/>
        <v>1.9450000000000003</v>
      </c>
      <c r="E36" s="18">
        <f t="shared" si="2"/>
        <v>5.2899999999999983</v>
      </c>
      <c r="F36" s="18">
        <f t="shared" si="2"/>
        <v>2.7558333333333334</v>
      </c>
      <c r="G36" s="18">
        <f t="shared" si="2"/>
        <v>24.096249999999998</v>
      </c>
      <c r="H36" s="18">
        <f t="shared" si="2"/>
        <v>11.275000000000004</v>
      </c>
      <c r="I36" s="18">
        <f t="shared" si="2"/>
        <v>3.7554166666666653</v>
      </c>
      <c r="J36" s="18">
        <f t="shared" si="2"/>
        <v>0.6133333333333334</v>
      </c>
      <c r="K36" s="18">
        <f t="shared" si="2"/>
        <v>262.67375000000004</v>
      </c>
      <c r="L36" s="18">
        <f t="shared" si="2"/>
        <v>25.85166666666667</v>
      </c>
      <c r="M36" s="18">
        <f t="shared" si="2"/>
        <v>92.436666666666667</v>
      </c>
      <c r="N36" s="18">
        <f t="shared" si="2"/>
        <v>38.337499999999999</v>
      </c>
      <c r="O36" s="18">
        <f t="shared" si="2"/>
        <v>3.3333333333333333E-2</v>
      </c>
      <c r="P36" s="18">
        <f t="shared" si="2"/>
        <v>9.5833333333333368E-2</v>
      </c>
      <c r="Q36" s="18">
        <f t="shared" si="2"/>
        <v>9.920833333333329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9.9191477836366157E-2</v>
      </c>
      <c r="C37" s="18">
        <f t="shared" ref="C37:Q37" si="3">STDEV(C9:C32)</f>
        <v>0.11052903087726168</v>
      </c>
      <c r="D37" s="18">
        <f t="shared" si="3"/>
        <v>5.2832796138630483E-2</v>
      </c>
      <c r="E37" s="18">
        <f t="shared" si="3"/>
        <v>0.42639030905049174</v>
      </c>
      <c r="F37" s="18">
        <f t="shared" si="3"/>
        <v>0.94986002019824789</v>
      </c>
      <c r="G37" s="18">
        <f t="shared" si="3"/>
        <v>5.5926013333611575</v>
      </c>
      <c r="H37" s="18">
        <f t="shared" si="3"/>
        <v>1.8514553617415923</v>
      </c>
      <c r="I37" s="18">
        <f t="shared" si="3"/>
        <v>0.35024189363634234</v>
      </c>
      <c r="J37" s="18">
        <f t="shared" si="3"/>
        <v>0.1952181982488726</v>
      </c>
      <c r="K37" s="18">
        <f t="shared" si="3"/>
        <v>3.1054563656780689</v>
      </c>
      <c r="L37" s="18">
        <f t="shared" si="3"/>
        <v>0.77151835993069195</v>
      </c>
      <c r="M37" s="18">
        <f t="shared" si="3"/>
        <v>2.7343382740804851</v>
      </c>
      <c r="N37" s="18">
        <f t="shared" si="3"/>
        <v>56.225398968174829</v>
      </c>
      <c r="O37" s="18">
        <f t="shared" si="3"/>
        <v>7.6138698762688112E-2</v>
      </c>
      <c r="P37" s="18">
        <f t="shared" si="3"/>
        <v>3.1885210782848228E-2</v>
      </c>
      <c r="Q37" s="18">
        <f t="shared" si="3"/>
        <v>1.0179547554080815E-2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31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6.140625" style="1" bestFit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45842.041666666664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45842.041666666664</v>
      </c>
      <c r="B9" s="40">
        <v>2.82</v>
      </c>
      <c r="C9" s="40">
        <v>4.67</v>
      </c>
      <c r="D9" s="40">
        <v>1.93</v>
      </c>
      <c r="E9" s="40">
        <v>5.44</v>
      </c>
      <c r="F9" s="40">
        <v>2.35</v>
      </c>
      <c r="G9" s="40">
        <v>32.700000000000003</v>
      </c>
      <c r="H9" s="40">
        <v>13.24</v>
      </c>
      <c r="I9" s="40">
        <v>3.68</v>
      </c>
      <c r="J9" s="40">
        <v>0.79</v>
      </c>
      <c r="K9" s="40">
        <v>261.45999999999998</v>
      </c>
      <c r="L9" s="40">
        <v>25.8</v>
      </c>
      <c r="M9" s="40">
        <v>91.88</v>
      </c>
      <c r="N9" s="40">
        <v>2.2000000000000002</v>
      </c>
      <c r="O9" s="40">
        <v>0</v>
      </c>
      <c r="P9" s="40">
        <v>0.14000000000000001</v>
      </c>
      <c r="Q9" s="40">
        <v>9.92</v>
      </c>
      <c r="R9" s="38"/>
      <c r="S9" s="38"/>
      <c r="T9" s="38"/>
      <c r="U9" s="38"/>
    </row>
    <row r="10" spans="1:21" customFormat="1">
      <c r="A10" s="39">
        <v>45842.083333333336</v>
      </c>
      <c r="B10" s="40">
        <v>2.8</v>
      </c>
      <c r="C10" s="40">
        <v>4.6500000000000004</v>
      </c>
      <c r="D10" s="40">
        <v>1.92</v>
      </c>
      <c r="E10" s="40">
        <v>5.67</v>
      </c>
      <c r="F10" s="40">
        <v>2.6</v>
      </c>
      <c r="G10" s="40">
        <v>32.700000000000003</v>
      </c>
      <c r="H10" s="40">
        <v>11.38</v>
      </c>
      <c r="I10" s="40">
        <v>3.48</v>
      </c>
      <c r="J10" s="40">
        <v>0.97</v>
      </c>
      <c r="K10" s="40">
        <v>262.52999999999997</v>
      </c>
      <c r="L10" s="40">
        <v>25.91</v>
      </c>
      <c r="M10" s="40">
        <v>90.57</v>
      </c>
      <c r="N10" s="40">
        <v>2.4</v>
      </c>
      <c r="O10" s="40">
        <v>0</v>
      </c>
      <c r="P10" s="40">
        <v>0.13</v>
      </c>
      <c r="Q10" s="40">
        <v>9.91</v>
      </c>
      <c r="R10" s="38"/>
      <c r="S10" s="38"/>
      <c r="T10" s="38"/>
      <c r="U10" s="38"/>
    </row>
    <row r="11" spans="1:21" customFormat="1">
      <c r="A11" s="39">
        <v>45842.125</v>
      </c>
      <c r="B11" s="40">
        <v>2.79</v>
      </c>
      <c r="C11" s="40">
        <v>4.5999999999999996</v>
      </c>
      <c r="D11" s="40">
        <v>1.91</v>
      </c>
      <c r="E11" s="40">
        <v>5.32</v>
      </c>
      <c r="F11" s="40">
        <v>3.04</v>
      </c>
      <c r="G11" s="40">
        <v>30.4</v>
      </c>
      <c r="H11" s="40">
        <v>8.18</v>
      </c>
      <c r="I11" s="40">
        <v>3.25</v>
      </c>
      <c r="J11" s="40">
        <v>0.78</v>
      </c>
      <c r="K11" s="40">
        <v>260.42</v>
      </c>
      <c r="L11" s="40">
        <v>25.58</v>
      </c>
      <c r="M11" s="40">
        <v>89.69</v>
      </c>
      <c r="N11" s="40">
        <v>2.4</v>
      </c>
      <c r="O11" s="40">
        <v>0</v>
      </c>
      <c r="P11" s="40">
        <v>0.12</v>
      </c>
      <c r="Q11" s="40">
        <v>9.91</v>
      </c>
      <c r="R11" s="38"/>
      <c r="S11" s="38"/>
      <c r="T11" s="38"/>
      <c r="U11" s="38"/>
    </row>
    <row r="12" spans="1:21" customFormat="1">
      <c r="A12" s="39">
        <v>45842.166666666664</v>
      </c>
      <c r="B12" s="40">
        <v>2.82</v>
      </c>
      <c r="C12" s="40">
        <v>4.58</v>
      </c>
      <c r="D12" s="40">
        <v>1.86</v>
      </c>
      <c r="E12" s="40">
        <v>4.8499999999999996</v>
      </c>
      <c r="F12" s="40">
        <v>3.09</v>
      </c>
      <c r="G12" s="40">
        <v>22.2</v>
      </c>
      <c r="H12" s="40">
        <v>6.31</v>
      </c>
      <c r="I12" s="40">
        <v>3.23</v>
      </c>
      <c r="J12" s="40">
        <v>0.74</v>
      </c>
      <c r="K12" s="40">
        <v>263.19</v>
      </c>
      <c r="L12" s="40">
        <v>25.28</v>
      </c>
      <c r="M12" s="40">
        <v>91.42</v>
      </c>
      <c r="N12" s="40">
        <v>2.2999999999999998</v>
      </c>
      <c r="O12" s="40">
        <v>0</v>
      </c>
      <c r="P12" s="40">
        <v>0.09</v>
      </c>
      <c r="Q12" s="40">
        <v>9.91</v>
      </c>
      <c r="R12" s="38"/>
      <c r="S12" s="38"/>
      <c r="T12" s="38"/>
      <c r="U12" s="38"/>
    </row>
    <row r="13" spans="1:21" customFormat="1">
      <c r="A13" s="39">
        <v>45842.208333333336</v>
      </c>
      <c r="B13" s="40">
        <v>2.88</v>
      </c>
      <c r="C13" s="40">
        <v>4.62</v>
      </c>
      <c r="D13" s="40">
        <v>1.85</v>
      </c>
      <c r="E13" s="40">
        <v>4.78</v>
      </c>
      <c r="F13" s="40">
        <v>2.82</v>
      </c>
      <c r="G13" s="40">
        <v>21.17</v>
      </c>
      <c r="H13" s="40">
        <v>4.45</v>
      </c>
      <c r="I13" s="40">
        <v>3.22</v>
      </c>
      <c r="J13" s="40">
        <v>0.81</v>
      </c>
      <c r="K13" s="40">
        <v>260.75</v>
      </c>
      <c r="L13" s="40">
        <v>25.14</v>
      </c>
      <c r="M13" s="40">
        <v>92.48</v>
      </c>
      <c r="N13" s="40">
        <v>2.4</v>
      </c>
      <c r="O13" s="40">
        <v>0</v>
      </c>
      <c r="P13" s="40">
        <v>0.08</v>
      </c>
      <c r="Q13" s="40">
        <v>9.91</v>
      </c>
      <c r="R13" s="38"/>
      <c r="S13" s="38"/>
      <c r="T13" s="38"/>
      <c r="U13" s="38"/>
    </row>
    <row r="14" spans="1:21" customFormat="1">
      <c r="A14" s="39">
        <v>45842.25</v>
      </c>
      <c r="B14" s="40">
        <v>2.89</v>
      </c>
      <c r="C14" s="40">
        <v>4.66</v>
      </c>
      <c r="D14" s="40">
        <v>1.87</v>
      </c>
      <c r="E14" s="40">
        <v>4.9800000000000004</v>
      </c>
      <c r="F14" s="40">
        <v>2.04</v>
      </c>
      <c r="G14" s="40">
        <v>16.14</v>
      </c>
      <c r="H14" s="40">
        <v>4.59</v>
      </c>
      <c r="I14" s="40">
        <v>3.12</v>
      </c>
      <c r="J14" s="40">
        <v>0.96</v>
      </c>
      <c r="K14" s="40">
        <v>264.87</v>
      </c>
      <c r="L14" s="40">
        <v>24.93</v>
      </c>
      <c r="M14" s="40">
        <v>92.41</v>
      </c>
      <c r="N14" s="40">
        <v>8.8000000000000007</v>
      </c>
      <c r="O14" s="40">
        <v>0</v>
      </c>
      <c r="P14" s="40">
        <v>0.08</v>
      </c>
      <c r="Q14" s="40">
        <v>9.91</v>
      </c>
      <c r="R14" s="38"/>
      <c r="S14" s="38"/>
      <c r="T14" s="38"/>
      <c r="U14" s="38"/>
    </row>
    <row r="15" spans="1:21" customFormat="1">
      <c r="A15" s="39">
        <v>45842.291666666664</v>
      </c>
      <c r="B15" s="40">
        <v>2.9</v>
      </c>
      <c r="C15" s="40">
        <v>4.66</v>
      </c>
      <c r="D15" s="40">
        <v>1.87</v>
      </c>
      <c r="E15" s="40">
        <v>5.1100000000000003</v>
      </c>
      <c r="F15" s="40">
        <v>2.41</v>
      </c>
      <c r="G15" s="40">
        <v>14.87</v>
      </c>
      <c r="H15" s="40">
        <v>4.59</v>
      </c>
      <c r="I15" s="40">
        <v>3.04</v>
      </c>
      <c r="J15" s="40">
        <v>0.86</v>
      </c>
      <c r="K15" s="40">
        <v>261.01</v>
      </c>
      <c r="L15" s="40">
        <v>25.2</v>
      </c>
      <c r="M15" s="40">
        <v>90.94</v>
      </c>
      <c r="N15" s="40">
        <v>35.5</v>
      </c>
      <c r="O15" s="40">
        <v>0</v>
      </c>
      <c r="P15" s="40">
        <v>0.09</v>
      </c>
      <c r="Q15" s="40">
        <v>9.92</v>
      </c>
      <c r="R15" s="38"/>
      <c r="S15" s="38"/>
      <c r="T15" s="38"/>
      <c r="U15" s="38"/>
    </row>
    <row r="16" spans="1:21" customFormat="1">
      <c r="A16" s="39">
        <v>45842.333333333336</v>
      </c>
      <c r="B16" s="40">
        <v>2.89</v>
      </c>
      <c r="C16" s="40">
        <v>4.76</v>
      </c>
      <c r="D16" s="40">
        <v>1.98</v>
      </c>
      <c r="E16" s="40">
        <v>5.29</v>
      </c>
      <c r="F16" s="40">
        <v>1.79</v>
      </c>
      <c r="G16" s="40">
        <v>10.64</v>
      </c>
      <c r="H16" s="40">
        <v>3.76</v>
      </c>
      <c r="I16" s="40">
        <v>3.2</v>
      </c>
      <c r="J16" s="40">
        <v>0.86</v>
      </c>
      <c r="K16" s="40">
        <v>273.44</v>
      </c>
      <c r="L16" s="40">
        <v>25.92</v>
      </c>
      <c r="M16" s="40">
        <v>89.02</v>
      </c>
      <c r="N16" s="40">
        <v>105.9</v>
      </c>
      <c r="O16" s="40">
        <v>0</v>
      </c>
      <c r="P16" s="40">
        <v>0.11</v>
      </c>
      <c r="Q16" s="40">
        <v>9.91</v>
      </c>
      <c r="R16" s="38"/>
      <c r="S16" s="38"/>
      <c r="T16" s="38"/>
      <c r="U16" s="38"/>
    </row>
    <row r="17" spans="1:21" customFormat="1">
      <c r="A17" s="39">
        <v>45842.375</v>
      </c>
      <c r="B17" s="40">
        <v>2.79</v>
      </c>
      <c r="C17" s="40">
        <v>4.71</v>
      </c>
      <c r="D17" s="40">
        <v>1.98</v>
      </c>
      <c r="E17" s="40">
        <v>5.35</v>
      </c>
      <c r="F17" s="40">
        <v>2.35</v>
      </c>
      <c r="G17" s="40">
        <v>7.76</v>
      </c>
      <c r="H17" s="40">
        <v>3.76</v>
      </c>
      <c r="I17" s="40">
        <v>3.12</v>
      </c>
      <c r="J17" s="40">
        <v>0.98</v>
      </c>
      <c r="K17" s="40">
        <v>265.05</v>
      </c>
      <c r="L17" s="40">
        <v>26.95</v>
      </c>
      <c r="M17" s="40">
        <v>85.58</v>
      </c>
      <c r="N17" s="40">
        <v>179.6</v>
      </c>
      <c r="O17" s="40">
        <v>0</v>
      </c>
      <c r="P17" s="40">
        <v>0.11</v>
      </c>
      <c r="Q17" s="40">
        <v>9.91</v>
      </c>
      <c r="R17" s="38"/>
      <c r="S17" s="38"/>
      <c r="T17" s="38"/>
      <c r="U17" s="38"/>
    </row>
    <row r="18" spans="1:21" customFormat="1">
      <c r="A18" s="39">
        <v>45842.416666666664</v>
      </c>
      <c r="B18" s="40">
        <v>2.74</v>
      </c>
      <c r="C18" s="40">
        <v>4.6399999999999997</v>
      </c>
      <c r="D18" s="40">
        <v>1.95</v>
      </c>
      <c r="E18" s="40">
        <v>5.61</v>
      </c>
      <c r="F18" s="40">
        <v>2.48</v>
      </c>
      <c r="G18" s="40">
        <v>12.08</v>
      </c>
      <c r="H18" s="40">
        <v>3.97</v>
      </c>
      <c r="I18" s="40">
        <v>3.03</v>
      </c>
      <c r="J18" s="40">
        <v>1.34</v>
      </c>
      <c r="K18" s="40">
        <v>265.77</v>
      </c>
      <c r="L18" s="40">
        <v>27.32</v>
      </c>
      <c r="M18" s="40">
        <v>81.790000000000006</v>
      </c>
      <c r="N18" s="40">
        <v>218.2</v>
      </c>
      <c r="O18" s="40">
        <v>0</v>
      </c>
      <c r="P18" s="40">
        <v>0.11</v>
      </c>
      <c r="Q18" s="40">
        <v>9.91</v>
      </c>
      <c r="R18" s="38"/>
      <c r="S18" s="38"/>
      <c r="T18" s="38"/>
      <c r="U18" s="38"/>
    </row>
    <row r="19" spans="1:21" customFormat="1">
      <c r="A19" s="39">
        <v>45842.458333333336</v>
      </c>
      <c r="B19" s="40">
        <v>2.7</v>
      </c>
      <c r="C19" s="40">
        <v>4.58</v>
      </c>
      <c r="D19" s="40">
        <v>1.93</v>
      </c>
      <c r="E19" s="40">
        <v>5.17</v>
      </c>
      <c r="F19" s="40">
        <v>3.03</v>
      </c>
      <c r="G19" s="40">
        <v>20.43</v>
      </c>
      <c r="H19" s="40">
        <v>8.2799999999999994</v>
      </c>
      <c r="I19" s="40">
        <v>2.95</v>
      </c>
      <c r="J19" s="40">
        <v>1.1399999999999999</v>
      </c>
      <c r="K19" s="40">
        <v>265.74</v>
      </c>
      <c r="L19" s="40">
        <v>28</v>
      </c>
      <c r="M19" s="40">
        <v>81.22</v>
      </c>
      <c r="N19" s="40">
        <v>280.7</v>
      </c>
      <c r="O19" s="40">
        <v>0</v>
      </c>
      <c r="P19" s="40">
        <v>0.11</v>
      </c>
      <c r="Q19" s="40">
        <v>9.92</v>
      </c>
      <c r="R19" s="38"/>
      <c r="S19" s="38"/>
      <c r="T19" s="38"/>
      <c r="U19" s="38"/>
    </row>
    <row r="20" spans="1:21" customFormat="1">
      <c r="A20" s="39">
        <v>45842.5</v>
      </c>
      <c r="B20" s="40">
        <v>2.68</v>
      </c>
      <c r="C20" s="40">
        <v>4.5599999999999996</v>
      </c>
      <c r="D20" s="40">
        <v>1.93</v>
      </c>
      <c r="E20" s="40">
        <v>5.24</v>
      </c>
      <c r="F20" s="40">
        <v>2.1</v>
      </c>
      <c r="G20" s="40">
        <v>24.12</v>
      </c>
      <c r="H20" s="40">
        <v>8.2799999999999994</v>
      </c>
      <c r="I20" s="40">
        <v>3.01</v>
      </c>
      <c r="J20" s="40">
        <v>1.21</v>
      </c>
      <c r="K20" s="40">
        <v>266.45999999999998</v>
      </c>
      <c r="L20" s="40">
        <v>28.25</v>
      </c>
      <c r="M20" s="40">
        <v>79.97</v>
      </c>
      <c r="N20" s="40">
        <v>277.5</v>
      </c>
      <c r="O20" s="40">
        <v>0</v>
      </c>
      <c r="P20" s="40">
        <v>0.11</v>
      </c>
      <c r="Q20" s="40">
        <v>9.91</v>
      </c>
      <c r="R20" s="38"/>
      <c r="S20" s="38"/>
      <c r="T20" s="38"/>
      <c r="U20" s="38"/>
    </row>
    <row r="21" spans="1:21" customFormat="1">
      <c r="A21" s="39">
        <v>45842.541666666664</v>
      </c>
      <c r="B21" s="40">
        <v>2.71</v>
      </c>
      <c r="C21" s="40">
        <v>4.59</v>
      </c>
      <c r="D21" s="40">
        <v>1.94</v>
      </c>
      <c r="E21" s="40">
        <v>5.24</v>
      </c>
      <c r="F21" s="40">
        <v>5.3</v>
      </c>
      <c r="G21" s="40">
        <v>26.96</v>
      </c>
      <c r="H21" s="40">
        <v>8.3800000000000008</v>
      </c>
      <c r="I21" s="40">
        <v>3.22</v>
      </c>
      <c r="J21" s="40">
        <v>1.24</v>
      </c>
      <c r="K21" s="40">
        <v>263.64999999999998</v>
      </c>
      <c r="L21" s="40">
        <v>28.3</v>
      </c>
      <c r="M21" s="40">
        <v>78.39</v>
      </c>
      <c r="N21" s="40">
        <v>244.2</v>
      </c>
      <c r="O21" s="40">
        <v>0</v>
      </c>
      <c r="P21" s="40">
        <v>0.11</v>
      </c>
      <c r="Q21" s="40">
        <v>9.9</v>
      </c>
      <c r="R21" s="38"/>
      <c r="S21" s="38"/>
      <c r="T21" s="38"/>
      <c r="U21" s="38"/>
    </row>
    <row r="22" spans="1:21" customFormat="1">
      <c r="A22" s="39">
        <v>45842.583333333336</v>
      </c>
      <c r="B22" s="40">
        <v>2.72</v>
      </c>
      <c r="C22" s="40">
        <v>4.5999999999999996</v>
      </c>
      <c r="D22" s="40">
        <v>1.93</v>
      </c>
      <c r="E22" s="40">
        <v>4.82</v>
      </c>
      <c r="F22" s="40">
        <v>6.09</v>
      </c>
      <c r="G22" s="40">
        <v>26.96</v>
      </c>
      <c r="H22" s="40">
        <v>8.3800000000000008</v>
      </c>
      <c r="I22" s="40">
        <v>3.41</v>
      </c>
      <c r="J22" s="40">
        <v>0.7</v>
      </c>
      <c r="K22" s="40">
        <v>261.11</v>
      </c>
      <c r="L22" s="40">
        <v>28.43</v>
      </c>
      <c r="M22" s="40">
        <v>80.5</v>
      </c>
      <c r="N22" s="40">
        <v>284.3</v>
      </c>
      <c r="O22" s="40">
        <v>0</v>
      </c>
      <c r="P22" s="40">
        <v>0.18</v>
      </c>
      <c r="Q22" s="40">
        <v>9.9</v>
      </c>
      <c r="R22" s="38"/>
      <c r="S22" s="38"/>
      <c r="T22" s="38"/>
      <c r="U22" s="38"/>
    </row>
    <row r="23" spans="1:21" customFormat="1">
      <c r="A23" s="39">
        <v>45842.625</v>
      </c>
      <c r="B23" s="40">
        <v>2.98</v>
      </c>
      <c r="C23" s="40">
        <v>4.66</v>
      </c>
      <c r="D23" s="40">
        <v>1.89</v>
      </c>
      <c r="E23" s="40">
        <v>3.11</v>
      </c>
      <c r="F23" s="40">
        <v>4.1900000000000004</v>
      </c>
      <c r="G23" s="40">
        <v>55.82</v>
      </c>
      <c r="H23" s="40">
        <v>9.5399999999999991</v>
      </c>
      <c r="I23" s="40">
        <v>3.96</v>
      </c>
      <c r="J23" s="40">
        <v>0.94</v>
      </c>
      <c r="K23" s="40">
        <v>261.14</v>
      </c>
      <c r="L23" s="40">
        <v>28.05</v>
      </c>
      <c r="M23" s="40">
        <v>80.739999999999995</v>
      </c>
      <c r="N23" s="40">
        <v>157.4</v>
      </c>
      <c r="O23" s="40">
        <v>0</v>
      </c>
      <c r="P23" s="40">
        <v>0.1</v>
      </c>
      <c r="Q23" s="27" t="s">
        <v>8</v>
      </c>
      <c r="R23" s="38"/>
      <c r="S23" s="38"/>
      <c r="T23" s="38"/>
      <c r="U23" s="38"/>
    </row>
    <row r="24" spans="1:21" customFormat="1">
      <c r="A24" s="39">
        <v>45842.666666666664</v>
      </c>
      <c r="B24" s="40">
        <v>2.2400000000000002</v>
      </c>
      <c r="C24" s="40">
        <v>4.17</v>
      </c>
      <c r="D24" s="40">
        <v>1.89</v>
      </c>
      <c r="E24" s="40">
        <v>3.11</v>
      </c>
      <c r="F24" s="40">
        <v>3.23</v>
      </c>
      <c r="G24" s="40">
        <v>55.82</v>
      </c>
      <c r="H24" s="40">
        <v>9.5399999999999991</v>
      </c>
      <c r="I24" s="40">
        <v>4.17</v>
      </c>
      <c r="J24" s="40">
        <v>1.48</v>
      </c>
      <c r="K24" s="40">
        <v>290.26</v>
      </c>
      <c r="L24" s="40">
        <v>28.01</v>
      </c>
      <c r="M24" s="40">
        <v>82.44</v>
      </c>
      <c r="N24" s="40">
        <v>90.1</v>
      </c>
      <c r="O24" s="40">
        <v>2</v>
      </c>
      <c r="P24" s="40">
        <v>0.09</v>
      </c>
      <c r="Q24" s="27" t="s">
        <v>8</v>
      </c>
      <c r="R24" s="38"/>
      <c r="S24" s="38"/>
      <c r="T24" s="38"/>
      <c r="U24" s="38"/>
    </row>
    <row r="25" spans="1:21" customFormat="1">
      <c r="A25" s="39">
        <v>45842.708333333336</v>
      </c>
      <c r="B25" s="40">
        <v>2.37</v>
      </c>
      <c r="C25" s="40">
        <v>4.28</v>
      </c>
      <c r="D25" s="40">
        <v>1.92</v>
      </c>
      <c r="E25" s="40">
        <v>3.11</v>
      </c>
      <c r="F25" s="40">
        <v>3.13</v>
      </c>
      <c r="G25" s="40">
        <v>44.87</v>
      </c>
      <c r="H25" s="40">
        <v>12.5</v>
      </c>
      <c r="I25" s="40">
        <v>4.21</v>
      </c>
      <c r="J25" s="40">
        <v>0.82</v>
      </c>
      <c r="K25" s="40">
        <v>274.7</v>
      </c>
      <c r="L25" s="40">
        <v>26.09</v>
      </c>
      <c r="M25" s="40">
        <v>98.95</v>
      </c>
      <c r="N25" s="40">
        <v>150.4</v>
      </c>
      <c r="O25" s="40">
        <v>0.6</v>
      </c>
      <c r="P25" s="40">
        <v>0.09</v>
      </c>
      <c r="Q25" s="27" t="s">
        <v>8</v>
      </c>
      <c r="R25" s="38"/>
      <c r="S25" s="38"/>
      <c r="T25" s="38"/>
      <c r="U25" s="38"/>
    </row>
    <row r="26" spans="1:21" customFormat="1">
      <c r="A26" s="39">
        <v>45842.75</v>
      </c>
      <c r="B26" s="40">
        <v>2.46</v>
      </c>
      <c r="C26" s="40">
        <v>4.4400000000000004</v>
      </c>
      <c r="D26" s="40">
        <v>1.97</v>
      </c>
      <c r="E26" s="40">
        <v>3.11</v>
      </c>
      <c r="F26" s="40">
        <v>2.91</v>
      </c>
      <c r="G26" s="40">
        <v>44.87</v>
      </c>
      <c r="H26" s="40">
        <v>14.46</v>
      </c>
      <c r="I26" s="40">
        <v>4.99</v>
      </c>
      <c r="J26" s="40">
        <v>0.72</v>
      </c>
      <c r="K26" s="40">
        <v>273.93</v>
      </c>
      <c r="L26" s="40">
        <v>26.68</v>
      </c>
      <c r="M26" s="40">
        <v>87.71</v>
      </c>
      <c r="N26" s="40">
        <v>134.80000000000001</v>
      </c>
      <c r="O26" s="40">
        <v>0</v>
      </c>
      <c r="P26" s="40">
        <v>0.12</v>
      </c>
      <c r="Q26" s="27" t="s">
        <v>8</v>
      </c>
      <c r="R26" s="38"/>
      <c r="S26" s="38"/>
      <c r="T26" s="38"/>
      <c r="U26" s="38"/>
    </row>
    <row r="27" spans="1:21" customFormat="1">
      <c r="A27" s="39">
        <v>45842.791666666664</v>
      </c>
      <c r="B27" s="40">
        <v>2.4900000000000002</v>
      </c>
      <c r="C27" s="40">
        <v>4.67</v>
      </c>
      <c r="D27" s="40">
        <v>2.13</v>
      </c>
      <c r="E27" s="40">
        <v>6.15</v>
      </c>
      <c r="F27" s="40">
        <v>3.02</v>
      </c>
      <c r="G27" s="40">
        <v>44.38</v>
      </c>
      <c r="H27" s="40">
        <v>14.46</v>
      </c>
      <c r="I27" s="40">
        <v>6.26</v>
      </c>
      <c r="J27" s="40">
        <v>0.42</v>
      </c>
      <c r="K27" s="40">
        <v>263.02</v>
      </c>
      <c r="L27" s="40">
        <v>26.77</v>
      </c>
      <c r="M27" s="40">
        <v>88.8</v>
      </c>
      <c r="N27" s="40">
        <v>56.1</v>
      </c>
      <c r="O27" s="40">
        <v>0</v>
      </c>
      <c r="P27" s="40">
        <v>0.22</v>
      </c>
      <c r="Q27" s="27" t="s">
        <v>8</v>
      </c>
      <c r="R27" s="38"/>
      <c r="S27" s="38"/>
      <c r="T27" s="38"/>
      <c r="U27" s="38"/>
    </row>
    <row r="28" spans="1:21" customFormat="1">
      <c r="A28" s="39">
        <v>45842.833333333336</v>
      </c>
      <c r="B28" s="40">
        <v>2.46</v>
      </c>
      <c r="C28" s="40">
        <v>4.63</v>
      </c>
      <c r="D28" s="40">
        <v>2.12</v>
      </c>
      <c r="E28" s="40">
        <v>6.02</v>
      </c>
      <c r="F28" s="40">
        <v>1.71</v>
      </c>
      <c r="G28" s="40">
        <v>44.38</v>
      </c>
      <c r="H28" s="40">
        <v>16.18</v>
      </c>
      <c r="I28" s="40">
        <v>7.17</v>
      </c>
      <c r="J28" s="40">
        <v>0.35</v>
      </c>
      <c r="K28" s="40">
        <v>256.69</v>
      </c>
      <c r="L28" s="40">
        <v>26.12</v>
      </c>
      <c r="M28" s="40">
        <v>91.45</v>
      </c>
      <c r="N28" s="40">
        <v>2.2000000000000002</v>
      </c>
      <c r="O28" s="40">
        <v>0</v>
      </c>
      <c r="P28" s="40">
        <v>0.22</v>
      </c>
      <c r="Q28" s="27" t="s">
        <v>8</v>
      </c>
      <c r="R28" s="38"/>
      <c r="S28" s="38"/>
      <c r="T28" s="38"/>
      <c r="U28" s="38"/>
    </row>
    <row r="29" spans="1:21" customFormat="1">
      <c r="A29" s="39">
        <v>45842.875</v>
      </c>
      <c r="B29" s="40">
        <v>2.34</v>
      </c>
      <c r="C29" s="40">
        <v>4.42</v>
      </c>
      <c r="D29" s="40">
        <v>2.0299999999999998</v>
      </c>
      <c r="E29" s="40">
        <v>6.33</v>
      </c>
      <c r="F29" s="40">
        <v>1.91</v>
      </c>
      <c r="G29" s="40">
        <v>39.32</v>
      </c>
      <c r="H29" s="40">
        <v>16.18</v>
      </c>
      <c r="I29" s="40">
        <v>6.33</v>
      </c>
      <c r="J29" s="40">
        <v>0.47</v>
      </c>
      <c r="K29" s="40">
        <v>259.27999999999997</v>
      </c>
      <c r="L29" s="40">
        <v>26.29</v>
      </c>
      <c r="M29" s="40">
        <v>88.71</v>
      </c>
      <c r="N29" s="40">
        <v>2.2999999999999998</v>
      </c>
      <c r="O29" s="40">
        <v>0</v>
      </c>
      <c r="P29" s="40">
        <v>0.2</v>
      </c>
      <c r="Q29" s="27" t="s">
        <v>8</v>
      </c>
      <c r="R29" s="38"/>
      <c r="S29" s="38"/>
      <c r="T29" s="38"/>
      <c r="U29" s="38"/>
    </row>
    <row r="30" spans="1:21" customFormat="1">
      <c r="A30" s="39">
        <v>45842.916666666664</v>
      </c>
      <c r="B30" s="40">
        <v>2.2799999999999998</v>
      </c>
      <c r="C30" s="40">
        <v>4.32</v>
      </c>
      <c r="D30" s="40">
        <v>1.99</v>
      </c>
      <c r="E30" s="40">
        <v>6.41</v>
      </c>
      <c r="F30" s="40">
        <v>2.0699999999999998</v>
      </c>
      <c r="G30" s="40">
        <v>44.52</v>
      </c>
      <c r="H30" s="40">
        <v>14</v>
      </c>
      <c r="I30" s="40">
        <v>5.88</v>
      </c>
      <c r="J30" s="40">
        <v>0.54</v>
      </c>
      <c r="K30" s="40">
        <v>257.25</v>
      </c>
      <c r="L30" s="40">
        <v>26.26</v>
      </c>
      <c r="M30" s="40">
        <v>89.28</v>
      </c>
      <c r="N30" s="40">
        <v>2.4</v>
      </c>
      <c r="O30" s="40">
        <v>0</v>
      </c>
      <c r="P30" s="40">
        <v>0.19</v>
      </c>
      <c r="Q30" s="27" t="s">
        <v>8</v>
      </c>
      <c r="R30" s="38"/>
      <c r="S30" s="38"/>
      <c r="T30" s="38"/>
      <c r="U30" s="38"/>
    </row>
    <row r="31" spans="1:21" customFormat="1">
      <c r="A31" s="39">
        <v>45842.958333333336</v>
      </c>
      <c r="B31" s="40">
        <v>2.23</v>
      </c>
      <c r="C31" s="40">
        <v>4.2</v>
      </c>
      <c r="D31" s="40">
        <v>1.93</v>
      </c>
      <c r="E31" s="40">
        <v>6.73</v>
      </c>
      <c r="F31" s="40">
        <v>2.52</v>
      </c>
      <c r="G31" s="40">
        <v>44.52</v>
      </c>
      <c r="H31" s="40">
        <v>15.37</v>
      </c>
      <c r="I31" s="40">
        <v>5.67</v>
      </c>
      <c r="J31" s="40">
        <v>0.26</v>
      </c>
      <c r="K31" s="40">
        <v>259.45</v>
      </c>
      <c r="L31" s="40">
        <v>25.77</v>
      </c>
      <c r="M31" s="40">
        <v>92.57</v>
      </c>
      <c r="N31" s="40">
        <v>2</v>
      </c>
      <c r="O31" s="40">
        <v>0</v>
      </c>
      <c r="P31" s="40">
        <v>0.18</v>
      </c>
      <c r="Q31" s="27" t="s">
        <v>8</v>
      </c>
      <c r="R31" s="38"/>
      <c r="S31" s="38"/>
      <c r="T31" s="38"/>
      <c r="U31" s="38"/>
    </row>
    <row r="32" spans="1:21" customFormat="1">
      <c r="A32" s="40">
        <v>45844</v>
      </c>
      <c r="B32" s="40">
        <v>2.25</v>
      </c>
      <c r="C32" s="40">
        <v>4.1500000000000004</v>
      </c>
      <c r="D32" s="40">
        <v>1.88</v>
      </c>
      <c r="E32" s="40">
        <v>6.77</v>
      </c>
      <c r="F32" s="40">
        <v>1.58</v>
      </c>
      <c r="G32" s="40">
        <v>34.14</v>
      </c>
      <c r="H32" s="40">
        <v>15.37</v>
      </c>
      <c r="I32" s="40">
        <v>5.0599999999999996</v>
      </c>
      <c r="J32" s="40">
        <v>0.26</v>
      </c>
      <c r="K32" s="40">
        <v>253.24</v>
      </c>
      <c r="L32" s="40">
        <v>25.86</v>
      </c>
      <c r="M32" s="40">
        <v>93.09</v>
      </c>
      <c r="N32" s="40">
        <v>2</v>
      </c>
      <c r="O32" s="40">
        <v>0</v>
      </c>
      <c r="P32" s="40">
        <v>0.15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2.23</v>
      </c>
      <c r="C34" s="18">
        <f t="shared" si="0"/>
        <v>4.1500000000000004</v>
      </c>
      <c r="D34" s="18">
        <f t="shared" si="0"/>
        <v>1.85</v>
      </c>
      <c r="E34" s="18">
        <f t="shared" si="0"/>
        <v>3.11</v>
      </c>
      <c r="F34" s="18">
        <f t="shared" si="0"/>
        <v>1.58</v>
      </c>
      <c r="G34" s="18">
        <f t="shared" si="0"/>
        <v>7.76</v>
      </c>
      <c r="H34" s="18">
        <f t="shared" si="0"/>
        <v>3.76</v>
      </c>
      <c r="I34" s="18">
        <f t="shared" si="0"/>
        <v>2.95</v>
      </c>
      <c r="J34" s="18">
        <f t="shared" si="0"/>
        <v>0.26</v>
      </c>
      <c r="K34" s="18">
        <f t="shared" si="0"/>
        <v>253.24</v>
      </c>
      <c r="L34" s="18">
        <f t="shared" si="0"/>
        <v>24.93</v>
      </c>
      <c r="M34" s="18">
        <f t="shared" si="0"/>
        <v>78.39</v>
      </c>
      <c r="N34" s="18">
        <f t="shared" si="0"/>
        <v>2</v>
      </c>
      <c r="O34" s="18">
        <f t="shared" si="0"/>
        <v>0</v>
      </c>
      <c r="P34" s="18">
        <f t="shared" si="0"/>
        <v>0.08</v>
      </c>
      <c r="Q34" s="18">
        <f t="shared" si="0"/>
        <v>9.9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2.98</v>
      </c>
      <c r="C35" s="3">
        <f t="shared" si="1"/>
        <v>4.76</v>
      </c>
      <c r="D35" s="3">
        <f t="shared" si="1"/>
        <v>2.13</v>
      </c>
      <c r="E35" s="3">
        <f t="shared" si="1"/>
        <v>6.77</v>
      </c>
      <c r="F35" s="3">
        <f t="shared" si="1"/>
        <v>6.09</v>
      </c>
      <c r="G35" s="3">
        <f t="shared" si="1"/>
        <v>55.82</v>
      </c>
      <c r="H35" s="3">
        <f t="shared" si="1"/>
        <v>16.18</v>
      </c>
      <c r="I35" s="3">
        <f t="shared" si="1"/>
        <v>7.17</v>
      </c>
      <c r="J35" s="3">
        <f t="shared" si="1"/>
        <v>1.48</v>
      </c>
      <c r="K35" s="3">
        <f t="shared" si="1"/>
        <v>290.26</v>
      </c>
      <c r="L35" s="3">
        <f t="shared" si="1"/>
        <v>28.43</v>
      </c>
      <c r="M35" s="3">
        <f t="shared" si="1"/>
        <v>98.95</v>
      </c>
      <c r="N35" s="3">
        <f t="shared" si="1"/>
        <v>284.3</v>
      </c>
      <c r="O35" s="3">
        <f t="shared" si="1"/>
        <v>2</v>
      </c>
      <c r="P35" s="3">
        <f t="shared" si="1"/>
        <v>0.22</v>
      </c>
      <c r="Q35" s="3">
        <f t="shared" si="1"/>
        <v>9.92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2.6345833333333331</v>
      </c>
      <c r="C36" s="18">
        <f t="shared" si="2"/>
        <v>4.5341666666666667</v>
      </c>
      <c r="D36" s="18">
        <f t="shared" si="2"/>
        <v>1.9416666666666671</v>
      </c>
      <c r="E36" s="18">
        <f t="shared" si="2"/>
        <v>5.1550000000000002</v>
      </c>
      <c r="F36" s="18">
        <f t="shared" si="2"/>
        <v>2.8233333333333337</v>
      </c>
      <c r="G36" s="18">
        <f t="shared" si="2"/>
        <v>31.32375</v>
      </c>
      <c r="H36" s="18">
        <f t="shared" si="2"/>
        <v>9.7979166666666675</v>
      </c>
      <c r="I36" s="18">
        <f t="shared" si="2"/>
        <v>4.1108333333333329</v>
      </c>
      <c r="J36" s="18">
        <f t="shared" si="2"/>
        <v>0.81833333333333347</v>
      </c>
      <c r="K36" s="18">
        <f t="shared" si="2"/>
        <v>264.3504166666666</v>
      </c>
      <c r="L36" s="18">
        <f t="shared" si="2"/>
        <v>26.537916666666661</v>
      </c>
      <c r="M36" s="18">
        <f t="shared" si="2"/>
        <v>87.90000000000002</v>
      </c>
      <c r="N36" s="18">
        <f t="shared" si="2"/>
        <v>93.58750000000002</v>
      </c>
      <c r="O36" s="18">
        <f t="shared" si="2"/>
        <v>0.10833333333333334</v>
      </c>
      <c r="P36" s="18">
        <f t="shared" si="2"/>
        <v>0.13041666666666671</v>
      </c>
      <c r="Q36" s="18">
        <f t="shared" si="2"/>
        <v>9.9107142857142865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0.24556906699881126</v>
      </c>
      <c r="C37" s="18">
        <f t="shared" ref="C37:Q37" si="3">STDEV(C9:C32)</f>
        <v>0.18038405083904013</v>
      </c>
      <c r="D37" s="18">
        <f t="shared" si="3"/>
        <v>7.1728150235677232E-2</v>
      </c>
      <c r="E37" s="18">
        <f t="shared" si="3"/>
        <v>1.0942736324195599</v>
      </c>
      <c r="F37" s="18">
        <f t="shared" si="3"/>
        <v>1.0715598815325922</v>
      </c>
      <c r="G37" s="18">
        <f t="shared" si="3"/>
        <v>14.115234080672341</v>
      </c>
      <c r="H37" s="18">
        <f t="shared" si="3"/>
        <v>4.3718755095513027</v>
      </c>
      <c r="I37" s="18">
        <f t="shared" si="3"/>
        <v>1.285693575862652</v>
      </c>
      <c r="J37" s="18">
        <f t="shared" si="3"/>
        <v>0.32734328034710791</v>
      </c>
      <c r="K37" s="18">
        <f t="shared" si="3"/>
        <v>7.5753602176752111</v>
      </c>
      <c r="L37" s="18">
        <f t="shared" si="3"/>
        <v>1.1185432263776678</v>
      </c>
      <c r="M37" s="18">
        <f t="shared" si="3"/>
        <v>5.3313347704662668</v>
      </c>
      <c r="N37" s="18">
        <f t="shared" si="3"/>
        <v>105.3677547924411</v>
      </c>
      <c r="O37" s="18">
        <f t="shared" si="3"/>
        <v>0.42109243709631045</v>
      </c>
      <c r="P37" s="18">
        <f t="shared" si="3"/>
        <v>4.4279661310776722E-2</v>
      </c>
      <c r="Q37" s="18">
        <f t="shared" si="3"/>
        <v>6.1572792621486889E-3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COUNT(Q9:Q32)+10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45843.041666666664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45843.041666666664</v>
      </c>
      <c r="B9" s="40">
        <v>2.92</v>
      </c>
      <c r="C9" s="40">
        <v>4.72</v>
      </c>
      <c r="D9" s="40">
        <v>1.9</v>
      </c>
      <c r="E9" s="40">
        <v>6.53</v>
      </c>
      <c r="F9" s="40">
        <v>2.59</v>
      </c>
      <c r="G9" s="40">
        <v>31.12</v>
      </c>
      <c r="H9" s="40">
        <v>10.97</v>
      </c>
      <c r="I9" s="40">
        <v>4.71</v>
      </c>
      <c r="J9" s="40">
        <v>0.32</v>
      </c>
      <c r="K9" s="40">
        <v>259.51</v>
      </c>
      <c r="L9" s="40">
        <v>25.75</v>
      </c>
      <c r="M9" s="40">
        <v>94.48</v>
      </c>
      <c r="N9" s="40">
        <v>2.2000000000000002</v>
      </c>
      <c r="O9" s="40">
        <v>0</v>
      </c>
      <c r="P9" s="40">
        <v>0.1</v>
      </c>
      <c r="Q9" s="27" t="s">
        <v>8</v>
      </c>
      <c r="R9" s="38"/>
      <c r="S9" s="38"/>
      <c r="T9" s="38"/>
      <c r="U9" s="38"/>
    </row>
    <row r="10" spans="1:21" customFormat="1">
      <c r="A10" s="39">
        <v>45843.083333333336</v>
      </c>
      <c r="B10" s="40">
        <v>2.99</v>
      </c>
      <c r="C10" s="40">
        <v>4.74</v>
      </c>
      <c r="D10" s="40">
        <v>1.89</v>
      </c>
      <c r="E10" s="40">
        <v>6.02</v>
      </c>
      <c r="F10" s="40">
        <v>2.96</v>
      </c>
      <c r="G10" s="40">
        <v>30.65</v>
      </c>
      <c r="H10" s="40">
        <v>8.1999999999999993</v>
      </c>
      <c r="I10" s="40">
        <v>4.68</v>
      </c>
      <c r="J10" s="40">
        <v>0.37</v>
      </c>
      <c r="K10" s="40">
        <v>260.12</v>
      </c>
      <c r="L10" s="40">
        <v>25.59</v>
      </c>
      <c r="M10" s="40">
        <v>93.58</v>
      </c>
      <c r="N10" s="40">
        <v>2.4</v>
      </c>
      <c r="O10" s="40">
        <v>0</v>
      </c>
      <c r="P10" s="40">
        <v>0.09</v>
      </c>
      <c r="Q10" s="27" t="s">
        <v>8</v>
      </c>
      <c r="R10" s="38"/>
      <c r="S10" s="38"/>
      <c r="T10" s="38"/>
      <c r="U10" s="38"/>
    </row>
    <row r="11" spans="1:21" customFormat="1">
      <c r="A11" s="39">
        <v>45843.125</v>
      </c>
      <c r="B11" s="40">
        <v>3.02</v>
      </c>
      <c r="C11" s="40">
        <v>4.78</v>
      </c>
      <c r="D11" s="40">
        <v>1.88</v>
      </c>
      <c r="E11" s="40">
        <v>6.11</v>
      </c>
      <c r="F11" s="40">
        <v>3.46</v>
      </c>
      <c r="G11" s="40">
        <v>24.34</v>
      </c>
      <c r="H11" s="40">
        <v>6.29</v>
      </c>
      <c r="I11" s="40">
        <v>4.53</v>
      </c>
      <c r="J11" s="40">
        <v>0.61</v>
      </c>
      <c r="K11" s="40">
        <v>261.51</v>
      </c>
      <c r="L11" s="40">
        <v>25.52</v>
      </c>
      <c r="M11" s="40">
        <v>93.82</v>
      </c>
      <c r="N11" s="40">
        <v>2.2999999999999998</v>
      </c>
      <c r="O11" s="40">
        <v>0</v>
      </c>
      <c r="P11" s="40">
        <v>0.09</v>
      </c>
      <c r="Q11" s="27" t="s">
        <v>8</v>
      </c>
      <c r="R11" s="38"/>
      <c r="S11" s="38"/>
      <c r="T11" s="38"/>
      <c r="U11" s="38"/>
    </row>
    <row r="12" spans="1:21" customFormat="1">
      <c r="A12" s="39">
        <v>45843.166666666664</v>
      </c>
      <c r="B12" s="40">
        <v>3.05</v>
      </c>
      <c r="C12" s="40">
        <v>4.79</v>
      </c>
      <c r="D12" s="40">
        <v>1.88</v>
      </c>
      <c r="E12" s="40">
        <v>5.8</v>
      </c>
      <c r="F12" s="40">
        <v>2.35</v>
      </c>
      <c r="G12" s="40">
        <v>24.34</v>
      </c>
      <c r="H12" s="40">
        <v>4.8</v>
      </c>
      <c r="I12" s="40">
        <v>4.47</v>
      </c>
      <c r="J12" s="40">
        <v>0.77</v>
      </c>
      <c r="K12" s="40">
        <v>260.16000000000003</v>
      </c>
      <c r="L12" s="40">
        <v>25.54</v>
      </c>
      <c r="M12" s="40">
        <v>92.42</v>
      </c>
      <c r="N12" s="40">
        <v>2.5</v>
      </c>
      <c r="O12" s="40">
        <v>0</v>
      </c>
      <c r="P12" s="40">
        <v>7.0000000000000007E-2</v>
      </c>
      <c r="Q12" s="27" t="s">
        <v>8</v>
      </c>
      <c r="R12" s="38"/>
      <c r="S12" s="38"/>
      <c r="T12" s="38"/>
      <c r="U12" s="38"/>
    </row>
    <row r="13" spans="1:21" customFormat="1">
      <c r="A13" s="39">
        <v>45843.208333333336</v>
      </c>
      <c r="B13" s="40">
        <v>3</v>
      </c>
      <c r="C13" s="40">
        <v>4.8600000000000003</v>
      </c>
      <c r="D13" s="40">
        <v>2.0099999999999998</v>
      </c>
      <c r="E13" s="40">
        <v>5.82</v>
      </c>
      <c r="F13" s="40">
        <v>2.39</v>
      </c>
      <c r="G13" s="40">
        <v>22.91</v>
      </c>
      <c r="H13" s="40">
        <v>3.72</v>
      </c>
      <c r="I13" s="40">
        <v>4.28</v>
      </c>
      <c r="J13" s="40">
        <v>0.83</v>
      </c>
      <c r="K13" s="40">
        <v>262.48</v>
      </c>
      <c r="L13" s="40">
        <v>25.13</v>
      </c>
      <c r="M13" s="40">
        <v>93.41</v>
      </c>
      <c r="N13" s="40">
        <v>2.5</v>
      </c>
      <c r="O13" s="40">
        <v>0.2</v>
      </c>
      <c r="P13" s="40">
        <v>0.08</v>
      </c>
      <c r="Q13" s="27" t="s">
        <v>8</v>
      </c>
      <c r="R13" s="38"/>
      <c r="S13" s="38"/>
      <c r="T13" s="38"/>
      <c r="U13" s="38"/>
    </row>
    <row r="14" spans="1:21" customFormat="1">
      <c r="A14" s="39">
        <v>45843.25</v>
      </c>
      <c r="B14" s="40">
        <v>2.87</v>
      </c>
      <c r="C14" s="40">
        <v>4.8099999999999996</v>
      </c>
      <c r="D14" s="40">
        <v>2.0099999999999998</v>
      </c>
      <c r="E14" s="40">
        <v>5.91</v>
      </c>
      <c r="F14" s="40">
        <v>1.97</v>
      </c>
      <c r="G14" s="40">
        <v>16.670000000000002</v>
      </c>
      <c r="H14" s="40">
        <v>5.09</v>
      </c>
      <c r="I14" s="40">
        <v>3.92</v>
      </c>
      <c r="J14" s="40">
        <v>0.64</v>
      </c>
      <c r="K14" s="40">
        <v>262.56</v>
      </c>
      <c r="L14" s="40">
        <v>24.18</v>
      </c>
      <c r="M14" s="40">
        <v>100.05</v>
      </c>
      <c r="N14" s="40">
        <v>5.2</v>
      </c>
      <c r="O14" s="40">
        <v>4.8</v>
      </c>
      <c r="P14" s="40">
        <v>7.0000000000000007E-2</v>
      </c>
      <c r="Q14" s="27" t="s">
        <v>8</v>
      </c>
      <c r="R14" s="38"/>
      <c r="S14" s="38"/>
      <c r="T14" s="38"/>
      <c r="U14" s="38"/>
    </row>
    <row r="15" spans="1:21" customFormat="1">
      <c r="A15" s="39">
        <v>45843.291666666664</v>
      </c>
      <c r="B15" s="40">
        <v>2.79</v>
      </c>
      <c r="C15" s="40">
        <v>4.72</v>
      </c>
      <c r="D15" s="40">
        <v>1.99</v>
      </c>
      <c r="E15" s="40">
        <v>6.02</v>
      </c>
      <c r="F15" s="40">
        <v>2.54</v>
      </c>
      <c r="G15" s="40">
        <v>17.18</v>
      </c>
      <c r="H15" s="40">
        <v>5.67</v>
      </c>
      <c r="I15" s="40">
        <v>3.6</v>
      </c>
      <c r="J15" s="40">
        <v>0.56000000000000005</v>
      </c>
      <c r="K15" s="40">
        <v>262.04000000000002</v>
      </c>
      <c r="L15" s="40">
        <v>24.18</v>
      </c>
      <c r="M15" s="40">
        <v>100.09</v>
      </c>
      <c r="N15" s="40">
        <v>45.3</v>
      </c>
      <c r="O15" s="40">
        <v>0</v>
      </c>
      <c r="P15" s="40">
        <v>0.08</v>
      </c>
      <c r="Q15" s="27" t="s">
        <v>8</v>
      </c>
      <c r="R15" s="38"/>
      <c r="S15" s="38"/>
      <c r="T15" s="38"/>
      <c r="U15" s="38"/>
    </row>
    <row r="16" spans="1:21" customFormat="1">
      <c r="A16" s="39">
        <v>45843.333333333336</v>
      </c>
      <c r="B16" s="40">
        <v>2.78</v>
      </c>
      <c r="C16" s="40">
        <v>4.6900000000000004</v>
      </c>
      <c r="D16" s="40">
        <v>1.96</v>
      </c>
      <c r="E16" s="40">
        <v>5.9</v>
      </c>
      <c r="F16" s="40">
        <v>1.94</v>
      </c>
      <c r="G16" s="40">
        <v>17.75</v>
      </c>
      <c r="H16" s="40">
        <v>5.67</v>
      </c>
      <c r="I16" s="40">
        <v>3.44</v>
      </c>
      <c r="J16" s="40">
        <v>0.66</v>
      </c>
      <c r="K16" s="40">
        <v>263.29000000000002</v>
      </c>
      <c r="L16" s="40">
        <v>25.15</v>
      </c>
      <c r="M16" s="40">
        <v>99.23</v>
      </c>
      <c r="N16" s="40">
        <v>98.4</v>
      </c>
      <c r="O16" s="40">
        <v>0</v>
      </c>
      <c r="P16" s="40">
        <v>7.0000000000000007E-2</v>
      </c>
      <c r="Q16" s="27" t="s">
        <v>8</v>
      </c>
      <c r="R16" s="38"/>
      <c r="S16" s="38"/>
      <c r="T16" s="38"/>
      <c r="U16" s="38"/>
    </row>
    <row r="17" spans="1:21" customFormat="1">
      <c r="A17" s="39">
        <v>45843.375</v>
      </c>
      <c r="B17" s="40">
        <v>2.77</v>
      </c>
      <c r="C17" s="40">
        <v>4.66</v>
      </c>
      <c r="D17" s="40">
        <v>1.95</v>
      </c>
      <c r="E17" s="40">
        <v>5.99</v>
      </c>
      <c r="F17" s="40">
        <v>2.68</v>
      </c>
      <c r="G17" s="40">
        <v>17.75</v>
      </c>
      <c r="H17" s="40">
        <v>8.27</v>
      </c>
      <c r="I17" s="40">
        <v>3.38</v>
      </c>
      <c r="J17" s="40">
        <v>1.01</v>
      </c>
      <c r="K17" s="40">
        <v>262.77999999999997</v>
      </c>
      <c r="L17" s="40">
        <v>26.25</v>
      </c>
      <c r="M17" s="40">
        <v>91.67</v>
      </c>
      <c r="N17" s="40">
        <v>180.3</v>
      </c>
      <c r="O17" s="40">
        <v>0</v>
      </c>
      <c r="P17" s="40">
        <v>7.0000000000000007E-2</v>
      </c>
      <c r="Q17" s="27" t="s">
        <v>8</v>
      </c>
      <c r="R17" s="38"/>
      <c r="S17" s="38"/>
      <c r="T17" s="38"/>
      <c r="U17" s="38"/>
    </row>
    <row r="18" spans="1:21" customFormat="1">
      <c r="A18" s="39">
        <v>45843.416666666664</v>
      </c>
      <c r="B18" s="40">
        <v>2.75</v>
      </c>
      <c r="C18" s="40">
        <v>4.6399999999999997</v>
      </c>
      <c r="D18" s="40">
        <v>1.95</v>
      </c>
      <c r="E18" s="40">
        <v>6.15</v>
      </c>
      <c r="F18" s="40">
        <v>2.48</v>
      </c>
      <c r="G18" s="40">
        <v>24.25</v>
      </c>
      <c r="H18" s="40">
        <v>8.27</v>
      </c>
      <c r="I18" s="40">
        <v>3.25</v>
      </c>
      <c r="J18" s="40">
        <v>1.1299999999999999</v>
      </c>
      <c r="K18" s="40">
        <v>263.74</v>
      </c>
      <c r="L18" s="40">
        <v>27.42</v>
      </c>
      <c r="M18" s="40">
        <v>85.78</v>
      </c>
      <c r="N18" s="40">
        <v>328.4</v>
      </c>
      <c r="O18" s="40">
        <v>0</v>
      </c>
      <c r="P18" s="40">
        <v>0.06</v>
      </c>
      <c r="Q18" s="27" t="s">
        <v>8</v>
      </c>
      <c r="R18" s="38"/>
      <c r="S18" s="38"/>
      <c r="T18" s="38"/>
      <c r="U18" s="38"/>
    </row>
    <row r="19" spans="1:21" customFormat="1">
      <c r="A19" s="39">
        <v>45843.458333333336</v>
      </c>
      <c r="B19" s="40">
        <v>2.77</v>
      </c>
      <c r="C19" s="40">
        <v>4.59</v>
      </c>
      <c r="D19" s="40">
        <v>1.9</v>
      </c>
      <c r="E19" s="40">
        <v>5.46</v>
      </c>
      <c r="F19" s="40">
        <v>3.26</v>
      </c>
      <c r="G19" s="40">
        <v>24.25</v>
      </c>
      <c r="H19" s="40">
        <v>8.3800000000000008</v>
      </c>
      <c r="I19" s="40">
        <v>3.4</v>
      </c>
      <c r="J19" s="40">
        <v>1.18</v>
      </c>
      <c r="K19" s="40">
        <v>266.16000000000003</v>
      </c>
      <c r="L19" s="40">
        <v>28.14</v>
      </c>
      <c r="M19" s="40">
        <v>81.25</v>
      </c>
      <c r="N19" s="40">
        <v>338.6</v>
      </c>
      <c r="O19" s="40">
        <v>0.2</v>
      </c>
      <c r="P19" s="40">
        <v>0.03</v>
      </c>
      <c r="Q19" s="27" t="s">
        <v>8</v>
      </c>
      <c r="R19" s="38"/>
      <c r="S19" s="38"/>
      <c r="T19" s="38"/>
      <c r="U19" s="38"/>
    </row>
    <row r="20" spans="1:21" customFormat="1">
      <c r="A20" s="39">
        <v>45843.5</v>
      </c>
      <c r="B20" s="40">
        <v>2.77</v>
      </c>
      <c r="C20" s="40">
        <v>4.5999999999999996</v>
      </c>
      <c r="D20" s="40">
        <v>1.9</v>
      </c>
      <c r="E20" s="40">
        <v>5.35</v>
      </c>
      <c r="F20" s="40">
        <v>3.58</v>
      </c>
      <c r="G20" s="40">
        <v>33.61</v>
      </c>
      <c r="H20" s="40">
        <v>10.9</v>
      </c>
      <c r="I20" s="40">
        <v>3.59</v>
      </c>
      <c r="J20" s="40">
        <v>0.95</v>
      </c>
      <c r="K20" s="40">
        <v>263.8</v>
      </c>
      <c r="L20" s="40">
        <v>27.92</v>
      </c>
      <c r="M20" s="40">
        <v>83.27</v>
      </c>
      <c r="N20" s="40">
        <v>161.19999999999999</v>
      </c>
      <c r="O20" s="40">
        <v>0</v>
      </c>
      <c r="P20" s="40">
        <v>0.04</v>
      </c>
      <c r="Q20" s="27" t="s">
        <v>8</v>
      </c>
      <c r="R20" s="38"/>
      <c r="S20" s="38"/>
      <c r="T20" s="38"/>
      <c r="U20" s="38"/>
    </row>
    <row r="21" spans="1:21" customFormat="1">
      <c r="A21" s="39">
        <v>45843.541666666664</v>
      </c>
      <c r="B21" s="40">
        <v>2.78</v>
      </c>
      <c r="C21" s="40">
        <v>4.5999999999999996</v>
      </c>
      <c r="D21" s="40">
        <v>1.89</v>
      </c>
      <c r="E21" s="40">
        <v>5.38</v>
      </c>
      <c r="F21" s="40">
        <v>2.96</v>
      </c>
      <c r="G21" s="40">
        <v>33.61</v>
      </c>
      <c r="H21" s="40">
        <v>15.68</v>
      </c>
      <c r="I21" s="40">
        <v>3.67</v>
      </c>
      <c r="J21" s="40">
        <v>0.93</v>
      </c>
      <c r="K21" s="40">
        <v>267.8</v>
      </c>
      <c r="L21" s="40">
        <v>26.73</v>
      </c>
      <c r="M21" s="40">
        <v>95.45</v>
      </c>
      <c r="N21" s="40">
        <v>176.8</v>
      </c>
      <c r="O21" s="40">
        <v>0.6</v>
      </c>
      <c r="P21" s="40">
        <v>0.05</v>
      </c>
      <c r="Q21" s="27" t="s">
        <v>8</v>
      </c>
      <c r="R21" s="38"/>
      <c r="S21" s="38"/>
      <c r="T21" s="38"/>
      <c r="U21" s="38"/>
    </row>
    <row r="22" spans="1:21" customFormat="1">
      <c r="A22" s="39">
        <v>45843.583333333336</v>
      </c>
      <c r="B22" s="40">
        <v>2.84</v>
      </c>
      <c r="C22" s="40">
        <v>4.6900000000000004</v>
      </c>
      <c r="D22" s="40">
        <v>1.93</v>
      </c>
      <c r="E22" s="40">
        <v>4.99</v>
      </c>
      <c r="F22" s="40">
        <v>2.75</v>
      </c>
      <c r="G22" s="40">
        <v>30.09</v>
      </c>
      <c r="H22" s="40">
        <v>19.329999999999998</v>
      </c>
      <c r="I22" s="40">
        <v>4.0199999999999996</v>
      </c>
      <c r="J22" s="40">
        <v>1.06</v>
      </c>
      <c r="K22" s="40">
        <v>265.23</v>
      </c>
      <c r="L22" s="40">
        <v>26.97</v>
      </c>
      <c r="M22" s="40">
        <v>91.97</v>
      </c>
      <c r="N22" s="40">
        <v>186.3</v>
      </c>
      <c r="O22" s="40">
        <v>0</v>
      </c>
      <c r="P22" s="40">
        <v>7.0000000000000007E-2</v>
      </c>
      <c r="Q22" s="27" t="s">
        <v>8</v>
      </c>
      <c r="R22" s="38"/>
      <c r="S22" s="38"/>
      <c r="T22" s="38"/>
      <c r="U22" s="38"/>
    </row>
    <row r="23" spans="1:21" customFormat="1">
      <c r="A23" s="39">
        <v>45843.625</v>
      </c>
      <c r="B23" s="40">
        <v>2.85</v>
      </c>
      <c r="C23" s="40">
        <v>4.87</v>
      </c>
      <c r="D23" s="40">
        <v>2.08</v>
      </c>
      <c r="E23" s="40">
        <v>5.3</v>
      </c>
      <c r="F23" s="40">
        <v>2.82</v>
      </c>
      <c r="G23" s="40">
        <v>30.26</v>
      </c>
      <c r="H23" s="40">
        <v>19.329999999999998</v>
      </c>
      <c r="I23" s="40">
        <v>4.43</v>
      </c>
      <c r="J23" s="40">
        <v>1.02</v>
      </c>
      <c r="K23" s="40">
        <v>278.35000000000002</v>
      </c>
      <c r="L23" s="40">
        <v>27.4</v>
      </c>
      <c r="M23" s="40">
        <v>83.46</v>
      </c>
      <c r="N23" s="40">
        <v>134.19999999999999</v>
      </c>
      <c r="O23" s="40">
        <v>0</v>
      </c>
      <c r="P23" s="40">
        <v>0.17</v>
      </c>
      <c r="Q23" s="27" t="s">
        <v>8</v>
      </c>
      <c r="R23" s="38"/>
      <c r="S23" s="38"/>
      <c r="T23" s="38"/>
      <c r="U23" s="38"/>
    </row>
    <row r="24" spans="1:21" customFormat="1">
      <c r="A24" s="39">
        <v>45843.666666666664</v>
      </c>
      <c r="B24" s="40">
        <v>2.79</v>
      </c>
      <c r="C24" s="40">
        <v>4.88</v>
      </c>
      <c r="D24" s="40">
        <v>2.11</v>
      </c>
      <c r="E24" s="40">
        <v>5.42</v>
      </c>
      <c r="F24" s="40">
        <v>2.41</v>
      </c>
      <c r="G24" s="40">
        <v>36.090000000000003</v>
      </c>
      <c r="H24" s="40">
        <v>18.55</v>
      </c>
      <c r="I24" s="40">
        <v>4.38</v>
      </c>
      <c r="J24" s="40">
        <v>1.03</v>
      </c>
      <c r="K24" s="40">
        <v>282.94</v>
      </c>
      <c r="L24" s="40">
        <v>27.78</v>
      </c>
      <c r="M24" s="40">
        <v>80.97</v>
      </c>
      <c r="N24" s="40">
        <v>122.6</v>
      </c>
      <c r="O24" s="40">
        <v>0</v>
      </c>
      <c r="P24" s="40">
        <v>0.2</v>
      </c>
      <c r="Q24" s="27" t="s">
        <v>8</v>
      </c>
      <c r="R24" s="38"/>
      <c r="S24" s="38"/>
      <c r="T24" s="38"/>
      <c r="U24" s="38"/>
    </row>
    <row r="25" spans="1:21" customFormat="1">
      <c r="A25" s="39">
        <v>45843.708333333336</v>
      </c>
      <c r="B25" s="40">
        <v>2.77</v>
      </c>
      <c r="C25" s="40">
        <v>4.9000000000000004</v>
      </c>
      <c r="D25" s="40">
        <v>2.14</v>
      </c>
      <c r="E25" s="40">
        <v>5.82</v>
      </c>
      <c r="F25" s="40">
        <v>2.11</v>
      </c>
      <c r="G25" s="40">
        <v>43</v>
      </c>
      <c r="H25" s="40">
        <v>18.55</v>
      </c>
      <c r="I25" s="40">
        <v>4.63</v>
      </c>
      <c r="J25" s="40">
        <v>0.56000000000000005</v>
      </c>
      <c r="K25" s="40">
        <v>311.57</v>
      </c>
      <c r="L25" s="40">
        <v>27.63</v>
      </c>
      <c r="M25" s="40">
        <v>81.260000000000005</v>
      </c>
      <c r="N25" s="40">
        <v>47.1</v>
      </c>
      <c r="O25" s="40">
        <v>0</v>
      </c>
      <c r="P25" s="40">
        <v>0.23</v>
      </c>
      <c r="Q25" s="27" t="s">
        <v>8</v>
      </c>
      <c r="R25" s="38"/>
      <c r="S25" s="38"/>
      <c r="T25" s="38"/>
      <c r="U25" s="38"/>
    </row>
    <row r="26" spans="1:21" customFormat="1">
      <c r="A26" s="39">
        <v>45843.75</v>
      </c>
      <c r="B26" s="40">
        <v>3.41</v>
      </c>
      <c r="C26" s="40">
        <v>5.63</v>
      </c>
      <c r="D26" s="40">
        <v>2.31</v>
      </c>
      <c r="E26" s="40">
        <v>5.92</v>
      </c>
      <c r="F26" s="40">
        <v>2.04</v>
      </c>
      <c r="G26" s="40">
        <v>57.54</v>
      </c>
      <c r="H26" s="40">
        <v>16.34</v>
      </c>
      <c r="I26" s="40">
        <v>5.17</v>
      </c>
      <c r="J26" s="40">
        <v>0.6</v>
      </c>
      <c r="K26" s="40">
        <v>314.11</v>
      </c>
      <c r="L26" s="40">
        <v>27.35</v>
      </c>
      <c r="M26" s="40">
        <v>87.4</v>
      </c>
      <c r="N26" s="40">
        <v>19.3</v>
      </c>
      <c r="O26" s="40">
        <v>0.2</v>
      </c>
      <c r="P26" s="40">
        <v>0.26</v>
      </c>
      <c r="Q26" s="27" t="s">
        <v>8</v>
      </c>
      <c r="R26" s="38"/>
      <c r="S26" s="38"/>
      <c r="T26" s="38"/>
      <c r="U26" s="38"/>
    </row>
    <row r="27" spans="1:21" customFormat="1">
      <c r="A27" s="39">
        <v>45843.791666666664</v>
      </c>
      <c r="B27" s="40">
        <v>3.73</v>
      </c>
      <c r="C27" s="40">
        <v>5.95</v>
      </c>
      <c r="D27" s="40">
        <v>2.36</v>
      </c>
      <c r="E27" s="40">
        <v>4.8899999999999997</v>
      </c>
      <c r="F27" s="40">
        <v>2.36</v>
      </c>
      <c r="G27" s="40">
        <v>76.540000000000006</v>
      </c>
      <c r="H27" s="40">
        <v>18.5</v>
      </c>
      <c r="I27" s="40">
        <v>5.71</v>
      </c>
      <c r="J27" s="40">
        <v>0.86</v>
      </c>
      <c r="K27" s="40">
        <v>310.43</v>
      </c>
      <c r="L27" s="40">
        <v>26.84</v>
      </c>
      <c r="M27" s="40">
        <v>87.84</v>
      </c>
      <c r="N27" s="40">
        <v>11.9</v>
      </c>
      <c r="O27" s="40">
        <v>0</v>
      </c>
      <c r="P27" s="40">
        <v>0.28000000000000003</v>
      </c>
      <c r="Q27" s="27" t="s">
        <v>8</v>
      </c>
      <c r="R27" s="38"/>
      <c r="S27" s="38"/>
      <c r="T27" s="38"/>
      <c r="U27" s="38"/>
    </row>
    <row r="28" spans="1:21" customFormat="1">
      <c r="A28" s="39">
        <v>45843.833333333336</v>
      </c>
      <c r="B28" s="40">
        <v>3.5</v>
      </c>
      <c r="C28" s="40">
        <v>5.67</v>
      </c>
      <c r="D28" s="40">
        <v>2.31</v>
      </c>
      <c r="E28" s="40">
        <v>4.97</v>
      </c>
      <c r="F28" s="40">
        <v>2.2400000000000002</v>
      </c>
      <c r="G28" s="40">
        <v>76.540000000000006</v>
      </c>
      <c r="H28" s="40">
        <v>18.5</v>
      </c>
      <c r="I28" s="40">
        <v>5.82</v>
      </c>
      <c r="J28" s="40">
        <v>0.59</v>
      </c>
      <c r="K28" s="40">
        <v>264.70999999999998</v>
      </c>
      <c r="L28" s="40">
        <v>26.41</v>
      </c>
      <c r="M28" s="40">
        <v>86.62</v>
      </c>
      <c r="N28" s="40">
        <v>2.2999999999999998</v>
      </c>
      <c r="O28" s="40">
        <v>0</v>
      </c>
      <c r="P28" s="40">
        <v>0.27</v>
      </c>
      <c r="Q28" s="27" t="s">
        <v>8</v>
      </c>
      <c r="R28" s="38"/>
      <c r="S28" s="38"/>
      <c r="T28" s="38"/>
      <c r="U28" s="38"/>
    </row>
    <row r="29" spans="1:21" customFormat="1">
      <c r="A29" s="39">
        <v>45843.875</v>
      </c>
      <c r="B29" s="40">
        <v>3.41</v>
      </c>
      <c r="C29" s="40">
        <v>5.47</v>
      </c>
      <c r="D29" s="40">
        <v>2.1800000000000002</v>
      </c>
      <c r="E29" s="40">
        <v>4.41</v>
      </c>
      <c r="F29" s="40">
        <v>2.78</v>
      </c>
      <c r="G29" s="40">
        <v>55.38</v>
      </c>
      <c r="H29" s="40">
        <v>16.57</v>
      </c>
      <c r="I29" s="40">
        <v>6.07</v>
      </c>
      <c r="J29" s="40">
        <v>0.7</v>
      </c>
      <c r="K29" s="40">
        <v>261.97000000000003</v>
      </c>
      <c r="L29" s="40">
        <v>26.25</v>
      </c>
      <c r="M29" s="40">
        <v>93.57</v>
      </c>
      <c r="N29" s="40">
        <v>2.4</v>
      </c>
      <c r="O29" s="40">
        <v>0</v>
      </c>
      <c r="P29" s="40">
        <v>0.25</v>
      </c>
      <c r="Q29" s="27" t="s">
        <v>8</v>
      </c>
      <c r="R29" s="38"/>
      <c r="S29" s="38"/>
      <c r="T29" s="38"/>
      <c r="U29" s="38"/>
    </row>
    <row r="30" spans="1:21" customFormat="1">
      <c r="A30" s="39">
        <v>45843.916666666664</v>
      </c>
      <c r="B30" s="40">
        <v>3.33</v>
      </c>
      <c r="C30" s="40">
        <v>5.27</v>
      </c>
      <c r="D30" s="40">
        <v>2.08</v>
      </c>
      <c r="E30" s="40">
        <v>4.1900000000000004</v>
      </c>
      <c r="F30" s="40">
        <v>3.54</v>
      </c>
      <c r="G30" s="40">
        <v>55.38</v>
      </c>
      <c r="H30" s="40">
        <v>16.55</v>
      </c>
      <c r="I30" s="40">
        <v>6.42</v>
      </c>
      <c r="J30" s="40">
        <v>0.69</v>
      </c>
      <c r="K30" s="40">
        <v>280.45999999999998</v>
      </c>
      <c r="L30" s="40">
        <v>25.66</v>
      </c>
      <c r="M30" s="40">
        <v>92.99</v>
      </c>
      <c r="N30" s="40">
        <v>3</v>
      </c>
      <c r="O30" s="40">
        <v>0.4</v>
      </c>
      <c r="P30" s="40">
        <v>0.25</v>
      </c>
      <c r="Q30" s="27" t="s">
        <v>8</v>
      </c>
      <c r="R30" s="38"/>
      <c r="S30" s="38"/>
      <c r="T30" s="38"/>
      <c r="U30" s="38"/>
    </row>
    <row r="31" spans="1:21" customFormat="1">
      <c r="A31" s="39">
        <v>45843.958333333336</v>
      </c>
      <c r="B31" s="40">
        <v>3.32</v>
      </c>
      <c r="C31" s="40">
        <v>5.25</v>
      </c>
      <c r="D31" s="40">
        <v>2.0699999999999998</v>
      </c>
      <c r="E31" s="40">
        <v>4.1399999999999997</v>
      </c>
      <c r="F31" s="40">
        <v>2.72</v>
      </c>
      <c r="G31" s="40">
        <v>35.29</v>
      </c>
      <c r="H31" s="40">
        <v>12.77</v>
      </c>
      <c r="I31" s="40">
        <v>6.35</v>
      </c>
      <c r="J31" s="40">
        <v>0.5</v>
      </c>
      <c r="K31" s="40">
        <v>261.37</v>
      </c>
      <c r="L31" s="40">
        <v>25.24</v>
      </c>
      <c r="M31" s="40">
        <v>97.63</v>
      </c>
      <c r="N31" s="40">
        <v>2.6</v>
      </c>
      <c r="O31" s="40">
        <v>0</v>
      </c>
      <c r="P31" s="40">
        <v>0.25</v>
      </c>
      <c r="Q31" s="27" t="s">
        <v>8</v>
      </c>
      <c r="R31" s="38"/>
      <c r="S31" s="38"/>
      <c r="T31" s="38"/>
      <c r="U31" s="38"/>
    </row>
    <row r="32" spans="1:21" customFormat="1">
      <c r="A32" s="40">
        <v>45844</v>
      </c>
      <c r="B32" s="40">
        <v>3.32</v>
      </c>
      <c r="C32" s="40">
        <v>5.21</v>
      </c>
      <c r="D32" s="40">
        <v>2.04</v>
      </c>
      <c r="E32" s="40">
        <v>4.1500000000000004</v>
      </c>
      <c r="F32" s="40">
        <v>3.4</v>
      </c>
      <c r="G32" s="40">
        <v>37.03</v>
      </c>
      <c r="H32" s="40">
        <v>13.34</v>
      </c>
      <c r="I32" s="40">
        <v>7.24</v>
      </c>
      <c r="J32" s="40">
        <v>0.81</v>
      </c>
      <c r="K32" s="40">
        <v>267.17</v>
      </c>
      <c r="L32" s="40">
        <v>25.17</v>
      </c>
      <c r="M32" s="40">
        <v>98.09</v>
      </c>
      <c r="N32" s="40">
        <v>2.7</v>
      </c>
      <c r="O32" s="40">
        <v>0</v>
      </c>
      <c r="P32" s="40">
        <v>0.27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2.75</v>
      </c>
      <c r="C34" s="18">
        <f t="shared" si="0"/>
        <v>4.59</v>
      </c>
      <c r="D34" s="18">
        <f t="shared" si="0"/>
        <v>1.88</v>
      </c>
      <c r="E34" s="18">
        <f t="shared" si="0"/>
        <v>4.1399999999999997</v>
      </c>
      <c r="F34" s="18">
        <f t="shared" si="0"/>
        <v>1.94</v>
      </c>
      <c r="G34" s="18">
        <f t="shared" si="0"/>
        <v>16.670000000000002</v>
      </c>
      <c r="H34" s="18">
        <f t="shared" si="0"/>
        <v>3.72</v>
      </c>
      <c r="I34" s="18">
        <f t="shared" si="0"/>
        <v>3.25</v>
      </c>
      <c r="J34" s="18">
        <f t="shared" si="0"/>
        <v>0.32</v>
      </c>
      <c r="K34" s="18">
        <f t="shared" si="0"/>
        <v>259.51</v>
      </c>
      <c r="L34" s="18">
        <f t="shared" si="0"/>
        <v>24.18</v>
      </c>
      <c r="M34" s="18">
        <f t="shared" si="0"/>
        <v>80.97</v>
      </c>
      <c r="N34" s="18">
        <f t="shared" si="0"/>
        <v>2.2000000000000002</v>
      </c>
      <c r="O34" s="18">
        <f t="shared" si="0"/>
        <v>0</v>
      </c>
      <c r="P34" s="18">
        <f t="shared" si="0"/>
        <v>0.03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3.73</v>
      </c>
      <c r="C35" s="3">
        <f t="shared" si="1"/>
        <v>5.95</v>
      </c>
      <c r="D35" s="3">
        <f t="shared" si="1"/>
        <v>2.36</v>
      </c>
      <c r="E35" s="3">
        <f t="shared" si="1"/>
        <v>6.53</v>
      </c>
      <c r="F35" s="3">
        <f t="shared" si="1"/>
        <v>3.58</v>
      </c>
      <c r="G35" s="3">
        <f t="shared" si="1"/>
        <v>76.540000000000006</v>
      </c>
      <c r="H35" s="3">
        <f t="shared" si="1"/>
        <v>19.329999999999998</v>
      </c>
      <c r="I35" s="3">
        <f t="shared" si="1"/>
        <v>7.24</v>
      </c>
      <c r="J35" s="3">
        <f t="shared" si="1"/>
        <v>1.18</v>
      </c>
      <c r="K35" s="3">
        <f t="shared" si="1"/>
        <v>314.11</v>
      </c>
      <c r="L35" s="3">
        <f t="shared" si="1"/>
        <v>28.14</v>
      </c>
      <c r="M35" s="3">
        <f t="shared" si="1"/>
        <v>100.09</v>
      </c>
      <c r="N35" s="3">
        <f t="shared" si="1"/>
        <v>338.6</v>
      </c>
      <c r="O35" s="3">
        <f t="shared" si="1"/>
        <v>4.8</v>
      </c>
      <c r="P35" s="3">
        <f t="shared" si="1"/>
        <v>0.28000000000000003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3.0220833333333332</v>
      </c>
      <c r="C36" s="18">
        <f t="shared" si="2"/>
        <v>4.9579166666666667</v>
      </c>
      <c r="D36" s="18">
        <f t="shared" si="2"/>
        <v>2.0299999999999998</v>
      </c>
      <c r="E36" s="18">
        <f t="shared" si="2"/>
        <v>5.4433333333333316</v>
      </c>
      <c r="F36" s="18">
        <f t="shared" si="2"/>
        <v>2.6804166666666664</v>
      </c>
      <c r="G36" s="18">
        <f t="shared" si="2"/>
        <v>35.482083333333328</v>
      </c>
      <c r="H36" s="18">
        <f t="shared" si="2"/>
        <v>12.093333333333332</v>
      </c>
      <c r="I36" s="18">
        <f t="shared" si="2"/>
        <v>4.631666666666665</v>
      </c>
      <c r="J36" s="18">
        <f t="shared" si="2"/>
        <v>0.76583333333333325</v>
      </c>
      <c r="K36" s="18">
        <f t="shared" si="2"/>
        <v>271.42749999999995</v>
      </c>
      <c r="L36" s="18">
        <f t="shared" si="2"/>
        <v>26.258333333333329</v>
      </c>
      <c r="M36" s="18">
        <f t="shared" si="2"/>
        <v>91.095833333333346</v>
      </c>
      <c r="N36" s="18">
        <f t="shared" si="2"/>
        <v>78.354166666666657</v>
      </c>
      <c r="O36" s="18">
        <f t="shared" si="2"/>
        <v>0.26666666666666666</v>
      </c>
      <c r="P36" s="18">
        <f t="shared" si="2"/>
        <v>0.14166666666666669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0.29151745665779927</v>
      </c>
      <c r="C37" s="18">
        <f t="shared" ref="C37:Q37" si="3">STDEV(C9:C32)</f>
        <v>0.3870510489493002</v>
      </c>
      <c r="D37" s="18">
        <f t="shared" si="3"/>
        <v>0.14422205101855962</v>
      </c>
      <c r="E37" s="18">
        <f t="shared" si="3"/>
        <v>0.68945262892837234</v>
      </c>
      <c r="F37" s="18">
        <f t="shared" si="3"/>
        <v>0.49438129244424256</v>
      </c>
      <c r="G37" s="18">
        <f t="shared" si="3"/>
        <v>17.183594800088379</v>
      </c>
      <c r="H37" s="18">
        <f t="shared" si="3"/>
        <v>5.4868900407098211</v>
      </c>
      <c r="I37" s="18">
        <f t="shared" si="3"/>
        <v>1.1137077388328793</v>
      </c>
      <c r="J37" s="18">
        <f t="shared" si="3"/>
        <v>0.23693544647667522</v>
      </c>
      <c r="K37" s="18">
        <f t="shared" si="3"/>
        <v>16.875385535048427</v>
      </c>
      <c r="L37" s="18">
        <f t="shared" si="3"/>
        <v>1.1594588942848438</v>
      </c>
      <c r="M37" s="18">
        <f t="shared" si="3"/>
        <v>6.147049427706488</v>
      </c>
      <c r="N37" s="18">
        <f t="shared" si="3"/>
        <v>103.6734127133046</v>
      </c>
      <c r="O37" s="18">
        <f t="shared" si="3"/>
        <v>0.97742637515087527</v>
      </c>
      <c r="P37" s="18">
        <f t="shared" si="3"/>
        <v>9.1255335361194387E-2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45844.041666666664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45844.041666666664</v>
      </c>
      <c r="B9" s="40">
        <v>3.28</v>
      </c>
      <c r="C9" s="40">
        <v>5.23</v>
      </c>
      <c r="D9" s="40">
        <v>2.12</v>
      </c>
      <c r="E9" s="40">
        <v>4.2300000000000004</v>
      </c>
      <c r="F9" s="40">
        <v>2.17</v>
      </c>
      <c r="G9" s="40">
        <v>37.03</v>
      </c>
      <c r="H9" s="40">
        <v>13.34</v>
      </c>
      <c r="I9" s="40">
        <v>7.06</v>
      </c>
      <c r="J9" s="40">
        <v>0.66</v>
      </c>
      <c r="K9" s="40">
        <v>262.58999999999997</v>
      </c>
      <c r="L9" s="40">
        <v>25.26</v>
      </c>
      <c r="M9" s="40">
        <v>96.67</v>
      </c>
      <c r="N9" s="40">
        <v>2.6</v>
      </c>
      <c r="O9" s="40">
        <v>0</v>
      </c>
      <c r="P9" s="40">
        <v>0.25</v>
      </c>
      <c r="Q9" s="27" t="s">
        <v>8</v>
      </c>
      <c r="R9" s="38"/>
      <c r="S9" s="38"/>
      <c r="T9" s="38"/>
      <c r="U9" s="38"/>
    </row>
    <row r="10" spans="1:21" customFormat="1">
      <c r="A10" s="39">
        <v>45844.083333333336</v>
      </c>
      <c r="B10" s="40">
        <v>3.03</v>
      </c>
      <c r="C10" s="40">
        <v>5.05</v>
      </c>
      <c r="D10" s="40">
        <v>2.09</v>
      </c>
      <c r="E10" s="40">
        <v>4.26</v>
      </c>
      <c r="F10" s="40">
        <v>2.52</v>
      </c>
      <c r="G10" s="40">
        <v>25.45</v>
      </c>
      <c r="H10" s="40">
        <v>12.79</v>
      </c>
      <c r="I10" s="40">
        <v>6.37</v>
      </c>
      <c r="J10" s="40">
        <v>1.23</v>
      </c>
      <c r="K10" s="40">
        <v>267.19</v>
      </c>
      <c r="L10" s="40">
        <v>25.39</v>
      </c>
      <c r="M10" s="40">
        <v>96.07</v>
      </c>
      <c r="N10" s="40">
        <v>3.4</v>
      </c>
      <c r="O10" s="40">
        <v>0.2</v>
      </c>
      <c r="P10" s="40">
        <v>0.23</v>
      </c>
      <c r="Q10" s="27" t="s">
        <v>8</v>
      </c>
      <c r="R10" s="38"/>
      <c r="S10" s="38"/>
      <c r="T10" s="38"/>
      <c r="U10" s="38"/>
    </row>
    <row r="11" spans="1:21" customFormat="1">
      <c r="A11" s="39">
        <v>45844.125</v>
      </c>
      <c r="B11" s="40">
        <v>2.85</v>
      </c>
      <c r="C11" s="40">
        <v>4.92</v>
      </c>
      <c r="D11" s="40">
        <v>2.14</v>
      </c>
      <c r="E11" s="40">
        <v>5.78</v>
      </c>
      <c r="F11" s="40">
        <v>2.09</v>
      </c>
      <c r="G11" s="40">
        <v>24.59</v>
      </c>
      <c r="H11" s="40">
        <v>10.4</v>
      </c>
      <c r="I11" s="40">
        <v>6.19</v>
      </c>
      <c r="J11" s="40">
        <v>1.24</v>
      </c>
      <c r="K11" s="40">
        <v>266.98</v>
      </c>
      <c r="L11" s="40">
        <v>25.27</v>
      </c>
      <c r="M11" s="40">
        <v>88.52</v>
      </c>
      <c r="N11" s="40">
        <v>2.6</v>
      </c>
      <c r="O11" s="40">
        <v>0</v>
      </c>
      <c r="P11" s="40">
        <v>0.3</v>
      </c>
      <c r="Q11" s="27" t="s">
        <v>8</v>
      </c>
      <c r="R11" s="38"/>
      <c r="S11" s="38"/>
      <c r="T11" s="38"/>
      <c r="U11" s="38"/>
    </row>
    <row r="12" spans="1:21" customFormat="1">
      <c r="A12" s="39">
        <v>45844.166666666664</v>
      </c>
      <c r="B12" s="40">
        <v>2.8</v>
      </c>
      <c r="C12" s="40">
        <v>4.95</v>
      </c>
      <c r="D12" s="40">
        <v>2.15</v>
      </c>
      <c r="E12" s="40">
        <v>5.96</v>
      </c>
      <c r="F12" s="40">
        <v>2.2000000000000002</v>
      </c>
      <c r="G12" s="40">
        <v>18.18</v>
      </c>
      <c r="H12" s="40">
        <v>7.28</v>
      </c>
      <c r="I12" s="40">
        <v>7.66</v>
      </c>
      <c r="J12" s="40">
        <v>0.77</v>
      </c>
      <c r="K12" s="40">
        <v>260.95999999999998</v>
      </c>
      <c r="L12" s="40">
        <v>24.89</v>
      </c>
      <c r="M12" s="40">
        <v>93.26</v>
      </c>
      <c r="N12" s="40">
        <v>2.6</v>
      </c>
      <c r="O12" s="40">
        <v>0</v>
      </c>
      <c r="P12" s="40">
        <v>0.31</v>
      </c>
      <c r="Q12" s="27" t="s">
        <v>8</v>
      </c>
      <c r="R12" s="38"/>
      <c r="S12" s="38"/>
      <c r="T12" s="38"/>
      <c r="U12" s="38"/>
    </row>
    <row r="13" spans="1:21" customFormat="1">
      <c r="A13" s="39">
        <v>45844.208333333336</v>
      </c>
      <c r="B13" s="40">
        <v>2.76</v>
      </c>
      <c r="C13" s="40">
        <v>4.76</v>
      </c>
      <c r="D13" s="40">
        <v>2.0299999999999998</v>
      </c>
      <c r="E13" s="40">
        <v>6.1</v>
      </c>
      <c r="F13" s="40">
        <v>2.4500000000000002</v>
      </c>
      <c r="G13" s="40">
        <v>18.18</v>
      </c>
      <c r="H13" s="40">
        <v>6.38</v>
      </c>
      <c r="I13" s="40">
        <v>7.1</v>
      </c>
      <c r="J13" s="40">
        <v>0.91</v>
      </c>
      <c r="K13" s="40">
        <v>260.93</v>
      </c>
      <c r="L13" s="40">
        <v>24.78</v>
      </c>
      <c r="M13" s="40">
        <v>93.36</v>
      </c>
      <c r="N13" s="40">
        <v>2.2000000000000002</v>
      </c>
      <c r="O13" s="40">
        <v>0</v>
      </c>
      <c r="P13" s="40">
        <v>0.26</v>
      </c>
      <c r="Q13" s="27" t="s">
        <v>8</v>
      </c>
      <c r="R13" s="38"/>
      <c r="S13" s="38"/>
      <c r="T13" s="38"/>
      <c r="U13" s="38"/>
    </row>
    <row r="14" spans="1:21" customFormat="1">
      <c r="A14" s="39">
        <v>45844.25</v>
      </c>
      <c r="B14" s="40">
        <v>2.79</v>
      </c>
      <c r="C14" s="40">
        <v>4.6500000000000004</v>
      </c>
      <c r="D14" s="40">
        <v>1.97</v>
      </c>
      <c r="E14" s="40">
        <v>6.26</v>
      </c>
      <c r="F14" s="40">
        <v>2.61</v>
      </c>
      <c r="G14" s="40">
        <v>17.14</v>
      </c>
      <c r="H14" s="40">
        <v>7.81</v>
      </c>
      <c r="I14" s="40">
        <v>6.02</v>
      </c>
      <c r="J14" s="40">
        <v>1</v>
      </c>
      <c r="K14" s="40">
        <v>261.87</v>
      </c>
      <c r="L14" s="40">
        <v>24.74</v>
      </c>
      <c r="M14" s="40">
        <v>95.66</v>
      </c>
      <c r="N14" s="40">
        <v>4.0999999999999996</v>
      </c>
      <c r="O14" s="40">
        <v>0</v>
      </c>
      <c r="P14" s="40">
        <v>0.22</v>
      </c>
      <c r="Q14" s="27" t="s">
        <v>8</v>
      </c>
      <c r="R14" s="38"/>
      <c r="S14" s="38"/>
      <c r="T14" s="38"/>
      <c r="U14" s="38"/>
    </row>
    <row r="15" spans="1:21" customFormat="1">
      <c r="A15" s="39">
        <v>45844.291666666664</v>
      </c>
      <c r="B15" s="40">
        <v>2.9</v>
      </c>
      <c r="C15" s="40">
        <v>4.6900000000000004</v>
      </c>
      <c r="D15" s="40">
        <v>1.89</v>
      </c>
      <c r="E15" s="40">
        <v>5.9</v>
      </c>
      <c r="F15" s="40">
        <v>2.27</v>
      </c>
      <c r="G15" s="40">
        <v>12.75</v>
      </c>
      <c r="H15" s="40">
        <v>7.81</v>
      </c>
      <c r="I15" s="40">
        <v>5.46</v>
      </c>
      <c r="J15" s="40">
        <v>0.86</v>
      </c>
      <c r="K15" s="40">
        <v>261.16000000000003</v>
      </c>
      <c r="L15" s="40">
        <v>24.23</v>
      </c>
      <c r="M15" s="40">
        <v>97.61</v>
      </c>
      <c r="N15" s="40">
        <v>14.1</v>
      </c>
      <c r="O15" s="40">
        <v>0.2</v>
      </c>
      <c r="P15" s="40">
        <v>0.17</v>
      </c>
      <c r="Q15" s="27" t="s">
        <v>8</v>
      </c>
      <c r="R15" s="38"/>
      <c r="S15" s="38"/>
      <c r="T15" s="38"/>
      <c r="U15" s="38"/>
    </row>
    <row r="16" spans="1:21" customFormat="1">
      <c r="A16" s="39">
        <v>45844.333333333336</v>
      </c>
      <c r="B16" s="40">
        <v>2.95</v>
      </c>
      <c r="C16" s="40">
        <v>4.7300000000000004</v>
      </c>
      <c r="D16" s="40">
        <v>1.89</v>
      </c>
      <c r="E16" s="40">
        <v>5.52</v>
      </c>
      <c r="F16" s="40">
        <v>2.4700000000000002</v>
      </c>
      <c r="G16" s="40">
        <v>11.32</v>
      </c>
      <c r="H16" s="40">
        <v>5.72</v>
      </c>
      <c r="I16" s="40">
        <v>5.27</v>
      </c>
      <c r="J16" s="40">
        <v>0.81</v>
      </c>
      <c r="K16" s="40">
        <v>261.89</v>
      </c>
      <c r="L16" s="40">
        <v>24.23</v>
      </c>
      <c r="M16" s="40">
        <v>98.58</v>
      </c>
      <c r="N16" s="40">
        <v>29.5</v>
      </c>
      <c r="O16" s="40">
        <v>1.2</v>
      </c>
      <c r="P16" s="40">
        <v>0.16</v>
      </c>
      <c r="Q16" s="27" t="s">
        <v>8</v>
      </c>
      <c r="R16" s="38"/>
      <c r="S16" s="38"/>
      <c r="T16" s="38"/>
      <c r="U16" s="38"/>
    </row>
    <row r="17" spans="1:21" customFormat="1">
      <c r="A17" s="39">
        <v>45844.375</v>
      </c>
      <c r="B17" s="40">
        <v>3.03</v>
      </c>
      <c r="C17" s="40">
        <v>4.82</v>
      </c>
      <c r="D17" s="40">
        <v>1.91</v>
      </c>
      <c r="E17" s="40">
        <v>5.56</v>
      </c>
      <c r="F17" s="40">
        <v>2.2799999999999998</v>
      </c>
      <c r="G17" s="40">
        <v>8.07</v>
      </c>
      <c r="H17" s="40">
        <v>4.1500000000000004</v>
      </c>
      <c r="I17" s="40">
        <v>4.99</v>
      </c>
      <c r="J17" s="40">
        <v>0.94</v>
      </c>
      <c r="K17" s="40">
        <v>264.39</v>
      </c>
      <c r="L17" s="40">
        <v>24.12</v>
      </c>
      <c r="M17" s="40">
        <v>100.08</v>
      </c>
      <c r="N17" s="40">
        <v>26.2</v>
      </c>
      <c r="O17" s="40">
        <v>1.2</v>
      </c>
      <c r="P17" s="40">
        <v>0.14000000000000001</v>
      </c>
      <c r="Q17" s="27" t="s">
        <v>8</v>
      </c>
      <c r="R17" s="38"/>
      <c r="S17" s="38"/>
      <c r="T17" s="38"/>
      <c r="U17" s="38"/>
    </row>
    <row r="18" spans="1:21" customFormat="1">
      <c r="A18" s="39">
        <v>45844.416666666664</v>
      </c>
      <c r="B18" s="40">
        <v>3.12</v>
      </c>
      <c r="C18" s="40">
        <v>4.92</v>
      </c>
      <c r="D18" s="40">
        <v>1.93</v>
      </c>
      <c r="E18" s="40">
        <v>5.46</v>
      </c>
      <c r="F18" s="40">
        <v>2.04</v>
      </c>
      <c r="G18" s="40">
        <v>5.81</v>
      </c>
      <c r="H18" s="40">
        <v>3.22</v>
      </c>
      <c r="I18" s="40">
        <v>4.68</v>
      </c>
      <c r="J18" s="40">
        <v>0.88</v>
      </c>
      <c r="K18" s="40">
        <v>264.5</v>
      </c>
      <c r="L18" s="40">
        <v>24.09</v>
      </c>
      <c r="M18" s="40">
        <v>100.13</v>
      </c>
      <c r="N18" s="40">
        <v>22.6</v>
      </c>
      <c r="O18" s="40">
        <v>1.4</v>
      </c>
      <c r="P18" s="40">
        <v>0.14000000000000001</v>
      </c>
      <c r="Q18" s="27" t="s">
        <v>8</v>
      </c>
      <c r="R18" s="38"/>
      <c r="S18" s="38"/>
      <c r="T18" s="38"/>
      <c r="U18" s="38"/>
    </row>
    <row r="19" spans="1:21" customFormat="1">
      <c r="A19" s="39">
        <v>45844.458333333336</v>
      </c>
      <c r="B19" s="40">
        <v>3.14</v>
      </c>
      <c r="C19" s="40">
        <v>5.0199999999999996</v>
      </c>
      <c r="D19" s="40">
        <v>2.0499999999999998</v>
      </c>
      <c r="E19" s="40">
        <v>5.3</v>
      </c>
      <c r="F19" s="40">
        <v>1.96</v>
      </c>
      <c r="G19" s="40">
        <v>10.62</v>
      </c>
      <c r="H19" s="40">
        <v>2.5099999999999998</v>
      </c>
      <c r="I19" s="40">
        <v>4.57</v>
      </c>
      <c r="J19" s="40">
        <v>0.86</v>
      </c>
      <c r="K19" s="40">
        <v>270.35000000000002</v>
      </c>
      <c r="L19" s="40">
        <v>24.18</v>
      </c>
      <c r="M19" s="40">
        <v>100.13</v>
      </c>
      <c r="N19" s="40">
        <v>38.1</v>
      </c>
      <c r="O19" s="40">
        <v>1.6</v>
      </c>
      <c r="P19" s="40">
        <v>0.16</v>
      </c>
      <c r="Q19" s="27" t="s">
        <v>8</v>
      </c>
      <c r="R19" s="38"/>
      <c r="S19" s="38"/>
      <c r="T19" s="38"/>
      <c r="U19" s="38"/>
    </row>
    <row r="20" spans="1:21" customFormat="1">
      <c r="A20" s="39">
        <v>45844.5</v>
      </c>
      <c r="B20" s="40">
        <v>3.08</v>
      </c>
      <c r="C20" s="40">
        <v>5.12</v>
      </c>
      <c r="D20" s="40">
        <v>2.11</v>
      </c>
      <c r="E20" s="40">
        <v>5.33</v>
      </c>
      <c r="F20" s="40">
        <v>2.21</v>
      </c>
      <c r="G20" s="40">
        <v>14.49</v>
      </c>
      <c r="H20" s="40">
        <v>3.59</v>
      </c>
      <c r="I20" s="40">
        <v>6.13</v>
      </c>
      <c r="J20" s="40">
        <v>1.06</v>
      </c>
      <c r="K20" s="40">
        <v>264.88</v>
      </c>
      <c r="L20" s="40">
        <v>24.37</v>
      </c>
      <c r="M20" s="40">
        <v>100.13</v>
      </c>
      <c r="N20" s="40">
        <v>90.9</v>
      </c>
      <c r="O20" s="40">
        <v>3.8</v>
      </c>
      <c r="P20" s="40">
        <v>0.23</v>
      </c>
      <c r="Q20" s="27" t="s">
        <v>8</v>
      </c>
      <c r="R20" s="38"/>
      <c r="S20" s="38"/>
      <c r="T20" s="38"/>
      <c r="U20" s="38"/>
    </row>
    <row r="21" spans="1:21" customFormat="1">
      <c r="A21" s="39">
        <v>45844.541666666664</v>
      </c>
      <c r="B21" s="40">
        <v>3.07</v>
      </c>
      <c r="C21" s="40">
        <v>5.0999999999999996</v>
      </c>
      <c r="D21" s="40">
        <v>2.11</v>
      </c>
      <c r="E21" s="40">
        <v>5.65</v>
      </c>
      <c r="F21" s="40">
        <v>1.93</v>
      </c>
      <c r="G21" s="40">
        <v>14.49</v>
      </c>
      <c r="H21" s="40">
        <v>6.95</v>
      </c>
      <c r="I21" s="40">
        <v>6.52</v>
      </c>
      <c r="J21" s="40">
        <v>1.0900000000000001</v>
      </c>
      <c r="K21" s="40">
        <v>265.70999999999998</v>
      </c>
      <c r="L21" s="40">
        <v>25.32</v>
      </c>
      <c r="M21" s="40">
        <v>100.13</v>
      </c>
      <c r="N21" s="40">
        <v>167.2</v>
      </c>
      <c r="O21" s="40">
        <v>0</v>
      </c>
      <c r="P21" s="40">
        <v>0.22</v>
      </c>
      <c r="Q21" s="27" t="s">
        <v>8</v>
      </c>
      <c r="R21" s="38"/>
      <c r="S21" s="38"/>
      <c r="T21" s="38"/>
      <c r="U21" s="38"/>
    </row>
    <row r="22" spans="1:21" customFormat="1">
      <c r="A22" s="39">
        <v>45844.583333333336</v>
      </c>
      <c r="B22" s="40">
        <v>2.96</v>
      </c>
      <c r="C22" s="40">
        <v>4.9800000000000004</v>
      </c>
      <c r="D22" s="40">
        <v>2.09</v>
      </c>
      <c r="E22" s="40">
        <v>5.62</v>
      </c>
      <c r="F22" s="40">
        <v>2.4300000000000002</v>
      </c>
      <c r="G22" s="40">
        <v>12.45</v>
      </c>
      <c r="H22" s="40">
        <v>6.95</v>
      </c>
      <c r="I22" s="40">
        <v>6.05</v>
      </c>
      <c r="J22" s="40">
        <v>0.88</v>
      </c>
      <c r="K22" s="40">
        <v>268.43</v>
      </c>
      <c r="L22" s="40">
        <v>25.88</v>
      </c>
      <c r="M22" s="40">
        <v>100.13</v>
      </c>
      <c r="N22" s="40">
        <v>172.7</v>
      </c>
      <c r="O22" s="40">
        <v>0</v>
      </c>
      <c r="P22" s="40">
        <v>0.24</v>
      </c>
      <c r="Q22" s="27" t="s">
        <v>8</v>
      </c>
      <c r="R22" s="38"/>
      <c r="S22" s="38"/>
      <c r="T22" s="38"/>
      <c r="U22" s="38"/>
    </row>
    <row r="23" spans="1:21" customFormat="1">
      <c r="A23" s="39">
        <v>45844.625</v>
      </c>
      <c r="B23" s="40">
        <v>2.94</v>
      </c>
      <c r="C23" s="40">
        <v>4.99</v>
      </c>
      <c r="D23" s="40">
        <v>2.1</v>
      </c>
      <c r="E23" s="40">
        <v>6.02</v>
      </c>
      <c r="F23" s="40">
        <v>2.36</v>
      </c>
      <c r="G23" s="40">
        <v>13.66</v>
      </c>
      <c r="H23" s="40">
        <v>6.85</v>
      </c>
      <c r="I23" s="40">
        <v>6.91</v>
      </c>
      <c r="J23" s="40">
        <v>0.85</v>
      </c>
      <c r="K23" s="40">
        <v>265.62</v>
      </c>
      <c r="L23" s="40">
        <v>26.38</v>
      </c>
      <c r="M23" s="40">
        <v>95.5</v>
      </c>
      <c r="N23" s="40">
        <v>144.30000000000001</v>
      </c>
      <c r="O23" s="40">
        <v>0.2</v>
      </c>
      <c r="P23" s="40">
        <v>0.31</v>
      </c>
      <c r="Q23" s="27" t="s">
        <v>8</v>
      </c>
      <c r="R23" s="38"/>
      <c r="S23" s="38"/>
      <c r="T23" s="38"/>
      <c r="U23" s="38"/>
    </row>
    <row r="24" spans="1:21" customFormat="1">
      <c r="A24" s="39">
        <v>45844.666666666664</v>
      </c>
      <c r="B24" s="40">
        <v>3.02</v>
      </c>
      <c r="C24" s="40">
        <v>5.03</v>
      </c>
      <c r="D24" s="40">
        <v>2.11</v>
      </c>
      <c r="E24" s="40">
        <v>6.08</v>
      </c>
      <c r="F24" s="40">
        <v>3.12</v>
      </c>
      <c r="G24" s="40">
        <v>19.239999999999998</v>
      </c>
      <c r="H24" s="40">
        <v>8.69</v>
      </c>
      <c r="I24" s="40">
        <v>8.33</v>
      </c>
      <c r="J24" s="40">
        <v>0.84</v>
      </c>
      <c r="K24" s="40">
        <v>264.27</v>
      </c>
      <c r="L24" s="40">
        <v>26.42</v>
      </c>
      <c r="M24" s="40">
        <v>91.79</v>
      </c>
      <c r="N24" s="40">
        <v>111.8</v>
      </c>
      <c r="O24" s="40">
        <v>0</v>
      </c>
      <c r="P24" s="40">
        <v>0.32</v>
      </c>
      <c r="Q24" s="27" t="s">
        <v>8</v>
      </c>
      <c r="R24" s="38"/>
      <c r="S24" s="38"/>
      <c r="T24" s="38"/>
      <c r="U24" s="38"/>
    </row>
    <row r="25" spans="1:21" customFormat="1">
      <c r="A25" s="39">
        <v>45844.708333333336</v>
      </c>
      <c r="B25" s="40">
        <v>3.09</v>
      </c>
      <c r="C25" s="40">
        <v>5.03</v>
      </c>
      <c r="D25" s="40">
        <v>2.04</v>
      </c>
      <c r="E25" s="40">
        <v>5.47</v>
      </c>
      <c r="F25" s="40">
        <v>2.62</v>
      </c>
      <c r="G25" s="40">
        <v>20.3</v>
      </c>
      <c r="H25" s="40">
        <v>8.7100000000000009</v>
      </c>
      <c r="I25" s="40">
        <v>8.5399999999999991</v>
      </c>
      <c r="J25" s="40">
        <v>0.86</v>
      </c>
      <c r="K25" s="40">
        <v>268.64999999999998</v>
      </c>
      <c r="L25" s="40">
        <v>26.21</v>
      </c>
      <c r="M25" s="40">
        <v>96.32</v>
      </c>
      <c r="N25" s="40">
        <v>58.9</v>
      </c>
      <c r="O25" s="40">
        <v>0.6</v>
      </c>
      <c r="P25" s="40">
        <v>0.32</v>
      </c>
      <c r="Q25" s="27" t="s">
        <v>8</v>
      </c>
      <c r="R25" s="38"/>
      <c r="S25" s="38"/>
      <c r="T25" s="38"/>
      <c r="U25" s="38"/>
    </row>
    <row r="26" spans="1:21" customFormat="1">
      <c r="A26" s="39">
        <v>45844.75</v>
      </c>
      <c r="B26" s="40">
        <v>3.17</v>
      </c>
      <c r="C26" s="40">
        <v>5.05</v>
      </c>
      <c r="D26" s="40">
        <v>2.0299999999999998</v>
      </c>
      <c r="E26" s="40">
        <v>5.19</v>
      </c>
      <c r="F26" s="40">
        <v>2.73</v>
      </c>
      <c r="G26" s="40">
        <v>25.22</v>
      </c>
      <c r="H26" s="40">
        <v>10.87</v>
      </c>
      <c r="I26" s="40">
        <v>8.75</v>
      </c>
      <c r="J26" s="40">
        <v>0.69</v>
      </c>
      <c r="K26" s="40">
        <v>266.14999999999998</v>
      </c>
      <c r="L26" s="40">
        <v>25.72</v>
      </c>
      <c r="M26" s="40">
        <v>95.7</v>
      </c>
      <c r="N26" s="40">
        <v>56.9</v>
      </c>
      <c r="O26" s="40">
        <v>0</v>
      </c>
      <c r="P26" s="40">
        <v>0.35</v>
      </c>
      <c r="Q26" s="27" t="s">
        <v>8</v>
      </c>
      <c r="R26" s="38"/>
      <c r="S26" s="38"/>
      <c r="T26" s="38"/>
      <c r="U26" s="38"/>
    </row>
    <row r="27" spans="1:21" customFormat="1">
      <c r="A27" s="39">
        <v>45844.791666666664</v>
      </c>
      <c r="B27" s="40">
        <v>3.15</v>
      </c>
      <c r="C27" s="40">
        <v>5.07</v>
      </c>
      <c r="D27" s="40">
        <v>2.04</v>
      </c>
      <c r="E27" s="40">
        <v>5.5</v>
      </c>
      <c r="F27" s="40">
        <v>2.5499999999999998</v>
      </c>
      <c r="G27" s="40">
        <v>26.98</v>
      </c>
      <c r="H27" s="40">
        <v>10.87</v>
      </c>
      <c r="I27" s="40">
        <v>8.68</v>
      </c>
      <c r="J27" s="40">
        <v>0.72</v>
      </c>
      <c r="K27" s="40">
        <v>265.06</v>
      </c>
      <c r="L27" s="40">
        <v>25.71</v>
      </c>
      <c r="M27" s="40">
        <v>93.82</v>
      </c>
      <c r="N27" s="40">
        <v>16.2</v>
      </c>
      <c r="O27" s="40">
        <v>0</v>
      </c>
      <c r="P27" s="40">
        <v>0.39</v>
      </c>
      <c r="Q27" s="27" t="s">
        <v>8</v>
      </c>
      <c r="R27" s="38"/>
      <c r="S27" s="38"/>
      <c r="T27" s="38"/>
      <c r="U27" s="38"/>
    </row>
    <row r="28" spans="1:21" customFormat="1">
      <c r="A28" s="39">
        <v>45844.833333333336</v>
      </c>
      <c r="B28" s="40">
        <v>3.21</v>
      </c>
      <c r="C28" s="40">
        <v>5.12</v>
      </c>
      <c r="D28" s="40">
        <v>2.0699999999999998</v>
      </c>
      <c r="E28" s="40">
        <v>5.59</v>
      </c>
      <c r="F28" s="40">
        <v>2.2200000000000002</v>
      </c>
      <c r="G28" s="40">
        <v>28.45</v>
      </c>
      <c r="H28" s="40">
        <v>10.3</v>
      </c>
      <c r="I28" s="40">
        <v>9.23</v>
      </c>
      <c r="J28" s="40">
        <v>0.93</v>
      </c>
      <c r="K28" s="40">
        <v>268.02</v>
      </c>
      <c r="L28" s="40">
        <v>25.57</v>
      </c>
      <c r="M28" s="40">
        <v>95.65</v>
      </c>
      <c r="N28" s="40">
        <v>3.1</v>
      </c>
      <c r="O28" s="40">
        <v>0</v>
      </c>
      <c r="P28" s="40">
        <v>0.41</v>
      </c>
      <c r="Q28" s="27" t="s">
        <v>8</v>
      </c>
      <c r="R28" s="38"/>
      <c r="S28" s="38"/>
      <c r="T28" s="38"/>
      <c r="U28" s="38"/>
    </row>
    <row r="29" spans="1:21" customFormat="1">
      <c r="A29" s="39">
        <v>45844.875</v>
      </c>
      <c r="B29" s="40">
        <v>3.1</v>
      </c>
      <c r="C29" s="40">
        <v>5.14</v>
      </c>
      <c r="D29" s="40">
        <v>2.13</v>
      </c>
      <c r="E29" s="40">
        <v>5.49</v>
      </c>
      <c r="F29" s="40">
        <v>2.0699999999999998</v>
      </c>
      <c r="G29" s="40">
        <v>28.45</v>
      </c>
      <c r="H29" s="40">
        <v>10.3</v>
      </c>
      <c r="I29" s="40">
        <v>9.25</v>
      </c>
      <c r="J29" s="40">
        <v>0.56000000000000005</v>
      </c>
      <c r="K29" s="40">
        <v>261.2</v>
      </c>
      <c r="L29" s="40">
        <v>25.43</v>
      </c>
      <c r="M29" s="40">
        <v>97.17</v>
      </c>
      <c r="N29" s="40">
        <v>2.6</v>
      </c>
      <c r="O29" s="40">
        <v>0.2</v>
      </c>
      <c r="P29" s="40">
        <v>0.43</v>
      </c>
      <c r="Q29" s="27" t="s">
        <v>8</v>
      </c>
      <c r="R29" s="38"/>
      <c r="S29" s="38"/>
      <c r="T29" s="38"/>
      <c r="U29" s="38"/>
    </row>
    <row r="30" spans="1:21" customFormat="1">
      <c r="A30" s="39">
        <v>45844.916666666664</v>
      </c>
      <c r="B30" s="40">
        <v>2.91</v>
      </c>
      <c r="C30" s="40">
        <v>4.95</v>
      </c>
      <c r="D30" s="40">
        <v>2.08</v>
      </c>
      <c r="E30" s="40">
        <v>5.82</v>
      </c>
      <c r="F30" s="40">
        <v>2.0499999999999998</v>
      </c>
      <c r="G30" s="40">
        <v>25.62</v>
      </c>
      <c r="H30" s="40">
        <v>7.66</v>
      </c>
      <c r="I30" s="40">
        <v>8.9600000000000009</v>
      </c>
      <c r="J30" s="40">
        <v>0.6</v>
      </c>
      <c r="K30" s="40">
        <v>262.70999999999998</v>
      </c>
      <c r="L30" s="40">
        <v>24.91</v>
      </c>
      <c r="M30" s="40">
        <v>98.58</v>
      </c>
      <c r="N30" s="40">
        <v>2.4</v>
      </c>
      <c r="O30" s="40">
        <v>0</v>
      </c>
      <c r="P30" s="40">
        <v>0.38</v>
      </c>
      <c r="Q30" s="27" t="s">
        <v>8</v>
      </c>
      <c r="R30" s="38"/>
      <c r="S30" s="38"/>
      <c r="T30" s="38"/>
      <c r="U30" s="38"/>
    </row>
    <row r="31" spans="1:21" customFormat="1">
      <c r="A31" s="39">
        <v>45844.958333333336</v>
      </c>
      <c r="B31" s="40">
        <v>2.8</v>
      </c>
      <c r="C31" s="40">
        <v>4.78</v>
      </c>
      <c r="D31" s="40">
        <v>2.0299999999999998</v>
      </c>
      <c r="E31" s="40">
        <v>5.95</v>
      </c>
      <c r="F31" s="40">
        <v>2.64</v>
      </c>
      <c r="G31" s="40">
        <v>18.96</v>
      </c>
      <c r="H31" s="40">
        <v>9.3699999999999992</v>
      </c>
      <c r="I31" s="40">
        <v>7.72</v>
      </c>
      <c r="J31" s="40">
        <v>0.66</v>
      </c>
      <c r="K31" s="40">
        <v>261.2</v>
      </c>
      <c r="L31" s="40">
        <v>25.01</v>
      </c>
      <c r="M31" s="40">
        <v>98.72</v>
      </c>
      <c r="N31" s="40">
        <v>2.2000000000000002</v>
      </c>
      <c r="O31" s="40">
        <v>0</v>
      </c>
      <c r="P31" s="40">
        <v>0.31</v>
      </c>
      <c r="Q31" s="27" t="s">
        <v>8</v>
      </c>
      <c r="R31" s="38"/>
      <c r="S31" s="38"/>
      <c r="T31" s="38"/>
      <c r="U31" s="38"/>
    </row>
    <row r="32" spans="1:21" customFormat="1">
      <c r="A32" s="40">
        <v>45845</v>
      </c>
      <c r="B32" s="40">
        <v>2.74</v>
      </c>
      <c r="C32" s="40">
        <v>4.68</v>
      </c>
      <c r="D32" s="40">
        <v>1.98</v>
      </c>
      <c r="E32" s="40">
        <v>6</v>
      </c>
      <c r="F32" s="40">
        <v>2.14</v>
      </c>
      <c r="G32" s="40">
        <v>18.059999999999999</v>
      </c>
      <c r="H32" s="40">
        <v>9.85</v>
      </c>
      <c r="I32" s="40">
        <v>6.64</v>
      </c>
      <c r="J32" s="40">
        <v>0.54</v>
      </c>
      <c r="K32" s="40">
        <v>263.06</v>
      </c>
      <c r="L32" s="40">
        <v>25.1</v>
      </c>
      <c r="M32" s="40">
        <v>98.23</v>
      </c>
      <c r="N32" s="40">
        <v>2.5</v>
      </c>
      <c r="O32" s="40">
        <v>0</v>
      </c>
      <c r="P32" s="40">
        <v>0.27</v>
      </c>
      <c r="Q32" s="27" t="s">
        <v>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2.74</v>
      </c>
      <c r="C34" s="18">
        <f t="shared" si="0"/>
        <v>4.6500000000000004</v>
      </c>
      <c r="D34" s="18">
        <f t="shared" si="0"/>
        <v>1.89</v>
      </c>
      <c r="E34" s="18">
        <f t="shared" si="0"/>
        <v>4.2300000000000004</v>
      </c>
      <c r="F34" s="18">
        <f t="shared" si="0"/>
        <v>1.93</v>
      </c>
      <c r="G34" s="18">
        <f t="shared" si="0"/>
        <v>5.81</v>
      </c>
      <c r="H34" s="18">
        <f t="shared" si="0"/>
        <v>2.5099999999999998</v>
      </c>
      <c r="I34" s="18">
        <f t="shared" si="0"/>
        <v>4.57</v>
      </c>
      <c r="J34" s="18">
        <f t="shared" si="0"/>
        <v>0.54</v>
      </c>
      <c r="K34" s="18">
        <f t="shared" si="0"/>
        <v>260.93</v>
      </c>
      <c r="L34" s="18">
        <f t="shared" si="0"/>
        <v>24.09</v>
      </c>
      <c r="M34" s="18">
        <f t="shared" si="0"/>
        <v>88.52</v>
      </c>
      <c r="N34" s="18">
        <f t="shared" si="0"/>
        <v>2.2000000000000002</v>
      </c>
      <c r="O34" s="18">
        <f t="shared" si="0"/>
        <v>0</v>
      </c>
      <c r="P34" s="18">
        <f t="shared" si="0"/>
        <v>0.14000000000000001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3.28</v>
      </c>
      <c r="C35" s="3">
        <f t="shared" si="1"/>
        <v>5.23</v>
      </c>
      <c r="D35" s="3">
        <f t="shared" si="1"/>
        <v>2.15</v>
      </c>
      <c r="E35" s="3">
        <f t="shared" si="1"/>
        <v>6.26</v>
      </c>
      <c r="F35" s="3">
        <f t="shared" si="1"/>
        <v>3.12</v>
      </c>
      <c r="G35" s="3">
        <f t="shared" si="1"/>
        <v>37.03</v>
      </c>
      <c r="H35" s="3">
        <f t="shared" si="1"/>
        <v>13.34</v>
      </c>
      <c r="I35" s="3">
        <f t="shared" si="1"/>
        <v>9.25</v>
      </c>
      <c r="J35" s="3">
        <f t="shared" si="1"/>
        <v>1.24</v>
      </c>
      <c r="K35" s="3">
        <f t="shared" si="1"/>
        <v>270.35000000000002</v>
      </c>
      <c r="L35" s="3">
        <f t="shared" si="1"/>
        <v>26.42</v>
      </c>
      <c r="M35" s="3">
        <f t="shared" si="1"/>
        <v>100.13</v>
      </c>
      <c r="N35" s="3">
        <f t="shared" si="1"/>
        <v>172.7</v>
      </c>
      <c r="O35" s="3">
        <f t="shared" si="1"/>
        <v>3.8</v>
      </c>
      <c r="P35" s="3">
        <f t="shared" si="1"/>
        <v>0.43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2.9954166666666668</v>
      </c>
      <c r="C36" s="18">
        <f t="shared" si="2"/>
        <v>4.9491666666666676</v>
      </c>
      <c r="D36" s="18">
        <f t="shared" si="2"/>
        <v>2.0454166666666667</v>
      </c>
      <c r="E36" s="18">
        <f t="shared" si="2"/>
        <v>5.585</v>
      </c>
      <c r="F36" s="18">
        <f t="shared" si="2"/>
        <v>2.3387499999999997</v>
      </c>
      <c r="G36" s="18">
        <f t="shared" si="2"/>
        <v>18.979583333333334</v>
      </c>
      <c r="H36" s="18">
        <f t="shared" si="2"/>
        <v>8.0154166666666686</v>
      </c>
      <c r="I36" s="18">
        <f t="shared" si="2"/>
        <v>6.961666666666666</v>
      </c>
      <c r="J36" s="18">
        <f t="shared" si="2"/>
        <v>0.85166666666666657</v>
      </c>
      <c r="K36" s="18">
        <f t="shared" si="2"/>
        <v>264.49041666666659</v>
      </c>
      <c r="L36" s="18">
        <f t="shared" si="2"/>
        <v>25.133749999999996</v>
      </c>
      <c r="M36" s="18">
        <f t="shared" si="2"/>
        <v>96.747500000000016</v>
      </c>
      <c r="N36" s="18">
        <f t="shared" si="2"/>
        <v>40.820833333333333</v>
      </c>
      <c r="O36" s="18">
        <f t="shared" si="2"/>
        <v>0.44166666666666649</v>
      </c>
      <c r="P36" s="18">
        <f t="shared" si="2"/>
        <v>0.27166666666666667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0.15274244211478485</v>
      </c>
      <c r="C37" s="18">
        <f t="shared" ref="C37:Q37" si="3">STDEV(C9:C32)</f>
        <v>0.16311949918539087</v>
      </c>
      <c r="D37" s="18">
        <f t="shared" si="3"/>
        <v>7.9289188180475437E-2</v>
      </c>
      <c r="E37" s="18">
        <f t="shared" si="3"/>
        <v>0.49969555948988881</v>
      </c>
      <c r="F37" s="18">
        <f t="shared" si="3"/>
        <v>0.28483881788463355</v>
      </c>
      <c r="G37" s="18">
        <f t="shared" si="3"/>
        <v>7.529551911817439</v>
      </c>
      <c r="H37" s="18">
        <f t="shared" si="3"/>
        <v>2.8731364155429189</v>
      </c>
      <c r="I37" s="18">
        <f t="shared" si="3"/>
        <v>1.4680293406221678</v>
      </c>
      <c r="J37" s="18">
        <f t="shared" si="3"/>
        <v>0.18723773929016813</v>
      </c>
      <c r="K37" s="18">
        <f t="shared" si="3"/>
        <v>2.7935912358026957</v>
      </c>
      <c r="L37" s="18">
        <f t="shared" si="3"/>
        <v>0.71204428599448166</v>
      </c>
      <c r="M37" s="18">
        <f t="shared" si="3"/>
        <v>3.0374778582123731</v>
      </c>
      <c r="N37" s="18">
        <f t="shared" si="3"/>
        <v>55.225757846408456</v>
      </c>
      <c r="O37" s="18">
        <f t="shared" si="3"/>
        <v>0.87671157652092013</v>
      </c>
      <c r="P37" s="18">
        <f t="shared" si="3"/>
        <v>8.5040484817356377E-2</v>
      </c>
      <c r="Q37" s="18" t="e">
        <f t="shared" si="3"/>
        <v>#DIV/0!</v>
      </c>
      <c r="R37" s="18"/>
      <c r="S37" s="18"/>
      <c r="T37" s="18"/>
      <c r="U37" s="18"/>
    </row>
    <row r="38" spans="1:21">
      <c r="A38" s="34" t="s">
        <v>52</v>
      </c>
      <c r="B38" s="34">
        <f t="shared" ref="B38:P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>COUNT(Q9:Q32)+24</f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45845.041666666664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45845.041666666664</v>
      </c>
      <c r="B9" s="40">
        <v>2.81</v>
      </c>
      <c r="C9" s="40">
        <v>4.68</v>
      </c>
      <c r="D9" s="40">
        <v>1.97</v>
      </c>
      <c r="E9" s="40">
        <v>6.21</v>
      </c>
      <c r="F9" s="40">
        <v>2.62</v>
      </c>
      <c r="G9" s="40">
        <v>18.059999999999999</v>
      </c>
      <c r="H9" s="40">
        <v>11.22</v>
      </c>
      <c r="I9" s="40">
        <v>5.92</v>
      </c>
      <c r="J9" s="40">
        <v>0.42</v>
      </c>
      <c r="K9" s="40">
        <v>280.87</v>
      </c>
      <c r="L9" s="40">
        <v>25.1</v>
      </c>
      <c r="M9" s="40">
        <v>98.71</v>
      </c>
      <c r="N9" s="40">
        <v>2.6</v>
      </c>
      <c r="O9" s="40">
        <v>1.2</v>
      </c>
      <c r="P9" s="40">
        <v>0.23</v>
      </c>
      <c r="Q9" s="28" t="s">
        <v>15</v>
      </c>
      <c r="R9" s="38"/>
      <c r="S9" s="38"/>
      <c r="T9" s="38"/>
      <c r="U9" s="38"/>
    </row>
    <row r="10" spans="1:21" customFormat="1">
      <c r="A10" s="39">
        <v>45845.083333333336</v>
      </c>
      <c r="B10" s="40">
        <v>3.02</v>
      </c>
      <c r="C10" s="40">
        <v>4.87</v>
      </c>
      <c r="D10" s="40">
        <v>1.99</v>
      </c>
      <c r="E10" s="40">
        <v>6.29</v>
      </c>
      <c r="F10" s="40">
        <v>2.39</v>
      </c>
      <c r="G10" s="40">
        <v>14.76</v>
      </c>
      <c r="H10" s="40">
        <v>11.99</v>
      </c>
      <c r="I10" s="40">
        <v>6.05</v>
      </c>
      <c r="J10" s="40">
        <v>0.57999999999999996</v>
      </c>
      <c r="K10" s="40">
        <v>275.36</v>
      </c>
      <c r="L10" s="40">
        <v>24.72</v>
      </c>
      <c r="M10" s="40">
        <v>100.15</v>
      </c>
      <c r="N10" s="40">
        <v>2.7</v>
      </c>
      <c r="O10" s="40">
        <v>2.4</v>
      </c>
      <c r="P10" s="40">
        <v>0.21</v>
      </c>
      <c r="Q10" s="28" t="s">
        <v>15</v>
      </c>
      <c r="R10" s="38"/>
      <c r="S10" s="38"/>
      <c r="T10" s="38"/>
      <c r="U10" s="38"/>
    </row>
    <row r="11" spans="1:21" customFormat="1">
      <c r="A11" s="39">
        <v>45845.125</v>
      </c>
      <c r="B11" s="40">
        <v>3.13</v>
      </c>
      <c r="C11" s="40">
        <v>4.9800000000000004</v>
      </c>
      <c r="D11" s="40">
        <v>1.97</v>
      </c>
      <c r="E11" s="40">
        <v>6.1</v>
      </c>
      <c r="F11" s="40">
        <v>2.15</v>
      </c>
      <c r="G11" s="40">
        <v>10.33</v>
      </c>
      <c r="H11" s="40">
        <v>11.99</v>
      </c>
      <c r="I11" s="40">
        <v>6.55</v>
      </c>
      <c r="J11" s="40">
        <v>0.55000000000000004</v>
      </c>
      <c r="K11" s="40">
        <v>263.14999999999998</v>
      </c>
      <c r="L11" s="40">
        <v>24.46</v>
      </c>
      <c r="M11" s="40">
        <v>100.16</v>
      </c>
      <c r="N11" s="40">
        <v>2.5</v>
      </c>
      <c r="O11" s="40">
        <v>0.8</v>
      </c>
      <c r="P11" s="40">
        <v>0.22</v>
      </c>
      <c r="Q11" s="28" t="s">
        <v>15</v>
      </c>
      <c r="R11" s="38"/>
      <c r="S11" s="38"/>
      <c r="T11" s="38"/>
      <c r="U11" s="38"/>
    </row>
    <row r="12" spans="1:21" customFormat="1">
      <c r="A12" s="39">
        <v>45845.166666666664</v>
      </c>
      <c r="B12" s="40">
        <v>3.18</v>
      </c>
      <c r="C12" s="40">
        <v>4.97</v>
      </c>
      <c r="D12" s="40">
        <v>1.94</v>
      </c>
      <c r="E12" s="40">
        <v>5.78</v>
      </c>
      <c r="F12" s="40">
        <v>2.2799999999999998</v>
      </c>
      <c r="G12" s="40">
        <v>7.5</v>
      </c>
      <c r="H12" s="40">
        <v>8.86</v>
      </c>
      <c r="I12" s="40">
        <v>6.6</v>
      </c>
      <c r="J12" s="40">
        <v>0.75</v>
      </c>
      <c r="K12" s="40">
        <v>262.41000000000003</v>
      </c>
      <c r="L12" s="40">
        <v>24.45</v>
      </c>
      <c r="M12" s="40">
        <v>100.17</v>
      </c>
      <c r="N12" s="40">
        <v>2.5</v>
      </c>
      <c r="O12" s="40">
        <v>0.8</v>
      </c>
      <c r="P12" s="40">
        <v>0.21</v>
      </c>
      <c r="Q12" s="28" t="s">
        <v>15</v>
      </c>
      <c r="R12" s="38"/>
      <c r="S12" s="38"/>
      <c r="T12" s="38"/>
      <c r="U12" s="38"/>
    </row>
    <row r="13" spans="1:21" customFormat="1">
      <c r="A13" s="39">
        <v>45845.208333333336</v>
      </c>
      <c r="B13" s="40">
        <v>3.2</v>
      </c>
      <c r="C13" s="40">
        <v>5</v>
      </c>
      <c r="D13" s="40">
        <v>1.94</v>
      </c>
      <c r="E13" s="40">
        <v>5.61</v>
      </c>
      <c r="F13" s="40">
        <v>1.95</v>
      </c>
      <c r="G13" s="40">
        <v>8.58</v>
      </c>
      <c r="H13" s="40">
        <v>8.1999999999999993</v>
      </c>
      <c r="I13" s="40">
        <v>6.31</v>
      </c>
      <c r="J13" s="40">
        <v>0.66</v>
      </c>
      <c r="K13" s="40">
        <v>263.51</v>
      </c>
      <c r="L13" s="40">
        <v>24.37</v>
      </c>
      <c r="M13" s="40">
        <v>100.18</v>
      </c>
      <c r="N13" s="40">
        <v>2.4</v>
      </c>
      <c r="O13" s="40">
        <v>1.2</v>
      </c>
      <c r="P13" s="40">
        <v>0.2</v>
      </c>
      <c r="Q13" s="28" t="s">
        <v>15</v>
      </c>
      <c r="R13" s="38"/>
      <c r="S13" s="38"/>
      <c r="T13" s="38"/>
      <c r="U13" s="38"/>
    </row>
    <row r="14" spans="1:21" customFormat="1">
      <c r="A14" s="39">
        <v>45845.25</v>
      </c>
      <c r="B14" s="40">
        <v>3.24</v>
      </c>
      <c r="C14" s="40">
        <v>5.19</v>
      </c>
      <c r="D14" s="40">
        <v>2.08</v>
      </c>
      <c r="E14" s="40">
        <v>5.78</v>
      </c>
      <c r="F14" s="40">
        <v>2.17</v>
      </c>
      <c r="G14" s="40">
        <v>15.99</v>
      </c>
      <c r="H14" s="40">
        <v>7.94</v>
      </c>
      <c r="I14" s="40">
        <v>6.15</v>
      </c>
      <c r="J14" s="40">
        <v>0.48</v>
      </c>
      <c r="K14" s="40">
        <v>267.88</v>
      </c>
      <c r="L14" s="40">
        <v>24.41</v>
      </c>
      <c r="M14" s="40">
        <v>100.18</v>
      </c>
      <c r="N14" s="40">
        <v>3.9</v>
      </c>
      <c r="O14" s="40">
        <v>0.6</v>
      </c>
      <c r="P14" s="40">
        <v>0.22</v>
      </c>
      <c r="Q14" s="28" t="s">
        <v>15</v>
      </c>
      <c r="R14" s="38"/>
      <c r="S14" s="38"/>
      <c r="T14" s="38"/>
      <c r="U14" s="38"/>
    </row>
    <row r="15" spans="1:21" customFormat="1">
      <c r="A15" s="39">
        <v>45845.291666666664</v>
      </c>
      <c r="B15" s="40">
        <v>3.5</v>
      </c>
      <c r="C15" s="40">
        <v>5.57</v>
      </c>
      <c r="D15" s="40">
        <v>2.21</v>
      </c>
      <c r="E15" s="40">
        <v>5.66</v>
      </c>
      <c r="F15" s="40">
        <v>2.23</v>
      </c>
      <c r="G15" s="40">
        <v>15.99</v>
      </c>
      <c r="H15" s="40">
        <v>7.94</v>
      </c>
      <c r="I15" s="40">
        <v>7.24</v>
      </c>
      <c r="J15" s="40">
        <v>0.46</v>
      </c>
      <c r="K15" s="40">
        <v>299.60000000000002</v>
      </c>
      <c r="L15" s="40">
        <v>24.44</v>
      </c>
      <c r="M15" s="40">
        <v>100.18</v>
      </c>
      <c r="N15" s="40">
        <v>9.6999999999999993</v>
      </c>
      <c r="O15" s="40">
        <v>1</v>
      </c>
      <c r="P15" s="40">
        <v>0.25</v>
      </c>
      <c r="Q15" s="28" t="s">
        <v>15</v>
      </c>
      <c r="R15" s="38"/>
      <c r="S15" s="38"/>
      <c r="T15" s="38"/>
      <c r="U15" s="38"/>
    </row>
    <row r="16" spans="1:21" customFormat="1">
      <c r="A16" s="39">
        <v>45845.333333333336</v>
      </c>
      <c r="B16" s="40">
        <v>3.99</v>
      </c>
      <c r="C16" s="40">
        <v>6.07</v>
      </c>
      <c r="D16" s="40">
        <v>2.29</v>
      </c>
      <c r="E16" s="40">
        <v>6.04</v>
      </c>
      <c r="F16" s="40">
        <v>1.9</v>
      </c>
      <c r="G16" s="40">
        <v>13.39</v>
      </c>
      <c r="H16" s="40">
        <v>7.48</v>
      </c>
      <c r="I16" s="40">
        <v>7.3</v>
      </c>
      <c r="J16" s="40">
        <v>0.47</v>
      </c>
      <c r="K16" s="40">
        <v>347.28</v>
      </c>
      <c r="L16" s="40">
        <v>24.41</v>
      </c>
      <c r="M16" s="40">
        <v>100.18</v>
      </c>
      <c r="N16" s="40">
        <v>16</v>
      </c>
      <c r="O16" s="40">
        <v>5.8</v>
      </c>
      <c r="P16" s="40">
        <v>0.25</v>
      </c>
      <c r="Q16" s="28" t="s">
        <v>15</v>
      </c>
      <c r="R16" s="38"/>
      <c r="S16" s="38"/>
      <c r="T16" s="38"/>
      <c r="U16" s="38"/>
    </row>
    <row r="17" spans="1:21" customFormat="1">
      <c r="A17" s="39">
        <v>45845.375</v>
      </c>
      <c r="B17" s="40">
        <v>4.16</v>
      </c>
      <c r="C17" s="40">
        <v>6.22</v>
      </c>
      <c r="D17" s="40">
        <v>2.31</v>
      </c>
      <c r="E17" s="40">
        <v>6.28</v>
      </c>
      <c r="F17" s="40">
        <v>1.84</v>
      </c>
      <c r="G17" s="40">
        <v>13.39</v>
      </c>
      <c r="H17" s="40">
        <v>5.57</v>
      </c>
      <c r="I17" s="40">
        <v>7.07</v>
      </c>
      <c r="J17" s="40">
        <v>1.1499999999999999</v>
      </c>
      <c r="K17" s="40">
        <v>309.8</v>
      </c>
      <c r="L17" s="40">
        <v>24.37</v>
      </c>
      <c r="M17" s="40">
        <v>100.19</v>
      </c>
      <c r="N17" s="40">
        <v>24.2</v>
      </c>
      <c r="O17" s="40">
        <v>0.6</v>
      </c>
      <c r="P17" s="40">
        <v>0.24</v>
      </c>
      <c r="Q17" s="28" t="s">
        <v>15</v>
      </c>
      <c r="R17" s="38"/>
      <c r="S17" s="38"/>
      <c r="T17" s="38"/>
      <c r="U17" s="38"/>
    </row>
    <row r="18" spans="1:21" customFormat="1">
      <c r="A18" s="39">
        <v>45845.416666666664</v>
      </c>
      <c r="B18" s="40">
        <v>4.1100000000000003</v>
      </c>
      <c r="C18" s="40">
        <v>6.16</v>
      </c>
      <c r="D18" s="40">
        <v>2.2999999999999998</v>
      </c>
      <c r="E18" s="40">
        <v>6.34</v>
      </c>
      <c r="F18" s="40">
        <v>2.21</v>
      </c>
      <c r="G18" s="40">
        <v>11.76</v>
      </c>
      <c r="H18" s="40">
        <v>4.16</v>
      </c>
      <c r="I18" s="40">
        <v>6.79</v>
      </c>
      <c r="J18" s="40">
        <v>0.9</v>
      </c>
      <c r="K18" s="40">
        <v>294.23</v>
      </c>
      <c r="L18" s="40">
        <v>24.53</v>
      </c>
      <c r="M18" s="40">
        <v>100.2</v>
      </c>
      <c r="N18" s="40">
        <v>102.7</v>
      </c>
      <c r="O18" s="40">
        <v>0.2</v>
      </c>
      <c r="P18" s="40">
        <v>0.24</v>
      </c>
      <c r="Q18" s="28" t="s">
        <v>15</v>
      </c>
      <c r="R18" s="38"/>
      <c r="S18" s="38"/>
      <c r="T18" s="38"/>
      <c r="U18" s="38"/>
    </row>
    <row r="19" spans="1:21" customFormat="1">
      <c r="A19" s="39">
        <v>45845.458333333336</v>
      </c>
      <c r="B19" s="40">
        <v>3.98</v>
      </c>
      <c r="C19" s="40">
        <v>6.05</v>
      </c>
      <c r="D19" s="40">
        <v>2.2799999999999998</v>
      </c>
      <c r="E19" s="40">
        <v>5.08</v>
      </c>
      <c r="F19" s="40">
        <v>1.97</v>
      </c>
      <c r="G19" s="40">
        <v>8.94</v>
      </c>
      <c r="H19" s="40">
        <v>3.93</v>
      </c>
      <c r="I19" s="40">
        <v>6.38</v>
      </c>
      <c r="J19" s="40">
        <v>0.93</v>
      </c>
      <c r="K19" s="40">
        <v>291.27999999999997</v>
      </c>
      <c r="L19" s="40">
        <v>24.75</v>
      </c>
      <c r="M19" s="40">
        <v>100.2</v>
      </c>
      <c r="N19" s="40">
        <v>98.2</v>
      </c>
      <c r="O19" s="40">
        <v>0.6</v>
      </c>
      <c r="P19" s="40">
        <v>0.24</v>
      </c>
      <c r="Q19" s="28" t="s">
        <v>15</v>
      </c>
      <c r="R19" s="38"/>
      <c r="S19" s="38"/>
      <c r="T19" s="38"/>
      <c r="U19" s="38"/>
    </row>
    <row r="20" spans="1:21" customFormat="1">
      <c r="A20" s="39">
        <v>45845.5</v>
      </c>
      <c r="B20" s="40">
        <v>4.05</v>
      </c>
      <c r="C20" s="40">
        <v>6.65</v>
      </c>
      <c r="D20" s="40">
        <v>2.84</v>
      </c>
      <c r="E20" s="40">
        <v>4.78</v>
      </c>
      <c r="F20" s="40">
        <v>3.87</v>
      </c>
      <c r="G20" s="40">
        <v>6.47</v>
      </c>
      <c r="H20" s="40">
        <v>3.93</v>
      </c>
      <c r="I20" s="40">
        <v>6.25</v>
      </c>
      <c r="J20" s="40">
        <v>1.04</v>
      </c>
      <c r="K20" s="40">
        <v>299.83</v>
      </c>
      <c r="L20" s="40">
        <v>24.83</v>
      </c>
      <c r="M20" s="40">
        <v>100.13</v>
      </c>
      <c r="N20" s="40">
        <v>97.8</v>
      </c>
      <c r="O20" s="40">
        <v>0.6</v>
      </c>
      <c r="P20" s="40">
        <v>0.21</v>
      </c>
      <c r="Q20" s="28" t="s">
        <v>15</v>
      </c>
      <c r="R20" s="38"/>
      <c r="S20" s="38"/>
      <c r="T20" s="38"/>
      <c r="U20" s="38"/>
    </row>
    <row r="21" spans="1:21" customFormat="1">
      <c r="A21" s="39">
        <v>45845.541666666664</v>
      </c>
      <c r="B21" s="40">
        <v>3.61</v>
      </c>
      <c r="C21" s="40">
        <v>6.78</v>
      </c>
      <c r="D21" s="40">
        <v>3.1</v>
      </c>
      <c r="E21" s="40">
        <v>2.7</v>
      </c>
      <c r="F21" s="40">
        <v>6.76</v>
      </c>
      <c r="G21" s="10" t="s">
        <v>12</v>
      </c>
      <c r="H21" s="10" t="s">
        <v>12</v>
      </c>
      <c r="I21" s="40">
        <v>5.93</v>
      </c>
      <c r="J21" s="40">
        <v>1</v>
      </c>
      <c r="K21" s="40">
        <v>294.41000000000003</v>
      </c>
      <c r="L21" s="40">
        <v>24.45</v>
      </c>
      <c r="M21" s="40">
        <v>100.19</v>
      </c>
      <c r="N21" s="40">
        <v>54.7</v>
      </c>
      <c r="O21" s="40">
        <v>1.6</v>
      </c>
      <c r="P21" s="40">
        <v>0.2</v>
      </c>
      <c r="Q21" s="40">
        <v>10</v>
      </c>
      <c r="R21" s="38"/>
      <c r="S21" s="38"/>
      <c r="T21" s="38"/>
      <c r="U21" s="38"/>
    </row>
    <row r="22" spans="1:21" customFormat="1">
      <c r="A22" s="39">
        <v>45845.583333333336</v>
      </c>
      <c r="B22" s="40">
        <v>3.12</v>
      </c>
      <c r="C22" s="40">
        <v>5.46</v>
      </c>
      <c r="D22" s="40">
        <v>2.4</v>
      </c>
      <c r="E22" s="40">
        <v>2.15</v>
      </c>
      <c r="F22" s="40">
        <v>7.6</v>
      </c>
      <c r="G22" s="40">
        <v>19.850000000000001</v>
      </c>
      <c r="H22" s="10" t="s">
        <v>12</v>
      </c>
      <c r="I22" s="40">
        <v>5.82</v>
      </c>
      <c r="J22" s="40">
        <v>0.92</v>
      </c>
      <c r="K22" s="40">
        <v>265.77999999999997</v>
      </c>
      <c r="L22" s="40">
        <v>24.12</v>
      </c>
      <c r="M22" s="40">
        <v>100.22</v>
      </c>
      <c r="N22" s="40">
        <v>27.9</v>
      </c>
      <c r="O22" s="40">
        <v>8</v>
      </c>
      <c r="P22" s="40">
        <v>0.23</v>
      </c>
      <c r="Q22" s="40">
        <v>9.98</v>
      </c>
      <c r="R22" s="38"/>
      <c r="S22" s="38"/>
      <c r="T22" s="38"/>
      <c r="U22" s="38"/>
    </row>
    <row r="23" spans="1:21" customFormat="1">
      <c r="A23" s="39">
        <v>45845.625</v>
      </c>
      <c r="B23" s="40">
        <v>2.66</v>
      </c>
      <c r="C23" s="40">
        <v>5.05</v>
      </c>
      <c r="D23" s="40">
        <v>2.42</v>
      </c>
      <c r="E23" s="40">
        <v>1.54</v>
      </c>
      <c r="F23" s="40">
        <v>9.81</v>
      </c>
      <c r="G23" s="40">
        <v>19.850000000000001</v>
      </c>
      <c r="H23" s="10" t="s">
        <v>12</v>
      </c>
      <c r="I23" s="40">
        <v>7.82</v>
      </c>
      <c r="J23" s="40">
        <v>0.91</v>
      </c>
      <c r="K23" s="40">
        <v>273.06</v>
      </c>
      <c r="L23" s="40">
        <v>23.94</v>
      </c>
      <c r="M23" s="40">
        <v>100.22</v>
      </c>
      <c r="N23" s="40">
        <v>50.6</v>
      </c>
      <c r="O23" s="40">
        <v>4.8</v>
      </c>
      <c r="P23" s="40">
        <v>0.33</v>
      </c>
      <c r="Q23" s="40">
        <v>9.93</v>
      </c>
      <c r="R23" s="38"/>
      <c r="S23" s="38"/>
      <c r="T23" s="38"/>
      <c r="U23" s="38"/>
    </row>
    <row r="24" spans="1:21" customFormat="1">
      <c r="A24" s="39">
        <v>45845.666666666664</v>
      </c>
      <c r="B24" s="40">
        <v>2.67</v>
      </c>
      <c r="C24" s="40">
        <v>4.8499999999999996</v>
      </c>
      <c r="D24" s="40">
        <v>2.2000000000000002</v>
      </c>
      <c r="E24" s="40">
        <v>1.38</v>
      </c>
      <c r="F24" s="40">
        <v>2.7</v>
      </c>
      <c r="G24" s="40">
        <v>14.5</v>
      </c>
      <c r="H24" s="40">
        <v>0.06</v>
      </c>
      <c r="I24" s="40">
        <v>9.14</v>
      </c>
      <c r="J24" s="40">
        <v>0.97</v>
      </c>
      <c r="K24" s="40">
        <v>265</v>
      </c>
      <c r="L24" s="40">
        <v>23.9</v>
      </c>
      <c r="M24" s="40">
        <v>100.23</v>
      </c>
      <c r="N24" s="40">
        <v>67.8</v>
      </c>
      <c r="O24" s="40">
        <v>0.2</v>
      </c>
      <c r="P24" s="40">
        <v>0.3</v>
      </c>
      <c r="Q24" s="40">
        <v>9.92</v>
      </c>
      <c r="R24" s="38"/>
      <c r="S24" s="38"/>
      <c r="T24" s="38"/>
      <c r="U24" s="38"/>
    </row>
    <row r="25" spans="1:21" customFormat="1">
      <c r="A25" s="39">
        <v>45845.708333333336</v>
      </c>
      <c r="B25" s="40">
        <v>2.7</v>
      </c>
      <c r="C25" s="40">
        <v>4.87</v>
      </c>
      <c r="D25" s="40">
        <v>2.17</v>
      </c>
      <c r="E25" s="40">
        <v>2.4900000000000002</v>
      </c>
      <c r="F25" s="40">
        <v>2.69</v>
      </c>
      <c r="G25" s="40">
        <v>12.02</v>
      </c>
      <c r="H25" s="40">
        <v>0.09</v>
      </c>
      <c r="I25" s="40">
        <v>7.61</v>
      </c>
      <c r="J25" s="40">
        <v>0.94</v>
      </c>
      <c r="K25" s="40">
        <v>262.62</v>
      </c>
      <c r="L25" s="40">
        <v>24.09</v>
      </c>
      <c r="M25" s="40">
        <v>100.23</v>
      </c>
      <c r="N25" s="40">
        <v>33.4</v>
      </c>
      <c r="O25" s="40">
        <v>0</v>
      </c>
      <c r="P25" s="40">
        <v>0.28999999999999998</v>
      </c>
      <c r="Q25" s="40">
        <v>9.92</v>
      </c>
      <c r="R25" s="38"/>
      <c r="S25" s="38"/>
      <c r="T25" s="38"/>
      <c r="U25" s="38"/>
    </row>
    <row r="26" spans="1:21" customFormat="1">
      <c r="A26" s="39">
        <v>45845.75</v>
      </c>
      <c r="B26" s="40">
        <v>2.69</v>
      </c>
      <c r="C26" s="40">
        <v>4.8099999999999996</v>
      </c>
      <c r="D26" s="40">
        <v>2.12</v>
      </c>
      <c r="E26" s="40">
        <v>3.1</v>
      </c>
      <c r="F26" s="40">
        <v>2.64</v>
      </c>
      <c r="G26" s="40">
        <v>10.71</v>
      </c>
      <c r="H26" s="40">
        <v>0.42</v>
      </c>
      <c r="I26" s="40">
        <v>7.27</v>
      </c>
      <c r="J26" s="40">
        <v>0.86</v>
      </c>
      <c r="K26" s="40">
        <v>262.91000000000003</v>
      </c>
      <c r="L26" s="40">
        <v>24.28</v>
      </c>
      <c r="M26" s="40">
        <v>100.23</v>
      </c>
      <c r="N26" s="40">
        <v>14</v>
      </c>
      <c r="O26" s="40">
        <v>0.2</v>
      </c>
      <c r="P26" s="40">
        <v>0.26</v>
      </c>
      <c r="Q26" s="40">
        <v>9.93</v>
      </c>
      <c r="R26" s="38"/>
      <c r="S26" s="38"/>
      <c r="T26" s="38"/>
      <c r="U26" s="38"/>
    </row>
    <row r="27" spans="1:21" customFormat="1">
      <c r="A27" s="39">
        <v>45845.791666666664</v>
      </c>
      <c r="B27" s="40">
        <v>2.65</v>
      </c>
      <c r="C27" s="40">
        <v>4.74</v>
      </c>
      <c r="D27" s="40">
        <v>2.09</v>
      </c>
      <c r="E27" s="40">
        <v>4.4000000000000004</v>
      </c>
      <c r="F27" s="40">
        <v>2.25</v>
      </c>
      <c r="G27" s="40">
        <v>7.85</v>
      </c>
      <c r="H27" s="40">
        <v>0.42</v>
      </c>
      <c r="I27" s="40">
        <v>6.47</v>
      </c>
      <c r="J27" s="40">
        <v>0.73</v>
      </c>
      <c r="K27" s="40">
        <v>266.58999999999997</v>
      </c>
      <c r="L27" s="40">
        <v>24.08</v>
      </c>
      <c r="M27" s="40">
        <v>97.92</v>
      </c>
      <c r="N27" s="40">
        <v>6</v>
      </c>
      <c r="O27" s="40">
        <v>0.2</v>
      </c>
      <c r="P27" s="40">
        <v>0.23</v>
      </c>
      <c r="Q27" s="40">
        <v>9.92</v>
      </c>
      <c r="R27" s="38"/>
      <c r="S27" s="38"/>
      <c r="T27" s="38"/>
      <c r="U27" s="38"/>
    </row>
    <row r="28" spans="1:21" customFormat="1">
      <c r="A28" s="39">
        <v>45845.833333333336</v>
      </c>
      <c r="B28" s="40">
        <v>2.65</v>
      </c>
      <c r="C28" s="40">
        <v>4.7</v>
      </c>
      <c r="D28" s="40">
        <v>2.0499999999999998</v>
      </c>
      <c r="E28" s="40">
        <v>4.91</v>
      </c>
      <c r="F28" s="40">
        <v>2.4300000000000002</v>
      </c>
      <c r="G28" s="40">
        <v>5.96</v>
      </c>
      <c r="H28" s="40">
        <v>3.34</v>
      </c>
      <c r="I28" s="40">
        <v>6</v>
      </c>
      <c r="J28" s="40">
        <v>0.75</v>
      </c>
      <c r="K28" s="40">
        <v>261.85000000000002</v>
      </c>
      <c r="L28" s="40">
        <v>24.16</v>
      </c>
      <c r="M28" s="40">
        <v>97.32</v>
      </c>
      <c r="N28" s="40">
        <v>2.6</v>
      </c>
      <c r="O28" s="40">
        <v>0.2</v>
      </c>
      <c r="P28" s="40">
        <v>0.22</v>
      </c>
      <c r="Q28" s="40">
        <v>9.92</v>
      </c>
      <c r="R28" s="38"/>
      <c r="S28" s="38"/>
      <c r="T28" s="38"/>
      <c r="U28" s="38"/>
    </row>
    <row r="29" spans="1:21" customFormat="1">
      <c r="A29" s="39">
        <v>45845.875</v>
      </c>
      <c r="B29" s="40">
        <v>2.74</v>
      </c>
      <c r="C29" s="40">
        <v>4.72</v>
      </c>
      <c r="D29" s="40">
        <v>2.0299999999999998</v>
      </c>
      <c r="E29" s="40">
        <v>4.82</v>
      </c>
      <c r="F29" s="40">
        <v>2.91</v>
      </c>
      <c r="G29" s="40">
        <v>7.16</v>
      </c>
      <c r="H29" s="40">
        <v>3.34</v>
      </c>
      <c r="I29" s="40">
        <v>5.63</v>
      </c>
      <c r="J29" s="40">
        <v>0.76</v>
      </c>
      <c r="K29" s="40">
        <v>261.99</v>
      </c>
      <c r="L29" s="40">
        <v>24.12</v>
      </c>
      <c r="M29" s="40">
        <v>97.75</v>
      </c>
      <c r="N29" s="40">
        <v>2.4</v>
      </c>
      <c r="O29" s="40">
        <v>0.2</v>
      </c>
      <c r="P29" s="40">
        <v>0.2</v>
      </c>
      <c r="Q29" s="40">
        <v>9.93</v>
      </c>
      <c r="R29" s="38"/>
      <c r="S29" s="38"/>
      <c r="T29" s="38"/>
      <c r="U29" s="38"/>
    </row>
    <row r="30" spans="1:21" customFormat="1">
      <c r="A30" s="39">
        <v>45845.916666666664</v>
      </c>
      <c r="B30" s="40">
        <v>2.81</v>
      </c>
      <c r="C30" s="40">
        <v>4.72</v>
      </c>
      <c r="D30" s="40">
        <v>1.94</v>
      </c>
      <c r="E30" s="40">
        <v>4.47</v>
      </c>
      <c r="F30" s="40">
        <v>2.73</v>
      </c>
      <c r="G30" s="40">
        <v>8.8699999999999992</v>
      </c>
      <c r="H30" s="40">
        <v>2.95</v>
      </c>
      <c r="I30" s="40">
        <v>5.43</v>
      </c>
      <c r="J30" s="40">
        <v>0.72</v>
      </c>
      <c r="K30" s="40">
        <v>261.18</v>
      </c>
      <c r="L30" s="40">
        <v>23.92</v>
      </c>
      <c r="M30" s="40">
        <v>98.87</v>
      </c>
      <c r="N30" s="40">
        <v>2.4</v>
      </c>
      <c r="O30" s="40">
        <v>0.2</v>
      </c>
      <c r="P30" s="40">
        <v>0.18</v>
      </c>
      <c r="Q30" s="40">
        <v>9.93</v>
      </c>
      <c r="R30" s="38"/>
      <c r="S30" s="38"/>
      <c r="T30" s="38"/>
      <c r="U30" s="38"/>
    </row>
    <row r="31" spans="1:21" customFormat="1">
      <c r="A31" s="39">
        <v>45845.958333333336</v>
      </c>
      <c r="B31" s="40">
        <v>2.86</v>
      </c>
      <c r="C31" s="40">
        <v>4.76</v>
      </c>
      <c r="D31" s="40">
        <v>1.9</v>
      </c>
      <c r="E31" s="40">
        <v>4.72</v>
      </c>
      <c r="F31" s="40">
        <v>2.2999999999999998</v>
      </c>
      <c r="G31" s="40">
        <v>8.8699999999999992</v>
      </c>
      <c r="H31" s="40">
        <v>3</v>
      </c>
      <c r="I31" s="40">
        <v>5.33</v>
      </c>
      <c r="J31" s="40">
        <v>0.76</v>
      </c>
      <c r="K31" s="40">
        <v>264.42</v>
      </c>
      <c r="L31" s="40">
        <v>23.92</v>
      </c>
      <c r="M31" s="40">
        <v>98.91</v>
      </c>
      <c r="N31" s="40">
        <v>3</v>
      </c>
      <c r="O31" s="40">
        <v>0</v>
      </c>
      <c r="P31" s="40">
        <v>0.18</v>
      </c>
      <c r="Q31" s="40">
        <v>9.93</v>
      </c>
      <c r="R31" s="38"/>
      <c r="S31" s="38"/>
      <c r="T31" s="38"/>
      <c r="U31" s="38"/>
    </row>
    <row r="32" spans="1:21" customFormat="1">
      <c r="A32" s="40">
        <v>45846</v>
      </c>
      <c r="B32" s="40">
        <v>2.89</v>
      </c>
      <c r="C32" s="40">
        <v>4.76</v>
      </c>
      <c r="D32" s="40">
        <v>1.89</v>
      </c>
      <c r="E32" s="40">
        <v>4.67</v>
      </c>
      <c r="F32" s="40">
        <v>2.13</v>
      </c>
      <c r="G32" s="40">
        <v>9.83</v>
      </c>
      <c r="H32" s="40">
        <v>3</v>
      </c>
      <c r="I32" s="40">
        <v>5.0999999999999996</v>
      </c>
      <c r="J32" s="40">
        <v>0.94</v>
      </c>
      <c r="K32" s="40">
        <v>262.17</v>
      </c>
      <c r="L32" s="40">
        <v>24.02</v>
      </c>
      <c r="M32" s="40">
        <v>98.07</v>
      </c>
      <c r="N32" s="40">
        <v>3.2</v>
      </c>
      <c r="O32" s="40">
        <v>0</v>
      </c>
      <c r="P32" s="40">
        <v>0.15</v>
      </c>
      <c r="Q32" s="40">
        <v>9.94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2.65</v>
      </c>
      <c r="C34" s="18">
        <f t="shared" si="0"/>
        <v>4.68</v>
      </c>
      <c r="D34" s="18">
        <f t="shared" si="0"/>
        <v>1.89</v>
      </c>
      <c r="E34" s="18">
        <f t="shared" si="0"/>
        <v>1.38</v>
      </c>
      <c r="F34" s="18">
        <f t="shared" si="0"/>
        <v>1.84</v>
      </c>
      <c r="G34" s="18">
        <f t="shared" si="0"/>
        <v>5.96</v>
      </c>
      <c r="H34" s="18">
        <f t="shared" si="0"/>
        <v>0.06</v>
      </c>
      <c r="I34" s="18">
        <f t="shared" si="0"/>
        <v>5.0999999999999996</v>
      </c>
      <c r="J34" s="18">
        <f t="shared" si="0"/>
        <v>0.42</v>
      </c>
      <c r="K34" s="18">
        <f t="shared" si="0"/>
        <v>261.18</v>
      </c>
      <c r="L34" s="18">
        <f t="shared" si="0"/>
        <v>23.9</v>
      </c>
      <c r="M34" s="18">
        <f t="shared" si="0"/>
        <v>97.32</v>
      </c>
      <c r="N34" s="18">
        <f t="shared" si="0"/>
        <v>2.4</v>
      </c>
      <c r="O34" s="18">
        <f t="shared" si="0"/>
        <v>0</v>
      </c>
      <c r="P34" s="18">
        <f t="shared" si="0"/>
        <v>0.15</v>
      </c>
      <c r="Q34" s="18">
        <f t="shared" si="0"/>
        <v>9.92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4.16</v>
      </c>
      <c r="C35" s="3">
        <f t="shared" si="1"/>
        <v>6.78</v>
      </c>
      <c r="D35" s="3">
        <f t="shared" si="1"/>
        <v>3.1</v>
      </c>
      <c r="E35" s="3">
        <f t="shared" si="1"/>
        <v>6.34</v>
      </c>
      <c r="F35" s="3">
        <f t="shared" si="1"/>
        <v>9.81</v>
      </c>
      <c r="G35" s="3">
        <f t="shared" si="1"/>
        <v>19.850000000000001</v>
      </c>
      <c r="H35" s="3">
        <f t="shared" si="1"/>
        <v>11.99</v>
      </c>
      <c r="I35" s="3">
        <f t="shared" si="1"/>
        <v>9.14</v>
      </c>
      <c r="J35" s="3">
        <f t="shared" si="1"/>
        <v>1.1499999999999999</v>
      </c>
      <c r="K35" s="3">
        <f t="shared" si="1"/>
        <v>347.28</v>
      </c>
      <c r="L35" s="3">
        <f t="shared" si="1"/>
        <v>25.1</v>
      </c>
      <c r="M35" s="3">
        <f t="shared" si="1"/>
        <v>100.23</v>
      </c>
      <c r="N35" s="3">
        <f t="shared" si="1"/>
        <v>102.7</v>
      </c>
      <c r="O35" s="3">
        <f t="shared" si="1"/>
        <v>8</v>
      </c>
      <c r="P35" s="3">
        <f t="shared" si="1"/>
        <v>0.33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3.1841666666666661</v>
      </c>
      <c r="C36" s="18">
        <f t="shared" si="2"/>
        <v>5.2762500000000001</v>
      </c>
      <c r="D36" s="18">
        <f t="shared" si="2"/>
        <v>2.1845833333333333</v>
      </c>
      <c r="E36" s="18">
        <f t="shared" si="2"/>
        <v>4.6375000000000002</v>
      </c>
      <c r="F36" s="18">
        <f t="shared" si="2"/>
        <v>3.1054166666666667</v>
      </c>
      <c r="G36" s="18">
        <f t="shared" si="2"/>
        <v>11.766521739130434</v>
      </c>
      <c r="H36" s="18">
        <f t="shared" si="2"/>
        <v>5.2300000000000013</v>
      </c>
      <c r="I36" s="18">
        <f t="shared" si="2"/>
        <v>6.5066666666666668</v>
      </c>
      <c r="J36" s="18">
        <f t="shared" si="2"/>
        <v>0.77708333333333346</v>
      </c>
      <c r="K36" s="18">
        <f t="shared" si="2"/>
        <v>277.38249999999999</v>
      </c>
      <c r="L36" s="18">
        <f t="shared" si="2"/>
        <v>24.326666666666657</v>
      </c>
      <c r="M36" s="18">
        <f t="shared" si="2"/>
        <v>99.616250000000022</v>
      </c>
      <c r="N36" s="18">
        <f t="shared" si="2"/>
        <v>26.383333333333329</v>
      </c>
      <c r="O36" s="18">
        <f t="shared" si="2"/>
        <v>1.3083333333333331</v>
      </c>
      <c r="P36" s="18">
        <f t="shared" si="2"/>
        <v>0.22875000000000001</v>
      </c>
      <c r="Q36" s="18">
        <f t="shared" si="2"/>
        <v>9.9375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0.52822851335273768</v>
      </c>
      <c r="C37" s="18">
        <f t="shared" ref="C37:Q37" si="3">STDEV(C9:C32)</f>
        <v>0.67054690527502503</v>
      </c>
      <c r="D37" s="18">
        <f t="shared" si="3"/>
        <v>0.29214319250589499</v>
      </c>
      <c r="E37" s="18">
        <f t="shared" si="3"/>
        <v>1.5748933711317703</v>
      </c>
      <c r="F37" s="18">
        <f t="shared" si="3"/>
        <v>2.0116745764286228</v>
      </c>
      <c r="G37" s="18">
        <f t="shared" si="3"/>
        <v>4.1893865993784063</v>
      </c>
      <c r="H37" s="18">
        <f t="shared" si="3"/>
        <v>3.843002732239464</v>
      </c>
      <c r="I37" s="18">
        <f t="shared" si="3"/>
        <v>0.9133867539650703</v>
      </c>
      <c r="J37" s="18">
        <f t="shared" si="3"/>
        <v>0.20365100511428294</v>
      </c>
      <c r="K37" s="18">
        <f t="shared" si="3"/>
        <v>21.282121349396412</v>
      </c>
      <c r="L37" s="18">
        <f t="shared" si="3"/>
        <v>0.31581043662940889</v>
      </c>
      <c r="M37" s="18">
        <f t="shared" si="3"/>
        <v>0.96733975192389265</v>
      </c>
      <c r="N37" s="18">
        <f t="shared" si="3"/>
        <v>33.844576556943963</v>
      </c>
      <c r="O37" s="18">
        <f t="shared" si="3"/>
        <v>2.0301888253723259</v>
      </c>
      <c r="P37" s="18">
        <f t="shared" si="3"/>
        <v>3.9597156243961394E-2</v>
      </c>
      <c r="Q37" s="18">
        <f t="shared" si="3"/>
        <v>2.5628464289110024E-2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COUNT(H9:H32)+3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12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LESS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45846.041666666664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45846.041666666664</v>
      </c>
      <c r="B9" s="40">
        <v>2.9</v>
      </c>
      <c r="C9" s="40">
        <v>4.8099999999999996</v>
      </c>
      <c r="D9" s="40">
        <v>1.9</v>
      </c>
      <c r="E9" s="40">
        <v>4.7300000000000004</v>
      </c>
      <c r="F9" s="40">
        <v>2.64</v>
      </c>
      <c r="G9" s="40">
        <v>9.83</v>
      </c>
      <c r="H9" s="40">
        <v>2.57</v>
      </c>
      <c r="I9" s="40">
        <v>4.88</v>
      </c>
      <c r="J9" s="40">
        <v>1.18</v>
      </c>
      <c r="K9" s="40">
        <v>261.58</v>
      </c>
      <c r="L9" s="40">
        <v>24.02</v>
      </c>
      <c r="M9" s="40">
        <v>95.74</v>
      </c>
      <c r="N9" s="40">
        <v>3.3</v>
      </c>
      <c r="O9" s="40">
        <v>0</v>
      </c>
      <c r="P9" s="40">
        <v>0.14000000000000001</v>
      </c>
      <c r="Q9" s="40">
        <v>9.9499999999999993</v>
      </c>
      <c r="R9" s="38"/>
      <c r="S9" s="38"/>
      <c r="T9" s="38"/>
      <c r="U9" s="38"/>
    </row>
    <row r="10" spans="1:21" customFormat="1">
      <c r="A10" s="39">
        <v>45846.083333333336</v>
      </c>
      <c r="B10" s="40">
        <v>2.89</v>
      </c>
      <c r="C10" s="40">
        <v>4.7699999999999996</v>
      </c>
      <c r="D10" s="40">
        <v>1.95</v>
      </c>
      <c r="E10" s="40">
        <v>4.6500000000000004</v>
      </c>
      <c r="F10" s="40">
        <v>2.89</v>
      </c>
      <c r="G10" s="40">
        <v>7.73</v>
      </c>
      <c r="H10" s="40">
        <v>2.4</v>
      </c>
      <c r="I10" s="40">
        <v>4.53</v>
      </c>
      <c r="J10" s="40">
        <v>1.22</v>
      </c>
      <c r="K10" s="40">
        <v>260.58999999999997</v>
      </c>
      <c r="L10" s="40">
        <v>23.91</v>
      </c>
      <c r="M10" s="40">
        <v>93.84</v>
      </c>
      <c r="N10" s="40">
        <v>3.2</v>
      </c>
      <c r="O10" s="40">
        <v>0</v>
      </c>
      <c r="P10" s="40">
        <v>0.13</v>
      </c>
      <c r="Q10" s="40">
        <v>9.94</v>
      </c>
      <c r="R10" s="38"/>
      <c r="S10" s="38"/>
      <c r="T10" s="38"/>
      <c r="U10" s="38"/>
    </row>
    <row r="11" spans="1:21" customFormat="1">
      <c r="A11" s="39">
        <v>45846.125</v>
      </c>
      <c r="B11" s="40">
        <v>2.71</v>
      </c>
      <c r="C11" s="40">
        <v>4.66</v>
      </c>
      <c r="D11" s="40">
        <v>1.95</v>
      </c>
      <c r="E11" s="40">
        <v>4.9800000000000004</v>
      </c>
      <c r="F11" s="40">
        <v>3.38</v>
      </c>
      <c r="G11" s="40">
        <v>5.94</v>
      </c>
      <c r="H11" s="40">
        <v>2.2000000000000002</v>
      </c>
      <c r="I11" s="40">
        <v>4.08</v>
      </c>
      <c r="J11" s="40">
        <v>1.17</v>
      </c>
      <c r="K11" s="40">
        <v>258.35000000000002</v>
      </c>
      <c r="L11" s="40">
        <v>23.62</v>
      </c>
      <c r="M11" s="40">
        <v>95.68</v>
      </c>
      <c r="N11" s="40">
        <v>2.5</v>
      </c>
      <c r="O11" s="40">
        <v>0</v>
      </c>
      <c r="P11" s="40">
        <v>0.12</v>
      </c>
      <c r="Q11" s="40">
        <v>9.91</v>
      </c>
      <c r="R11" s="38"/>
      <c r="S11" s="38"/>
      <c r="T11" s="38"/>
      <c r="U11" s="38"/>
    </row>
    <row r="12" spans="1:21" customFormat="1">
      <c r="A12" s="39">
        <v>45846.166666666664</v>
      </c>
      <c r="B12" s="40">
        <v>2.63</v>
      </c>
      <c r="C12" s="40">
        <v>4.57</v>
      </c>
      <c r="D12" s="40">
        <v>1.94</v>
      </c>
      <c r="E12" s="40">
        <v>5.01</v>
      </c>
      <c r="F12" s="40">
        <v>3.26</v>
      </c>
      <c r="G12" s="40">
        <v>6.73</v>
      </c>
      <c r="H12" s="40">
        <v>2.14</v>
      </c>
      <c r="I12" s="40">
        <v>3.57</v>
      </c>
      <c r="J12" s="40">
        <v>0.93</v>
      </c>
      <c r="K12" s="40">
        <v>261.27</v>
      </c>
      <c r="L12" s="40">
        <v>23.18</v>
      </c>
      <c r="M12" s="40">
        <v>99.03</v>
      </c>
      <c r="N12" s="40">
        <v>2.2999999999999998</v>
      </c>
      <c r="O12" s="40">
        <v>0.2</v>
      </c>
      <c r="P12" s="40">
        <v>0.1</v>
      </c>
      <c r="Q12" s="40">
        <v>9.91</v>
      </c>
      <c r="R12" s="38"/>
      <c r="S12" s="38"/>
      <c r="T12" s="38"/>
      <c r="U12" s="38"/>
    </row>
    <row r="13" spans="1:21" customFormat="1">
      <c r="A13" s="39">
        <v>45846.208333333336</v>
      </c>
      <c r="B13" s="40">
        <v>2.65</v>
      </c>
      <c r="C13" s="40">
        <v>4.5599999999999996</v>
      </c>
      <c r="D13" s="40">
        <v>1.91</v>
      </c>
      <c r="E13" s="40">
        <v>5.34</v>
      </c>
      <c r="F13" s="40">
        <v>3.21</v>
      </c>
      <c r="G13" s="40">
        <v>6.73</v>
      </c>
      <c r="H13" s="40">
        <v>1.98</v>
      </c>
      <c r="I13" s="40">
        <v>3.27</v>
      </c>
      <c r="J13" s="40">
        <v>0.76</v>
      </c>
      <c r="K13" s="40">
        <v>261.01</v>
      </c>
      <c r="L13" s="40">
        <v>23.25</v>
      </c>
      <c r="M13" s="40">
        <v>99.78</v>
      </c>
      <c r="N13" s="40">
        <v>2.6</v>
      </c>
      <c r="O13" s="40">
        <v>0</v>
      </c>
      <c r="P13" s="40">
        <v>0.1</v>
      </c>
      <c r="Q13" s="40">
        <v>9.92</v>
      </c>
      <c r="R13" s="38"/>
      <c r="S13" s="38"/>
      <c r="T13" s="38"/>
      <c r="U13" s="38"/>
    </row>
    <row r="14" spans="1:21" customFormat="1">
      <c r="A14" s="39">
        <v>45846.25</v>
      </c>
      <c r="B14" s="40">
        <v>2.66</v>
      </c>
      <c r="C14" s="40">
        <v>4.57</v>
      </c>
      <c r="D14" s="40">
        <v>1.92</v>
      </c>
      <c r="E14" s="40">
        <v>5.44</v>
      </c>
      <c r="F14" s="40">
        <v>2.85</v>
      </c>
      <c r="G14" s="40">
        <v>5.66</v>
      </c>
      <c r="H14" s="40">
        <v>1.96</v>
      </c>
      <c r="I14" s="40">
        <v>2.99</v>
      </c>
      <c r="J14" s="40">
        <v>0.89</v>
      </c>
      <c r="K14" s="40">
        <v>261.20999999999998</v>
      </c>
      <c r="L14" s="40">
        <v>23.38</v>
      </c>
      <c r="M14" s="40">
        <v>99.41</v>
      </c>
      <c r="N14" s="40">
        <v>6.7</v>
      </c>
      <c r="O14" s="40">
        <v>0.2</v>
      </c>
      <c r="P14" s="40">
        <v>0.09</v>
      </c>
      <c r="Q14" s="40">
        <v>9.92</v>
      </c>
      <c r="R14" s="38"/>
      <c r="S14" s="38"/>
      <c r="T14" s="38"/>
      <c r="U14" s="38"/>
    </row>
    <row r="15" spans="1:21" customFormat="1">
      <c r="A15" s="39">
        <v>45846.291666666664</v>
      </c>
      <c r="B15" s="40">
        <v>2.73</v>
      </c>
      <c r="C15" s="40">
        <v>4.5999999999999996</v>
      </c>
      <c r="D15" s="40">
        <v>1.92</v>
      </c>
      <c r="E15" s="40">
        <v>5.61</v>
      </c>
      <c r="F15" s="40">
        <v>2.58</v>
      </c>
      <c r="G15" s="40">
        <v>5.66</v>
      </c>
      <c r="H15" s="40">
        <v>1.91</v>
      </c>
      <c r="I15" s="40">
        <v>2.89</v>
      </c>
      <c r="J15" s="40">
        <v>0.88</v>
      </c>
      <c r="K15" s="40">
        <v>265.89999999999998</v>
      </c>
      <c r="L15" s="40">
        <v>23.26</v>
      </c>
      <c r="M15" s="40">
        <v>100.25</v>
      </c>
      <c r="N15" s="40">
        <v>17.100000000000001</v>
      </c>
      <c r="O15" s="40">
        <v>1.8</v>
      </c>
      <c r="P15" s="40">
        <v>0.09</v>
      </c>
      <c r="Q15" s="40">
        <v>9.92</v>
      </c>
      <c r="R15" s="38"/>
      <c r="S15" s="38"/>
      <c r="T15" s="38"/>
      <c r="U15" s="38"/>
    </row>
    <row r="16" spans="1:21" customFormat="1">
      <c r="A16" s="39">
        <v>45846.333333333336</v>
      </c>
      <c r="B16" s="40">
        <v>2.81</v>
      </c>
      <c r="C16" s="40">
        <v>4.67</v>
      </c>
      <c r="D16" s="40">
        <v>1.86</v>
      </c>
      <c r="E16" s="40">
        <v>4.99</v>
      </c>
      <c r="F16" s="40">
        <v>2.84</v>
      </c>
      <c r="G16" s="40">
        <v>4.4800000000000004</v>
      </c>
      <c r="H16" s="40">
        <v>1.89</v>
      </c>
      <c r="I16" s="40">
        <v>2.97</v>
      </c>
      <c r="J16" s="40">
        <v>0.87</v>
      </c>
      <c r="K16" s="40">
        <v>259.31</v>
      </c>
      <c r="L16" s="40">
        <v>23.08</v>
      </c>
      <c r="M16" s="40">
        <v>100.28</v>
      </c>
      <c r="N16" s="40">
        <v>27.8</v>
      </c>
      <c r="O16" s="40">
        <v>2.4</v>
      </c>
      <c r="P16" s="40">
        <v>7.0000000000000007E-2</v>
      </c>
      <c r="Q16" s="40">
        <v>9.93</v>
      </c>
      <c r="R16" s="38"/>
      <c r="S16" s="38"/>
      <c r="T16" s="38"/>
      <c r="U16" s="38"/>
    </row>
    <row r="17" spans="1:21" customFormat="1">
      <c r="A17" s="39">
        <v>45846.375</v>
      </c>
      <c r="B17" s="40">
        <v>2.84</v>
      </c>
      <c r="C17" s="40">
        <v>4.7300000000000004</v>
      </c>
      <c r="D17" s="40">
        <v>1.89</v>
      </c>
      <c r="E17" s="40">
        <v>4.9400000000000004</v>
      </c>
      <c r="F17" s="40">
        <v>2.39</v>
      </c>
      <c r="G17" s="40">
        <v>3.91</v>
      </c>
      <c r="H17" s="40">
        <v>1.83</v>
      </c>
      <c r="I17" s="40">
        <v>3.14</v>
      </c>
      <c r="J17" s="40">
        <v>0.82</v>
      </c>
      <c r="K17" s="40">
        <v>258.61</v>
      </c>
      <c r="L17" s="40">
        <v>23.09</v>
      </c>
      <c r="M17" s="40">
        <v>100.29</v>
      </c>
      <c r="N17" s="40">
        <v>25.9</v>
      </c>
      <c r="O17" s="40">
        <v>3.8</v>
      </c>
      <c r="P17" s="40">
        <v>0.09</v>
      </c>
      <c r="Q17" s="40">
        <v>9.94</v>
      </c>
      <c r="R17" s="38"/>
      <c r="S17" s="38"/>
      <c r="T17" s="38"/>
      <c r="U17" s="38"/>
    </row>
    <row r="18" spans="1:21" customFormat="1">
      <c r="A18" s="39">
        <v>45846.416666666664</v>
      </c>
      <c r="B18" s="40">
        <v>2.9</v>
      </c>
      <c r="C18" s="40">
        <v>4.78</v>
      </c>
      <c r="D18" s="40">
        <v>1.89</v>
      </c>
      <c r="E18" s="40">
        <v>4.9400000000000004</v>
      </c>
      <c r="F18" s="40">
        <v>2.2400000000000002</v>
      </c>
      <c r="G18" s="40">
        <v>3.53</v>
      </c>
      <c r="H18" s="40">
        <v>1.78</v>
      </c>
      <c r="I18" s="40">
        <v>3.24</v>
      </c>
      <c r="J18" s="40">
        <v>0.66</v>
      </c>
      <c r="K18" s="40">
        <v>271.91000000000003</v>
      </c>
      <c r="L18" s="40">
        <v>23.08</v>
      </c>
      <c r="M18" s="40">
        <v>100.3</v>
      </c>
      <c r="N18" s="40">
        <v>39</v>
      </c>
      <c r="O18" s="40">
        <v>1</v>
      </c>
      <c r="P18" s="40">
        <v>0.09</v>
      </c>
      <c r="Q18" s="40">
        <v>9.94</v>
      </c>
      <c r="R18" s="38"/>
      <c r="S18" s="38"/>
      <c r="T18" s="38"/>
      <c r="U18" s="38"/>
    </row>
    <row r="19" spans="1:21" customFormat="1">
      <c r="A19" s="39">
        <v>45846.458333333336</v>
      </c>
      <c r="B19" s="40">
        <v>2.94</v>
      </c>
      <c r="C19" s="40">
        <v>4.84</v>
      </c>
      <c r="D19" s="40">
        <v>1.91</v>
      </c>
      <c r="E19" s="40">
        <v>6.7</v>
      </c>
      <c r="F19" s="40">
        <v>2.17</v>
      </c>
      <c r="G19" s="40">
        <v>2.82</v>
      </c>
      <c r="H19" s="40">
        <v>1.72</v>
      </c>
      <c r="I19" s="40">
        <v>3.33</v>
      </c>
      <c r="J19" s="40">
        <v>0.67</v>
      </c>
      <c r="K19" s="40">
        <v>264.27999999999997</v>
      </c>
      <c r="L19" s="40">
        <v>23.02</v>
      </c>
      <c r="M19" s="40">
        <v>100.3</v>
      </c>
      <c r="N19" s="40">
        <v>35.5</v>
      </c>
      <c r="O19" s="40">
        <v>1</v>
      </c>
      <c r="P19" s="40">
        <v>0.08</v>
      </c>
      <c r="Q19" s="40">
        <v>9.94</v>
      </c>
      <c r="R19" s="38"/>
      <c r="S19" s="38"/>
      <c r="T19" s="38"/>
      <c r="U19" s="38"/>
    </row>
    <row r="20" spans="1:21" customFormat="1">
      <c r="A20" s="39">
        <v>45846.5</v>
      </c>
      <c r="B20" s="40">
        <v>2.93</v>
      </c>
      <c r="C20" s="40">
        <v>4.8499999999999996</v>
      </c>
      <c r="D20" s="40">
        <v>1.97</v>
      </c>
      <c r="E20" s="40">
        <v>6.49</v>
      </c>
      <c r="F20" s="40">
        <v>2.69</v>
      </c>
      <c r="G20" s="40">
        <v>2.4900000000000002</v>
      </c>
      <c r="H20" s="40">
        <v>1.67</v>
      </c>
      <c r="I20" s="40">
        <v>3.44</v>
      </c>
      <c r="J20" s="40">
        <v>1.03</v>
      </c>
      <c r="K20" s="40">
        <v>265.01</v>
      </c>
      <c r="L20" s="40">
        <v>23.13</v>
      </c>
      <c r="M20" s="40">
        <v>100.31</v>
      </c>
      <c r="N20" s="40">
        <v>89.4</v>
      </c>
      <c r="O20" s="40">
        <v>0.8</v>
      </c>
      <c r="P20" s="40">
        <v>0.1</v>
      </c>
      <c r="Q20" s="40">
        <v>9.94</v>
      </c>
      <c r="R20" s="38"/>
      <c r="S20" s="38"/>
      <c r="T20" s="38"/>
      <c r="U20" s="38"/>
    </row>
    <row r="21" spans="1:21" customFormat="1">
      <c r="A21" s="39">
        <v>45846.541666666664</v>
      </c>
      <c r="B21" s="40">
        <v>2.79</v>
      </c>
      <c r="C21" s="40">
        <v>4.7699999999999996</v>
      </c>
      <c r="D21" s="40">
        <v>1.99</v>
      </c>
      <c r="E21" s="40">
        <v>6.66</v>
      </c>
      <c r="F21" s="40">
        <v>3.04</v>
      </c>
      <c r="G21" s="40">
        <v>2.09</v>
      </c>
      <c r="H21" s="40">
        <v>1.62</v>
      </c>
      <c r="I21" s="40">
        <v>3.33</v>
      </c>
      <c r="J21" s="40">
        <v>0.89</v>
      </c>
      <c r="K21" s="40">
        <v>263.79000000000002</v>
      </c>
      <c r="L21" s="40">
        <v>23.49</v>
      </c>
      <c r="M21" s="40">
        <v>100.35</v>
      </c>
      <c r="N21" s="40">
        <v>102.7</v>
      </c>
      <c r="O21" s="40">
        <v>0.2</v>
      </c>
      <c r="P21" s="40">
        <v>0.1</v>
      </c>
      <c r="Q21" s="40">
        <v>9.93</v>
      </c>
      <c r="R21" s="38"/>
      <c r="S21" s="38"/>
      <c r="T21" s="38"/>
      <c r="U21" s="38"/>
    </row>
    <row r="22" spans="1:21" customFormat="1">
      <c r="A22" s="39">
        <v>45846.583333333336</v>
      </c>
      <c r="B22" s="40">
        <v>2.72</v>
      </c>
      <c r="C22" s="40">
        <v>4.7</v>
      </c>
      <c r="D22" s="40">
        <v>1.98</v>
      </c>
      <c r="E22" s="40">
        <v>6.96</v>
      </c>
      <c r="F22" s="40">
        <v>2.8</v>
      </c>
      <c r="G22" s="40">
        <v>2.08</v>
      </c>
      <c r="H22" s="40">
        <v>1.59</v>
      </c>
      <c r="I22" s="40">
        <v>3.28</v>
      </c>
      <c r="J22" s="40">
        <v>1.04</v>
      </c>
      <c r="K22" s="40">
        <v>261.10000000000002</v>
      </c>
      <c r="L22" s="40">
        <v>24.35</v>
      </c>
      <c r="M22" s="40">
        <v>100.35</v>
      </c>
      <c r="N22" s="40">
        <v>212.9</v>
      </c>
      <c r="O22" s="40">
        <v>0</v>
      </c>
      <c r="P22" s="40">
        <v>0.11</v>
      </c>
      <c r="Q22" s="40">
        <v>9.93</v>
      </c>
      <c r="R22" s="38"/>
      <c r="S22" s="38"/>
      <c r="T22" s="38"/>
      <c r="U22" s="38"/>
    </row>
    <row r="23" spans="1:21" customFormat="1">
      <c r="A23" s="39">
        <v>45846.625</v>
      </c>
      <c r="B23" s="40">
        <v>2.66</v>
      </c>
      <c r="C23" s="40">
        <v>4.62</v>
      </c>
      <c r="D23" s="40">
        <v>1.97</v>
      </c>
      <c r="E23" s="40">
        <v>6.81</v>
      </c>
      <c r="F23" s="40">
        <v>2.61</v>
      </c>
      <c r="G23" s="40">
        <v>2.12</v>
      </c>
      <c r="H23" s="40">
        <v>1.54</v>
      </c>
      <c r="I23" s="40">
        <v>3.26</v>
      </c>
      <c r="J23" s="40">
        <v>1.01</v>
      </c>
      <c r="K23" s="40">
        <v>264.83999999999997</v>
      </c>
      <c r="L23" s="40">
        <v>24.94</v>
      </c>
      <c r="M23" s="40">
        <v>97.02</v>
      </c>
      <c r="N23" s="40">
        <v>174.9</v>
      </c>
      <c r="O23" s="40">
        <v>0</v>
      </c>
      <c r="P23" s="40">
        <v>0.11</v>
      </c>
      <c r="Q23" s="40">
        <v>9.92</v>
      </c>
      <c r="R23" s="38"/>
      <c r="S23" s="38"/>
      <c r="T23" s="38"/>
      <c r="U23" s="38"/>
    </row>
    <row r="24" spans="1:21" customFormat="1">
      <c r="A24" s="39">
        <v>45846.666666666664</v>
      </c>
      <c r="B24" s="40">
        <v>2.64</v>
      </c>
      <c r="C24" s="40">
        <v>4.5999999999999996</v>
      </c>
      <c r="D24" s="40">
        <v>1.96</v>
      </c>
      <c r="E24" s="40">
        <v>7.11</v>
      </c>
      <c r="F24" s="40">
        <v>2.42</v>
      </c>
      <c r="G24" s="40">
        <v>2.12</v>
      </c>
      <c r="H24" s="40">
        <v>1.49</v>
      </c>
      <c r="I24" s="40">
        <v>3.13</v>
      </c>
      <c r="J24" s="40">
        <v>0.99</v>
      </c>
      <c r="K24" s="40">
        <v>269.82</v>
      </c>
      <c r="L24" s="40">
        <v>24.75</v>
      </c>
      <c r="M24" s="40">
        <v>91.99</v>
      </c>
      <c r="N24" s="40">
        <v>89.9</v>
      </c>
      <c r="O24" s="40">
        <v>0</v>
      </c>
      <c r="P24" s="40">
        <v>0.1</v>
      </c>
      <c r="Q24" s="40">
        <v>9.91</v>
      </c>
      <c r="R24" s="38"/>
      <c r="S24" s="38"/>
      <c r="T24" s="38"/>
      <c r="U24" s="38"/>
    </row>
    <row r="25" spans="1:21" customFormat="1">
      <c r="A25" s="39">
        <v>45846.708333333336</v>
      </c>
      <c r="B25" s="40">
        <v>2.74</v>
      </c>
      <c r="C25" s="40">
        <v>4.63</v>
      </c>
      <c r="D25" s="40">
        <v>1.94</v>
      </c>
      <c r="E25" s="40">
        <v>6.96</v>
      </c>
      <c r="F25" s="40">
        <v>2.65</v>
      </c>
      <c r="G25" s="40">
        <v>2.06</v>
      </c>
      <c r="H25" s="40">
        <v>1.64</v>
      </c>
      <c r="I25" s="40">
        <v>3.18</v>
      </c>
      <c r="J25" s="40">
        <v>0.83</v>
      </c>
      <c r="K25" s="40">
        <v>268.07</v>
      </c>
      <c r="L25" s="40">
        <v>25.09</v>
      </c>
      <c r="M25" s="40">
        <v>92.46</v>
      </c>
      <c r="N25" s="40">
        <v>153.69999999999999</v>
      </c>
      <c r="O25" s="40">
        <v>0</v>
      </c>
      <c r="P25" s="40">
        <v>0.11</v>
      </c>
      <c r="Q25" s="40">
        <v>9.93</v>
      </c>
      <c r="R25" s="38"/>
      <c r="S25" s="38"/>
      <c r="T25" s="38"/>
      <c r="U25" s="38"/>
    </row>
    <row r="26" spans="1:21" customFormat="1">
      <c r="A26" s="39">
        <v>45846.75</v>
      </c>
      <c r="B26" s="40">
        <v>2.79</v>
      </c>
      <c r="C26" s="40">
        <v>4.71</v>
      </c>
      <c r="D26" s="40">
        <v>1.92</v>
      </c>
      <c r="E26" s="40">
        <v>6.5</v>
      </c>
      <c r="F26" s="40">
        <v>2.4900000000000002</v>
      </c>
      <c r="G26" s="40">
        <v>3.9</v>
      </c>
      <c r="H26" s="40">
        <v>1.64</v>
      </c>
      <c r="I26" s="40">
        <v>3.52</v>
      </c>
      <c r="J26" s="40">
        <v>0.84</v>
      </c>
      <c r="K26" s="40">
        <v>260.29000000000002</v>
      </c>
      <c r="L26" s="40">
        <v>24.74</v>
      </c>
      <c r="M26" s="40">
        <v>91.38</v>
      </c>
      <c r="N26" s="40">
        <v>67.7</v>
      </c>
      <c r="O26" s="40">
        <v>0</v>
      </c>
      <c r="P26" s="40">
        <v>0.12</v>
      </c>
      <c r="Q26" s="40">
        <v>9.93</v>
      </c>
      <c r="R26" s="38"/>
      <c r="S26" s="38"/>
      <c r="T26" s="38"/>
      <c r="U26" s="38"/>
    </row>
    <row r="27" spans="1:21" customFormat="1">
      <c r="A27" s="39">
        <v>45846.791666666664</v>
      </c>
      <c r="B27" s="40">
        <v>2.8</v>
      </c>
      <c r="C27" s="40">
        <v>4.6900000000000004</v>
      </c>
      <c r="D27" s="40">
        <v>1.91</v>
      </c>
      <c r="E27" s="40">
        <v>5.37</v>
      </c>
      <c r="F27" s="40">
        <v>2.2000000000000002</v>
      </c>
      <c r="G27" s="40">
        <v>4.7300000000000004</v>
      </c>
      <c r="H27" s="40">
        <v>1.69</v>
      </c>
      <c r="I27" s="40">
        <v>3.59</v>
      </c>
      <c r="J27" s="40">
        <v>0.82</v>
      </c>
      <c r="K27" s="40">
        <v>262.14</v>
      </c>
      <c r="L27" s="40">
        <v>24.25</v>
      </c>
      <c r="M27" s="40">
        <v>92.95</v>
      </c>
      <c r="N27" s="40">
        <v>38.1</v>
      </c>
      <c r="O27" s="40">
        <v>0</v>
      </c>
      <c r="P27" s="40">
        <v>0.13</v>
      </c>
      <c r="Q27" s="40">
        <v>9.93</v>
      </c>
      <c r="R27" s="38"/>
      <c r="S27" s="38"/>
      <c r="T27" s="38"/>
      <c r="U27" s="38"/>
    </row>
    <row r="28" spans="1:21" customFormat="1">
      <c r="A28" s="39">
        <v>45846.833333333336</v>
      </c>
      <c r="B28" s="40">
        <v>2.8</v>
      </c>
      <c r="C28" s="40">
        <v>4.7</v>
      </c>
      <c r="D28" s="40">
        <v>1.89</v>
      </c>
      <c r="E28" s="40">
        <v>5.34</v>
      </c>
      <c r="F28" s="40">
        <v>2.52</v>
      </c>
      <c r="G28" s="40">
        <v>4.7300000000000004</v>
      </c>
      <c r="H28" s="40">
        <v>1.69</v>
      </c>
      <c r="I28" s="40">
        <v>3.65</v>
      </c>
      <c r="J28" s="40">
        <v>0.72</v>
      </c>
      <c r="K28" s="40">
        <v>266.11</v>
      </c>
      <c r="L28" s="40">
        <v>23.9</v>
      </c>
      <c r="M28" s="40">
        <v>93.29</v>
      </c>
      <c r="N28" s="40">
        <v>2.4</v>
      </c>
      <c r="O28" s="40">
        <v>0</v>
      </c>
      <c r="P28" s="40">
        <v>0.12</v>
      </c>
      <c r="Q28" s="40">
        <v>9.93</v>
      </c>
      <c r="R28" s="38"/>
      <c r="S28" s="38"/>
      <c r="T28" s="38"/>
      <c r="U28" s="38"/>
    </row>
    <row r="29" spans="1:21" customFormat="1">
      <c r="A29" s="39">
        <v>45846.875</v>
      </c>
      <c r="B29" s="40">
        <v>2.82</v>
      </c>
      <c r="C29" s="40">
        <v>4.7300000000000004</v>
      </c>
      <c r="D29" s="40">
        <v>1.91</v>
      </c>
      <c r="E29" s="40">
        <v>5.4</v>
      </c>
      <c r="F29" s="40">
        <v>2.14</v>
      </c>
      <c r="G29" s="40">
        <v>4.8</v>
      </c>
      <c r="H29" s="40">
        <v>1.8</v>
      </c>
      <c r="I29" s="40">
        <v>3.73</v>
      </c>
      <c r="J29" s="40">
        <v>0.73</v>
      </c>
      <c r="K29" s="40">
        <v>263.11</v>
      </c>
      <c r="L29" s="40">
        <v>23.87</v>
      </c>
      <c r="M29" s="40">
        <v>94.3</v>
      </c>
      <c r="N29" s="40">
        <v>2.4</v>
      </c>
      <c r="O29" s="40">
        <v>0</v>
      </c>
      <c r="P29" s="40">
        <v>0.13</v>
      </c>
      <c r="Q29" s="40">
        <v>9.9499999999999993</v>
      </c>
      <c r="R29" s="38"/>
      <c r="S29" s="38"/>
      <c r="T29" s="38"/>
      <c r="U29" s="38"/>
    </row>
    <row r="30" spans="1:21" customFormat="1">
      <c r="A30" s="39">
        <v>45846.916666666664</v>
      </c>
      <c r="B30" s="40">
        <v>2.8</v>
      </c>
      <c r="C30" s="40">
        <v>4.75</v>
      </c>
      <c r="D30" s="40">
        <v>1.96</v>
      </c>
      <c r="E30" s="40">
        <v>5.77</v>
      </c>
      <c r="F30" s="40">
        <v>2.41</v>
      </c>
      <c r="G30" s="40">
        <v>7.82</v>
      </c>
      <c r="H30" s="40">
        <v>1.82</v>
      </c>
      <c r="I30" s="40">
        <v>3.71</v>
      </c>
      <c r="J30" s="40">
        <v>0.61</v>
      </c>
      <c r="K30" s="40">
        <v>261.02999999999997</v>
      </c>
      <c r="L30" s="40">
        <v>23.82</v>
      </c>
      <c r="M30" s="40">
        <v>95.02</v>
      </c>
      <c r="N30" s="40">
        <v>2.2000000000000002</v>
      </c>
      <c r="O30" s="40">
        <v>0</v>
      </c>
      <c r="P30" s="40">
        <v>0.13</v>
      </c>
      <c r="Q30" s="40">
        <v>9.91</v>
      </c>
      <c r="R30" s="38"/>
      <c r="S30" s="38"/>
      <c r="T30" s="38"/>
      <c r="U30" s="38"/>
    </row>
    <row r="31" spans="1:21" customFormat="1">
      <c r="A31" s="39">
        <v>45846.958333333336</v>
      </c>
      <c r="B31" s="40">
        <v>2.74</v>
      </c>
      <c r="C31" s="40">
        <v>4.7</v>
      </c>
      <c r="D31" s="40">
        <v>1.98</v>
      </c>
      <c r="E31" s="40">
        <v>5.75</v>
      </c>
      <c r="F31" s="40">
        <v>2.84</v>
      </c>
      <c r="G31" s="40">
        <v>12.19</v>
      </c>
      <c r="H31" s="40">
        <v>2</v>
      </c>
      <c r="I31" s="40">
        <v>3.55</v>
      </c>
      <c r="J31" s="40">
        <v>0.82</v>
      </c>
      <c r="K31" s="40">
        <v>259.66000000000003</v>
      </c>
      <c r="L31" s="40">
        <v>23.9</v>
      </c>
      <c r="M31" s="40">
        <v>94.98</v>
      </c>
      <c r="N31" s="40">
        <v>2.4</v>
      </c>
      <c r="O31" s="40">
        <v>0</v>
      </c>
      <c r="P31" s="40">
        <v>0.13</v>
      </c>
      <c r="Q31" s="40">
        <v>9.92</v>
      </c>
      <c r="R31" s="38"/>
      <c r="S31" s="38"/>
      <c r="T31" s="38"/>
      <c r="U31" s="38"/>
    </row>
    <row r="32" spans="1:21" customFormat="1">
      <c r="A32" s="40">
        <v>45847</v>
      </c>
      <c r="B32" s="40">
        <v>2.7</v>
      </c>
      <c r="C32" s="40">
        <v>4.66</v>
      </c>
      <c r="D32" s="40">
        <v>1.97</v>
      </c>
      <c r="E32" s="40">
        <v>5.72</v>
      </c>
      <c r="F32" s="40">
        <v>2.0699999999999998</v>
      </c>
      <c r="G32" s="40">
        <v>12.19</v>
      </c>
      <c r="H32" s="40">
        <v>2</v>
      </c>
      <c r="I32" s="40">
        <v>3.42</v>
      </c>
      <c r="J32" s="40">
        <v>0.88</v>
      </c>
      <c r="K32" s="40">
        <v>261.5</v>
      </c>
      <c r="L32" s="40">
        <v>23.96</v>
      </c>
      <c r="M32" s="40">
        <v>94.36</v>
      </c>
      <c r="N32" s="40">
        <v>2.2999999999999998</v>
      </c>
      <c r="O32" s="40">
        <v>0</v>
      </c>
      <c r="P32" s="40">
        <v>0.13</v>
      </c>
      <c r="Q32" s="40">
        <v>9.92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2.63</v>
      </c>
      <c r="C34" s="18">
        <f t="shared" si="0"/>
        <v>4.5599999999999996</v>
      </c>
      <c r="D34" s="18">
        <f t="shared" si="0"/>
        <v>1.86</v>
      </c>
      <c r="E34" s="18">
        <f t="shared" si="0"/>
        <v>4.6500000000000004</v>
      </c>
      <c r="F34" s="18">
        <f t="shared" si="0"/>
        <v>2.0699999999999998</v>
      </c>
      <c r="G34" s="18">
        <f t="shared" si="0"/>
        <v>2.06</v>
      </c>
      <c r="H34" s="18">
        <f t="shared" si="0"/>
        <v>1.49</v>
      </c>
      <c r="I34" s="18">
        <f t="shared" si="0"/>
        <v>2.89</v>
      </c>
      <c r="J34" s="18">
        <f t="shared" si="0"/>
        <v>0.61</v>
      </c>
      <c r="K34" s="18">
        <f t="shared" si="0"/>
        <v>258.35000000000002</v>
      </c>
      <c r="L34" s="18">
        <f t="shared" si="0"/>
        <v>23.02</v>
      </c>
      <c r="M34" s="18">
        <f t="shared" si="0"/>
        <v>91.38</v>
      </c>
      <c r="N34" s="18">
        <f t="shared" si="0"/>
        <v>2.2000000000000002</v>
      </c>
      <c r="O34" s="18">
        <f t="shared" si="0"/>
        <v>0</v>
      </c>
      <c r="P34" s="18">
        <f t="shared" si="0"/>
        <v>7.0000000000000007E-2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2.94</v>
      </c>
      <c r="C35" s="3">
        <f t="shared" si="1"/>
        <v>4.8499999999999996</v>
      </c>
      <c r="D35" s="3">
        <f t="shared" si="1"/>
        <v>1.99</v>
      </c>
      <c r="E35" s="3">
        <f t="shared" si="1"/>
        <v>7.11</v>
      </c>
      <c r="F35" s="3">
        <f t="shared" si="1"/>
        <v>3.38</v>
      </c>
      <c r="G35" s="3">
        <f t="shared" si="1"/>
        <v>12.19</v>
      </c>
      <c r="H35" s="3">
        <f t="shared" si="1"/>
        <v>2.57</v>
      </c>
      <c r="I35" s="3">
        <f t="shared" si="1"/>
        <v>4.88</v>
      </c>
      <c r="J35" s="3">
        <f t="shared" si="1"/>
        <v>1.22</v>
      </c>
      <c r="K35" s="3">
        <f t="shared" si="1"/>
        <v>271.91000000000003</v>
      </c>
      <c r="L35" s="3">
        <f t="shared" si="1"/>
        <v>25.09</v>
      </c>
      <c r="M35" s="3">
        <f t="shared" si="1"/>
        <v>100.35</v>
      </c>
      <c r="N35" s="3">
        <f t="shared" si="1"/>
        <v>212.9</v>
      </c>
      <c r="O35" s="3">
        <f t="shared" si="1"/>
        <v>3.8</v>
      </c>
      <c r="P35" s="3">
        <f t="shared" si="1"/>
        <v>0.14000000000000001</v>
      </c>
      <c r="Q35" s="3">
        <f t="shared" si="1"/>
        <v>9.9499999999999993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2.7745833333333327</v>
      </c>
      <c r="C36" s="18">
        <f t="shared" si="2"/>
        <v>4.6945833333333331</v>
      </c>
      <c r="D36" s="18">
        <f t="shared" si="2"/>
        <v>1.9329166666666662</v>
      </c>
      <c r="E36" s="18">
        <f t="shared" si="2"/>
        <v>5.7570833333333331</v>
      </c>
      <c r="F36" s="18">
        <f t="shared" si="2"/>
        <v>2.6387500000000004</v>
      </c>
      <c r="G36" s="18">
        <f t="shared" si="2"/>
        <v>5.264166666666668</v>
      </c>
      <c r="H36" s="18">
        <f t="shared" si="2"/>
        <v>1.857083333333333</v>
      </c>
      <c r="I36" s="18">
        <f t="shared" si="2"/>
        <v>3.4866666666666668</v>
      </c>
      <c r="J36" s="18">
        <f t="shared" si="2"/>
        <v>0.88583333333333325</v>
      </c>
      <c r="K36" s="18">
        <f t="shared" si="2"/>
        <v>262.93708333333331</v>
      </c>
      <c r="L36" s="18">
        <f t="shared" si="2"/>
        <v>23.795000000000002</v>
      </c>
      <c r="M36" s="18">
        <f t="shared" si="2"/>
        <v>96.819166666666661</v>
      </c>
      <c r="N36" s="18">
        <f t="shared" si="2"/>
        <v>46.120833333333337</v>
      </c>
      <c r="O36" s="18">
        <f t="shared" si="2"/>
        <v>0.47499999999999992</v>
      </c>
      <c r="P36" s="18">
        <f t="shared" si="2"/>
        <v>0.10916666666666668</v>
      </c>
      <c r="Q36" s="18">
        <f t="shared" si="2"/>
        <v>9.9279166666666665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9.4223562393622742E-2</v>
      </c>
      <c r="C37" s="18">
        <f t="shared" ref="C37:Q37" si="3">STDEV(C9:C32)</f>
        <v>8.4182987368700779E-2</v>
      </c>
      <c r="D37" s="18">
        <f t="shared" si="3"/>
        <v>3.5198711274169112E-2</v>
      </c>
      <c r="E37" s="18">
        <f t="shared" si="3"/>
        <v>0.80058934360973033</v>
      </c>
      <c r="F37" s="18">
        <f t="shared" si="3"/>
        <v>0.36032971012671045</v>
      </c>
      <c r="G37" s="18">
        <f t="shared" si="3"/>
        <v>2.9962787306731062</v>
      </c>
      <c r="H37" s="18">
        <f t="shared" si="3"/>
        <v>0.26776821850357885</v>
      </c>
      <c r="I37" s="18">
        <f t="shared" si="3"/>
        <v>0.46667805369129728</v>
      </c>
      <c r="J37" s="18">
        <f t="shared" si="3"/>
        <v>0.16306618199413753</v>
      </c>
      <c r="K37" s="18">
        <f t="shared" si="3"/>
        <v>3.4938784717506</v>
      </c>
      <c r="L37" s="18">
        <f t="shared" si="3"/>
        <v>0.63407584239824488</v>
      </c>
      <c r="M37" s="18">
        <f t="shared" si="3"/>
        <v>3.2786382600981936</v>
      </c>
      <c r="N37" s="18">
        <f t="shared" si="3"/>
        <v>61.068229690537393</v>
      </c>
      <c r="O37" s="18">
        <f t="shared" si="3"/>
        <v>0.95062908233122823</v>
      </c>
      <c r="P37" s="18">
        <f t="shared" si="3"/>
        <v>1.8862584696941118E-2</v>
      </c>
      <c r="Q37" s="18">
        <f t="shared" si="3"/>
        <v>1.2150922908825716E-2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45847.041666666664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45847.041666666664</v>
      </c>
      <c r="B9" s="40">
        <v>2.68</v>
      </c>
      <c r="C9" s="40">
        <v>4.6399999999999997</v>
      </c>
      <c r="D9" s="40">
        <v>1.96</v>
      </c>
      <c r="E9" s="40">
        <v>5.9</v>
      </c>
      <c r="F9" s="40">
        <v>2.4700000000000002</v>
      </c>
      <c r="G9" s="40">
        <v>9.39</v>
      </c>
      <c r="H9" s="40">
        <v>2.93</v>
      </c>
      <c r="I9" s="40">
        <v>3.21</v>
      </c>
      <c r="J9" s="40">
        <v>0.86</v>
      </c>
      <c r="K9" s="40">
        <v>258.81</v>
      </c>
      <c r="L9" s="40">
        <v>24.05</v>
      </c>
      <c r="M9" s="40">
        <v>94.66</v>
      </c>
      <c r="N9" s="40">
        <v>2.9</v>
      </c>
      <c r="O9" s="40">
        <v>0.2</v>
      </c>
      <c r="P9" s="40">
        <v>0.12</v>
      </c>
      <c r="Q9" s="40">
        <v>9.92</v>
      </c>
      <c r="R9" s="38"/>
      <c r="S9" s="38"/>
      <c r="T9" s="38"/>
      <c r="U9" s="38"/>
    </row>
    <row r="10" spans="1:21" customFormat="1">
      <c r="A10" s="39">
        <v>45847.083333333336</v>
      </c>
      <c r="B10" s="40">
        <v>2.68</v>
      </c>
      <c r="C10" s="40">
        <v>4.63</v>
      </c>
      <c r="D10" s="40">
        <v>1.96</v>
      </c>
      <c r="E10" s="40">
        <v>6.24</v>
      </c>
      <c r="F10" s="40">
        <v>2.46</v>
      </c>
      <c r="G10" s="40">
        <v>8.9</v>
      </c>
      <c r="H10" s="40">
        <v>2.93</v>
      </c>
      <c r="I10" s="40">
        <v>3.09</v>
      </c>
      <c r="J10" s="40">
        <v>0.86</v>
      </c>
      <c r="K10" s="40">
        <v>259.98</v>
      </c>
      <c r="L10" s="40">
        <v>23.84</v>
      </c>
      <c r="M10" s="40">
        <v>97.31</v>
      </c>
      <c r="N10" s="40">
        <v>2.8</v>
      </c>
      <c r="O10" s="40">
        <v>0</v>
      </c>
      <c r="P10" s="40">
        <v>0.12</v>
      </c>
      <c r="Q10" s="40">
        <v>9.91</v>
      </c>
      <c r="R10" s="38"/>
      <c r="S10" s="38"/>
      <c r="T10" s="38"/>
      <c r="U10" s="38"/>
    </row>
    <row r="11" spans="1:21" customFormat="1">
      <c r="A11" s="39">
        <v>45847.125</v>
      </c>
      <c r="B11" s="40">
        <v>2.8</v>
      </c>
      <c r="C11" s="40">
        <v>4.66</v>
      </c>
      <c r="D11" s="40">
        <v>1.91</v>
      </c>
      <c r="E11" s="40">
        <v>5.05</v>
      </c>
      <c r="F11" s="40">
        <v>2.4500000000000002</v>
      </c>
      <c r="G11" s="40">
        <v>8.9</v>
      </c>
      <c r="H11" s="40">
        <v>3.22</v>
      </c>
      <c r="I11" s="40">
        <v>2.93</v>
      </c>
      <c r="J11" s="40">
        <v>0.87</v>
      </c>
      <c r="K11" s="40">
        <v>261.01</v>
      </c>
      <c r="L11" s="40">
        <v>23.81</v>
      </c>
      <c r="M11" s="40">
        <v>100.26</v>
      </c>
      <c r="N11" s="40">
        <v>2.9</v>
      </c>
      <c r="O11" s="40">
        <v>3.8</v>
      </c>
      <c r="P11" s="40">
        <v>0.1</v>
      </c>
      <c r="Q11" s="40">
        <v>9.93</v>
      </c>
      <c r="R11" s="38"/>
      <c r="S11" s="38"/>
      <c r="T11" s="38"/>
      <c r="U11" s="38"/>
    </row>
    <row r="12" spans="1:21" customFormat="1">
      <c r="A12" s="39">
        <v>45847.166666666664</v>
      </c>
      <c r="B12" s="40">
        <v>2.85</v>
      </c>
      <c r="C12" s="40">
        <v>4.72</v>
      </c>
      <c r="D12" s="40">
        <v>1.87</v>
      </c>
      <c r="E12" s="40">
        <v>5.19</v>
      </c>
      <c r="F12" s="40">
        <v>2.34</v>
      </c>
      <c r="G12" s="40">
        <v>7.61</v>
      </c>
      <c r="H12" s="40">
        <v>3.61</v>
      </c>
      <c r="I12" s="40">
        <v>3.04</v>
      </c>
      <c r="J12" s="40">
        <v>0.75</v>
      </c>
      <c r="K12" s="40">
        <v>272.72000000000003</v>
      </c>
      <c r="L12" s="40">
        <v>23.12</v>
      </c>
      <c r="M12" s="40">
        <v>100.4</v>
      </c>
      <c r="N12" s="40">
        <v>2.6</v>
      </c>
      <c r="O12" s="40">
        <v>3.8</v>
      </c>
      <c r="P12" s="40">
        <v>0.1</v>
      </c>
      <c r="Q12" s="40">
        <v>9.93</v>
      </c>
      <c r="R12" s="38"/>
      <c r="S12" s="38"/>
      <c r="T12" s="38"/>
      <c r="U12" s="38"/>
    </row>
    <row r="13" spans="1:21" customFormat="1">
      <c r="A13" s="39">
        <v>45847.208333333336</v>
      </c>
      <c r="B13" s="40">
        <v>2.92</v>
      </c>
      <c r="C13" s="40">
        <v>4.78</v>
      </c>
      <c r="D13" s="40">
        <v>1.87</v>
      </c>
      <c r="E13" s="40">
        <v>5.08</v>
      </c>
      <c r="F13" s="40">
        <v>2.3199999999999998</v>
      </c>
      <c r="G13" s="40">
        <v>6.03</v>
      </c>
      <c r="H13" s="40">
        <v>3.61</v>
      </c>
      <c r="I13" s="40">
        <v>3.05</v>
      </c>
      <c r="J13" s="40">
        <v>0.45</v>
      </c>
      <c r="K13" s="40">
        <v>259.68</v>
      </c>
      <c r="L13" s="40">
        <v>22.99</v>
      </c>
      <c r="M13" s="40">
        <v>100.45</v>
      </c>
      <c r="N13" s="40">
        <v>2.5</v>
      </c>
      <c r="O13" s="40">
        <v>1.8</v>
      </c>
      <c r="P13" s="40">
        <v>0.09</v>
      </c>
      <c r="Q13" s="40">
        <v>9.94</v>
      </c>
      <c r="R13" s="38"/>
      <c r="S13" s="38"/>
      <c r="T13" s="38"/>
      <c r="U13" s="38"/>
    </row>
    <row r="14" spans="1:21" customFormat="1">
      <c r="A14" s="39">
        <v>45847.25</v>
      </c>
      <c r="B14" s="40">
        <v>2.97</v>
      </c>
      <c r="C14" s="40">
        <v>4.84</v>
      </c>
      <c r="D14" s="40">
        <v>1.87</v>
      </c>
      <c r="E14" s="40">
        <v>5.26</v>
      </c>
      <c r="F14" s="40">
        <v>2.4500000000000002</v>
      </c>
      <c r="G14" s="40">
        <v>5.5</v>
      </c>
      <c r="H14" s="40">
        <v>5.38</v>
      </c>
      <c r="I14" s="40">
        <v>3.15</v>
      </c>
      <c r="J14" s="40">
        <v>0.5</v>
      </c>
      <c r="K14" s="40">
        <v>284.85000000000002</v>
      </c>
      <c r="L14" s="40">
        <v>22.93</v>
      </c>
      <c r="M14" s="40">
        <v>100.46</v>
      </c>
      <c r="N14" s="40">
        <v>4.2</v>
      </c>
      <c r="O14" s="40">
        <v>0.4</v>
      </c>
      <c r="P14" s="40">
        <v>0.09</v>
      </c>
      <c r="Q14" s="40">
        <v>9.94</v>
      </c>
      <c r="R14" s="38"/>
      <c r="S14" s="38"/>
      <c r="T14" s="38"/>
      <c r="U14" s="38"/>
    </row>
    <row r="15" spans="1:21" customFormat="1">
      <c r="A15" s="39">
        <v>45847.291666666664</v>
      </c>
      <c r="B15" s="40">
        <v>2.98</v>
      </c>
      <c r="C15" s="40">
        <v>4.8600000000000003</v>
      </c>
      <c r="D15" s="40">
        <v>1.91</v>
      </c>
      <c r="E15" s="40">
        <v>5.08</v>
      </c>
      <c r="F15" s="40">
        <v>2.3199999999999998</v>
      </c>
      <c r="G15" s="40">
        <v>5.14</v>
      </c>
      <c r="H15" s="40">
        <v>5.38</v>
      </c>
      <c r="I15" s="40">
        <v>3.26</v>
      </c>
      <c r="J15" s="40">
        <v>0.83</v>
      </c>
      <c r="K15" s="40">
        <v>262.58</v>
      </c>
      <c r="L15" s="40">
        <v>23.01</v>
      </c>
      <c r="M15" s="40">
        <v>100.5</v>
      </c>
      <c r="N15" s="40">
        <v>13.7</v>
      </c>
      <c r="O15" s="40">
        <v>0.8</v>
      </c>
      <c r="P15" s="40">
        <v>0.09</v>
      </c>
      <c r="Q15" s="40">
        <v>9.94</v>
      </c>
      <c r="R15" s="38"/>
      <c r="S15" s="38"/>
      <c r="T15" s="38"/>
      <c r="U15" s="38"/>
    </row>
    <row r="16" spans="1:21" customFormat="1">
      <c r="A16" s="39">
        <v>45847.333333333336</v>
      </c>
      <c r="B16" s="40">
        <v>2.89</v>
      </c>
      <c r="C16" s="40">
        <v>4.82</v>
      </c>
      <c r="D16" s="40">
        <v>1.96</v>
      </c>
      <c r="E16" s="40">
        <v>5.28</v>
      </c>
      <c r="F16" s="40">
        <v>2.71</v>
      </c>
      <c r="G16" s="40">
        <v>5.14</v>
      </c>
      <c r="H16" s="40">
        <v>4.92</v>
      </c>
      <c r="I16" s="40">
        <v>3.21</v>
      </c>
      <c r="J16" s="40">
        <v>1.02</v>
      </c>
      <c r="K16" s="40">
        <v>261.27999999999997</v>
      </c>
      <c r="L16" s="40">
        <v>22.99</v>
      </c>
      <c r="M16" s="40">
        <v>100.53</v>
      </c>
      <c r="N16" s="40">
        <v>60.8</v>
      </c>
      <c r="O16" s="40">
        <v>4.4000000000000004</v>
      </c>
      <c r="P16" s="40">
        <v>0.1</v>
      </c>
      <c r="Q16" s="40">
        <v>9.92</v>
      </c>
      <c r="R16" s="38"/>
      <c r="S16" s="38"/>
      <c r="T16" s="38"/>
      <c r="U16" s="38"/>
    </row>
    <row r="17" spans="1:21" customFormat="1">
      <c r="A17" s="39">
        <v>45847.375</v>
      </c>
      <c r="B17" s="40">
        <v>2.73</v>
      </c>
      <c r="C17" s="40">
        <v>4.68</v>
      </c>
      <c r="D17" s="40">
        <v>1.95</v>
      </c>
      <c r="E17" s="40">
        <v>5.3</v>
      </c>
      <c r="F17" s="40">
        <v>2.89</v>
      </c>
      <c r="G17" s="40">
        <v>3.75</v>
      </c>
      <c r="H17" s="40">
        <v>3.64</v>
      </c>
      <c r="I17" s="40">
        <v>3.03</v>
      </c>
      <c r="J17" s="40">
        <v>1.05</v>
      </c>
      <c r="K17" s="40">
        <v>262.60000000000002</v>
      </c>
      <c r="L17" s="40">
        <v>23.54</v>
      </c>
      <c r="M17" s="40">
        <v>100.55</v>
      </c>
      <c r="N17" s="40">
        <v>219.9</v>
      </c>
      <c r="O17" s="40">
        <v>0</v>
      </c>
      <c r="P17" s="40">
        <v>0.1</v>
      </c>
      <c r="Q17" s="40">
        <v>9.92</v>
      </c>
      <c r="R17" s="38"/>
      <c r="S17" s="38"/>
      <c r="T17" s="38"/>
      <c r="U17" s="38"/>
    </row>
    <row r="18" spans="1:21" customFormat="1">
      <c r="A18" s="39">
        <v>45847.416666666664</v>
      </c>
      <c r="B18" s="40">
        <v>2.67</v>
      </c>
      <c r="C18" s="40">
        <v>4.62</v>
      </c>
      <c r="D18" s="40">
        <v>1.95</v>
      </c>
      <c r="E18" s="40">
        <v>5.45</v>
      </c>
      <c r="F18" s="40">
        <v>2.73</v>
      </c>
      <c r="G18" s="40">
        <v>2.98</v>
      </c>
      <c r="H18" s="40">
        <v>2.8</v>
      </c>
      <c r="I18" s="40">
        <v>2.93</v>
      </c>
      <c r="J18" s="40">
        <v>1.23</v>
      </c>
      <c r="K18" s="40">
        <v>261.89999999999998</v>
      </c>
      <c r="L18" s="40">
        <v>24.1</v>
      </c>
      <c r="M18" s="40">
        <v>100.61</v>
      </c>
      <c r="N18" s="40">
        <v>200</v>
      </c>
      <c r="O18" s="40">
        <v>0</v>
      </c>
      <c r="P18" s="40">
        <v>0.1</v>
      </c>
      <c r="Q18" s="40">
        <v>9.92</v>
      </c>
      <c r="R18" s="38"/>
      <c r="S18" s="38"/>
      <c r="T18" s="38"/>
      <c r="U18" s="38"/>
    </row>
    <row r="19" spans="1:21" customFormat="1">
      <c r="A19" s="39">
        <v>45847.458333333336</v>
      </c>
      <c r="B19" s="40">
        <v>2.65</v>
      </c>
      <c r="C19" s="40">
        <v>4.5999999999999996</v>
      </c>
      <c r="D19" s="40">
        <v>1.95</v>
      </c>
      <c r="E19" s="40">
        <v>5.09</v>
      </c>
      <c r="F19" s="40">
        <v>2.78</v>
      </c>
      <c r="G19" s="40">
        <v>2.8</v>
      </c>
      <c r="H19" s="40">
        <v>2.17</v>
      </c>
      <c r="I19" s="40">
        <v>2.92</v>
      </c>
      <c r="J19" s="40">
        <v>1.1599999999999999</v>
      </c>
      <c r="K19" s="40">
        <v>260.02999999999997</v>
      </c>
      <c r="L19" s="40">
        <v>24.17</v>
      </c>
      <c r="M19" s="40">
        <v>100.61</v>
      </c>
      <c r="N19" s="40">
        <v>104.9</v>
      </c>
      <c r="O19" s="40">
        <v>0</v>
      </c>
      <c r="P19" s="40">
        <v>0.1</v>
      </c>
      <c r="Q19" s="40">
        <v>9.91</v>
      </c>
      <c r="R19" s="38"/>
      <c r="S19" s="38"/>
      <c r="T19" s="38"/>
      <c r="U19" s="38"/>
    </row>
    <row r="20" spans="1:21" customFormat="1">
      <c r="A20" s="39">
        <v>45847.5</v>
      </c>
      <c r="B20" s="40">
        <v>2.64</v>
      </c>
      <c r="C20" s="40">
        <v>4.58</v>
      </c>
      <c r="D20" s="40">
        <v>1.94</v>
      </c>
      <c r="E20" s="40">
        <v>5.03</v>
      </c>
      <c r="F20" s="40">
        <v>5.62</v>
      </c>
      <c r="G20" s="40">
        <v>2.4500000000000002</v>
      </c>
      <c r="H20" s="40">
        <v>1.96</v>
      </c>
      <c r="I20" s="40">
        <v>2.89</v>
      </c>
      <c r="J20" s="40">
        <v>0.87</v>
      </c>
      <c r="K20" s="40">
        <v>265.83</v>
      </c>
      <c r="L20" s="40">
        <v>24.74</v>
      </c>
      <c r="M20" s="40">
        <v>95.58</v>
      </c>
      <c r="N20" s="40">
        <v>143.69999999999999</v>
      </c>
      <c r="O20" s="40">
        <v>0</v>
      </c>
      <c r="P20" s="40">
        <v>0.12</v>
      </c>
      <c r="Q20" s="40">
        <v>9.92</v>
      </c>
      <c r="R20" s="38"/>
      <c r="S20" s="38"/>
      <c r="T20" s="38"/>
      <c r="U20" s="38"/>
    </row>
    <row r="21" spans="1:21" customFormat="1">
      <c r="A21" s="39">
        <v>45847.541666666664</v>
      </c>
      <c r="B21" s="40">
        <v>0.16</v>
      </c>
      <c r="C21" s="40">
        <v>0.51</v>
      </c>
      <c r="D21" s="40">
        <v>0.35</v>
      </c>
      <c r="E21" s="40">
        <v>3.04</v>
      </c>
      <c r="F21" s="40">
        <v>24.67</v>
      </c>
      <c r="G21" s="40">
        <v>2.4500000000000002</v>
      </c>
      <c r="H21" s="40">
        <v>1.96</v>
      </c>
      <c r="I21" s="40">
        <v>2.8</v>
      </c>
      <c r="J21" s="40">
        <v>0.79</v>
      </c>
      <c r="K21" s="40">
        <v>260.41000000000003</v>
      </c>
      <c r="L21" s="40">
        <v>25.37</v>
      </c>
      <c r="M21" s="40">
        <v>94.54</v>
      </c>
      <c r="N21" s="40">
        <v>219.4</v>
      </c>
      <c r="O21" s="40">
        <v>0</v>
      </c>
      <c r="P21" s="40">
        <v>0.11</v>
      </c>
      <c r="Q21" s="40">
        <v>9.93</v>
      </c>
      <c r="R21" s="38"/>
      <c r="S21" s="38"/>
      <c r="T21" s="38"/>
      <c r="U21" s="38"/>
    </row>
    <row r="22" spans="1:21" customFormat="1">
      <c r="A22" s="39">
        <v>45847.583333333336</v>
      </c>
      <c r="B22" s="40">
        <v>4.1100000000000003</v>
      </c>
      <c r="C22" s="40">
        <v>24.43</v>
      </c>
      <c r="D22" s="40">
        <v>5.33</v>
      </c>
      <c r="E22" s="40">
        <v>2.2200000000000002</v>
      </c>
      <c r="F22" s="40">
        <v>19.46</v>
      </c>
      <c r="G22" s="40">
        <v>2.4500000000000002</v>
      </c>
      <c r="H22" s="40">
        <v>1.96</v>
      </c>
      <c r="I22" s="40">
        <v>9.6</v>
      </c>
      <c r="J22" s="40">
        <v>1.21</v>
      </c>
      <c r="K22" s="40">
        <v>261.89</v>
      </c>
      <c r="L22" s="40">
        <v>25.47</v>
      </c>
      <c r="M22" s="40">
        <v>93.01</v>
      </c>
      <c r="N22" s="40">
        <v>250.4</v>
      </c>
      <c r="O22" s="40">
        <v>0</v>
      </c>
      <c r="P22" s="40">
        <v>0.16</v>
      </c>
      <c r="Q22" s="40">
        <v>9.92</v>
      </c>
      <c r="R22" s="38"/>
      <c r="S22" s="38"/>
      <c r="T22" s="38"/>
      <c r="U22" s="38"/>
    </row>
    <row r="23" spans="1:21" customFormat="1">
      <c r="A23" s="39">
        <v>45847.625</v>
      </c>
      <c r="B23" s="40">
        <v>4.1100000000000003</v>
      </c>
      <c r="C23" s="40">
        <v>24.43</v>
      </c>
      <c r="D23" s="40">
        <v>5.33</v>
      </c>
      <c r="E23" s="40">
        <v>2.4900000000000002</v>
      </c>
      <c r="F23" s="40">
        <v>12.1</v>
      </c>
      <c r="G23" s="40">
        <v>2.4500000000000002</v>
      </c>
      <c r="H23" s="40">
        <v>1.96</v>
      </c>
      <c r="I23" s="40">
        <v>14.36</v>
      </c>
      <c r="J23" s="40">
        <v>0.97</v>
      </c>
      <c r="K23" s="40">
        <v>263.54000000000002</v>
      </c>
      <c r="L23" s="40">
        <v>25.67</v>
      </c>
      <c r="M23" s="40">
        <v>91.2</v>
      </c>
      <c r="N23" s="40">
        <v>225.2</v>
      </c>
      <c r="O23" s="40">
        <v>0</v>
      </c>
      <c r="P23" s="40">
        <v>0.14000000000000001</v>
      </c>
      <c r="Q23" s="40">
        <v>9.93</v>
      </c>
      <c r="R23" s="38"/>
      <c r="S23" s="38"/>
      <c r="T23" s="38"/>
      <c r="U23" s="38"/>
    </row>
    <row r="24" spans="1:21" customFormat="1">
      <c r="A24" s="39">
        <v>45847.666666666664</v>
      </c>
      <c r="B24" s="40">
        <v>4.1100000000000003</v>
      </c>
      <c r="C24" s="40">
        <v>24.43</v>
      </c>
      <c r="D24" s="40">
        <v>5.33</v>
      </c>
      <c r="E24" s="40">
        <v>2.4300000000000002</v>
      </c>
      <c r="F24" s="40">
        <v>13.16</v>
      </c>
      <c r="G24" s="40">
        <v>2.4500000000000002</v>
      </c>
      <c r="H24" s="40">
        <v>1.96</v>
      </c>
      <c r="I24" s="40">
        <v>8.42</v>
      </c>
      <c r="J24" s="40">
        <v>1.1200000000000001</v>
      </c>
      <c r="K24" s="40">
        <v>260.05</v>
      </c>
      <c r="L24" s="40">
        <v>25.53</v>
      </c>
      <c r="M24" s="40">
        <v>89.2</v>
      </c>
      <c r="N24" s="40">
        <v>89.5</v>
      </c>
      <c r="O24" s="40">
        <v>0</v>
      </c>
      <c r="P24" s="40">
        <v>0.12</v>
      </c>
      <c r="Q24" s="40">
        <v>9.93</v>
      </c>
      <c r="R24" s="38"/>
      <c r="S24" s="38"/>
      <c r="T24" s="38"/>
      <c r="U24" s="38"/>
    </row>
    <row r="25" spans="1:21" customFormat="1">
      <c r="A25" s="39">
        <v>45847.708333333336</v>
      </c>
      <c r="B25" s="40">
        <v>4.1100000000000003</v>
      </c>
      <c r="C25" s="40">
        <v>24.43</v>
      </c>
      <c r="D25" s="40">
        <v>5.33</v>
      </c>
      <c r="E25" s="40">
        <v>2.5</v>
      </c>
      <c r="F25" s="40">
        <v>13.41</v>
      </c>
      <c r="G25" s="40">
        <v>0.09</v>
      </c>
      <c r="H25" s="40">
        <v>1.63</v>
      </c>
      <c r="I25" s="40">
        <v>5.01</v>
      </c>
      <c r="J25" s="40">
        <v>1.07</v>
      </c>
      <c r="K25" s="40">
        <v>260.72000000000003</v>
      </c>
      <c r="L25" s="40">
        <v>25.39</v>
      </c>
      <c r="M25" s="40">
        <v>90.32</v>
      </c>
      <c r="N25" s="40">
        <v>87.5</v>
      </c>
      <c r="O25" s="40">
        <v>0</v>
      </c>
      <c r="P25" s="40">
        <v>0.1</v>
      </c>
      <c r="Q25" s="40">
        <v>9.93</v>
      </c>
      <c r="R25" s="38"/>
      <c r="S25" s="38"/>
      <c r="T25" s="38"/>
      <c r="U25" s="38"/>
    </row>
    <row r="26" spans="1:21" customFormat="1">
      <c r="A26" s="39">
        <v>45847.75</v>
      </c>
      <c r="B26" s="24" t="s">
        <v>14</v>
      </c>
      <c r="C26" s="24" t="s">
        <v>14</v>
      </c>
      <c r="D26" s="24" t="s">
        <v>14</v>
      </c>
      <c r="E26" s="40">
        <v>2.85</v>
      </c>
      <c r="F26" s="40">
        <v>7.25</v>
      </c>
      <c r="G26" s="40">
        <v>0.42</v>
      </c>
      <c r="H26" s="40">
        <v>2.16</v>
      </c>
      <c r="I26" s="40">
        <v>3.48</v>
      </c>
      <c r="J26" s="40">
        <v>1.1399999999999999</v>
      </c>
      <c r="K26" s="40">
        <v>261.94</v>
      </c>
      <c r="L26" s="40">
        <v>25.18</v>
      </c>
      <c r="M26" s="40">
        <v>93.85</v>
      </c>
      <c r="N26" s="40">
        <v>38.700000000000003</v>
      </c>
      <c r="O26" s="40">
        <v>0</v>
      </c>
      <c r="P26" s="40">
        <v>0.12</v>
      </c>
      <c r="Q26" s="40">
        <v>9.93</v>
      </c>
      <c r="R26" s="38"/>
      <c r="S26" s="38"/>
      <c r="T26" s="38"/>
      <c r="U26" s="38"/>
    </row>
    <row r="27" spans="1:21" customFormat="1">
      <c r="A27" s="39">
        <v>45847.791666666664</v>
      </c>
      <c r="B27" s="24" t="s">
        <v>14</v>
      </c>
      <c r="C27" s="24" t="s">
        <v>14</v>
      </c>
      <c r="D27" s="24" t="s">
        <v>14</v>
      </c>
      <c r="E27" s="40">
        <v>2.2799999999999998</v>
      </c>
      <c r="F27" s="40">
        <v>14.43</v>
      </c>
      <c r="G27" s="40">
        <v>2.56</v>
      </c>
      <c r="H27" s="40">
        <v>9.06</v>
      </c>
      <c r="I27" s="40">
        <v>2.8</v>
      </c>
      <c r="J27" s="40">
        <v>1.06</v>
      </c>
      <c r="K27" s="40">
        <v>261.39</v>
      </c>
      <c r="L27" s="40">
        <v>24.44</v>
      </c>
      <c r="M27" s="40">
        <v>98.01</v>
      </c>
      <c r="N27" s="40">
        <v>7.3</v>
      </c>
      <c r="O27" s="40">
        <v>0.2</v>
      </c>
      <c r="P27" s="40">
        <v>0.13</v>
      </c>
      <c r="Q27" s="40">
        <v>9.92</v>
      </c>
      <c r="R27" s="38"/>
      <c r="S27" s="38"/>
      <c r="T27" s="38"/>
      <c r="U27" s="38"/>
    </row>
    <row r="28" spans="1:21" customFormat="1">
      <c r="A28" s="39">
        <v>45847.833333333336</v>
      </c>
      <c r="B28" s="40">
        <v>1.54</v>
      </c>
      <c r="C28" s="40">
        <v>4.0999999999999996</v>
      </c>
      <c r="D28" s="40">
        <v>2.56</v>
      </c>
      <c r="E28" s="40">
        <v>2.04</v>
      </c>
      <c r="F28" s="40">
        <v>10.06</v>
      </c>
      <c r="G28" s="40">
        <v>5.35</v>
      </c>
      <c r="H28" s="40">
        <v>8.24</v>
      </c>
      <c r="I28" s="40">
        <v>2.95</v>
      </c>
      <c r="J28" s="40">
        <v>0.92</v>
      </c>
      <c r="K28" s="40">
        <v>259.98</v>
      </c>
      <c r="L28" s="40">
        <v>24.17</v>
      </c>
      <c r="M28" s="40">
        <v>98.29</v>
      </c>
      <c r="N28" s="40">
        <v>2.8</v>
      </c>
      <c r="O28" s="40">
        <v>0</v>
      </c>
      <c r="P28" s="40">
        <v>0.14000000000000001</v>
      </c>
      <c r="Q28" s="40">
        <v>9.89</v>
      </c>
      <c r="R28" s="38"/>
      <c r="S28" s="38"/>
      <c r="T28" s="38"/>
      <c r="U28" s="38"/>
    </row>
    <row r="29" spans="1:21" customFormat="1">
      <c r="A29" s="39">
        <v>45847.875</v>
      </c>
      <c r="B29" s="40">
        <v>1.08</v>
      </c>
      <c r="C29" s="40">
        <v>3.53</v>
      </c>
      <c r="D29" s="40">
        <v>2.4500000000000002</v>
      </c>
      <c r="E29" s="40">
        <v>2.81</v>
      </c>
      <c r="F29" s="40">
        <v>2.2599999999999998</v>
      </c>
      <c r="G29" s="40">
        <v>10.47</v>
      </c>
      <c r="H29" s="40">
        <v>3.57</v>
      </c>
      <c r="I29" s="40">
        <v>2.75</v>
      </c>
      <c r="J29" s="40">
        <v>0.7</v>
      </c>
      <c r="K29" s="40">
        <v>262.91000000000003</v>
      </c>
      <c r="L29" s="40">
        <v>24.18</v>
      </c>
      <c r="M29" s="40">
        <v>97.39</v>
      </c>
      <c r="N29" s="40">
        <v>2.5</v>
      </c>
      <c r="O29" s="40">
        <v>0</v>
      </c>
      <c r="P29" s="40">
        <v>0.14000000000000001</v>
      </c>
      <c r="Q29" s="40">
        <v>9.9</v>
      </c>
      <c r="R29" s="38"/>
      <c r="S29" s="38"/>
      <c r="T29" s="38"/>
      <c r="U29" s="38"/>
    </row>
    <row r="30" spans="1:21" customFormat="1">
      <c r="A30" s="39">
        <v>45847.916666666664</v>
      </c>
      <c r="B30" s="40">
        <v>0.59</v>
      </c>
      <c r="C30" s="40">
        <v>2.91</v>
      </c>
      <c r="D30" s="40">
        <v>2.33</v>
      </c>
      <c r="E30" s="40">
        <v>3.15</v>
      </c>
      <c r="F30" s="40">
        <v>2.1800000000000002</v>
      </c>
      <c r="G30" s="40">
        <v>11.84</v>
      </c>
      <c r="H30" s="40">
        <v>4.38</v>
      </c>
      <c r="I30" s="40">
        <v>2.97</v>
      </c>
      <c r="J30" s="40">
        <v>0.78</v>
      </c>
      <c r="K30" s="40">
        <v>261.87</v>
      </c>
      <c r="L30" s="40">
        <v>24.16</v>
      </c>
      <c r="M30" s="40">
        <v>99.27</v>
      </c>
      <c r="N30" s="40">
        <v>2.6</v>
      </c>
      <c r="O30" s="40">
        <v>0</v>
      </c>
      <c r="P30" s="40">
        <v>0.14000000000000001</v>
      </c>
      <c r="Q30" s="40">
        <v>9.89</v>
      </c>
      <c r="R30" s="38"/>
      <c r="S30" s="38"/>
      <c r="T30" s="38"/>
      <c r="U30" s="38"/>
    </row>
    <row r="31" spans="1:21" customFormat="1">
      <c r="A31" s="39">
        <v>45847.958333333336</v>
      </c>
      <c r="B31" s="40">
        <v>0.78</v>
      </c>
      <c r="C31" s="40">
        <v>3.17</v>
      </c>
      <c r="D31" s="40">
        <v>2.39</v>
      </c>
      <c r="E31" s="40">
        <v>3.12</v>
      </c>
      <c r="F31" s="40">
        <v>2.59</v>
      </c>
      <c r="G31" s="40">
        <v>11.24</v>
      </c>
      <c r="H31" s="40">
        <v>3.88</v>
      </c>
      <c r="I31" s="40">
        <v>3.15</v>
      </c>
      <c r="J31" s="40">
        <v>0.64</v>
      </c>
      <c r="K31" s="40">
        <v>260.36</v>
      </c>
      <c r="L31" s="40">
        <v>24.03</v>
      </c>
      <c r="M31" s="40">
        <v>100.05</v>
      </c>
      <c r="N31" s="40">
        <v>2.4</v>
      </c>
      <c r="O31" s="40">
        <v>0</v>
      </c>
      <c r="P31" s="40">
        <v>0.12</v>
      </c>
      <c r="Q31" s="40">
        <v>9.91</v>
      </c>
      <c r="R31" s="38"/>
      <c r="S31" s="38"/>
      <c r="T31" s="38"/>
      <c r="U31" s="38"/>
    </row>
    <row r="32" spans="1:21" customFormat="1">
      <c r="A32" s="40">
        <v>45848</v>
      </c>
      <c r="B32" s="40">
        <v>0.68</v>
      </c>
      <c r="C32" s="40">
        <v>3.09</v>
      </c>
      <c r="D32" s="40">
        <v>2.41</v>
      </c>
      <c r="E32" s="40">
        <v>3.13</v>
      </c>
      <c r="F32" s="40">
        <v>2.62</v>
      </c>
      <c r="G32" s="40">
        <v>10.17</v>
      </c>
      <c r="H32" s="40">
        <v>3.28</v>
      </c>
      <c r="I32" s="40">
        <v>3.23</v>
      </c>
      <c r="J32" s="40">
        <v>0.75</v>
      </c>
      <c r="K32" s="40">
        <v>268.45</v>
      </c>
      <c r="L32" s="40">
        <v>24.06</v>
      </c>
      <c r="M32" s="40">
        <v>97.84</v>
      </c>
      <c r="N32" s="40">
        <v>2.5</v>
      </c>
      <c r="O32" s="40">
        <v>0</v>
      </c>
      <c r="P32" s="40">
        <v>0.12</v>
      </c>
      <c r="Q32" s="40">
        <v>9.91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0.16</v>
      </c>
      <c r="C34" s="18">
        <f t="shared" si="0"/>
        <v>0.51</v>
      </c>
      <c r="D34" s="18">
        <f t="shared" si="0"/>
        <v>0.35</v>
      </c>
      <c r="E34" s="18">
        <f t="shared" si="0"/>
        <v>2.04</v>
      </c>
      <c r="F34" s="18">
        <f t="shared" si="0"/>
        <v>2.1800000000000002</v>
      </c>
      <c r="G34" s="18">
        <f t="shared" si="0"/>
        <v>0.09</v>
      </c>
      <c r="H34" s="18">
        <f t="shared" si="0"/>
        <v>1.63</v>
      </c>
      <c r="I34" s="18">
        <f t="shared" si="0"/>
        <v>2.75</v>
      </c>
      <c r="J34" s="18">
        <f t="shared" si="0"/>
        <v>0.45</v>
      </c>
      <c r="K34" s="18">
        <f t="shared" si="0"/>
        <v>258.81</v>
      </c>
      <c r="L34" s="18">
        <f t="shared" si="0"/>
        <v>22.93</v>
      </c>
      <c r="M34" s="18">
        <f t="shared" si="0"/>
        <v>89.2</v>
      </c>
      <c r="N34" s="18">
        <f t="shared" si="0"/>
        <v>2.4</v>
      </c>
      <c r="O34" s="18">
        <f t="shared" si="0"/>
        <v>0</v>
      </c>
      <c r="P34" s="18">
        <f t="shared" si="0"/>
        <v>0.09</v>
      </c>
      <c r="Q34" s="18">
        <f t="shared" si="0"/>
        <v>9.89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4.1100000000000003</v>
      </c>
      <c r="C35" s="3">
        <f t="shared" si="1"/>
        <v>24.43</v>
      </c>
      <c r="D35" s="3">
        <f t="shared" si="1"/>
        <v>5.33</v>
      </c>
      <c r="E35" s="3">
        <f t="shared" si="1"/>
        <v>6.24</v>
      </c>
      <c r="F35" s="3">
        <f t="shared" si="1"/>
        <v>24.67</v>
      </c>
      <c r="G35" s="3">
        <f t="shared" si="1"/>
        <v>11.84</v>
      </c>
      <c r="H35" s="3">
        <f t="shared" si="1"/>
        <v>9.06</v>
      </c>
      <c r="I35" s="3">
        <f t="shared" si="1"/>
        <v>14.36</v>
      </c>
      <c r="J35" s="3">
        <f t="shared" si="1"/>
        <v>1.23</v>
      </c>
      <c r="K35" s="3">
        <f t="shared" si="1"/>
        <v>284.85000000000002</v>
      </c>
      <c r="L35" s="3">
        <f t="shared" si="1"/>
        <v>25.67</v>
      </c>
      <c r="M35" s="3">
        <f t="shared" si="1"/>
        <v>100.61</v>
      </c>
      <c r="N35" s="3">
        <f t="shared" si="1"/>
        <v>250.4</v>
      </c>
      <c r="O35" s="3">
        <f t="shared" si="1"/>
        <v>4.4000000000000004</v>
      </c>
      <c r="P35" s="3">
        <f t="shared" si="1"/>
        <v>0.16</v>
      </c>
      <c r="Q35" s="3">
        <f t="shared" si="1"/>
        <v>9.94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2.4877272727272728</v>
      </c>
      <c r="C36" s="18">
        <f t="shared" si="2"/>
        <v>7.7936363636363639</v>
      </c>
      <c r="D36" s="18">
        <f t="shared" si="2"/>
        <v>2.5868181818181815</v>
      </c>
      <c r="E36" s="18">
        <f t="shared" si="2"/>
        <v>4.0004166666666672</v>
      </c>
      <c r="F36" s="18">
        <f t="shared" si="2"/>
        <v>6.5720833333333326</v>
      </c>
      <c r="G36" s="18">
        <f t="shared" si="2"/>
        <v>5.4387499999999998</v>
      </c>
      <c r="H36" s="18">
        <f t="shared" si="2"/>
        <v>3.6079166666666662</v>
      </c>
      <c r="I36" s="18">
        <f t="shared" si="2"/>
        <v>4.0929166666666674</v>
      </c>
      <c r="J36" s="18">
        <f t="shared" si="2"/>
        <v>0.9</v>
      </c>
      <c r="K36" s="18">
        <f t="shared" si="2"/>
        <v>263.11583333333323</v>
      </c>
      <c r="L36" s="18">
        <f t="shared" si="2"/>
        <v>24.205833333333331</v>
      </c>
      <c r="M36" s="18">
        <f t="shared" si="2"/>
        <v>97.287083333333342</v>
      </c>
      <c r="N36" s="18">
        <f t="shared" si="2"/>
        <v>70.487499999999997</v>
      </c>
      <c r="O36" s="18">
        <f t="shared" si="2"/>
        <v>0.64166666666666672</v>
      </c>
      <c r="P36" s="18">
        <f t="shared" si="2"/>
        <v>0.11541666666666671</v>
      </c>
      <c r="Q36" s="18">
        <f t="shared" si="2"/>
        <v>9.920416666666668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1.1928075397312961</v>
      </c>
      <c r="C37" s="18">
        <f t="shared" ref="C37:Q37" si="3">STDEV(C9:C32)</f>
        <v>8.0889946078751809</v>
      </c>
      <c r="D37" s="18">
        <f t="shared" si="3"/>
        <v>1.3892491509672416</v>
      </c>
      <c r="E37" s="18">
        <f t="shared" si="3"/>
        <v>1.4084202657330416</v>
      </c>
      <c r="F37" s="18">
        <f t="shared" si="3"/>
        <v>6.3874632504118827</v>
      </c>
      <c r="G37" s="18">
        <f t="shared" si="3"/>
        <v>3.5494228710300644</v>
      </c>
      <c r="H37" s="18">
        <f t="shared" si="3"/>
        <v>1.9035481267923056</v>
      </c>
      <c r="I37" s="18">
        <f t="shared" si="3"/>
        <v>2.7821659988087575</v>
      </c>
      <c r="J37" s="18">
        <f t="shared" si="3"/>
        <v>0.21129003351050263</v>
      </c>
      <c r="K37" s="18">
        <f t="shared" si="3"/>
        <v>5.5462419055935843</v>
      </c>
      <c r="L37" s="18">
        <f t="shared" si="3"/>
        <v>0.8738267496510953</v>
      </c>
      <c r="M37" s="18">
        <f t="shared" si="3"/>
        <v>3.6358319174411871</v>
      </c>
      <c r="N37" s="18">
        <f t="shared" si="3"/>
        <v>89.322947596859493</v>
      </c>
      <c r="O37" s="18">
        <f t="shared" si="3"/>
        <v>1.3590011250808494</v>
      </c>
      <c r="P37" s="18">
        <f t="shared" si="3"/>
        <v>1.9105921382756061E-2</v>
      </c>
      <c r="Q37" s="18">
        <f t="shared" si="3"/>
        <v>1.3981094896063945E-2</v>
      </c>
      <c r="R37" s="18"/>
      <c r="S37" s="18"/>
      <c r="T37" s="18"/>
      <c r="U37" s="18"/>
    </row>
    <row r="38" spans="1:21">
      <c r="A38" s="34" t="s">
        <v>52</v>
      </c>
      <c r="B38" s="34">
        <f>COUNT(B9:B32)+2</f>
        <v>24</v>
      </c>
      <c r="C38" s="34">
        <f>COUNT(C9:C32)+2</f>
        <v>24</v>
      </c>
      <c r="D38" s="34">
        <f t="shared" ref="D38" si="4">COUNT(D9:D32)+2</f>
        <v>24</v>
      </c>
      <c r="E38" s="34">
        <f t="shared" ref="E38:Q38" si="5">COUNT(E9:E32)</f>
        <v>24</v>
      </c>
      <c r="F38" s="34">
        <f t="shared" si="5"/>
        <v>24</v>
      </c>
      <c r="G38" s="34">
        <f t="shared" si="5"/>
        <v>24</v>
      </c>
      <c r="H38" s="34">
        <f t="shared" si="5"/>
        <v>24</v>
      </c>
      <c r="I38" s="34">
        <f t="shared" si="5"/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 t="shared" si="5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45848.041666666664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45848.041666666664</v>
      </c>
      <c r="B9" s="40">
        <v>1.88</v>
      </c>
      <c r="C9" s="40">
        <v>4.49</v>
      </c>
      <c r="D9" s="40">
        <v>2.69</v>
      </c>
      <c r="E9" s="40">
        <v>3.28</v>
      </c>
      <c r="F9" s="40">
        <v>2.2999999999999998</v>
      </c>
      <c r="G9" s="40">
        <v>12.91</v>
      </c>
      <c r="H9" s="40">
        <v>3.31</v>
      </c>
      <c r="I9" s="40">
        <v>3.29</v>
      </c>
      <c r="J9" s="40">
        <v>0.9</v>
      </c>
      <c r="K9" s="40">
        <v>263.08999999999997</v>
      </c>
      <c r="L9" s="40">
        <v>24.19</v>
      </c>
      <c r="M9" s="40">
        <v>97.26</v>
      </c>
      <c r="N9" s="40">
        <v>2.4</v>
      </c>
      <c r="O9" s="40">
        <v>0</v>
      </c>
      <c r="P9" s="40">
        <v>0.12</v>
      </c>
      <c r="Q9" s="40">
        <v>9.93</v>
      </c>
      <c r="R9" s="38"/>
      <c r="S9" s="38"/>
      <c r="T9" s="38"/>
      <c r="U9" s="38"/>
    </row>
    <row r="10" spans="1:21" customFormat="1">
      <c r="A10" s="39">
        <v>45848.083333333336</v>
      </c>
      <c r="B10" s="40">
        <v>1.95</v>
      </c>
      <c r="C10" s="40">
        <v>4.54</v>
      </c>
      <c r="D10" s="40">
        <v>2.62</v>
      </c>
      <c r="E10" s="40">
        <v>3.02</v>
      </c>
      <c r="F10" s="40">
        <v>2.57</v>
      </c>
      <c r="G10" s="40">
        <v>15.82</v>
      </c>
      <c r="H10" s="40">
        <v>2.87</v>
      </c>
      <c r="I10" s="40">
        <v>3.26</v>
      </c>
      <c r="J10" s="40">
        <v>0.86</v>
      </c>
      <c r="K10" s="40">
        <v>261.13</v>
      </c>
      <c r="L10" s="40">
        <v>24.21</v>
      </c>
      <c r="M10" s="40">
        <v>97.1</v>
      </c>
      <c r="N10" s="40">
        <v>2.4</v>
      </c>
      <c r="O10" s="40">
        <v>0</v>
      </c>
      <c r="P10" s="40">
        <v>0.11</v>
      </c>
      <c r="Q10" s="40">
        <v>9.93</v>
      </c>
      <c r="R10" s="38"/>
      <c r="S10" s="38"/>
      <c r="T10" s="38"/>
      <c r="U10" s="38"/>
    </row>
    <row r="11" spans="1:21" customFormat="1">
      <c r="A11" s="39">
        <v>45848.125</v>
      </c>
      <c r="B11" s="40">
        <v>2</v>
      </c>
      <c r="C11" s="40">
        <v>4.68</v>
      </c>
      <c r="D11" s="40">
        <v>2.68</v>
      </c>
      <c r="E11" s="40">
        <v>5.46</v>
      </c>
      <c r="F11" s="40">
        <v>2.19</v>
      </c>
      <c r="G11" s="40">
        <v>18.09</v>
      </c>
      <c r="H11" s="40">
        <v>3.81</v>
      </c>
      <c r="I11" s="40">
        <v>3.28</v>
      </c>
      <c r="J11" s="40">
        <v>0.81</v>
      </c>
      <c r="K11" s="40">
        <v>261.2</v>
      </c>
      <c r="L11" s="40">
        <v>24.2</v>
      </c>
      <c r="M11" s="40">
        <v>97.23</v>
      </c>
      <c r="N11" s="40">
        <v>2.4</v>
      </c>
      <c r="O11" s="40">
        <v>0</v>
      </c>
      <c r="P11" s="40">
        <v>0.14000000000000001</v>
      </c>
      <c r="Q11" s="40">
        <v>9.92</v>
      </c>
      <c r="R11" s="38"/>
      <c r="S11" s="38"/>
      <c r="T11" s="38"/>
      <c r="U11" s="38"/>
    </row>
    <row r="12" spans="1:21" customFormat="1">
      <c r="A12" s="39">
        <v>45848.166666666664</v>
      </c>
      <c r="B12" s="40">
        <v>1.65</v>
      </c>
      <c r="C12" s="40">
        <v>4.25</v>
      </c>
      <c r="D12" s="40">
        <v>2.61</v>
      </c>
      <c r="E12" s="40">
        <v>5.9</v>
      </c>
      <c r="F12" s="40">
        <v>2.23</v>
      </c>
      <c r="G12" s="40">
        <v>20.59</v>
      </c>
      <c r="H12" s="40">
        <v>4.29</v>
      </c>
      <c r="I12" s="40">
        <v>3.13</v>
      </c>
      <c r="J12" s="40">
        <v>0.96</v>
      </c>
      <c r="K12" s="40">
        <v>260.16000000000003</v>
      </c>
      <c r="L12" s="40">
        <v>24.21</v>
      </c>
      <c r="M12" s="40">
        <v>97.48</v>
      </c>
      <c r="N12" s="40">
        <v>2.5</v>
      </c>
      <c r="O12" s="40">
        <v>0</v>
      </c>
      <c r="P12" s="40">
        <v>0.14000000000000001</v>
      </c>
      <c r="Q12" s="40">
        <v>9.91</v>
      </c>
      <c r="R12" s="38"/>
      <c r="S12" s="38"/>
      <c r="T12" s="38"/>
      <c r="U12" s="38"/>
    </row>
    <row r="13" spans="1:21" customFormat="1">
      <c r="A13" s="39">
        <v>45848.208333333336</v>
      </c>
      <c r="B13" s="40">
        <v>1.56</v>
      </c>
      <c r="C13" s="40">
        <v>4.0999999999999996</v>
      </c>
      <c r="D13" s="40">
        <v>2.57</v>
      </c>
      <c r="E13" s="40">
        <v>6</v>
      </c>
      <c r="F13" s="40">
        <v>2</v>
      </c>
      <c r="G13" s="40">
        <v>23.26</v>
      </c>
      <c r="H13" s="40">
        <v>3.83</v>
      </c>
      <c r="I13" s="40">
        <v>2.9</v>
      </c>
      <c r="J13" s="40">
        <v>0.92</v>
      </c>
      <c r="K13" s="40">
        <v>261.88</v>
      </c>
      <c r="L13" s="40">
        <v>24.18</v>
      </c>
      <c r="M13" s="40">
        <v>97.99</v>
      </c>
      <c r="N13" s="40">
        <v>2.4</v>
      </c>
      <c r="O13" s="40">
        <v>0</v>
      </c>
      <c r="P13" s="40">
        <v>0.14000000000000001</v>
      </c>
      <c r="Q13" s="40">
        <v>9.92</v>
      </c>
      <c r="R13" s="38"/>
      <c r="S13" s="38"/>
      <c r="T13" s="38"/>
      <c r="U13" s="38"/>
    </row>
    <row r="14" spans="1:21" customFormat="1">
      <c r="A14" s="39">
        <v>45848.25</v>
      </c>
      <c r="B14" s="40">
        <v>1.59</v>
      </c>
      <c r="C14" s="40">
        <v>4.1399999999999997</v>
      </c>
      <c r="D14" s="40">
        <v>2.56</v>
      </c>
      <c r="E14" s="40">
        <v>6.32</v>
      </c>
      <c r="F14" s="40">
        <v>2.97</v>
      </c>
      <c r="G14" s="40">
        <v>24.9</v>
      </c>
      <c r="H14" s="40">
        <v>4.8</v>
      </c>
      <c r="I14" s="40">
        <v>2.9</v>
      </c>
      <c r="J14" s="40">
        <v>0.72</v>
      </c>
      <c r="K14" s="40">
        <v>264.33999999999997</v>
      </c>
      <c r="L14" s="40">
        <v>24.11</v>
      </c>
      <c r="M14" s="40">
        <v>99.98</v>
      </c>
      <c r="N14" s="40">
        <v>3.6</v>
      </c>
      <c r="O14" s="40">
        <v>0.2</v>
      </c>
      <c r="P14" s="40">
        <v>0.13</v>
      </c>
      <c r="Q14" s="40">
        <v>9.91</v>
      </c>
      <c r="R14" s="38"/>
      <c r="S14" s="38"/>
      <c r="T14" s="38"/>
      <c r="U14" s="38"/>
    </row>
    <row r="15" spans="1:21" customFormat="1">
      <c r="A15" s="39">
        <v>45848.291666666664</v>
      </c>
      <c r="B15" s="40">
        <v>1.59</v>
      </c>
      <c r="C15" s="40">
        <v>4.22</v>
      </c>
      <c r="D15" s="40">
        <v>2.67</v>
      </c>
      <c r="E15" s="40">
        <v>6.28</v>
      </c>
      <c r="F15" s="40">
        <v>1.97</v>
      </c>
      <c r="G15" s="40">
        <v>19.55</v>
      </c>
      <c r="H15" s="40">
        <v>3.9</v>
      </c>
      <c r="I15" s="40">
        <v>3.12</v>
      </c>
      <c r="J15" s="40">
        <v>0.66</v>
      </c>
      <c r="K15" s="40">
        <v>259.52</v>
      </c>
      <c r="L15" s="40">
        <v>24.15</v>
      </c>
      <c r="M15" s="40">
        <v>100.15</v>
      </c>
      <c r="N15" s="40">
        <v>15</v>
      </c>
      <c r="O15" s="40">
        <v>0</v>
      </c>
      <c r="P15" s="40">
        <v>0.17</v>
      </c>
      <c r="Q15" s="40">
        <v>9.91</v>
      </c>
      <c r="R15" s="38"/>
      <c r="S15" s="38"/>
      <c r="T15" s="38"/>
      <c r="U15" s="38"/>
    </row>
    <row r="16" spans="1:21" customFormat="1">
      <c r="A16" s="39">
        <v>45848.333333333336</v>
      </c>
      <c r="B16" s="40">
        <v>2.16</v>
      </c>
      <c r="C16" s="40">
        <v>5.05</v>
      </c>
      <c r="D16" s="40">
        <v>2.88</v>
      </c>
      <c r="E16" s="40">
        <v>6.57</v>
      </c>
      <c r="F16" s="40">
        <v>1.98</v>
      </c>
      <c r="G16" s="40">
        <v>24.94</v>
      </c>
      <c r="H16" s="40">
        <v>5.62</v>
      </c>
      <c r="I16" s="40">
        <v>3.75</v>
      </c>
      <c r="J16" s="40">
        <v>0.46</v>
      </c>
      <c r="K16" s="40">
        <v>260.11</v>
      </c>
      <c r="L16" s="40">
        <v>24.46</v>
      </c>
      <c r="M16" s="40">
        <v>100.13</v>
      </c>
      <c r="N16" s="40">
        <v>47.7</v>
      </c>
      <c r="O16" s="40">
        <v>0</v>
      </c>
      <c r="P16" s="40">
        <v>0.18</v>
      </c>
      <c r="Q16" s="40">
        <v>9.93</v>
      </c>
      <c r="R16" s="38"/>
      <c r="S16" s="38"/>
      <c r="T16" s="38"/>
      <c r="U16" s="38"/>
    </row>
    <row r="17" spans="1:21" customFormat="1">
      <c r="A17" s="39">
        <v>45848.375</v>
      </c>
      <c r="B17" s="40">
        <v>2.4</v>
      </c>
      <c r="C17" s="40">
        <v>5.29</v>
      </c>
      <c r="D17" s="40">
        <v>2.89</v>
      </c>
      <c r="E17" s="40">
        <v>6.33</v>
      </c>
      <c r="F17" s="40">
        <v>2.48</v>
      </c>
      <c r="G17" s="40">
        <v>21.17</v>
      </c>
      <c r="H17" s="40">
        <v>8.0399999999999991</v>
      </c>
      <c r="I17" s="40">
        <v>4.16</v>
      </c>
      <c r="J17" s="40">
        <v>0.78</v>
      </c>
      <c r="K17" s="40">
        <v>260.69</v>
      </c>
      <c r="L17" s="40">
        <v>25.36</v>
      </c>
      <c r="M17" s="40">
        <v>99.43</v>
      </c>
      <c r="N17" s="40">
        <v>122.6</v>
      </c>
      <c r="O17" s="40">
        <v>0</v>
      </c>
      <c r="P17" s="40">
        <v>0.18</v>
      </c>
      <c r="Q17" s="40">
        <v>9.94</v>
      </c>
      <c r="R17" s="38"/>
      <c r="S17" s="38"/>
      <c r="T17" s="38"/>
      <c r="U17" s="38"/>
    </row>
    <row r="18" spans="1:21" customFormat="1">
      <c r="A18" s="39">
        <v>45848.416666666664</v>
      </c>
      <c r="B18" s="40">
        <v>2.5</v>
      </c>
      <c r="C18" s="40">
        <v>5.51</v>
      </c>
      <c r="D18" s="40">
        <v>3.02</v>
      </c>
      <c r="E18" s="40">
        <v>5.74</v>
      </c>
      <c r="F18" s="40">
        <v>2.68</v>
      </c>
      <c r="G18" s="40">
        <v>23.91</v>
      </c>
      <c r="H18" s="40">
        <v>9.58</v>
      </c>
      <c r="I18" s="40">
        <v>4.5999999999999996</v>
      </c>
      <c r="J18" s="40">
        <v>0.7</v>
      </c>
      <c r="K18" s="40">
        <v>264.39999999999998</v>
      </c>
      <c r="L18" s="40">
        <v>26.58</v>
      </c>
      <c r="M18" s="40">
        <v>94.52</v>
      </c>
      <c r="N18" s="40">
        <v>206.3</v>
      </c>
      <c r="O18" s="40">
        <v>0</v>
      </c>
      <c r="P18" s="40">
        <v>0.19</v>
      </c>
      <c r="Q18" s="40">
        <v>9.93</v>
      </c>
      <c r="R18" s="38"/>
      <c r="S18" s="38"/>
      <c r="T18" s="38"/>
      <c r="U18" s="38"/>
    </row>
    <row r="19" spans="1:21" customFormat="1">
      <c r="A19" s="39">
        <v>45848.458333333336</v>
      </c>
      <c r="B19" s="40">
        <v>2.64</v>
      </c>
      <c r="C19" s="40">
        <v>5.77</v>
      </c>
      <c r="D19" s="40">
        <v>3.13</v>
      </c>
      <c r="E19" s="40">
        <v>4.92</v>
      </c>
      <c r="F19" s="40">
        <v>5.39</v>
      </c>
      <c r="G19" s="40">
        <v>28.85</v>
      </c>
      <c r="H19" s="40">
        <v>12.94</v>
      </c>
      <c r="I19" s="40">
        <v>5.54</v>
      </c>
      <c r="J19" s="40">
        <v>0.75</v>
      </c>
      <c r="K19" s="40">
        <v>268.2</v>
      </c>
      <c r="L19" s="40">
        <v>28.2</v>
      </c>
      <c r="M19" s="40">
        <v>89.86</v>
      </c>
      <c r="N19" s="40">
        <v>300.7</v>
      </c>
      <c r="O19" s="40">
        <v>0</v>
      </c>
      <c r="P19" s="40">
        <v>0.26</v>
      </c>
      <c r="Q19" s="40">
        <v>9.9499999999999993</v>
      </c>
      <c r="R19" s="38"/>
      <c r="S19" s="38"/>
      <c r="T19" s="38"/>
      <c r="U19" s="38"/>
    </row>
    <row r="20" spans="1:21" customFormat="1">
      <c r="A20" s="39">
        <v>45848.5</v>
      </c>
      <c r="B20" s="40">
        <v>2.44</v>
      </c>
      <c r="C20" s="40">
        <v>5.55</v>
      </c>
      <c r="D20" s="40">
        <v>3.11</v>
      </c>
      <c r="E20" s="40">
        <v>3.44</v>
      </c>
      <c r="F20" s="40">
        <v>31.85</v>
      </c>
      <c r="G20" s="40">
        <v>33.75</v>
      </c>
      <c r="H20" s="40">
        <v>13.5</v>
      </c>
      <c r="I20" s="40">
        <v>7.28</v>
      </c>
      <c r="J20" s="40">
        <v>0.86</v>
      </c>
      <c r="K20" s="40">
        <v>263.92</v>
      </c>
      <c r="L20" s="40">
        <v>28.54</v>
      </c>
      <c r="M20" s="40">
        <v>84.76</v>
      </c>
      <c r="N20" s="40">
        <v>288</v>
      </c>
      <c r="O20" s="40">
        <v>0</v>
      </c>
      <c r="P20" s="40">
        <v>0.28000000000000003</v>
      </c>
      <c r="Q20" s="40">
        <v>10</v>
      </c>
      <c r="R20" s="38"/>
      <c r="S20" s="38"/>
      <c r="T20" s="38"/>
      <c r="U20" s="38"/>
    </row>
    <row r="21" spans="1:21" customFormat="1">
      <c r="A21" s="39">
        <v>45848.541666666664</v>
      </c>
      <c r="B21" s="24" t="s">
        <v>14</v>
      </c>
      <c r="C21" s="24" t="s">
        <v>14</v>
      </c>
      <c r="D21" s="24" t="s">
        <v>14</v>
      </c>
      <c r="E21" s="40">
        <v>3.44</v>
      </c>
      <c r="F21" s="40">
        <v>31.7</v>
      </c>
      <c r="G21" s="40">
        <v>29.74</v>
      </c>
      <c r="H21" s="40">
        <v>12.92</v>
      </c>
      <c r="I21" s="40">
        <v>9.2899999999999991</v>
      </c>
      <c r="J21" s="40">
        <v>0.94</v>
      </c>
      <c r="K21" s="40">
        <v>259.39999999999998</v>
      </c>
      <c r="L21" s="40">
        <v>28.49</v>
      </c>
      <c r="M21" s="40">
        <v>85.73</v>
      </c>
      <c r="N21" s="40">
        <v>383.4</v>
      </c>
      <c r="O21" s="40">
        <v>0</v>
      </c>
      <c r="P21" s="40">
        <v>0.34</v>
      </c>
      <c r="Q21" s="40">
        <v>10</v>
      </c>
      <c r="R21" s="38"/>
      <c r="S21" s="38"/>
      <c r="T21" s="38"/>
      <c r="U21" s="38"/>
    </row>
    <row r="22" spans="1:21" customFormat="1">
      <c r="A22" s="39">
        <v>45848.583333333336</v>
      </c>
      <c r="B22" s="24" t="s">
        <v>14</v>
      </c>
      <c r="C22" s="24" t="s">
        <v>14</v>
      </c>
      <c r="D22" s="24" t="s">
        <v>14</v>
      </c>
      <c r="E22" s="40">
        <v>2.98</v>
      </c>
      <c r="F22" s="40">
        <v>35.93</v>
      </c>
      <c r="G22" s="40">
        <v>22.41</v>
      </c>
      <c r="H22" s="40">
        <v>9.44</v>
      </c>
      <c r="I22" s="40">
        <v>9.25</v>
      </c>
      <c r="J22" s="40">
        <v>0.99</v>
      </c>
      <c r="K22" s="40">
        <v>258</v>
      </c>
      <c r="L22" s="40">
        <v>29.18</v>
      </c>
      <c r="M22" s="40">
        <v>84.97</v>
      </c>
      <c r="N22" s="40">
        <v>522</v>
      </c>
      <c r="O22" s="40">
        <v>0</v>
      </c>
      <c r="P22" s="40">
        <v>0.19</v>
      </c>
      <c r="Q22" s="40">
        <v>10</v>
      </c>
      <c r="R22" s="38"/>
      <c r="S22" s="38"/>
      <c r="T22" s="38"/>
      <c r="U22" s="38"/>
    </row>
    <row r="23" spans="1:21" customFormat="1">
      <c r="A23" s="39">
        <v>45848.625</v>
      </c>
      <c r="B23" s="24" t="s">
        <v>14</v>
      </c>
      <c r="C23" s="24" t="s">
        <v>14</v>
      </c>
      <c r="D23" s="24" t="s">
        <v>14</v>
      </c>
      <c r="E23" s="40">
        <v>2.4500000000000002</v>
      </c>
      <c r="F23" s="40">
        <v>20.55</v>
      </c>
      <c r="G23" s="40">
        <v>22.94</v>
      </c>
      <c r="H23" s="40">
        <v>10.78</v>
      </c>
      <c r="I23" s="40">
        <v>5.17</v>
      </c>
      <c r="J23" s="40">
        <v>0.76</v>
      </c>
      <c r="K23" s="40">
        <v>265.45</v>
      </c>
      <c r="L23" s="40">
        <v>27.98</v>
      </c>
      <c r="M23" s="40">
        <v>100.29</v>
      </c>
      <c r="N23" s="40">
        <v>47.8</v>
      </c>
      <c r="O23" s="40">
        <v>18.2</v>
      </c>
      <c r="P23" s="40">
        <v>0.17</v>
      </c>
      <c r="Q23" s="40">
        <v>10</v>
      </c>
      <c r="R23" s="38"/>
      <c r="S23" s="38"/>
      <c r="T23" s="38"/>
      <c r="U23" s="38"/>
    </row>
    <row r="24" spans="1:21" customFormat="1">
      <c r="A24" s="39">
        <v>45848.666666666664</v>
      </c>
      <c r="B24" s="24" t="s">
        <v>14</v>
      </c>
      <c r="C24" s="24" t="s">
        <v>14</v>
      </c>
      <c r="D24" s="24" t="s">
        <v>14</v>
      </c>
      <c r="E24" s="40">
        <v>2.5</v>
      </c>
      <c r="F24" s="40">
        <v>14.54</v>
      </c>
      <c r="G24" s="40">
        <v>20.94</v>
      </c>
      <c r="H24" s="40">
        <v>7.75</v>
      </c>
      <c r="I24" s="40">
        <v>3.9</v>
      </c>
      <c r="J24" s="40">
        <v>0.28000000000000003</v>
      </c>
      <c r="K24" s="40">
        <v>350.17</v>
      </c>
      <c r="L24" s="40">
        <v>25.34</v>
      </c>
      <c r="M24" s="40">
        <v>100.35</v>
      </c>
      <c r="N24" s="40">
        <v>11.7</v>
      </c>
      <c r="O24" s="40">
        <v>3.2</v>
      </c>
      <c r="P24" s="40">
        <v>0.19</v>
      </c>
      <c r="Q24" s="40">
        <v>10.039999999999999</v>
      </c>
      <c r="R24" s="38"/>
      <c r="S24" s="38"/>
      <c r="T24" s="38"/>
      <c r="U24" s="38"/>
    </row>
    <row r="25" spans="1:21" customFormat="1">
      <c r="A25" s="39">
        <v>45848.708333333336</v>
      </c>
      <c r="B25" s="24" t="s">
        <v>14</v>
      </c>
      <c r="C25" s="24" t="s">
        <v>14</v>
      </c>
      <c r="D25" s="24" t="s">
        <v>14</v>
      </c>
      <c r="E25" s="40">
        <v>2.74</v>
      </c>
      <c r="F25" s="40">
        <v>6.51</v>
      </c>
      <c r="G25" s="40">
        <v>16.03</v>
      </c>
      <c r="H25" s="40">
        <v>7.95</v>
      </c>
      <c r="I25" s="40">
        <v>4.29</v>
      </c>
      <c r="J25" s="40">
        <v>0.15</v>
      </c>
      <c r="K25" s="40">
        <v>246.59</v>
      </c>
      <c r="L25" s="40">
        <v>25.56</v>
      </c>
      <c r="M25" s="40">
        <v>100.38</v>
      </c>
      <c r="N25" s="40">
        <v>10.8</v>
      </c>
      <c r="O25" s="40">
        <v>0.2</v>
      </c>
      <c r="P25" s="40">
        <v>0.21</v>
      </c>
      <c r="Q25" s="40">
        <v>10.039999999999999</v>
      </c>
      <c r="R25" s="38"/>
      <c r="S25" s="38"/>
      <c r="T25" s="38"/>
      <c r="U25" s="38"/>
    </row>
    <row r="26" spans="1:21" customFormat="1">
      <c r="A26" s="39">
        <v>45848.75</v>
      </c>
      <c r="B26" s="24" t="s">
        <v>14</v>
      </c>
      <c r="C26" s="24" t="s">
        <v>14</v>
      </c>
      <c r="D26" s="24" t="s">
        <v>14</v>
      </c>
      <c r="E26" s="40">
        <v>2.77</v>
      </c>
      <c r="F26" s="40">
        <v>11.13</v>
      </c>
      <c r="G26" s="40">
        <v>15.26</v>
      </c>
      <c r="H26" s="40">
        <v>9.18</v>
      </c>
      <c r="I26" s="40">
        <v>5.94</v>
      </c>
      <c r="J26" s="40">
        <v>0.28000000000000003</v>
      </c>
      <c r="K26" s="40">
        <v>253</v>
      </c>
      <c r="L26" s="40">
        <v>25.57</v>
      </c>
      <c r="M26" s="40">
        <v>100.43</v>
      </c>
      <c r="N26" s="40">
        <v>17.100000000000001</v>
      </c>
      <c r="O26" s="40">
        <v>0.2</v>
      </c>
      <c r="P26" s="40">
        <v>0.32</v>
      </c>
      <c r="Q26" s="40">
        <v>10.039999999999999</v>
      </c>
      <c r="R26" s="38"/>
      <c r="S26" s="38"/>
      <c r="T26" s="38"/>
      <c r="U26" s="38"/>
    </row>
    <row r="27" spans="1:21" customFormat="1">
      <c r="A27" s="39">
        <v>45848.791666666664</v>
      </c>
      <c r="B27" s="40">
        <v>3.93</v>
      </c>
      <c r="C27" s="40">
        <v>5.85</v>
      </c>
      <c r="D27" s="40">
        <v>3.19</v>
      </c>
      <c r="E27" s="40">
        <v>2.06</v>
      </c>
      <c r="F27" s="40">
        <v>13.84</v>
      </c>
      <c r="G27" s="40">
        <v>11.67</v>
      </c>
      <c r="H27" s="40">
        <v>7.55</v>
      </c>
      <c r="I27" s="40">
        <v>5.65</v>
      </c>
      <c r="J27" s="40">
        <v>0.25</v>
      </c>
      <c r="K27" s="40">
        <v>262.67</v>
      </c>
      <c r="L27" s="40">
        <v>25.48</v>
      </c>
      <c r="M27" s="40">
        <v>99.37</v>
      </c>
      <c r="N27" s="40">
        <v>10</v>
      </c>
      <c r="O27" s="40">
        <v>0</v>
      </c>
      <c r="P27" s="40">
        <v>0.25</v>
      </c>
      <c r="Q27" s="40">
        <v>10</v>
      </c>
      <c r="R27" s="38"/>
      <c r="S27" s="38"/>
      <c r="T27" s="38"/>
      <c r="U27" s="38"/>
    </row>
    <row r="28" spans="1:21" customFormat="1">
      <c r="A28" s="39">
        <v>45848.833333333336</v>
      </c>
      <c r="B28" s="40">
        <v>1.24</v>
      </c>
      <c r="C28" s="40">
        <v>2.2599999999999998</v>
      </c>
      <c r="D28" s="40">
        <v>0.44</v>
      </c>
      <c r="E28" s="40">
        <v>2.62</v>
      </c>
      <c r="F28" s="40">
        <v>2.88</v>
      </c>
      <c r="G28" s="40">
        <v>14.74</v>
      </c>
      <c r="H28" s="40">
        <v>10.220000000000001</v>
      </c>
      <c r="I28" s="40">
        <v>5.79</v>
      </c>
      <c r="J28" s="40">
        <v>1.1100000000000001</v>
      </c>
      <c r="K28" s="40">
        <v>272.52</v>
      </c>
      <c r="L28" s="40">
        <v>25.56</v>
      </c>
      <c r="M28" s="40">
        <v>98.55</v>
      </c>
      <c r="N28" s="40">
        <v>4.8</v>
      </c>
      <c r="O28" s="40">
        <v>0.2</v>
      </c>
      <c r="P28" s="40">
        <v>0.27</v>
      </c>
      <c r="Q28" s="40">
        <v>10</v>
      </c>
      <c r="R28" s="38"/>
      <c r="S28" s="38"/>
      <c r="T28" s="38"/>
      <c r="U28" s="38"/>
    </row>
    <row r="29" spans="1:21" customFormat="1">
      <c r="A29" s="39">
        <v>45848.875</v>
      </c>
      <c r="B29" s="40">
        <v>1.24</v>
      </c>
      <c r="C29" s="40">
        <v>2.36</v>
      </c>
      <c r="D29" s="40">
        <v>0.63</v>
      </c>
      <c r="E29" s="40">
        <v>3.36</v>
      </c>
      <c r="F29" s="40">
        <v>2.99</v>
      </c>
      <c r="G29" s="40">
        <v>13.39</v>
      </c>
      <c r="H29" s="40">
        <v>11.18</v>
      </c>
      <c r="I29" s="40">
        <v>6.2</v>
      </c>
      <c r="J29" s="40">
        <v>0.61</v>
      </c>
      <c r="K29" s="40">
        <v>333.36</v>
      </c>
      <c r="L29" s="40">
        <v>24.49</v>
      </c>
      <c r="M29" s="40">
        <v>98.61</v>
      </c>
      <c r="N29" s="40">
        <v>3.9</v>
      </c>
      <c r="O29" s="40">
        <v>0.2</v>
      </c>
      <c r="P29" s="40">
        <v>0.27</v>
      </c>
      <c r="Q29" s="40">
        <v>10</v>
      </c>
      <c r="R29" s="38"/>
      <c r="S29" s="38"/>
      <c r="T29" s="38"/>
      <c r="U29" s="38"/>
    </row>
    <row r="30" spans="1:21" customFormat="1">
      <c r="A30" s="39">
        <v>45848.916666666664</v>
      </c>
      <c r="B30" s="40">
        <v>1.24</v>
      </c>
      <c r="C30" s="40">
        <v>2.19</v>
      </c>
      <c r="D30" s="40">
        <v>0.3</v>
      </c>
      <c r="E30" s="40">
        <v>3.29</v>
      </c>
      <c r="F30" s="40">
        <v>3.29</v>
      </c>
      <c r="G30" s="40">
        <v>11.24</v>
      </c>
      <c r="H30" s="40">
        <v>7.83</v>
      </c>
      <c r="I30" s="40">
        <v>6.05</v>
      </c>
      <c r="J30" s="40">
        <v>0.2</v>
      </c>
      <c r="K30" s="40">
        <v>237.7</v>
      </c>
      <c r="L30" s="40">
        <v>24.15</v>
      </c>
      <c r="M30" s="40">
        <v>98.67</v>
      </c>
      <c r="N30" s="40">
        <v>2.2999999999999998</v>
      </c>
      <c r="O30" s="40">
        <v>0.2</v>
      </c>
      <c r="P30" s="40">
        <v>0.28000000000000003</v>
      </c>
      <c r="Q30" s="40">
        <v>10</v>
      </c>
      <c r="R30" s="38"/>
      <c r="S30" s="38"/>
      <c r="T30" s="38"/>
      <c r="U30" s="38"/>
    </row>
    <row r="31" spans="1:21" customFormat="1">
      <c r="A31" s="39">
        <v>45848.958333333336</v>
      </c>
      <c r="B31" s="40">
        <v>1.24</v>
      </c>
      <c r="C31" s="40">
        <v>2.08</v>
      </c>
      <c r="D31" s="40">
        <v>0.11</v>
      </c>
      <c r="E31" s="40">
        <v>4.08</v>
      </c>
      <c r="F31" s="40">
        <v>2.46</v>
      </c>
      <c r="G31" s="40">
        <v>11.97</v>
      </c>
      <c r="H31" s="40">
        <v>6</v>
      </c>
      <c r="I31" s="40">
        <v>5.84</v>
      </c>
      <c r="J31" s="40">
        <v>0.28000000000000003</v>
      </c>
      <c r="K31" s="40">
        <v>241.41</v>
      </c>
      <c r="L31" s="40">
        <v>24.48</v>
      </c>
      <c r="M31" s="40">
        <v>98.76</v>
      </c>
      <c r="N31" s="40">
        <v>2.2999999999999998</v>
      </c>
      <c r="O31" s="40">
        <v>0</v>
      </c>
      <c r="P31" s="40">
        <v>0.3</v>
      </c>
      <c r="Q31" s="40">
        <v>10</v>
      </c>
      <c r="R31" s="38"/>
      <c r="S31" s="38"/>
      <c r="T31" s="38"/>
      <c r="U31" s="38"/>
    </row>
    <row r="32" spans="1:21" customFormat="1">
      <c r="A32" s="40">
        <v>45849</v>
      </c>
      <c r="B32" s="40">
        <v>1.24</v>
      </c>
      <c r="C32" s="40">
        <v>2.04</v>
      </c>
      <c r="D32" s="40">
        <v>0.02</v>
      </c>
      <c r="E32" s="40">
        <v>4.72</v>
      </c>
      <c r="F32" s="40">
        <v>2.5099999999999998</v>
      </c>
      <c r="G32" s="40">
        <v>12.73</v>
      </c>
      <c r="H32" s="40">
        <v>5.84</v>
      </c>
      <c r="I32" s="40">
        <v>5.79</v>
      </c>
      <c r="J32" s="40">
        <v>0.13</v>
      </c>
      <c r="K32" s="40">
        <v>202.52</v>
      </c>
      <c r="L32" s="40">
        <v>24.68</v>
      </c>
      <c r="M32" s="40">
        <v>98.87</v>
      </c>
      <c r="N32" s="40">
        <v>2.4</v>
      </c>
      <c r="O32" s="40">
        <v>0</v>
      </c>
      <c r="P32" s="40">
        <v>0.28999999999999998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1.24</v>
      </c>
      <c r="C34" s="18">
        <f t="shared" si="0"/>
        <v>2.04</v>
      </c>
      <c r="D34" s="18">
        <f t="shared" si="0"/>
        <v>0.02</v>
      </c>
      <c r="E34" s="18">
        <f t="shared" si="0"/>
        <v>2.06</v>
      </c>
      <c r="F34" s="18">
        <f t="shared" si="0"/>
        <v>1.97</v>
      </c>
      <c r="G34" s="18">
        <f t="shared" si="0"/>
        <v>11.24</v>
      </c>
      <c r="H34" s="18">
        <f t="shared" si="0"/>
        <v>2.87</v>
      </c>
      <c r="I34" s="18">
        <f t="shared" si="0"/>
        <v>2.9</v>
      </c>
      <c r="J34" s="18">
        <f t="shared" si="0"/>
        <v>0.13</v>
      </c>
      <c r="K34" s="18">
        <f t="shared" si="0"/>
        <v>202.52</v>
      </c>
      <c r="L34" s="18">
        <f t="shared" si="0"/>
        <v>24.11</v>
      </c>
      <c r="M34" s="18">
        <f t="shared" si="0"/>
        <v>84.76</v>
      </c>
      <c r="N34" s="18">
        <f t="shared" si="0"/>
        <v>2.2999999999999998</v>
      </c>
      <c r="O34" s="18">
        <f t="shared" si="0"/>
        <v>0</v>
      </c>
      <c r="P34" s="18">
        <f t="shared" si="0"/>
        <v>0.11</v>
      </c>
      <c r="Q34" s="18">
        <f t="shared" si="0"/>
        <v>9.91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3.93</v>
      </c>
      <c r="C35" s="3">
        <f t="shared" si="1"/>
        <v>5.85</v>
      </c>
      <c r="D35" s="3">
        <f t="shared" si="1"/>
        <v>3.19</v>
      </c>
      <c r="E35" s="3">
        <f t="shared" si="1"/>
        <v>6.57</v>
      </c>
      <c r="F35" s="3">
        <f t="shared" si="1"/>
        <v>35.93</v>
      </c>
      <c r="G35" s="3">
        <f t="shared" si="1"/>
        <v>33.75</v>
      </c>
      <c r="H35" s="3">
        <f t="shared" si="1"/>
        <v>13.5</v>
      </c>
      <c r="I35" s="3">
        <f t="shared" si="1"/>
        <v>9.2899999999999991</v>
      </c>
      <c r="J35" s="3">
        <f t="shared" si="1"/>
        <v>1.1100000000000001</v>
      </c>
      <c r="K35" s="3">
        <f t="shared" si="1"/>
        <v>350.17</v>
      </c>
      <c r="L35" s="3">
        <f t="shared" si="1"/>
        <v>29.18</v>
      </c>
      <c r="M35" s="3">
        <f t="shared" si="1"/>
        <v>100.43</v>
      </c>
      <c r="N35" s="3">
        <f t="shared" si="1"/>
        <v>522</v>
      </c>
      <c r="O35" s="3">
        <f t="shared" si="1"/>
        <v>18.2</v>
      </c>
      <c r="P35" s="3">
        <f t="shared" si="1"/>
        <v>0.34</v>
      </c>
      <c r="Q35" s="3">
        <f t="shared" si="1"/>
        <v>10.039999999999999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1.9161111111111113</v>
      </c>
      <c r="C36" s="18">
        <f t="shared" si="2"/>
        <v>4.1316666666666659</v>
      </c>
      <c r="D36" s="18">
        <f t="shared" si="2"/>
        <v>2.1177777777777775</v>
      </c>
      <c r="E36" s="18">
        <f t="shared" si="2"/>
        <v>4.1779166666666674</v>
      </c>
      <c r="F36" s="18">
        <f t="shared" si="2"/>
        <v>8.7058333333333326</v>
      </c>
      <c r="G36" s="18">
        <f t="shared" si="2"/>
        <v>19.616666666666671</v>
      </c>
      <c r="H36" s="18">
        <f t="shared" si="2"/>
        <v>7.630416666666668</v>
      </c>
      <c r="I36" s="18">
        <f t="shared" si="2"/>
        <v>5.0154166666666677</v>
      </c>
      <c r="J36" s="18">
        <f t="shared" si="2"/>
        <v>0.63999999999999979</v>
      </c>
      <c r="K36" s="18">
        <f t="shared" si="2"/>
        <v>263.80958333333336</v>
      </c>
      <c r="L36" s="18">
        <f t="shared" si="2"/>
        <v>25.556250000000002</v>
      </c>
      <c r="M36" s="18">
        <f t="shared" si="2"/>
        <v>96.702916666666667</v>
      </c>
      <c r="N36" s="18">
        <f t="shared" si="2"/>
        <v>83.9375</v>
      </c>
      <c r="O36" s="18">
        <f t="shared" si="2"/>
        <v>0.94166666666666643</v>
      </c>
      <c r="P36" s="18">
        <f t="shared" si="2"/>
        <v>0.21333333333333335</v>
      </c>
      <c r="Q36" s="18">
        <f t="shared" si="2"/>
        <v>9.9708333333333332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0.69427184783254026</v>
      </c>
      <c r="C37" s="18">
        <f t="shared" ref="C37:Q37" si="3">STDEV(C9:C32)</f>
        <v>1.357949362306355</v>
      </c>
      <c r="D37" s="18">
        <f t="shared" si="3"/>
        <v>1.1821642941235597</v>
      </c>
      <c r="E37" s="18">
        <f t="shared" si="3"/>
        <v>1.5248149685800538</v>
      </c>
      <c r="F37" s="18">
        <f t="shared" si="3"/>
        <v>10.648287438002358</v>
      </c>
      <c r="G37" s="18">
        <f t="shared" si="3"/>
        <v>6.2371507337374847</v>
      </c>
      <c r="H37" s="18">
        <f t="shared" si="3"/>
        <v>3.2505082935852747</v>
      </c>
      <c r="I37" s="18">
        <f t="shared" si="3"/>
        <v>1.8259696153638116</v>
      </c>
      <c r="J37" s="18">
        <f t="shared" si="3"/>
        <v>0.30445960680181094</v>
      </c>
      <c r="K37" s="18">
        <f t="shared" si="3"/>
        <v>27.877801903114289</v>
      </c>
      <c r="L37" s="18">
        <f t="shared" si="3"/>
        <v>1.670471978344678</v>
      </c>
      <c r="M37" s="18">
        <f t="shared" si="3"/>
        <v>5.0114637965426807</v>
      </c>
      <c r="N37" s="18">
        <f t="shared" si="3"/>
        <v>145.49321159272421</v>
      </c>
      <c r="O37" s="18">
        <f t="shared" si="3"/>
        <v>3.7325730333478226</v>
      </c>
      <c r="P37" s="18">
        <f t="shared" si="3"/>
        <v>6.9072530667072196E-2</v>
      </c>
      <c r="Q37" s="18">
        <f t="shared" si="3"/>
        <v>4.5292927432020881E-2</v>
      </c>
      <c r="R37" s="18"/>
      <c r="S37" s="18"/>
      <c r="T37" s="18"/>
      <c r="U37" s="18"/>
    </row>
    <row r="38" spans="1:21">
      <c r="A38" s="34" t="s">
        <v>52</v>
      </c>
      <c r="B38" s="34">
        <f>COUNT(B9:B32)+6</f>
        <v>24</v>
      </c>
      <c r="C38" s="34">
        <f t="shared" ref="C38:D38" si="4">COUNT(C9:C32)+6</f>
        <v>24</v>
      </c>
      <c r="D38" s="34">
        <f t="shared" si="4"/>
        <v>24</v>
      </c>
      <c r="E38" s="34">
        <f t="shared" ref="E38:Q38" si="5">COUNT(E9:E32)</f>
        <v>24</v>
      </c>
      <c r="F38" s="34">
        <f t="shared" si="5"/>
        <v>24</v>
      </c>
      <c r="G38" s="34">
        <f t="shared" si="5"/>
        <v>24</v>
      </c>
      <c r="H38" s="34">
        <f t="shared" si="5"/>
        <v>24</v>
      </c>
      <c r="I38" s="34">
        <f t="shared" si="5"/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 t="shared" si="5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F12" sqref="F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45849.041666666664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45849.041666666664</v>
      </c>
      <c r="B9" s="40">
        <v>2.57</v>
      </c>
      <c r="C9" s="40">
        <v>3.83</v>
      </c>
      <c r="D9" s="40">
        <v>1.98</v>
      </c>
      <c r="E9" s="40">
        <v>4.6100000000000003</v>
      </c>
      <c r="F9" s="40">
        <v>2.2599999999999998</v>
      </c>
      <c r="G9" s="40">
        <v>10.18</v>
      </c>
      <c r="H9" s="40">
        <v>4.87</v>
      </c>
      <c r="I9" s="40">
        <v>5.45</v>
      </c>
      <c r="J9" s="40">
        <v>0.43</v>
      </c>
      <c r="K9" s="40">
        <v>248.94</v>
      </c>
      <c r="L9" s="40">
        <v>25.03</v>
      </c>
      <c r="M9" s="40">
        <v>99.51</v>
      </c>
      <c r="N9" s="40">
        <v>2.4</v>
      </c>
      <c r="O9" s="40">
        <v>0</v>
      </c>
      <c r="P9" s="40">
        <v>0.27</v>
      </c>
      <c r="Q9" s="40">
        <v>10</v>
      </c>
      <c r="R9" s="38"/>
      <c r="S9" s="38"/>
      <c r="T9" s="38"/>
      <c r="U9" s="38"/>
    </row>
    <row r="10" spans="1:21" customFormat="1">
      <c r="A10" s="39">
        <v>45849.083333333336</v>
      </c>
      <c r="B10" s="40">
        <v>1.81</v>
      </c>
      <c r="C10" s="40">
        <v>3.37</v>
      </c>
      <c r="D10" s="40">
        <v>1.92</v>
      </c>
      <c r="E10" s="40">
        <v>4.5</v>
      </c>
      <c r="F10" s="40">
        <v>2.4</v>
      </c>
      <c r="G10" s="40">
        <v>13.81</v>
      </c>
      <c r="H10" s="40">
        <v>6.13</v>
      </c>
      <c r="I10" s="40">
        <v>5.21</v>
      </c>
      <c r="J10" s="40">
        <v>0.47</v>
      </c>
      <c r="K10" s="40">
        <v>248.71</v>
      </c>
      <c r="L10" s="40">
        <v>25.34</v>
      </c>
      <c r="M10" s="40">
        <v>98.54</v>
      </c>
      <c r="N10" s="40">
        <v>2.6</v>
      </c>
      <c r="O10" s="40">
        <v>0</v>
      </c>
      <c r="P10" s="40">
        <v>0.25</v>
      </c>
      <c r="Q10" s="40">
        <v>10</v>
      </c>
      <c r="R10" s="38"/>
      <c r="S10" s="38"/>
      <c r="T10" s="38"/>
      <c r="U10" s="38"/>
    </row>
    <row r="11" spans="1:21" customFormat="1">
      <c r="A11" s="39">
        <v>45849.125</v>
      </c>
      <c r="B11" s="40">
        <v>1.24</v>
      </c>
      <c r="C11" s="40">
        <v>2.57</v>
      </c>
      <c r="D11" s="40">
        <v>1.03</v>
      </c>
      <c r="E11" s="40">
        <v>4.47</v>
      </c>
      <c r="F11" s="40">
        <v>3.24</v>
      </c>
      <c r="G11" s="40">
        <v>16.02</v>
      </c>
      <c r="H11" s="40">
        <v>7.52</v>
      </c>
      <c r="I11" s="40">
        <v>4.83</v>
      </c>
      <c r="J11" s="40">
        <v>0.28999999999999998</v>
      </c>
      <c r="K11" s="40">
        <v>245.91</v>
      </c>
      <c r="L11" s="40">
        <v>25.25</v>
      </c>
      <c r="M11" s="40">
        <v>98.69</v>
      </c>
      <c r="N11" s="40">
        <v>2.5</v>
      </c>
      <c r="O11" s="40">
        <v>0</v>
      </c>
      <c r="P11" s="40">
        <v>0.24</v>
      </c>
      <c r="Q11" s="40">
        <v>10</v>
      </c>
      <c r="R11" s="38"/>
      <c r="S11" s="38"/>
      <c r="T11" s="38"/>
      <c r="U11" s="38"/>
    </row>
    <row r="12" spans="1:21" customFormat="1">
      <c r="A12" s="39">
        <v>45849.166666666664</v>
      </c>
      <c r="B12" s="40">
        <v>1.24</v>
      </c>
      <c r="C12" s="40">
        <v>2.2999999999999998</v>
      </c>
      <c r="D12" s="40">
        <v>0.52</v>
      </c>
      <c r="E12" s="40">
        <v>4.5999999999999996</v>
      </c>
      <c r="F12" s="40">
        <v>2.39</v>
      </c>
      <c r="G12" s="40">
        <v>20.170000000000002</v>
      </c>
      <c r="H12" s="40">
        <v>10.69</v>
      </c>
      <c r="I12" s="40">
        <v>5.35</v>
      </c>
      <c r="J12" s="40">
        <v>0.52</v>
      </c>
      <c r="K12" s="40">
        <v>252.69</v>
      </c>
      <c r="L12" s="40">
        <v>25.14</v>
      </c>
      <c r="M12" s="40">
        <v>99.35</v>
      </c>
      <c r="N12" s="40">
        <v>2.6</v>
      </c>
      <c r="O12" s="40">
        <v>0</v>
      </c>
      <c r="P12" s="40">
        <v>0.23</v>
      </c>
      <c r="Q12" s="40">
        <v>10</v>
      </c>
      <c r="R12" s="38"/>
      <c r="S12" s="38"/>
      <c r="T12" s="38"/>
      <c r="U12" s="38"/>
    </row>
    <row r="13" spans="1:21" customFormat="1">
      <c r="A13" s="39">
        <v>45849.208333333336</v>
      </c>
      <c r="B13" s="40">
        <v>1.24</v>
      </c>
      <c r="C13" s="40">
        <v>2.1800000000000002</v>
      </c>
      <c r="D13" s="40">
        <v>0.28999999999999998</v>
      </c>
      <c r="E13" s="40">
        <v>4.34</v>
      </c>
      <c r="F13" s="40">
        <v>2.64</v>
      </c>
      <c r="G13" s="40">
        <v>24.69</v>
      </c>
      <c r="H13" s="40">
        <v>10.73</v>
      </c>
      <c r="I13" s="40">
        <v>5.95</v>
      </c>
      <c r="J13" s="40">
        <v>0.57999999999999996</v>
      </c>
      <c r="K13" s="40">
        <v>252.42</v>
      </c>
      <c r="L13" s="40">
        <v>25.03</v>
      </c>
      <c r="M13" s="40">
        <v>98.36</v>
      </c>
      <c r="N13" s="40">
        <v>2.5</v>
      </c>
      <c r="O13" s="40">
        <v>0</v>
      </c>
      <c r="P13" s="40">
        <v>0.25</v>
      </c>
      <c r="Q13" s="40">
        <v>10</v>
      </c>
      <c r="R13" s="38"/>
      <c r="S13" s="38"/>
      <c r="T13" s="38"/>
      <c r="U13" s="38"/>
    </row>
    <row r="14" spans="1:21" customFormat="1">
      <c r="A14" s="39">
        <v>45849.25</v>
      </c>
      <c r="B14" s="40">
        <v>1.24</v>
      </c>
      <c r="C14" s="40">
        <v>2.0299999999999998</v>
      </c>
      <c r="D14" s="40">
        <v>0</v>
      </c>
      <c r="E14" s="40">
        <v>4.4000000000000004</v>
      </c>
      <c r="F14" s="40">
        <v>2.2000000000000002</v>
      </c>
      <c r="G14" s="40">
        <v>27.59</v>
      </c>
      <c r="H14" s="40">
        <v>11.66</v>
      </c>
      <c r="I14" s="40">
        <v>5.99</v>
      </c>
      <c r="J14" s="40">
        <v>0.61</v>
      </c>
      <c r="K14" s="40">
        <v>250.72</v>
      </c>
      <c r="L14" s="40">
        <v>24.91</v>
      </c>
      <c r="M14" s="40">
        <v>98.44</v>
      </c>
      <c r="N14" s="40">
        <v>10.4</v>
      </c>
      <c r="O14" s="40">
        <v>0</v>
      </c>
      <c r="P14" s="40">
        <v>0.25</v>
      </c>
      <c r="Q14" s="40">
        <v>10</v>
      </c>
      <c r="R14" s="38"/>
      <c r="S14" s="38"/>
      <c r="T14" s="38"/>
      <c r="U14" s="38"/>
    </row>
    <row r="15" spans="1:21" customFormat="1">
      <c r="A15" s="39">
        <v>45849.291666666664</v>
      </c>
      <c r="B15" s="40">
        <v>1.24</v>
      </c>
      <c r="C15" s="40">
        <v>2.0499999999999998</v>
      </c>
      <c r="D15" s="40">
        <v>0.03</v>
      </c>
      <c r="E15" s="40">
        <v>4.55</v>
      </c>
      <c r="F15" s="40">
        <v>2.57</v>
      </c>
      <c r="G15" s="40">
        <v>27.9</v>
      </c>
      <c r="H15" s="40">
        <v>10.52</v>
      </c>
      <c r="I15" s="40">
        <v>5.83</v>
      </c>
      <c r="J15" s="40">
        <v>0.62</v>
      </c>
      <c r="K15" s="40">
        <v>254.08</v>
      </c>
      <c r="L15" s="40">
        <v>25.47</v>
      </c>
      <c r="M15" s="40">
        <v>98.48</v>
      </c>
      <c r="N15" s="40">
        <v>76.7</v>
      </c>
      <c r="O15" s="40">
        <v>0</v>
      </c>
      <c r="P15" s="40">
        <v>0.23</v>
      </c>
      <c r="Q15" s="40">
        <v>10</v>
      </c>
      <c r="R15" s="38"/>
      <c r="S15" s="38"/>
      <c r="T15" s="38"/>
      <c r="U15" s="38"/>
    </row>
    <row r="16" spans="1:21" customFormat="1">
      <c r="A16" s="39">
        <v>45849.333333333336</v>
      </c>
      <c r="B16" s="40">
        <v>1.24</v>
      </c>
      <c r="C16" s="40">
        <v>2.0299999999999998</v>
      </c>
      <c r="D16" s="40">
        <v>0</v>
      </c>
      <c r="E16" s="40">
        <v>4.54</v>
      </c>
      <c r="F16" s="40">
        <v>2.76</v>
      </c>
      <c r="G16" s="40">
        <v>26.95</v>
      </c>
      <c r="H16" s="40">
        <v>10.26</v>
      </c>
      <c r="I16" s="40">
        <v>5.64</v>
      </c>
      <c r="J16" s="40">
        <v>0.81</v>
      </c>
      <c r="K16" s="40">
        <v>258.37</v>
      </c>
      <c r="L16" s="40">
        <v>26.36</v>
      </c>
      <c r="M16" s="40">
        <v>95.68</v>
      </c>
      <c r="N16" s="40">
        <v>129.4</v>
      </c>
      <c r="O16" s="40">
        <v>0</v>
      </c>
      <c r="P16" s="40">
        <v>0.24</v>
      </c>
      <c r="Q16" s="40">
        <v>10</v>
      </c>
      <c r="R16" s="38"/>
      <c r="S16" s="38"/>
      <c r="T16" s="38"/>
      <c r="U16" s="38"/>
    </row>
    <row r="17" spans="1:21" customFormat="1">
      <c r="A17" s="39">
        <v>45849.375</v>
      </c>
      <c r="B17" s="40">
        <v>1.24</v>
      </c>
      <c r="C17" s="40">
        <v>2.0299999999999998</v>
      </c>
      <c r="D17" s="40">
        <v>0</v>
      </c>
      <c r="E17" s="40">
        <v>4.8</v>
      </c>
      <c r="F17" s="40">
        <v>2.02</v>
      </c>
      <c r="G17" s="40">
        <v>30.18</v>
      </c>
      <c r="H17" s="40">
        <v>10.34</v>
      </c>
      <c r="I17" s="40">
        <v>6.07</v>
      </c>
      <c r="J17" s="40">
        <v>0.79</v>
      </c>
      <c r="K17" s="40">
        <v>269.8</v>
      </c>
      <c r="L17" s="40">
        <v>26.96</v>
      </c>
      <c r="M17" s="40">
        <v>88.93</v>
      </c>
      <c r="N17" s="40">
        <v>155</v>
      </c>
      <c r="O17" s="40">
        <v>0</v>
      </c>
      <c r="P17" s="40">
        <v>0.28999999999999998</v>
      </c>
      <c r="Q17" s="40">
        <v>10</v>
      </c>
      <c r="R17" s="38"/>
      <c r="S17" s="38"/>
      <c r="T17" s="38"/>
      <c r="U17" s="38"/>
    </row>
    <row r="18" spans="1:21" customFormat="1">
      <c r="A18" s="39">
        <v>45849.416666666664</v>
      </c>
      <c r="B18" s="40">
        <v>1.24</v>
      </c>
      <c r="C18" s="40">
        <v>2.0299999999999998</v>
      </c>
      <c r="D18" s="40">
        <v>0</v>
      </c>
      <c r="E18" s="40">
        <v>4.68</v>
      </c>
      <c r="F18" s="40">
        <v>2.5099999999999998</v>
      </c>
      <c r="G18" s="40">
        <v>37.85</v>
      </c>
      <c r="H18" s="40">
        <v>12.11</v>
      </c>
      <c r="I18" s="40">
        <v>6.57</v>
      </c>
      <c r="J18" s="40">
        <v>0.79</v>
      </c>
      <c r="K18" s="40">
        <v>256.77999999999997</v>
      </c>
      <c r="L18" s="40">
        <v>27.71</v>
      </c>
      <c r="M18" s="40">
        <v>87.5</v>
      </c>
      <c r="N18" s="40">
        <v>177.9</v>
      </c>
      <c r="O18" s="40">
        <v>0</v>
      </c>
      <c r="P18" s="40">
        <v>0.3</v>
      </c>
      <c r="Q18" s="40">
        <v>10</v>
      </c>
      <c r="R18" s="38"/>
      <c r="S18" s="38"/>
      <c r="T18" s="38"/>
      <c r="U18" s="38"/>
    </row>
    <row r="19" spans="1:21" customFormat="1">
      <c r="A19" s="39">
        <v>45849.458333333336</v>
      </c>
      <c r="B19" s="40">
        <v>1.24</v>
      </c>
      <c r="C19" s="40">
        <v>2.0299999999999998</v>
      </c>
      <c r="D19" s="40">
        <v>0</v>
      </c>
      <c r="E19" s="40">
        <v>5.03</v>
      </c>
      <c r="F19" s="40">
        <v>2.38</v>
      </c>
      <c r="G19" s="40">
        <v>38.11</v>
      </c>
      <c r="H19" s="40">
        <v>13.85</v>
      </c>
      <c r="I19" s="40">
        <v>6.48</v>
      </c>
      <c r="J19" s="40">
        <v>0.81</v>
      </c>
      <c r="K19" s="40">
        <v>272.76</v>
      </c>
      <c r="L19" s="40">
        <v>28.79</v>
      </c>
      <c r="M19" s="40">
        <v>83.49</v>
      </c>
      <c r="N19" s="40">
        <v>252.3</v>
      </c>
      <c r="O19" s="40">
        <v>0</v>
      </c>
      <c r="P19" s="40">
        <v>0.3</v>
      </c>
      <c r="Q19" s="40">
        <v>10</v>
      </c>
      <c r="R19" s="38"/>
      <c r="S19" s="38"/>
      <c r="T19" s="38"/>
      <c r="U19" s="38"/>
    </row>
    <row r="20" spans="1:21" customFormat="1">
      <c r="A20" s="39">
        <v>45849.5</v>
      </c>
      <c r="B20" s="40">
        <v>1.24</v>
      </c>
      <c r="C20" s="40">
        <v>2.0299999999999998</v>
      </c>
      <c r="D20" s="40">
        <v>0</v>
      </c>
      <c r="E20" s="40">
        <v>4.83</v>
      </c>
      <c r="F20" s="40">
        <v>2.96</v>
      </c>
      <c r="G20" s="40">
        <v>52.1</v>
      </c>
      <c r="H20" s="40">
        <v>16.87</v>
      </c>
      <c r="I20" s="40">
        <v>6.47</v>
      </c>
      <c r="J20" s="40">
        <v>1.07</v>
      </c>
      <c r="K20" s="40">
        <v>279.61</v>
      </c>
      <c r="L20" s="40">
        <v>30.29</v>
      </c>
      <c r="M20" s="40">
        <v>80.28</v>
      </c>
      <c r="N20" s="40">
        <v>465</v>
      </c>
      <c r="O20" s="40">
        <v>0</v>
      </c>
      <c r="P20" s="40">
        <v>0.3</v>
      </c>
      <c r="Q20" s="40">
        <v>10</v>
      </c>
      <c r="R20" s="38"/>
      <c r="S20" s="38"/>
      <c r="T20" s="38"/>
      <c r="U20" s="38"/>
    </row>
    <row r="21" spans="1:21" customFormat="1">
      <c r="A21" s="39">
        <v>45849.541666666664</v>
      </c>
      <c r="B21" s="40">
        <v>1.24</v>
      </c>
      <c r="C21" s="40">
        <v>2.0299999999999998</v>
      </c>
      <c r="D21" s="40">
        <v>0</v>
      </c>
      <c r="E21" s="40">
        <v>4.66</v>
      </c>
      <c r="F21" s="40">
        <v>4.91</v>
      </c>
      <c r="G21" s="40">
        <v>57.25</v>
      </c>
      <c r="H21" s="40">
        <v>16.73</v>
      </c>
      <c r="I21" s="40">
        <v>6.35</v>
      </c>
      <c r="J21" s="40">
        <v>1.22</v>
      </c>
      <c r="K21" s="40">
        <v>289.63</v>
      </c>
      <c r="L21" s="40">
        <v>30.29</v>
      </c>
      <c r="M21" s="40">
        <v>74.239999999999995</v>
      </c>
      <c r="N21" s="40">
        <v>314.39999999999998</v>
      </c>
      <c r="O21" s="40">
        <v>0</v>
      </c>
      <c r="P21" s="40">
        <v>0.28999999999999998</v>
      </c>
      <c r="Q21" s="40">
        <v>10</v>
      </c>
      <c r="R21" s="38"/>
      <c r="S21" s="38"/>
      <c r="T21" s="38"/>
      <c r="U21" s="38"/>
    </row>
    <row r="22" spans="1:21" customFormat="1">
      <c r="A22" s="39">
        <v>45849.583333333336</v>
      </c>
      <c r="B22" s="40">
        <v>1.24</v>
      </c>
      <c r="C22" s="40">
        <v>2.0299999999999998</v>
      </c>
      <c r="D22" s="40">
        <v>0</v>
      </c>
      <c r="E22" s="40">
        <v>4.16</v>
      </c>
      <c r="F22" s="40">
        <v>6.22</v>
      </c>
      <c r="G22" s="40">
        <v>50.58</v>
      </c>
      <c r="H22" s="40">
        <v>15.98</v>
      </c>
      <c r="I22" s="40">
        <v>5.91</v>
      </c>
      <c r="J22" s="40">
        <v>1.67</v>
      </c>
      <c r="K22" s="40">
        <v>296.08999999999997</v>
      </c>
      <c r="L22" s="40">
        <v>30.61</v>
      </c>
      <c r="M22" s="40">
        <v>74.45</v>
      </c>
      <c r="N22" s="40">
        <v>405.7</v>
      </c>
      <c r="O22" s="40">
        <v>0</v>
      </c>
      <c r="P22" s="40">
        <v>0.25</v>
      </c>
      <c r="Q22" s="40">
        <v>10</v>
      </c>
      <c r="R22" s="38"/>
      <c r="S22" s="38"/>
      <c r="T22" s="38"/>
      <c r="U22" s="38"/>
    </row>
    <row r="23" spans="1:21" customFormat="1">
      <c r="A23" s="39">
        <v>45849.625</v>
      </c>
      <c r="B23" s="40">
        <v>1.24</v>
      </c>
      <c r="C23" s="40">
        <v>2.0299999999999998</v>
      </c>
      <c r="D23" s="40">
        <v>0</v>
      </c>
      <c r="E23" s="40">
        <v>3.62</v>
      </c>
      <c r="F23" s="40">
        <v>5.42</v>
      </c>
      <c r="G23" s="40">
        <v>48.75</v>
      </c>
      <c r="H23" s="40">
        <v>17.03</v>
      </c>
      <c r="I23" s="40">
        <v>5.58</v>
      </c>
      <c r="J23" s="40">
        <v>1.29</v>
      </c>
      <c r="K23" s="40">
        <v>280.83999999999997</v>
      </c>
      <c r="L23" s="40">
        <v>31.3</v>
      </c>
      <c r="M23" s="40">
        <v>70.930000000000007</v>
      </c>
      <c r="N23" s="40">
        <v>303.89999999999998</v>
      </c>
      <c r="O23" s="40">
        <v>0</v>
      </c>
      <c r="P23" s="40">
        <v>0.23</v>
      </c>
      <c r="Q23" s="40">
        <v>10</v>
      </c>
      <c r="R23" s="38"/>
      <c r="S23" s="38"/>
      <c r="T23" s="38"/>
      <c r="U23" s="38"/>
    </row>
    <row r="24" spans="1:21" customFormat="1">
      <c r="A24" s="39">
        <v>45849.666666666664</v>
      </c>
      <c r="B24" s="40">
        <v>1.24</v>
      </c>
      <c r="C24" s="40">
        <v>2.0299999999999998</v>
      </c>
      <c r="D24" s="40">
        <v>0</v>
      </c>
      <c r="E24" s="40">
        <v>3.87</v>
      </c>
      <c r="F24" s="40">
        <v>5.31</v>
      </c>
      <c r="G24" s="40">
        <v>45</v>
      </c>
      <c r="H24" s="40">
        <v>16.850000000000001</v>
      </c>
      <c r="I24" s="40">
        <v>5.36</v>
      </c>
      <c r="J24" s="40">
        <v>1.1599999999999999</v>
      </c>
      <c r="K24" s="40">
        <v>289.83999999999997</v>
      </c>
      <c r="L24" s="40">
        <v>31.6</v>
      </c>
      <c r="M24" s="40">
        <v>70.06</v>
      </c>
      <c r="N24" s="40">
        <v>587.1</v>
      </c>
      <c r="O24" s="40">
        <v>0</v>
      </c>
      <c r="P24" s="40">
        <v>0.21</v>
      </c>
      <c r="Q24" s="40">
        <v>10</v>
      </c>
      <c r="R24" s="38"/>
      <c r="S24" s="38"/>
      <c r="T24" s="38"/>
      <c r="U24" s="38"/>
    </row>
    <row r="25" spans="1:21" customFormat="1">
      <c r="A25" s="39">
        <v>45849.708333333336</v>
      </c>
      <c r="B25" s="40">
        <v>1.24</v>
      </c>
      <c r="C25" s="40">
        <v>2.0299999999999998</v>
      </c>
      <c r="D25" s="40">
        <v>0</v>
      </c>
      <c r="E25" s="40">
        <v>3.66</v>
      </c>
      <c r="F25" s="40">
        <v>5.51</v>
      </c>
      <c r="G25" s="40">
        <v>43.41</v>
      </c>
      <c r="H25" s="40">
        <v>14.02</v>
      </c>
      <c r="I25" s="40">
        <v>5.4</v>
      </c>
      <c r="J25" s="40">
        <v>1.1100000000000001</v>
      </c>
      <c r="K25" s="40">
        <v>274.07</v>
      </c>
      <c r="L25" s="40">
        <v>30.43</v>
      </c>
      <c r="M25" s="40">
        <v>73.89</v>
      </c>
      <c r="N25" s="40">
        <v>204.1</v>
      </c>
      <c r="O25" s="40">
        <v>0</v>
      </c>
      <c r="P25" s="40">
        <v>0.2</v>
      </c>
      <c r="Q25" s="40">
        <v>10</v>
      </c>
      <c r="R25" s="38"/>
      <c r="S25" s="38"/>
      <c r="T25" s="38"/>
      <c r="U25" s="38"/>
    </row>
    <row r="26" spans="1:21" customFormat="1">
      <c r="A26" s="39">
        <v>45849.75</v>
      </c>
      <c r="B26" s="40">
        <v>1.24</v>
      </c>
      <c r="C26" s="40">
        <v>2.0299999999999998</v>
      </c>
      <c r="D26" s="40">
        <v>0</v>
      </c>
      <c r="E26" s="40">
        <v>3.9</v>
      </c>
      <c r="F26" s="40">
        <v>5.0999999999999996</v>
      </c>
      <c r="G26" s="40">
        <v>37.31</v>
      </c>
      <c r="H26" s="40">
        <v>11.5</v>
      </c>
      <c r="I26" s="40">
        <v>5.38</v>
      </c>
      <c r="J26" s="40">
        <v>1.06</v>
      </c>
      <c r="K26" s="40">
        <v>267.57</v>
      </c>
      <c r="L26" s="40">
        <v>29.6</v>
      </c>
      <c r="M26" s="40">
        <v>74.37</v>
      </c>
      <c r="N26" s="40">
        <v>75.900000000000006</v>
      </c>
      <c r="O26" s="40">
        <v>0</v>
      </c>
      <c r="P26" s="40">
        <v>0.22</v>
      </c>
      <c r="Q26" s="40">
        <v>10</v>
      </c>
      <c r="R26" s="38"/>
      <c r="S26" s="38"/>
      <c r="T26" s="38"/>
      <c r="U26" s="38"/>
    </row>
    <row r="27" spans="1:21" customFormat="1">
      <c r="A27" s="39">
        <v>45849.791666666664</v>
      </c>
      <c r="B27" s="40">
        <v>1.24</v>
      </c>
      <c r="C27" s="40">
        <v>2.0299999999999998</v>
      </c>
      <c r="D27" s="40">
        <v>0</v>
      </c>
      <c r="E27" s="40">
        <v>4.96</v>
      </c>
      <c r="F27" s="40">
        <v>3.73</v>
      </c>
      <c r="G27" s="40">
        <v>39.43</v>
      </c>
      <c r="H27" s="40">
        <v>10.48</v>
      </c>
      <c r="I27" s="40">
        <v>5.42</v>
      </c>
      <c r="J27" s="40">
        <v>0.82</v>
      </c>
      <c r="K27" s="40">
        <v>254.33</v>
      </c>
      <c r="L27" s="40">
        <v>29.03</v>
      </c>
      <c r="M27" s="40">
        <v>82.63</v>
      </c>
      <c r="N27" s="40">
        <v>29.1</v>
      </c>
      <c r="O27" s="40">
        <v>0</v>
      </c>
      <c r="P27" s="40">
        <v>0.22</v>
      </c>
      <c r="Q27" s="40">
        <v>10</v>
      </c>
      <c r="R27" s="38"/>
      <c r="S27" s="38"/>
      <c r="T27" s="38"/>
      <c r="U27" s="38"/>
    </row>
    <row r="28" spans="1:21" customFormat="1">
      <c r="A28" s="39">
        <v>45849.833333333336</v>
      </c>
      <c r="B28" s="40">
        <v>1.24</v>
      </c>
      <c r="C28" s="40">
        <v>2.0299999999999998</v>
      </c>
      <c r="D28" s="40">
        <v>0</v>
      </c>
      <c r="E28" s="40">
        <v>5.42</v>
      </c>
      <c r="F28" s="40">
        <v>3.48</v>
      </c>
      <c r="G28" s="40">
        <v>33.25</v>
      </c>
      <c r="H28" s="40">
        <v>12.48</v>
      </c>
      <c r="I28" s="40">
        <v>5.41</v>
      </c>
      <c r="J28" s="40">
        <v>0.69</v>
      </c>
      <c r="K28" s="40">
        <v>250.53</v>
      </c>
      <c r="L28" s="40">
        <v>27.99</v>
      </c>
      <c r="M28" s="40">
        <v>87.63</v>
      </c>
      <c r="N28" s="40">
        <v>2.5</v>
      </c>
      <c r="O28" s="40">
        <v>0</v>
      </c>
      <c r="P28" s="40">
        <v>0.23</v>
      </c>
      <c r="Q28" s="40">
        <v>10</v>
      </c>
      <c r="R28" s="38"/>
      <c r="S28" s="38"/>
      <c r="T28" s="38"/>
      <c r="U28" s="38"/>
    </row>
    <row r="29" spans="1:21" customFormat="1">
      <c r="A29" s="39">
        <v>45849.875</v>
      </c>
      <c r="B29" s="40">
        <v>1.24</v>
      </c>
      <c r="C29" s="40">
        <v>2.0299999999999998</v>
      </c>
      <c r="D29" s="40">
        <v>0</v>
      </c>
      <c r="E29" s="40">
        <v>5.38</v>
      </c>
      <c r="F29" s="40">
        <v>2.84</v>
      </c>
      <c r="G29" s="40">
        <v>31.9</v>
      </c>
      <c r="H29" s="40">
        <v>13.63</v>
      </c>
      <c r="I29" s="40">
        <v>5.67</v>
      </c>
      <c r="J29" s="40">
        <v>0.66</v>
      </c>
      <c r="K29" s="40">
        <v>254.94</v>
      </c>
      <c r="L29" s="40">
        <v>27.55</v>
      </c>
      <c r="M29" s="40">
        <v>88.67</v>
      </c>
      <c r="N29" s="40">
        <v>2.2999999999999998</v>
      </c>
      <c r="O29" s="40">
        <v>0</v>
      </c>
      <c r="P29" s="40">
        <v>0.25</v>
      </c>
      <c r="Q29" s="40">
        <v>10</v>
      </c>
      <c r="R29" s="38"/>
      <c r="S29" s="38"/>
      <c r="T29" s="38"/>
      <c r="U29" s="38"/>
    </row>
    <row r="30" spans="1:21" customFormat="1">
      <c r="A30" s="39">
        <v>45849.916666666664</v>
      </c>
      <c r="B30" s="40">
        <v>1.24</v>
      </c>
      <c r="C30" s="40">
        <v>2.0299999999999998</v>
      </c>
      <c r="D30" s="40">
        <v>0</v>
      </c>
      <c r="E30" s="40">
        <v>5.08</v>
      </c>
      <c r="F30" s="40">
        <v>2.35</v>
      </c>
      <c r="G30" s="40">
        <v>31.86</v>
      </c>
      <c r="H30" s="40">
        <v>10.210000000000001</v>
      </c>
      <c r="I30" s="40">
        <v>5.54</v>
      </c>
      <c r="J30" s="40">
        <v>0.28999999999999998</v>
      </c>
      <c r="K30" s="40">
        <v>253.78</v>
      </c>
      <c r="L30" s="40">
        <v>26.88</v>
      </c>
      <c r="M30" s="40">
        <v>91.61</v>
      </c>
      <c r="N30" s="40">
        <v>2.1</v>
      </c>
      <c r="O30" s="40">
        <v>0</v>
      </c>
      <c r="P30" s="40">
        <v>0.27</v>
      </c>
      <c r="Q30" s="40">
        <v>10</v>
      </c>
      <c r="R30" s="38"/>
      <c r="S30" s="38"/>
      <c r="T30" s="38"/>
      <c r="U30" s="38"/>
    </row>
    <row r="31" spans="1:21" customFormat="1">
      <c r="A31" s="39">
        <v>45849.958333333336</v>
      </c>
      <c r="B31" s="40">
        <v>1.24</v>
      </c>
      <c r="C31" s="40">
        <v>2.0299999999999998</v>
      </c>
      <c r="D31" s="40">
        <v>0</v>
      </c>
      <c r="E31" s="40">
        <v>5.37</v>
      </c>
      <c r="F31" s="40">
        <v>3.22</v>
      </c>
      <c r="G31" s="40">
        <v>26.27</v>
      </c>
      <c r="H31" s="40">
        <v>8.7100000000000009</v>
      </c>
      <c r="I31" s="40">
        <v>5.76</v>
      </c>
      <c r="J31" s="40">
        <v>0.49</v>
      </c>
      <c r="K31" s="40">
        <v>252.79</v>
      </c>
      <c r="L31" s="40">
        <v>26.48</v>
      </c>
      <c r="M31" s="40">
        <v>91.34</v>
      </c>
      <c r="N31" s="40">
        <v>2.1</v>
      </c>
      <c r="O31" s="40">
        <v>0</v>
      </c>
      <c r="P31" s="40">
        <v>0.32</v>
      </c>
      <c r="Q31" s="40">
        <v>10</v>
      </c>
      <c r="R31" s="38"/>
      <c r="S31" s="38"/>
      <c r="T31" s="38"/>
      <c r="U31" s="38"/>
    </row>
    <row r="32" spans="1:21" customFormat="1">
      <c r="A32" s="40">
        <v>45850</v>
      </c>
      <c r="B32" s="40">
        <v>1.24</v>
      </c>
      <c r="C32" s="40">
        <v>2.0299999999999998</v>
      </c>
      <c r="D32" s="40">
        <v>0</v>
      </c>
      <c r="E32" s="40">
        <v>5.07</v>
      </c>
      <c r="F32" s="40">
        <v>4.08</v>
      </c>
      <c r="G32" s="40">
        <v>27.01</v>
      </c>
      <c r="H32" s="40">
        <v>10.26</v>
      </c>
      <c r="I32" s="40">
        <v>6.33</v>
      </c>
      <c r="J32" s="40">
        <v>0.39</v>
      </c>
      <c r="K32" s="40">
        <v>248.5</v>
      </c>
      <c r="L32" s="40">
        <v>26.37</v>
      </c>
      <c r="M32" s="40">
        <v>90.88</v>
      </c>
      <c r="N32" s="40">
        <v>2.1</v>
      </c>
      <c r="O32" s="40">
        <v>0</v>
      </c>
      <c r="P32" s="40">
        <v>0.31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1.24</v>
      </c>
      <c r="C34" s="18">
        <f t="shared" si="0"/>
        <v>2.0299999999999998</v>
      </c>
      <c r="D34" s="18">
        <f t="shared" si="0"/>
        <v>0</v>
      </c>
      <c r="E34" s="18">
        <f t="shared" si="0"/>
        <v>3.62</v>
      </c>
      <c r="F34" s="18">
        <f t="shared" si="0"/>
        <v>2.02</v>
      </c>
      <c r="G34" s="18">
        <f t="shared" si="0"/>
        <v>10.18</v>
      </c>
      <c r="H34" s="18">
        <f t="shared" si="0"/>
        <v>4.87</v>
      </c>
      <c r="I34" s="18">
        <f t="shared" si="0"/>
        <v>4.83</v>
      </c>
      <c r="J34" s="18">
        <f t="shared" si="0"/>
        <v>0.28999999999999998</v>
      </c>
      <c r="K34" s="18">
        <f t="shared" si="0"/>
        <v>245.91</v>
      </c>
      <c r="L34" s="18">
        <f t="shared" si="0"/>
        <v>24.91</v>
      </c>
      <c r="M34" s="18">
        <f t="shared" si="0"/>
        <v>70.06</v>
      </c>
      <c r="N34" s="18">
        <f t="shared" si="0"/>
        <v>2.1</v>
      </c>
      <c r="O34" s="18">
        <f t="shared" si="0"/>
        <v>0</v>
      </c>
      <c r="P34" s="18">
        <f t="shared" si="0"/>
        <v>0.2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2.57</v>
      </c>
      <c r="C35" s="3">
        <f t="shared" si="1"/>
        <v>3.83</v>
      </c>
      <c r="D35" s="3">
        <f t="shared" si="1"/>
        <v>1.98</v>
      </c>
      <c r="E35" s="3">
        <f t="shared" si="1"/>
        <v>5.42</v>
      </c>
      <c r="F35" s="3">
        <f t="shared" si="1"/>
        <v>6.22</v>
      </c>
      <c r="G35" s="3">
        <f t="shared" si="1"/>
        <v>57.25</v>
      </c>
      <c r="H35" s="3">
        <f t="shared" si="1"/>
        <v>17.03</v>
      </c>
      <c r="I35" s="3">
        <f t="shared" si="1"/>
        <v>6.57</v>
      </c>
      <c r="J35" s="3">
        <f t="shared" si="1"/>
        <v>1.67</v>
      </c>
      <c r="K35" s="3">
        <f t="shared" si="1"/>
        <v>296.08999999999997</v>
      </c>
      <c r="L35" s="3">
        <f t="shared" si="1"/>
        <v>31.6</v>
      </c>
      <c r="M35" s="3">
        <f t="shared" si="1"/>
        <v>99.51</v>
      </c>
      <c r="N35" s="3">
        <f t="shared" si="1"/>
        <v>587.1</v>
      </c>
      <c r="O35" s="3">
        <f t="shared" si="1"/>
        <v>0</v>
      </c>
      <c r="P35" s="3">
        <f t="shared" si="1"/>
        <v>0.32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1.3191666666666659</v>
      </c>
      <c r="C36" s="18">
        <f t="shared" si="2"/>
        <v>2.2016666666666675</v>
      </c>
      <c r="D36" s="18">
        <f t="shared" si="2"/>
        <v>0.24041666666666664</v>
      </c>
      <c r="E36" s="18">
        <f t="shared" si="2"/>
        <v>4.604166666666667</v>
      </c>
      <c r="F36" s="18">
        <f t="shared" si="2"/>
        <v>3.4375</v>
      </c>
      <c r="G36" s="18">
        <f t="shared" si="2"/>
        <v>33.232083333333328</v>
      </c>
      <c r="H36" s="18">
        <f t="shared" si="2"/>
        <v>11.809583333333331</v>
      </c>
      <c r="I36" s="18">
        <f t="shared" si="2"/>
        <v>5.7479166666666677</v>
      </c>
      <c r="J36" s="18">
        <f t="shared" si="2"/>
        <v>0.77666666666666673</v>
      </c>
      <c r="K36" s="18">
        <f t="shared" si="2"/>
        <v>262.65416666666664</v>
      </c>
      <c r="L36" s="18">
        <f t="shared" si="2"/>
        <v>27.683750000000007</v>
      </c>
      <c r="M36" s="18">
        <f t="shared" si="2"/>
        <v>87.414583333333368</v>
      </c>
      <c r="N36" s="18">
        <f t="shared" si="2"/>
        <v>133.77499999999998</v>
      </c>
      <c r="O36" s="18">
        <f t="shared" si="2"/>
        <v>0</v>
      </c>
      <c r="P36" s="18">
        <f t="shared" si="2"/>
        <v>0.25624999999999998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0.29068011204111227</v>
      </c>
      <c r="C37" s="18">
        <f t="shared" ref="C37:Q37" si="3">STDEV(C9:C32)</f>
        <v>0.45280446558969689</v>
      </c>
      <c r="D37" s="18">
        <f t="shared" si="3"/>
        <v>0.57619048153756647</v>
      </c>
      <c r="E37" s="18">
        <f t="shared" si="3"/>
        <v>0.50832988832284909</v>
      </c>
      <c r="F37" s="18">
        <f t="shared" si="3"/>
        <v>1.2800721786714593</v>
      </c>
      <c r="G37" s="18">
        <f t="shared" si="3"/>
        <v>12.274389023727318</v>
      </c>
      <c r="H37" s="18">
        <f t="shared" si="3"/>
        <v>3.3406865724521912</v>
      </c>
      <c r="I37" s="18">
        <f t="shared" si="3"/>
        <v>0.45528757435528466</v>
      </c>
      <c r="J37" s="18">
        <f t="shared" si="3"/>
        <v>0.34794635601866353</v>
      </c>
      <c r="K37" s="18">
        <f t="shared" si="3"/>
        <v>15.177958250919867</v>
      </c>
      <c r="L37" s="18">
        <f t="shared" si="3"/>
        <v>2.2417768816179104</v>
      </c>
      <c r="M37" s="18">
        <f t="shared" si="3"/>
        <v>10.167247064093125</v>
      </c>
      <c r="N37" s="18">
        <f t="shared" si="3"/>
        <v>171.64087191879293</v>
      </c>
      <c r="O37" s="18">
        <f t="shared" si="3"/>
        <v>0</v>
      </c>
      <c r="P37" s="18">
        <f t="shared" si="3"/>
        <v>3.4111390421994812E-2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45850.041666666664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45850.041666666664</v>
      </c>
      <c r="B9" s="40">
        <v>2.29</v>
      </c>
      <c r="C9" s="40">
        <v>4.21</v>
      </c>
      <c r="D9" s="40">
        <v>3.04</v>
      </c>
      <c r="E9" s="40">
        <v>4.71</v>
      </c>
      <c r="F9" s="40">
        <v>3.38</v>
      </c>
      <c r="G9" s="40">
        <v>20.36</v>
      </c>
      <c r="H9" s="40">
        <v>11.64</v>
      </c>
      <c r="I9" s="40">
        <v>6.42</v>
      </c>
      <c r="J9" s="40">
        <v>0.45</v>
      </c>
      <c r="K9" s="40">
        <v>251.49</v>
      </c>
      <c r="L9" s="40">
        <v>26.08</v>
      </c>
      <c r="M9" s="40">
        <v>91.28</v>
      </c>
      <c r="N9" s="40">
        <v>2.1</v>
      </c>
      <c r="O9" s="40">
        <v>0</v>
      </c>
      <c r="P9" s="40">
        <v>0.3</v>
      </c>
      <c r="Q9" s="40">
        <v>10</v>
      </c>
      <c r="R9" s="38"/>
      <c r="S9" s="38"/>
      <c r="T9" s="38"/>
      <c r="U9" s="38"/>
    </row>
    <row r="10" spans="1:21" customFormat="1">
      <c r="A10" s="39">
        <v>45850.083333333336</v>
      </c>
      <c r="B10" s="40">
        <v>2.13</v>
      </c>
      <c r="C10" s="40">
        <v>4.29</v>
      </c>
      <c r="D10" s="40">
        <v>3.05</v>
      </c>
      <c r="E10" s="40">
        <v>4.82</v>
      </c>
      <c r="F10" s="40">
        <v>3.32</v>
      </c>
      <c r="G10" s="40">
        <v>19.329999999999998</v>
      </c>
      <c r="H10" s="40">
        <v>10.62</v>
      </c>
      <c r="I10" s="40">
        <v>6.21</v>
      </c>
      <c r="J10" s="40">
        <v>0.46</v>
      </c>
      <c r="K10" s="40">
        <v>258.39999999999998</v>
      </c>
      <c r="L10" s="40">
        <v>26.17</v>
      </c>
      <c r="M10" s="40">
        <v>91.52</v>
      </c>
      <c r="N10" s="40">
        <v>2.2000000000000002</v>
      </c>
      <c r="O10" s="40">
        <v>0</v>
      </c>
      <c r="P10" s="40">
        <v>0.28000000000000003</v>
      </c>
      <c r="Q10" s="40">
        <v>10</v>
      </c>
      <c r="R10" s="38"/>
      <c r="S10" s="38"/>
      <c r="T10" s="38"/>
      <c r="U10" s="38"/>
    </row>
    <row r="11" spans="1:21" customFormat="1">
      <c r="A11" s="39">
        <v>45850.125</v>
      </c>
      <c r="B11" s="40">
        <v>2.17</v>
      </c>
      <c r="C11" s="40">
        <v>4.33</v>
      </c>
      <c r="D11" s="40">
        <v>3.18</v>
      </c>
      <c r="E11" s="40">
        <v>5.58</v>
      </c>
      <c r="F11" s="40">
        <v>3.41</v>
      </c>
      <c r="G11" s="40">
        <v>21.57</v>
      </c>
      <c r="H11" s="40">
        <v>8.5399999999999991</v>
      </c>
      <c r="I11" s="40">
        <v>6.07</v>
      </c>
      <c r="J11" s="40">
        <v>0.4</v>
      </c>
      <c r="K11" s="40">
        <v>250.32</v>
      </c>
      <c r="L11" s="40">
        <v>26.15</v>
      </c>
      <c r="M11" s="40">
        <v>92.19</v>
      </c>
      <c r="N11" s="40">
        <v>2.2999999999999998</v>
      </c>
      <c r="O11" s="40">
        <v>0</v>
      </c>
      <c r="P11" s="40">
        <v>0.28000000000000003</v>
      </c>
      <c r="Q11" s="40">
        <v>10</v>
      </c>
      <c r="R11" s="38"/>
      <c r="S11" s="38"/>
      <c r="T11" s="38"/>
      <c r="U11" s="38"/>
    </row>
    <row r="12" spans="1:21" customFormat="1">
      <c r="A12" s="39">
        <v>45850.166666666664</v>
      </c>
      <c r="B12" s="40">
        <v>2.0099999999999998</v>
      </c>
      <c r="C12" s="40">
        <v>4.2699999999999996</v>
      </c>
      <c r="D12" s="40">
        <v>3.1</v>
      </c>
      <c r="E12" s="40">
        <v>5.94</v>
      </c>
      <c r="F12" s="40">
        <v>4.04</v>
      </c>
      <c r="G12" s="40">
        <v>17.25</v>
      </c>
      <c r="H12" s="40">
        <v>7.8</v>
      </c>
      <c r="I12" s="40">
        <v>5.61</v>
      </c>
      <c r="J12" s="40">
        <v>0.27</v>
      </c>
      <c r="K12" s="40">
        <v>244.62</v>
      </c>
      <c r="L12" s="40">
        <v>26.01</v>
      </c>
      <c r="M12" s="40">
        <v>92.33</v>
      </c>
      <c r="N12" s="40">
        <v>2.2999999999999998</v>
      </c>
      <c r="O12" s="40">
        <v>0</v>
      </c>
      <c r="P12" s="40">
        <v>0.25</v>
      </c>
      <c r="Q12" s="40">
        <v>10</v>
      </c>
      <c r="R12" s="38"/>
      <c r="S12" s="38"/>
      <c r="T12" s="38"/>
      <c r="U12" s="38"/>
    </row>
    <row r="13" spans="1:21" customFormat="1">
      <c r="A13" s="39">
        <v>45850.208333333336</v>
      </c>
      <c r="B13" s="40">
        <v>1.29</v>
      </c>
      <c r="C13" s="40">
        <v>3.58</v>
      </c>
      <c r="D13" s="40">
        <v>2.89</v>
      </c>
      <c r="E13" s="40">
        <v>5.92</v>
      </c>
      <c r="F13" s="40">
        <v>2.5099999999999998</v>
      </c>
      <c r="G13" s="40">
        <v>14.88</v>
      </c>
      <c r="H13" s="40">
        <v>5.54</v>
      </c>
      <c r="I13" s="40">
        <v>5.23</v>
      </c>
      <c r="J13" s="40">
        <v>0.45</v>
      </c>
      <c r="K13" s="40">
        <v>251.18</v>
      </c>
      <c r="L13" s="40">
        <v>25.99</v>
      </c>
      <c r="M13" s="40">
        <v>91.8</v>
      </c>
      <c r="N13" s="40">
        <v>2.2999999999999998</v>
      </c>
      <c r="O13" s="40">
        <v>0</v>
      </c>
      <c r="P13" s="40">
        <v>0.24</v>
      </c>
      <c r="Q13" s="40">
        <v>10</v>
      </c>
      <c r="R13" s="38"/>
      <c r="S13" s="38"/>
      <c r="T13" s="38"/>
      <c r="U13" s="38"/>
    </row>
    <row r="14" spans="1:21" customFormat="1">
      <c r="A14" s="39">
        <v>45850.25</v>
      </c>
      <c r="B14" s="40">
        <v>1.24</v>
      </c>
      <c r="C14" s="40">
        <v>3.36</v>
      </c>
      <c r="D14" s="40">
        <v>2.54</v>
      </c>
      <c r="E14" s="40">
        <v>6.12</v>
      </c>
      <c r="F14" s="40">
        <v>2.4</v>
      </c>
      <c r="G14" s="40">
        <v>18.760000000000002</v>
      </c>
      <c r="H14" s="40">
        <v>5.36</v>
      </c>
      <c r="I14" s="40">
        <v>4.58</v>
      </c>
      <c r="J14" s="40">
        <v>0.4</v>
      </c>
      <c r="K14" s="40">
        <v>255.76</v>
      </c>
      <c r="L14" s="40">
        <v>26.11</v>
      </c>
      <c r="M14" s="40">
        <v>91.69</v>
      </c>
      <c r="N14" s="40">
        <v>9.8000000000000007</v>
      </c>
      <c r="O14" s="40">
        <v>0</v>
      </c>
      <c r="P14" s="40">
        <v>0.21</v>
      </c>
      <c r="Q14" s="40">
        <v>10</v>
      </c>
      <c r="R14" s="38"/>
      <c r="S14" s="38"/>
      <c r="T14" s="38"/>
      <c r="U14" s="38"/>
    </row>
    <row r="15" spans="1:21" customFormat="1">
      <c r="A15" s="39">
        <v>45850.291666666664</v>
      </c>
      <c r="B15" s="40">
        <v>1.24</v>
      </c>
      <c r="C15" s="40">
        <v>3.34</v>
      </c>
      <c r="D15" s="40">
        <v>2.5099999999999998</v>
      </c>
      <c r="E15" s="40">
        <v>6.03</v>
      </c>
      <c r="F15" s="40">
        <v>2.56</v>
      </c>
      <c r="G15" s="40">
        <v>14.57</v>
      </c>
      <c r="H15" s="40">
        <v>7.21</v>
      </c>
      <c r="I15" s="40">
        <v>4.2300000000000004</v>
      </c>
      <c r="J15" s="40">
        <v>0.43</v>
      </c>
      <c r="K15" s="40">
        <v>256.02999999999997</v>
      </c>
      <c r="L15" s="40">
        <v>26.53</v>
      </c>
      <c r="M15" s="40">
        <v>92.51</v>
      </c>
      <c r="N15" s="40">
        <v>71</v>
      </c>
      <c r="O15" s="40">
        <v>0</v>
      </c>
      <c r="P15" s="40">
        <v>0.21</v>
      </c>
      <c r="Q15" s="40">
        <v>10</v>
      </c>
      <c r="R15" s="38"/>
      <c r="S15" s="38"/>
      <c r="T15" s="38"/>
      <c r="U15" s="38"/>
    </row>
    <row r="16" spans="1:21" customFormat="1">
      <c r="A16" s="39">
        <v>45850.333333333336</v>
      </c>
      <c r="B16" s="40">
        <v>1.24</v>
      </c>
      <c r="C16" s="40">
        <v>3.24</v>
      </c>
      <c r="D16" s="40">
        <v>2.31</v>
      </c>
      <c r="E16" s="40">
        <v>6.04</v>
      </c>
      <c r="F16" s="40">
        <v>2.89</v>
      </c>
      <c r="G16" s="40">
        <v>19.84</v>
      </c>
      <c r="H16" s="40">
        <v>8.24</v>
      </c>
      <c r="I16" s="40">
        <v>4.7300000000000004</v>
      </c>
      <c r="J16" s="40">
        <v>0.56999999999999995</v>
      </c>
      <c r="K16" s="40">
        <v>258.44</v>
      </c>
      <c r="L16" s="40">
        <v>28.41</v>
      </c>
      <c r="M16" s="40">
        <v>87.23</v>
      </c>
      <c r="N16" s="40">
        <v>162.19999999999999</v>
      </c>
      <c r="O16" s="40">
        <v>0</v>
      </c>
      <c r="P16" s="40">
        <v>0.25</v>
      </c>
      <c r="Q16" s="40">
        <v>10</v>
      </c>
      <c r="R16" s="38"/>
      <c r="S16" s="38"/>
      <c r="T16" s="38"/>
      <c r="U16" s="38"/>
    </row>
    <row r="17" spans="1:21" customFormat="1">
      <c r="A17" s="39">
        <v>45850.375</v>
      </c>
      <c r="B17" s="40">
        <v>1.24</v>
      </c>
      <c r="C17" s="40">
        <v>3.3</v>
      </c>
      <c r="D17" s="40">
        <v>2.4300000000000002</v>
      </c>
      <c r="E17" s="40">
        <v>5.83</v>
      </c>
      <c r="F17" s="40">
        <v>3.59</v>
      </c>
      <c r="G17" s="40">
        <v>26.29</v>
      </c>
      <c r="H17" s="40">
        <v>11.19</v>
      </c>
      <c r="I17" s="40">
        <v>5.26</v>
      </c>
      <c r="J17" s="40">
        <v>0.93</v>
      </c>
      <c r="K17" s="40">
        <v>263.04000000000002</v>
      </c>
      <c r="L17" s="40">
        <v>29.49</v>
      </c>
      <c r="M17" s="40">
        <v>79.63</v>
      </c>
      <c r="N17" s="40">
        <v>180.1</v>
      </c>
      <c r="O17" s="40">
        <v>0</v>
      </c>
      <c r="P17" s="40">
        <v>0.26</v>
      </c>
      <c r="Q17" s="40">
        <v>10</v>
      </c>
      <c r="R17" s="38"/>
      <c r="S17" s="38"/>
      <c r="T17" s="38"/>
      <c r="U17" s="38"/>
    </row>
    <row r="18" spans="1:21" customFormat="1">
      <c r="A18" s="39">
        <v>45850.416666666664</v>
      </c>
      <c r="B18" s="40">
        <v>1.24</v>
      </c>
      <c r="C18" s="40">
        <v>3.29</v>
      </c>
      <c r="D18" s="40">
        <v>2.42</v>
      </c>
      <c r="E18" s="40">
        <v>5.79</v>
      </c>
      <c r="F18" s="40">
        <v>4.0199999999999996</v>
      </c>
      <c r="G18" s="40">
        <v>32.07</v>
      </c>
      <c r="H18" s="40">
        <v>12.65</v>
      </c>
      <c r="I18" s="40">
        <v>5.95</v>
      </c>
      <c r="J18" s="40">
        <v>1.03</v>
      </c>
      <c r="K18" s="40">
        <v>262.35000000000002</v>
      </c>
      <c r="L18" s="40">
        <v>29.65</v>
      </c>
      <c r="M18" s="40">
        <v>75.38</v>
      </c>
      <c r="N18" s="40">
        <v>284.39999999999998</v>
      </c>
      <c r="O18" s="40">
        <v>0</v>
      </c>
      <c r="P18" s="40">
        <v>0.26</v>
      </c>
      <c r="Q18" s="40">
        <v>10</v>
      </c>
      <c r="R18" s="38"/>
      <c r="S18" s="38"/>
      <c r="T18" s="38"/>
      <c r="U18" s="38"/>
    </row>
    <row r="19" spans="1:21" customFormat="1">
      <c r="A19" s="39">
        <v>45850.458333333336</v>
      </c>
      <c r="B19" s="40">
        <v>1.24</v>
      </c>
      <c r="C19" s="40">
        <v>3.33</v>
      </c>
      <c r="D19" s="40">
        <v>2.4900000000000002</v>
      </c>
      <c r="E19" s="40">
        <v>5.32</v>
      </c>
      <c r="F19" s="40">
        <v>5.62</v>
      </c>
      <c r="G19" s="40">
        <v>37.04</v>
      </c>
      <c r="H19" s="40">
        <v>15.53</v>
      </c>
      <c r="I19" s="40">
        <v>6.02</v>
      </c>
      <c r="J19" s="40">
        <v>1.17</v>
      </c>
      <c r="K19" s="40">
        <v>277.07</v>
      </c>
      <c r="L19" s="40">
        <v>30.34</v>
      </c>
      <c r="M19" s="40">
        <v>74.33</v>
      </c>
      <c r="N19" s="40">
        <v>267.7</v>
      </c>
      <c r="O19" s="40">
        <v>0</v>
      </c>
      <c r="P19" s="40">
        <v>0.27</v>
      </c>
      <c r="Q19" s="40">
        <v>10</v>
      </c>
      <c r="R19" s="38"/>
      <c r="S19" s="38"/>
      <c r="T19" s="38"/>
      <c r="U19" s="38"/>
    </row>
    <row r="20" spans="1:21" customFormat="1">
      <c r="A20" s="39">
        <v>45850.5</v>
      </c>
      <c r="B20" s="40">
        <v>1.24</v>
      </c>
      <c r="C20" s="40">
        <v>3.27</v>
      </c>
      <c r="D20" s="40">
        <v>2.37</v>
      </c>
      <c r="E20" s="40">
        <v>5.58</v>
      </c>
      <c r="F20" s="40">
        <v>5.27</v>
      </c>
      <c r="G20" s="40">
        <v>40.520000000000003</v>
      </c>
      <c r="H20" s="40">
        <v>15.32</v>
      </c>
      <c r="I20" s="40">
        <v>6.4</v>
      </c>
      <c r="J20" s="40">
        <v>0.94</v>
      </c>
      <c r="K20" s="40">
        <v>262.91000000000003</v>
      </c>
      <c r="L20" s="40">
        <v>31.25</v>
      </c>
      <c r="M20" s="40">
        <v>73.819999999999993</v>
      </c>
      <c r="N20" s="40">
        <v>428.6</v>
      </c>
      <c r="O20" s="40">
        <v>0</v>
      </c>
      <c r="P20" s="40">
        <v>0.32</v>
      </c>
      <c r="Q20" s="40">
        <v>10</v>
      </c>
      <c r="R20" s="38"/>
      <c r="S20" s="38"/>
      <c r="T20" s="38"/>
      <c r="U20" s="38"/>
    </row>
    <row r="21" spans="1:21" customFormat="1">
      <c r="A21" s="39">
        <v>45850.541666666664</v>
      </c>
      <c r="B21" s="40">
        <v>1.24</v>
      </c>
      <c r="C21" s="40">
        <v>3.29</v>
      </c>
      <c r="D21" s="40">
        <v>2.41</v>
      </c>
      <c r="E21" s="40">
        <v>5.62</v>
      </c>
      <c r="F21" s="40">
        <v>7.13</v>
      </c>
      <c r="G21" s="40">
        <v>40.130000000000003</v>
      </c>
      <c r="H21" s="40">
        <v>14.03</v>
      </c>
      <c r="I21" s="40">
        <v>6.77</v>
      </c>
      <c r="J21" s="40">
        <v>0.99</v>
      </c>
      <c r="K21" s="40">
        <v>263.43</v>
      </c>
      <c r="L21" s="40">
        <v>31.71</v>
      </c>
      <c r="M21" s="40">
        <v>73.12</v>
      </c>
      <c r="N21" s="40">
        <v>841.4</v>
      </c>
      <c r="O21" s="40">
        <v>0</v>
      </c>
      <c r="P21" s="40">
        <v>0.33</v>
      </c>
      <c r="Q21" s="40">
        <v>10</v>
      </c>
      <c r="R21" s="38"/>
      <c r="S21" s="38"/>
      <c r="T21" s="38"/>
      <c r="U21" s="38"/>
    </row>
    <row r="22" spans="1:21" customFormat="1">
      <c r="A22" s="39">
        <v>45850.583333333336</v>
      </c>
      <c r="B22" s="40">
        <v>1.24</v>
      </c>
      <c r="C22" s="40">
        <v>3.22</v>
      </c>
      <c r="D22" s="40">
        <v>2.29</v>
      </c>
      <c r="E22" s="40">
        <v>5.0199999999999996</v>
      </c>
      <c r="F22" s="40">
        <v>4.34</v>
      </c>
      <c r="G22" s="40">
        <v>40.86</v>
      </c>
      <c r="H22" s="40">
        <v>16.18</v>
      </c>
      <c r="I22" s="40">
        <v>6.96</v>
      </c>
      <c r="J22" s="40">
        <v>0.98</v>
      </c>
      <c r="K22" s="40">
        <v>281.27</v>
      </c>
      <c r="L22" s="40">
        <v>32.51</v>
      </c>
      <c r="M22" s="40">
        <v>66.75</v>
      </c>
      <c r="N22" s="40">
        <v>737.5</v>
      </c>
      <c r="O22" s="40">
        <v>0</v>
      </c>
      <c r="P22" s="40">
        <v>0.34</v>
      </c>
      <c r="Q22" s="40">
        <v>10</v>
      </c>
      <c r="R22" s="38"/>
      <c r="S22" s="38"/>
      <c r="T22" s="38"/>
      <c r="U22" s="38"/>
    </row>
    <row r="23" spans="1:21" customFormat="1">
      <c r="A23" s="39">
        <v>45850.625</v>
      </c>
      <c r="B23" s="40">
        <v>1.24</v>
      </c>
      <c r="C23" s="40">
        <v>2.92</v>
      </c>
      <c r="D23" s="40">
        <v>1.71</v>
      </c>
      <c r="E23" s="40">
        <v>5.16</v>
      </c>
      <c r="F23" s="40">
        <v>4.6900000000000004</v>
      </c>
      <c r="G23" s="40">
        <v>31.86</v>
      </c>
      <c r="H23" s="40">
        <v>16.059999999999999</v>
      </c>
      <c r="I23" s="40">
        <v>6.62</v>
      </c>
      <c r="J23" s="40">
        <v>0.87</v>
      </c>
      <c r="K23" s="40">
        <v>262.13</v>
      </c>
      <c r="L23" s="40">
        <v>32.07</v>
      </c>
      <c r="M23" s="40">
        <v>74.58</v>
      </c>
      <c r="N23" s="40">
        <v>244.1</v>
      </c>
      <c r="O23" s="40">
        <v>0</v>
      </c>
      <c r="P23" s="40">
        <v>0.24</v>
      </c>
      <c r="Q23" s="40">
        <v>10</v>
      </c>
      <c r="R23" s="38"/>
      <c r="S23" s="38"/>
      <c r="T23" s="38"/>
      <c r="U23" s="38"/>
    </row>
    <row r="24" spans="1:21" customFormat="1">
      <c r="A24" s="39">
        <v>45850.666666666664</v>
      </c>
      <c r="B24" s="40">
        <v>1.24</v>
      </c>
      <c r="C24" s="40">
        <v>2.74</v>
      </c>
      <c r="D24" s="40">
        <v>1.35</v>
      </c>
      <c r="E24" s="40">
        <v>5.12</v>
      </c>
      <c r="F24" s="40">
        <v>5.45</v>
      </c>
      <c r="G24" s="40">
        <v>36</v>
      </c>
      <c r="H24" s="40">
        <v>15.39</v>
      </c>
      <c r="I24" s="40">
        <v>6.02</v>
      </c>
      <c r="J24" s="40">
        <v>0.93</v>
      </c>
      <c r="K24" s="40">
        <v>254.81</v>
      </c>
      <c r="L24" s="40">
        <v>32.43</v>
      </c>
      <c r="M24" s="40">
        <v>67.959999999999994</v>
      </c>
      <c r="N24" s="40">
        <v>472.6</v>
      </c>
      <c r="O24" s="40">
        <v>0</v>
      </c>
      <c r="P24" s="40">
        <v>0.24</v>
      </c>
      <c r="Q24" s="40">
        <v>10</v>
      </c>
      <c r="R24" s="38"/>
      <c r="S24" s="38"/>
      <c r="T24" s="38"/>
      <c r="U24" s="38"/>
    </row>
    <row r="25" spans="1:21" customFormat="1">
      <c r="A25" s="39">
        <v>45850.708333333336</v>
      </c>
      <c r="B25" s="40">
        <v>1.24</v>
      </c>
      <c r="C25" s="40">
        <v>2.78</v>
      </c>
      <c r="D25" s="40">
        <v>1.44</v>
      </c>
      <c r="E25" s="40">
        <v>5.42</v>
      </c>
      <c r="F25" s="40">
        <v>6.02</v>
      </c>
      <c r="G25" s="40">
        <v>33.76</v>
      </c>
      <c r="H25" s="40">
        <v>13.8</v>
      </c>
      <c r="I25" s="40">
        <v>5.84</v>
      </c>
      <c r="J25" s="40">
        <v>0.78</v>
      </c>
      <c r="K25" s="40">
        <v>272.06</v>
      </c>
      <c r="L25" s="40">
        <v>31.77</v>
      </c>
      <c r="M25" s="40">
        <v>65.12</v>
      </c>
      <c r="N25" s="40">
        <v>161.5</v>
      </c>
      <c r="O25" s="40">
        <v>0</v>
      </c>
      <c r="P25" s="40">
        <v>0.22</v>
      </c>
      <c r="Q25" s="40">
        <v>10</v>
      </c>
      <c r="R25" s="38"/>
      <c r="S25" s="38"/>
      <c r="T25" s="38"/>
      <c r="U25" s="38"/>
    </row>
    <row r="26" spans="1:21" customFormat="1">
      <c r="A26" s="39">
        <v>45850.75</v>
      </c>
      <c r="B26" s="40">
        <v>1.24</v>
      </c>
      <c r="C26" s="40">
        <v>2.84</v>
      </c>
      <c r="D26" s="40">
        <v>1.55</v>
      </c>
      <c r="E26" s="40">
        <v>5.23</v>
      </c>
      <c r="F26" s="40">
        <v>6.15</v>
      </c>
      <c r="G26" s="40">
        <v>33.520000000000003</v>
      </c>
      <c r="H26" s="40">
        <v>13.65</v>
      </c>
      <c r="I26" s="40">
        <v>5.56</v>
      </c>
      <c r="J26" s="40">
        <v>0.64</v>
      </c>
      <c r="K26" s="40">
        <v>252.6</v>
      </c>
      <c r="L26" s="40">
        <v>30.79</v>
      </c>
      <c r="M26" s="40">
        <v>71.27</v>
      </c>
      <c r="N26" s="40">
        <v>44.6</v>
      </c>
      <c r="O26" s="40">
        <v>0</v>
      </c>
      <c r="P26" s="40">
        <v>0.2</v>
      </c>
      <c r="Q26" s="40">
        <v>10</v>
      </c>
      <c r="R26" s="38"/>
      <c r="S26" s="38"/>
      <c r="T26" s="38"/>
      <c r="U26" s="38"/>
    </row>
    <row r="27" spans="1:21" customFormat="1">
      <c r="A27" s="39">
        <v>45850.791666666664</v>
      </c>
      <c r="B27" s="40">
        <v>1.24</v>
      </c>
      <c r="C27" s="40">
        <v>2.64</v>
      </c>
      <c r="D27" s="40">
        <v>1.18</v>
      </c>
      <c r="E27" s="40">
        <v>5.36</v>
      </c>
      <c r="F27" s="40">
        <v>15.88</v>
      </c>
      <c r="G27" s="40">
        <v>34.61</v>
      </c>
      <c r="H27" s="40">
        <v>13.43</v>
      </c>
      <c r="I27" s="40">
        <v>5.23</v>
      </c>
      <c r="J27" s="40">
        <v>0.3</v>
      </c>
      <c r="K27" s="40">
        <v>247.82</v>
      </c>
      <c r="L27" s="40">
        <v>30.03</v>
      </c>
      <c r="M27" s="40">
        <v>75.540000000000006</v>
      </c>
      <c r="N27" s="40">
        <v>25.1</v>
      </c>
      <c r="O27" s="40">
        <v>0</v>
      </c>
      <c r="P27" s="40">
        <v>0.19</v>
      </c>
      <c r="Q27" s="40">
        <v>10</v>
      </c>
      <c r="R27" s="38"/>
      <c r="S27" s="38"/>
      <c r="T27" s="38"/>
      <c r="U27" s="38"/>
    </row>
    <row r="28" spans="1:21" customFormat="1">
      <c r="A28" s="39">
        <v>45850.833333333336</v>
      </c>
      <c r="B28" s="40">
        <v>1.24</v>
      </c>
      <c r="C28" s="40">
        <v>2.68</v>
      </c>
      <c r="D28" s="40">
        <v>1.24</v>
      </c>
      <c r="E28" s="40">
        <v>5.05</v>
      </c>
      <c r="F28" s="40">
        <v>12.84</v>
      </c>
      <c r="G28" s="40">
        <v>30.91</v>
      </c>
      <c r="H28" s="40">
        <v>14.24</v>
      </c>
      <c r="I28" s="40">
        <v>4.8099999999999996</v>
      </c>
      <c r="J28" s="40">
        <v>0.13</v>
      </c>
      <c r="K28" s="40">
        <v>162.36000000000001</v>
      </c>
      <c r="L28" s="40">
        <v>29.1</v>
      </c>
      <c r="M28" s="40">
        <v>83.81</v>
      </c>
      <c r="N28" s="40">
        <v>2.2999999999999998</v>
      </c>
      <c r="O28" s="40">
        <v>0</v>
      </c>
      <c r="P28" s="40">
        <v>0.14000000000000001</v>
      </c>
      <c r="Q28" s="40">
        <v>10</v>
      </c>
      <c r="R28" s="38"/>
      <c r="S28" s="38"/>
      <c r="T28" s="38"/>
      <c r="U28" s="38"/>
    </row>
    <row r="29" spans="1:21" customFormat="1">
      <c r="A29" s="39">
        <v>45850.875</v>
      </c>
      <c r="B29" s="40">
        <v>1.24</v>
      </c>
      <c r="C29" s="40">
        <v>2.78</v>
      </c>
      <c r="D29" s="40">
        <v>1.44</v>
      </c>
      <c r="E29" s="40">
        <v>5.25</v>
      </c>
      <c r="F29" s="40">
        <v>8.42</v>
      </c>
      <c r="G29" s="40">
        <v>36.36</v>
      </c>
      <c r="H29" s="40">
        <v>16.350000000000001</v>
      </c>
      <c r="I29" s="40">
        <v>6.43</v>
      </c>
      <c r="J29" s="40">
        <v>0.15</v>
      </c>
      <c r="K29" s="40">
        <v>151.21</v>
      </c>
      <c r="L29" s="40">
        <v>28.19</v>
      </c>
      <c r="M29" s="40">
        <v>87.35</v>
      </c>
      <c r="N29" s="40">
        <v>2.1</v>
      </c>
      <c r="O29" s="40">
        <v>0</v>
      </c>
      <c r="P29" s="40">
        <v>0.16</v>
      </c>
      <c r="Q29" s="40">
        <v>10</v>
      </c>
      <c r="R29" s="38"/>
      <c r="S29" s="38"/>
      <c r="T29" s="38"/>
      <c r="U29" s="38"/>
    </row>
    <row r="30" spans="1:21" customFormat="1">
      <c r="A30" s="39">
        <v>45850.916666666664</v>
      </c>
      <c r="B30" s="40">
        <v>1.24</v>
      </c>
      <c r="C30" s="40">
        <v>2.89</v>
      </c>
      <c r="D30" s="40">
        <v>1.65</v>
      </c>
      <c r="E30" s="40">
        <v>5.41</v>
      </c>
      <c r="F30" s="40">
        <v>10.08</v>
      </c>
      <c r="G30" s="40">
        <v>38.94</v>
      </c>
      <c r="H30" s="40">
        <v>14.07</v>
      </c>
      <c r="I30" s="40">
        <v>5.59</v>
      </c>
      <c r="J30" s="40">
        <v>0.11</v>
      </c>
      <c r="K30" s="40">
        <v>207.11</v>
      </c>
      <c r="L30" s="40">
        <v>28.15</v>
      </c>
      <c r="M30" s="40">
        <v>86.25</v>
      </c>
      <c r="N30" s="40">
        <v>2.1</v>
      </c>
      <c r="O30" s="40">
        <v>0</v>
      </c>
      <c r="P30" s="40">
        <v>0.16</v>
      </c>
      <c r="Q30" s="40">
        <v>10</v>
      </c>
      <c r="R30" s="38"/>
      <c r="S30" s="38"/>
      <c r="T30" s="38"/>
      <c r="U30" s="38"/>
    </row>
    <row r="31" spans="1:21" customFormat="1">
      <c r="A31" s="39">
        <v>45850.958333333336</v>
      </c>
      <c r="B31" s="40">
        <v>1.24</v>
      </c>
      <c r="C31" s="40">
        <v>3.03</v>
      </c>
      <c r="D31" s="40">
        <v>1.92</v>
      </c>
      <c r="E31" s="40">
        <v>5.64</v>
      </c>
      <c r="F31" s="40">
        <v>8.0399999999999991</v>
      </c>
      <c r="G31" s="40">
        <v>39.619999999999997</v>
      </c>
      <c r="H31" s="40">
        <v>16.739999999999998</v>
      </c>
      <c r="I31" s="40">
        <v>5.51</v>
      </c>
      <c r="J31" s="40">
        <v>0.35</v>
      </c>
      <c r="K31" s="40">
        <v>250.2</v>
      </c>
      <c r="L31" s="40">
        <v>28.08</v>
      </c>
      <c r="M31" s="40">
        <v>85.5</v>
      </c>
      <c r="N31" s="40">
        <v>2.1</v>
      </c>
      <c r="O31" s="40">
        <v>0</v>
      </c>
      <c r="P31" s="40">
        <v>0.16</v>
      </c>
      <c r="Q31" s="40">
        <v>10</v>
      </c>
      <c r="R31" s="38"/>
      <c r="S31" s="38"/>
      <c r="T31" s="38"/>
      <c r="U31" s="38"/>
    </row>
    <row r="32" spans="1:21" customFormat="1">
      <c r="A32" s="40">
        <v>45851</v>
      </c>
      <c r="B32" s="40">
        <v>1.24</v>
      </c>
      <c r="C32" s="40">
        <v>3.16</v>
      </c>
      <c r="D32" s="40">
        <v>2.16</v>
      </c>
      <c r="E32" s="40">
        <v>5.59</v>
      </c>
      <c r="F32" s="40">
        <v>3.69</v>
      </c>
      <c r="G32" s="40">
        <v>36.61</v>
      </c>
      <c r="H32" s="40">
        <v>14.76</v>
      </c>
      <c r="I32" s="40">
        <v>5.34</v>
      </c>
      <c r="J32" s="40">
        <v>0.35</v>
      </c>
      <c r="K32" s="40">
        <v>250.39</v>
      </c>
      <c r="L32" s="40">
        <v>27.82</v>
      </c>
      <c r="M32" s="40">
        <v>85.14</v>
      </c>
      <c r="N32" s="40">
        <v>2.1</v>
      </c>
      <c r="O32" s="40">
        <v>0</v>
      </c>
      <c r="P32" s="40">
        <v>0.17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1.24</v>
      </c>
      <c r="C34" s="18">
        <f t="shared" si="0"/>
        <v>2.64</v>
      </c>
      <c r="D34" s="18">
        <f t="shared" si="0"/>
        <v>1.18</v>
      </c>
      <c r="E34" s="18">
        <f t="shared" si="0"/>
        <v>4.71</v>
      </c>
      <c r="F34" s="18">
        <f t="shared" si="0"/>
        <v>2.4</v>
      </c>
      <c r="G34" s="18">
        <f t="shared" si="0"/>
        <v>14.57</v>
      </c>
      <c r="H34" s="18">
        <f t="shared" si="0"/>
        <v>5.36</v>
      </c>
      <c r="I34" s="18">
        <f t="shared" si="0"/>
        <v>4.2300000000000004</v>
      </c>
      <c r="J34" s="18">
        <f t="shared" si="0"/>
        <v>0.11</v>
      </c>
      <c r="K34" s="18">
        <f t="shared" si="0"/>
        <v>151.21</v>
      </c>
      <c r="L34" s="18">
        <f t="shared" si="0"/>
        <v>25.99</v>
      </c>
      <c r="M34" s="18">
        <f t="shared" si="0"/>
        <v>65.12</v>
      </c>
      <c r="N34" s="18">
        <f t="shared" si="0"/>
        <v>2.1</v>
      </c>
      <c r="O34" s="18">
        <f t="shared" si="0"/>
        <v>0</v>
      </c>
      <c r="P34" s="18">
        <f t="shared" si="0"/>
        <v>0.14000000000000001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2.29</v>
      </c>
      <c r="C35" s="3">
        <f t="shared" si="1"/>
        <v>4.33</v>
      </c>
      <c r="D35" s="3">
        <f t="shared" si="1"/>
        <v>3.18</v>
      </c>
      <c r="E35" s="3">
        <f t="shared" si="1"/>
        <v>6.12</v>
      </c>
      <c r="F35" s="3">
        <f t="shared" si="1"/>
        <v>15.88</v>
      </c>
      <c r="G35" s="3">
        <f t="shared" si="1"/>
        <v>40.86</v>
      </c>
      <c r="H35" s="3">
        <f t="shared" si="1"/>
        <v>16.739999999999998</v>
      </c>
      <c r="I35" s="3">
        <f t="shared" si="1"/>
        <v>6.96</v>
      </c>
      <c r="J35" s="3">
        <f t="shared" si="1"/>
        <v>1.17</v>
      </c>
      <c r="K35" s="3">
        <f t="shared" si="1"/>
        <v>281.27</v>
      </c>
      <c r="L35" s="3">
        <f t="shared" si="1"/>
        <v>32.51</v>
      </c>
      <c r="M35" s="3">
        <f t="shared" si="1"/>
        <v>92.51</v>
      </c>
      <c r="N35" s="3">
        <f t="shared" si="1"/>
        <v>841.4</v>
      </c>
      <c r="O35" s="3">
        <f t="shared" si="1"/>
        <v>0</v>
      </c>
      <c r="P35" s="3">
        <f t="shared" si="1"/>
        <v>0.34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1.3937499999999992</v>
      </c>
      <c r="C36" s="18">
        <f t="shared" si="2"/>
        <v>3.2825000000000002</v>
      </c>
      <c r="D36" s="18">
        <f t="shared" si="2"/>
        <v>2.1945833333333327</v>
      </c>
      <c r="E36" s="18">
        <f t="shared" si="2"/>
        <v>5.4812499999999993</v>
      </c>
      <c r="F36" s="18">
        <f t="shared" si="2"/>
        <v>5.6558333333333328</v>
      </c>
      <c r="G36" s="18">
        <f t="shared" si="2"/>
        <v>29.819166666666661</v>
      </c>
      <c r="H36" s="18">
        <f t="shared" si="2"/>
        <v>12.430833333333334</v>
      </c>
      <c r="I36" s="18">
        <f t="shared" si="2"/>
        <v>5.7245833333333342</v>
      </c>
      <c r="J36" s="18">
        <f t="shared" si="2"/>
        <v>0.58666666666666667</v>
      </c>
      <c r="K36" s="18">
        <f t="shared" si="2"/>
        <v>247.79166666666666</v>
      </c>
      <c r="L36" s="18">
        <f t="shared" si="2"/>
        <v>28.951250000000002</v>
      </c>
      <c r="M36" s="18">
        <f t="shared" si="2"/>
        <v>81.504166666666649</v>
      </c>
      <c r="N36" s="18">
        <f t="shared" si="2"/>
        <v>164.68749999999997</v>
      </c>
      <c r="O36" s="18">
        <f t="shared" si="2"/>
        <v>0</v>
      </c>
      <c r="P36" s="18">
        <f t="shared" si="2"/>
        <v>0.23666666666666669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0.34813556205193824</v>
      </c>
      <c r="C37" s="18">
        <f t="shared" ref="C37:Q37" si="3">STDEV(C9:C32)</f>
        <v>0.51874639862552752</v>
      </c>
      <c r="D37" s="18">
        <f t="shared" si="3"/>
        <v>0.62724365397290183</v>
      </c>
      <c r="E37" s="18">
        <f t="shared" si="3"/>
        <v>0.39274189444490626</v>
      </c>
      <c r="F37" s="18">
        <f t="shared" si="3"/>
        <v>3.3704585117918522</v>
      </c>
      <c r="G37" s="18">
        <f t="shared" si="3"/>
        <v>9.0395233217276658</v>
      </c>
      <c r="H37" s="18">
        <f t="shared" si="3"/>
        <v>3.5541903213783721</v>
      </c>
      <c r="I37" s="18">
        <f t="shared" si="3"/>
        <v>0.71562668897337789</v>
      </c>
      <c r="J37" s="18">
        <f t="shared" si="3"/>
        <v>0.3233071855556014</v>
      </c>
      <c r="K37" s="18">
        <f t="shared" si="3"/>
        <v>31.246253015941587</v>
      </c>
      <c r="L37" s="18">
        <f t="shared" si="3"/>
        <v>2.2968983102928364</v>
      </c>
      <c r="M37" s="18">
        <f t="shared" si="3"/>
        <v>9.2355400099487834</v>
      </c>
      <c r="N37" s="18">
        <f t="shared" si="3"/>
        <v>238.90551218002486</v>
      </c>
      <c r="O37" s="18">
        <f t="shared" si="3"/>
        <v>0</v>
      </c>
      <c r="P37" s="18">
        <f t="shared" si="3"/>
        <v>5.6465970257328045E-2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45851.041666666664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45851.041666666664</v>
      </c>
      <c r="B9" s="40">
        <v>1.75</v>
      </c>
      <c r="C9" s="40">
        <v>4.03</v>
      </c>
      <c r="D9" s="40">
        <v>3.08</v>
      </c>
      <c r="E9" s="40">
        <v>5.69</v>
      </c>
      <c r="F9" s="40">
        <v>3.24</v>
      </c>
      <c r="G9" s="40">
        <v>35.92</v>
      </c>
      <c r="H9" s="40">
        <v>15.26</v>
      </c>
      <c r="I9" s="40">
        <v>5.1100000000000003</v>
      </c>
      <c r="J9" s="40">
        <v>0.34</v>
      </c>
      <c r="K9" s="40">
        <v>248.27</v>
      </c>
      <c r="L9" s="40">
        <v>27.59</v>
      </c>
      <c r="M9" s="40">
        <v>86</v>
      </c>
      <c r="N9" s="40">
        <v>2.1</v>
      </c>
      <c r="O9" s="40">
        <v>0</v>
      </c>
      <c r="P9" s="40">
        <v>0.16</v>
      </c>
      <c r="Q9" s="40">
        <v>10</v>
      </c>
      <c r="R9" s="38"/>
      <c r="S9" s="38"/>
      <c r="T9" s="38"/>
      <c r="U9" s="38"/>
    </row>
    <row r="10" spans="1:21" customFormat="1">
      <c r="A10" s="39">
        <v>45851.083333333336</v>
      </c>
      <c r="B10" s="40">
        <v>1.69</v>
      </c>
      <c r="C10" s="40">
        <v>3.87</v>
      </c>
      <c r="D10" s="40">
        <v>2.84</v>
      </c>
      <c r="E10" s="40">
        <v>5.62</v>
      </c>
      <c r="F10" s="40">
        <v>3.22</v>
      </c>
      <c r="G10" s="40">
        <v>32</v>
      </c>
      <c r="H10" s="40">
        <v>16.59</v>
      </c>
      <c r="I10" s="40">
        <v>4.67</v>
      </c>
      <c r="J10" s="40">
        <v>0.44</v>
      </c>
      <c r="K10" s="40">
        <v>250.19</v>
      </c>
      <c r="L10" s="40">
        <v>27.44</v>
      </c>
      <c r="M10" s="40">
        <v>85.3</v>
      </c>
      <c r="N10" s="40">
        <v>2.1</v>
      </c>
      <c r="O10" s="40">
        <v>0</v>
      </c>
      <c r="P10" s="40">
        <v>0.14000000000000001</v>
      </c>
      <c r="Q10" s="40">
        <v>10</v>
      </c>
      <c r="R10" s="38"/>
      <c r="S10" s="38"/>
      <c r="T10" s="38"/>
      <c r="U10" s="38"/>
    </row>
    <row r="11" spans="1:21" customFormat="1">
      <c r="A11" s="39">
        <v>45851.125</v>
      </c>
      <c r="B11" s="40">
        <v>1.63</v>
      </c>
      <c r="C11" s="40">
        <v>3.72</v>
      </c>
      <c r="D11" s="40">
        <v>2.66</v>
      </c>
      <c r="E11" s="40">
        <v>5.63</v>
      </c>
      <c r="F11" s="40">
        <v>2.8</v>
      </c>
      <c r="G11" s="40">
        <v>30.47</v>
      </c>
      <c r="H11" s="40">
        <v>12.86</v>
      </c>
      <c r="I11" s="40">
        <v>4.34</v>
      </c>
      <c r="J11" s="40">
        <v>0.54</v>
      </c>
      <c r="K11" s="40">
        <v>249.17</v>
      </c>
      <c r="L11" s="40">
        <v>27.46</v>
      </c>
      <c r="M11" s="40">
        <v>82.93</v>
      </c>
      <c r="N11" s="40">
        <v>2.1</v>
      </c>
      <c r="O11" s="40">
        <v>0</v>
      </c>
      <c r="P11" s="40">
        <v>0.13</v>
      </c>
      <c r="Q11" s="40">
        <v>10</v>
      </c>
      <c r="R11" s="38"/>
      <c r="S11" s="38"/>
      <c r="T11" s="38"/>
      <c r="U11" s="38"/>
    </row>
    <row r="12" spans="1:21" customFormat="1">
      <c r="A12" s="39">
        <v>45851.166666666664</v>
      </c>
      <c r="B12" s="40">
        <v>1.71</v>
      </c>
      <c r="C12" s="40">
        <v>3.84</v>
      </c>
      <c r="D12" s="40">
        <v>2.85</v>
      </c>
      <c r="E12" s="40">
        <v>5.59</v>
      </c>
      <c r="F12" s="40">
        <v>2.44</v>
      </c>
      <c r="G12" s="40">
        <v>29.78</v>
      </c>
      <c r="H12" s="40">
        <v>12.34</v>
      </c>
      <c r="I12" s="40">
        <v>4.16</v>
      </c>
      <c r="J12" s="40">
        <v>0.4</v>
      </c>
      <c r="K12" s="40">
        <v>247.54</v>
      </c>
      <c r="L12" s="40">
        <v>27.13</v>
      </c>
      <c r="M12" s="40">
        <v>86.46</v>
      </c>
      <c r="N12" s="40">
        <v>2.1</v>
      </c>
      <c r="O12" s="40">
        <v>0</v>
      </c>
      <c r="P12" s="40">
        <v>0.12</v>
      </c>
      <c r="Q12" s="40">
        <v>10</v>
      </c>
      <c r="R12" s="38"/>
      <c r="S12" s="38"/>
      <c r="T12" s="38"/>
      <c r="U12" s="38"/>
    </row>
    <row r="13" spans="1:21" customFormat="1">
      <c r="A13" s="39">
        <v>45851.208333333336</v>
      </c>
      <c r="B13" s="40">
        <v>1.93</v>
      </c>
      <c r="C13" s="40">
        <v>3.83</v>
      </c>
      <c r="D13" s="40">
        <v>2.58</v>
      </c>
      <c r="E13" s="40">
        <v>5.21</v>
      </c>
      <c r="F13" s="40">
        <v>3.09</v>
      </c>
      <c r="G13" s="40">
        <v>32.58</v>
      </c>
      <c r="H13" s="40">
        <v>11.57</v>
      </c>
      <c r="I13" s="40">
        <v>4.3499999999999996</v>
      </c>
      <c r="J13" s="40">
        <v>0.15</v>
      </c>
      <c r="K13" s="40">
        <v>154.30000000000001</v>
      </c>
      <c r="L13" s="40">
        <v>26.45</v>
      </c>
      <c r="M13" s="40">
        <v>92.11</v>
      </c>
      <c r="N13" s="40">
        <v>2.1</v>
      </c>
      <c r="O13" s="40">
        <v>0</v>
      </c>
      <c r="P13" s="40">
        <v>0.11</v>
      </c>
      <c r="Q13" s="40">
        <v>10</v>
      </c>
      <c r="R13" s="38"/>
      <c r="S13" s="38"/>
      <c r="T13" s="38"/>
      <c r="U13" s="38"/>
    </row>
    <row r="14" spans="1:21" customFormat="1">
      <c r="A14" s="39">
        <v>45851.25</v>
      </c>
      <c r="B14" s="40">
        <v>2.16</v>
      </c>
      <c r="C14" s="40">
        <v>4.24</v>
      </c>
      <c r="D14" s="40">
        <v>2.9</v>
      </c>
      <c r="E14" s="40">
        <v>4.92</v>
      </c>
      <c r="F14" s="40">
        <v>2.78</v>
      </c>
      <c r="G14" s="40">
        <v>31.68</v>
      </c>
      <c r="H14" s="40">
        <v>9.7100000000000009</v>
      </c>
      <c r="I14" s="40">
        <v>4.5199999999999996</v>
      </c>
      <c r="J14" s="40">
        <v>0.11</v>
      </c>
      <c r="K14" s="40">
        <v>166.32</v>
      </c>
      <c r="L14" s="40">
        <v>25.84</v>
      </c>
      <c r="M14" s="40">
        <v>95.44</v>
      </c>
      <c r="N14" s="40">
        <v>18</v>
      </c>
      <c r="O14" s="40">
        <v>0</v>
      </c>
      <c r="P14" s="40">
        <v>0.11</v>
      </c>
      <c r="Q14" s="40">
        <v>10</v>
      </c>
      <c r="R14" s="38"/>
      <c r="S14" s="38"/>
      <c r="T14" s="38"/>
      <c r="U14" s="38"/>
    </row>
    <row r="15" spans="1:21" customFormat="1">
      <c r="A15" s="39">
        <v>45851.291666666664</v>
      </c>
      <c r="B15" s="40">
        <v>2.2599999999999998</v>
      </c>
      <c r="C15" s="40">
        <v>4.3499999999999996</v>
      </c>
      <c r="D15" s="40">
        <v>2.96</v>
      </c>
      <c r="E15" s="40">
        <v>5.18</v>
      </c>
      <c r="F15" s="40">
        <v>3.45</v>
      </c>
      <c r="G15" s="40">
        <v>33.26</v>
      </c>
      <c r="H15" s="40">
        <v>10.73</v>
      </c>
      <c r="I15" s="40">
        <v>4.59</v>
      </c>
      <c r="J15" s="40">
        <v>0.33</v>
      </c>
      <c r="K15" s="40">
        <v>254.09</v>
      </c>
      <c r="L15" s="40">
        <v>27.06</v>
      </c>
      <c r="M15" s="40">
        <v>94.96</v>
      </c>
      <c r="N15" s="40">
        <v>73.099999999999994</v>
      </c>
      <c r="O15" s="40">
        <v>0</v>
      </c>
      <c r="P15" s="40">
        <v>0.11</v>
      </c>
      <c r="Q15" s="40">
        <v>10</v>
      </c>
      <c r="R15" s="38"/>
      <c r="S15" s="38"/>
      <c r="T15" s="38"/>
      <c r="U15" s="38"/>
    </row>
    <row r="16" spans="1:21" customFormat="1">
      <c r="A16" s="39">
        <v>45851.333333333336</v>
      </c>
      <c r="B16" s="40">
        <v>2.23</v>
      </c>
      <c r="C16" s="40">
        <v>4.34</v>
      </c>
      <c r="D16" s="40">
        <v>2.92</v>
      </c>
      <c r="E16" s="40">
        <v>5.3</v>
      </c>
      <c r="F16" s="40">
        <v>3.69</v>
      </c>
      <c r="G16" s="40">
        <v>29</v>
      </c>
      <c r="H16" s="40">
        <v>9.23</v>
      </c>
      <c r="I16" s="40">
        <v>4.5599999999999996</v>
      </c>
      <c r="J16" s="40">
        <v>0.57999999999999996</v>
      </c>
      <c r="K16" s="40">
        <v>254.65</v>
      </c>
      <c r="L16" s="40">
        <v>28.59</v>
      </c>
      <c r="M16" s="40">
        <v>85.58</v>
      </c>
      <c r="N16" s="40">
        <v>119.5</v>
      </c>
      <c r="O16" s="40">
        <v>0</v>
      </c>
      <c r="P16" s="40">
        <v>0.1</v>
      </c>
      <c r="Q16" s="40">
        <v>10</v>
      </c>
      <c r="R16" s="38"/>
      <c r="S16" s="38"/>
      <c r="T16" s="38"/>
      <c r="U16" s="38"/>
    </row>
    <row r="17" spans="1:21" customFormat="1">
      <c r="A17" s="39">
        <v>45851.375</v>
      </c>
      <c r="B17" s="40">
        <v>2.19</v>
      </c>
      <c r="C17" s="40">
        <v>4.3499999999999996</v>
      </c>
      <c r="D17" s="40">
        <v>3.09</v>
      </c>
      <c r="E17" s="40">
        <v>5.38</v>
      </c>
      <c r="F17" s="40">
        <v>3.48</v>
      </c>
      <c r="G17" s="40">
        <v>27.47</v>
      </c>
      <c r="H17" s="40">
        <v>9.9600000000000009</v>
      </c>
      <c r="I17" s="40">
        <v>4.5599999999999996</v>
      </c>
      <c r="J17" s="40">
        <v>0.65</v>
      </c>
      <c r="K17" s="40">
        <v>260.13</v>
      </c>
      <c r="L17" s="40">
        <v>30.22</v>
      </c>
      <c r="M17" s="40">
        <v>78.349999999999994</v>
      </c>
      <c r="N17" s="40">
        <v>158.6</v>
      </c>
      <c r="O17" s="40">
        <v>0</v>
      </c>
      <c r="P17" s="40">
        <v>0.12</v>
      </c>
      <c r="Q17" s="40">
        <v>10</v>
      </c>
      <c r="R17" s="38"/>
      <c r="S17" s="38"/>
      <c r="T17" s="38"/>
      <c r="U17" s="38"/>
    </row>
    <row r="18" spans="1:21" customFormat="1">
      <c r="A18" s="39">
        <v>45851.416666666664</v>
      </c>
      <c r="B18" s="40">
        <v>2.02</v>
      </c>
      <c r="C18" s="40">
        <v>4.18</v>
      </c>
      <c r="D18" s="40">
        <v>3.06</v>
      </c>
      <c r="E18" s="40">
        <v>5.16</v>
      </c>
      <c r="F18" s="40">
        <v>2.81</v>
      </c>
      <c r="G18" s="40">
        <v>30.83</v>
      </c>
      <c r="H18" s="40">
        <v>11.25</v>
      </c>
      <c r="I18" s="40">
        <v>5.24</v>
      </c>
      <c r="J18" s="40">
        <v>0.78</v>
      </c>
      <c r="K18" s="40">
        <v>259.32</v>
      </c>
      <c r="L18" s="40">
        <v>31.04</v>
      </c>
      <c r="M18" s="40">
        <v>71.64</v>
      </c>
      <c r="N18" s="40">
        <v>223</v>
      </c>
      <c r="O18" s="40">
        <v>0</v>
      </c>
      <c r="P18" s="40">
        <v>0.16</v>
      </c>
      <c r="Q18" s="40">
        <v>10</v>
      </c>
      <c r="R18" s="38"/>
      <c r="S18" s="38"/>
      <c r="T18" s="38"/>
      <c r="U18" s="38"/>
    </row>
    <row r="19" spans="1:21" customFormat="1">
      <c r="A19" s="39">
        <v>45851.458333333336</v>
      </c>
      <c r="B19" s="40">
        <v>1.62</v>
      </c>
      <c r="C19" s="40">
        <v>3.82</v>
      </c>
      <c r="D19" s="40">
        <v>2.89</v>
      </c>
      <c r="E19" s="40">
        <v>5.37</v>
      </c>
      <c r="F19" s="40">
        <v>3.61</v>
      </c>
      <c r="G19" s="40">
        <v>36</v>
      </c>
      <c r="H19" s="40">
        <v>13.01</v>
      </c>
      <c r="I19" s="40">
        <v>5.58</v>
      </c>
      <c r="J19" s="40">
        <v>0.94</v>
      </c>
      <c r="K19" s="40">
        <v>263.11</v>
      </c>
      <c r="L19" s="40">
        <v>31.95</v>
      </c>
      <c r="M19" s="40">
        <v>67.69</v>
      </c>
      <c r="N19" s="40">
        <v>245.5</v>
      </c>
      <c r="O19" s="40">
        <v>0</v>
      </c>
      <c r="P19" s="40">
        <v>0.18</v>
      </c>
      <c r="Q19" s="40">
        <v>10</v>
      </c>
      <c r="R19" s="38"/>
      <c r="S19" s="38"/>
      <c r="T19" s="38"/>
      <c r="U19" s="38"/>
    </row>
    <row r="20" spans="1:21" customFormat="1">
      <c r="A20" s="39">
        <v>45851.5</v>
      </c>
      <c r="B20" s="40">
        <v>1.45</v>
      </c>
      <c r="C20" s="40">
        <v>3.78</v>
      </c>
      <c r="D20" s="40">
        <v>3.11</v>
      </c>
      <c r="E20" s="40">
        <v>4.91</v>
      </c>
      <c r="F20" s="40">
        <v>5.09</v>
      </c>
      <c r="G20" s="40">
        <v>39.22</v>
      </c>
      <c r="H20" s="40">
        <v>15.66</v>
      </c>
      <c r="I20" s="40">
        <v>5.61</v>
      </c>
      <c r="J20" s="40">
        <v>0.83</v>
      </c>
      <c r="K20" s="40">
        <v>274.18</v>
      </c>
      <c r="L20" s="40">
        <v>32.520000000000003</v>
      </c>
      <c r="M20" s="40">
        <v>64.34</v>
      </c>
      <c r="N20" s="40">
        <v>327.9</v>
      </c>
      <c r="O20" s="40">
        <v>0</v>
      </c>
      <c r="P20" s="40">
        <v>0.19</v>
      </c>
      <c r="Q20" s="40">
        <v>10</v>
      </c>
      <c r="R20" s="38"/>
      <c r="S20" s="38"/>
      <c r="T20" s="38"/>
      <c r="U20" s="38"/>
    </row>
    <row r="21" spans="1:21" customFormat="1">
      <c r="A21" s="39">
        <v>45851.541666666664</v>
      </c>
      <c r="B21" s="40">
        <v>1.36</v>
      </c>
      <c r="C21" s="40">
        <v>3.57</v>
      </c>
      <c r="D21" s="40">
        <v>2.76</v>
      </c>
      <c r="E21" s="40">
        <v>5.0599999999999996</v>
      </c>
      <c r="F21" s="40">
        <v>5.22</v>
      </c>
      <c r="G21" s="40">
        <v>33.83</v>
      </c>
      <c r="H21" s="40">
        <v>14.24</v>
      </c>
      <c r="I21" s="40">
        <v>5.45</v>
      </c>
      <c r="J21" s="40">
        <v>0.7</v>
      </c>
      <c r="K21" s="40">
        <v>263.54000000000002</v>
      </c>
      <c r="L21" s="40">
        <v>32.99</v>
      </c>
      <c r="M21" s="40">
        <v>63.2</v>
      </c>
      <c r="N21" s="40">
        <v>614</v>
      </c>
      <c r="O21" s="40">
        <v>0</v>
      </c>
      <c r="P21" s="40">
        <v>0.18</v>
      </c>
      <c r="Q21" s="40">
        <v>10</v>
      </c>
      <c r="R21" s="38"/>
      <c r="S21" s="38"/>
      <c r="T21" s="38"/>
      <c r="U21" s="38"/>
    </row>
    <row r="22" spans="1:21" customFormat="1">
      <c r="A22" s="39">
        <v>45851.583333333336</v>
      </c>
      <c r="B22" s="40">
        <v>1.31</v>
      </c>
      <c r="C22" s="40">
        <v>3.47</v>
      </c>
      <c r="D22" s="40">
        <v>2.73</v>
      </c>
      <c r="E22" s="40">
        <v>4.93</v>
      </c>
      <c r="F22" s="40">
        <v>7</v>
      </c>
      <c r="G22" s="40">
        <v>38.4</v>
      </c>
      <c r="H22" s="40">
        <v>16.66</v>
      </c>
      <c r="I22" s="40">
        <v>5.32</v>
      </c>
      <c r="J22" s="40">
        <v>0.67</v>
      </c>
      <c r="K22" s="40">
        <v>247.62</v>
      </c>
      <c r="L22" s="40">
        <v>33.130000000000003</v>
      </c>
      <c r="M22" s="40">
        <v>63.2</v>
      </c>
      <c r="N22" s="40">
        <v>482</v>
      </c>
      <c r="O22" s="40">
        <v>0</v>
      </c>
      <c r="P22" s="40">
        <v>0.18</v>
      </c>
      <c r="Q22" s="40">
        <v>10</v>
      </c>
      <c r="R22" s="38"/>
      <c r="S22" s="38"/>
      <c r="T22" s="38"/>
      <c r="U22" s="38"/>
    </row>
    <row r="23" spans="1:21" customFormat="1">
      <c r="A23" s="39">
        <v>45851.625</v>
      </c>
      <c r="B23" s="40">
        <v>1.44</v>
      </c>
      <c r="C23" s="40">
        <v>3.62</v>
      </c>
      <c r="D23" s="40">
        <v>2.75</v>
      </c>
      <c r="E23" s="40">
        <v>4.82</v>
      </c>
      <c r="F23" s="40">
        <v>8.64</v>
      </c>
      <c r="G23" s="40">
        <v>35.85</v>
      </c>
      <c r="H23" s="40">
        <v>16.87</v>
      </c>
      <c r="I23" s="40">
        <v>5.22</v>
      </c>
      <c r="J23" s="40">
        <v>0.77</v>
      </c>
      <c r="K23" s="40">
        <v>249.91</v>
      </c>
      <c r="L23" s="40">
        <v>32.93</v>
      </c>
      <c r="M23" s="40">
        <v>62.89</v>
      </c>
      <c r="N23" s="40">
        <v>285.39999999999998</v>
      </c>
      <c r="O23" s="40">
        <v>0</v>
      </c>
      <c r="P23" s="40">
        <v>0.18</v>
      </c>
      <c r="Q23" s="40">
        <v>10</v>
      </c>
      <c r="R23" s="38"/>
      <c r="S23" s="38"/>
      <c r="T23" s="38"/>
      <c r="U23" s="38"/>
    </row>
    <row r="24" spans="1:21" customFormat="1">
      <c r="A24" s="39">
        <v>45851.666666666664</v>
      </c>
      <c r="B24" s="40">
        <v>1.51</v>
      </c>
      <c r="C24" s="40">
        <v>3.66</v>
      </c>
      <c r="D24" s="40">
        <v>2.86</v>
      </c>
      <c r="E24" s="40">
        <v>4.3899999999999997</v>
      </c>
      <c r="F24" s="40">
        <v>10.59</v>
      </c>
      <c r="G24" s="40">
        <v>33.15</v>
      </c>
      <c r="H24" s="40">
        <v>14.28</v>
      </c>
      <c r="I24" s="40">
        <v>4.71</v>
      </c>
      <c r="J24" s="40">
        <v>1.1200000000000001</v>
      </c>
      <c r="K24" s="40">
        <v>306.72000000000003</v>
      </c>
      <c r="L24" s="40">
        <v>31.83</v>
      </c>
      <c r="M24" s="40">
        <v>65.31</v>
      </c>
      <c r="N24" s="40">
        <v>186.4</v>
      </c>
      <c r="O24" s="40">
        <v>0</v>
      </c>
      <c r="P24" s="40">
        <v>0.17</v>
      </c>
      <c r="Q24" s="40">
        <v>10</v>
      </c>
      <c r="R24" s="38"/>
      <c r="S24" s="38"/>
      <c r="T24" s="38"/>
      <c r="U24" s="38"/>
    </row>
    <row r="25" spans="1:21" customFormat="1">
      <c r="A25" s="39">
        <v>45851.708333333336</v>
      </c>
      <c r="B25" s="40">
        <v>1.63</v>
      </c>
      <c r="C25" s="40">
        <v>3.98</v>
      </c>
      <c r="D25" s="40">
        <v>3.12</v>
      </c>
      <c r="E25" s="40">
        <v>4.76</v>
      </c>
      <c r="F25" s="40">
        <v>11.09</v>
      </c>
      <c r="G25" s="40">
        <v>33.22</v>
      </c>
      <c r="H25" s="40">
        <v>13.7</v>
      </c>
      <c r="I25" s="40">
        <v>4.6500000000000004</v>
      </c>
      <c r="J25" s="40">
        <v>0.77</v>
      </c>
      <c r="K25" s="40">
        <v>273.89</v>
      </c>
      <c r="L25" s="40">
        <v>31.55</v>
      </c>
      <c r="M25" s="40">
        <v>66.040000000000006</v>
      </c>
      <c r="N25" s="40">
        <v>147</v>
      </c>
      <c r="O25" s="40">
        <v>0</v>
      </c>
      <c r="P25" s="40">
        <v>0.18</v>
      </c>
      <c r="Q25" s="40">
        <v>10</v>
      </c>
      <c r="R25" s="38"/>
      <c r="S25" s="38"/>
      <c r="T25" s="38"/>
      <c r="U25" s="38"/>
    </row>
    <row r="26" spans="1:21" customFormat="1">
      <c r="A26" s="39">
        <v>45851.75</v>
      </c>
      <c r="B26" s="40">
        <v>1.56</v>
      </c>
      <c r="C26" s="40">
        <v>4</v>
      </c>
      <c r="D26" s="40">
        <v>3.32</v>
      </c>
      <c r="E26" s="40">
        <v>5</v>
      </c>
      <c r="F26" s="40">
        <v>10.61</v>
      </c>
      <c r="G26" s="40">
        <v>33.53</v>
      </c>
      <c r="H26" s="40">
        <v>12.95</v>
      </c>
      <c r="I26" s="40">
        <v>5.47</v>
      </c>
      <c r="J26" s="40">
        <v>0.71</v>
      </c>
      <c r="K26" s="40">
        <v>255.78</v>
      </c>
      <c r="L26" s="40">
        <v>31.15</v>
      </c>
      <c r="M26" s="40">
        <v>67.36</v>
      </c>
      <c r="N26" s="40">
        <v>69.5</v>
      </c>
      <c r="O26" s="40">
        <v>0</v>
      </c>
      <c r="P26" s="40">
        <v>0.21</v>
      </c>
      <c r="Q26" s="40">
        <v>10</v>
      </c>
      <c r="R26" s="38"/>
      <c r="S26" s="38"/>
      <c r="T26" s="38"/>
      <c r="U26" s="38"/>
    </row>
    <row r="27" spans="1:21" customFormat="1">
      <c r="A27" s="39">
        <v>45851.791666666664</v>
      </c>
      <c r="B27" s="40">
        <v>1.5</v>
      </c>
      <c r="C27" s="40">
        <v>3.73</v>
      </c>
      <c r="D27" s="40">
        <v>2.87</v>
      </c>
      <c r="E27" s="40">
        <v>4.75</v>
      </c>
      <c r="F27" s="40">
        <v>6.56</v>
      </c>
      <c r="G27" s="40">
        <v>33.17</v>
      </c>
      <c r="H27" s="40">
        <v>14.35</v>
      </c>
      <c r="I27" s="40">
        <v>5.6</v>
      </c>
      <c r="J27" s="40">
        <v>0.82</v>
      </c>
      <c r="K27" s="40">
        <v>251.27</v>
      </c>
      <c r="L27" s="40">
        <v>30.53</v>
      </c>
      <c r="M27" s="40">
        <v>69.44</v>
      </c>
      <c r="N27" s="40">
        <v>18.2</v>
      </c>
      <c r="O27" s="40">
        <v>0</v>
      </c>
      <c r="P27" s="40">
        <v>0.22</v>
      </c>
      <c r="Q27" s="40">
        <v>10</v>
      </c>
      <c r="R27" s="38"/>
      <c r="S27" s="38"/>
      <c r="T27" s="38"/>
      <c r="U27" s="38"/>
    </row>
    <row r="28" spans="1:21" customFormat="1">
      <c r="A28" s="39">
        <v>45851.833333333336</v>
      </c>
      <c r="B28" s="40">
        <v>1.52</v>
      </c>
      <c r="C28" s="40">
        <v>3.79</v>
      </c>
      <c r="D28" s="40">
        <v>2.97</v>
      </c>
      <c r="E28" s="40">
        <v>5.14</v>
      </c>
      <c r="F28" s="40">
        <v>4.75</v>
      </c>
      <c r="G28" s="40">
        <v>29.51</v>
      </c>
      <c r="H28" s="40">
        <v>14.05</v>
      </c>
      <c r="I28" s="40">
        <v>5.28</v>
      </c>
      <c r="J28" s="40">
        <v>0.7</v>
      </c>
      <c r="K28" s="40">
        <v>262.55</v>
      </c>
      <c r="L28" s="40">
        <v>29.81</v>
      </c>
      <c r="M28" s="40">
        <v>71.56</v>
      </c>
      <c r="N28" s="40">
        <v>2.2999999999999998</v>
      </c>
      <c r="O28" s="40">
        <v>0</v>
      </c>
      <c r="P28" s="40">
        <v>0.27</v>
      </c>
      <c r="Q28" s="40">
        <v>10</v>
      </c>
      <c r="R28" s="38"/>
      <c r="S28" s="38"/>
      <c r="T28" s="38"/>
      <c r="U28" s="38"/>
    </row>
    <row r="29" spans="1:21" customFormat="1">
      <c r="A29" s="39">
        <v>45851.875</v>
      </c>
      <c r="B29" s="40">
        <v>1.5</v>
      </c>
      <c r="C29" s="40">
        <v>3.97</v>
      </c>
      <c r="D29" s="40">
        <v>3.41</v>
      </c>
      <c r="E29" s="40">
        <v>5.17</v>
      </c>
      <c r="F29" s="40">
        <v>3.55</v>
      </c>
      <c r="G29" s="40">
        <v>32.33</v>
      </c>
      <c r="H29" s="40">
        <v>15.14</v>
      </c>
      <c r="I29" s="40">
        <v>6.22</v>
      </c>
      <c r="J29" s="40">
        <v>0.54</v>
      </c>
      <c r="K29" s="40">
        <v>249.84</v>
      </c>
      <c r="L29" s="40">
        <v>29.1</v>
      </c>
      <c r="M29" s="40">
        <v>72.11</v>
      </c>
      <c r="N29" s="40">
        <v>2.2000000000000002</v>
      </c>
      <c r="O29" s="40">
        <v>0</v>
      </c>
      <c r="P29" s="40">
        <v>0.3</v>
      </c>
      <c r="Q29" s="40">
        <v>10</v>
      </c>
      <c r="R29" s="38"/>
      <c r="S29" s="38"/>
      <c r="T29" s="38"/>
      <c r="U29" s="38"/>
    </row>
    <row r="30" spans="1:21" customFormat="1">
      <c r="A30" s="39">
        <v>45851.916666666664</v>
      </c>
      <c r="B30" s="40">
        <v>1.52</v>
      </c>
      <c r="C30" s="40">
        <v>3.77</v>
      </c>
      <c r="D30" s="40">
        <v>2.95</v>
      </c>
      <c r="E30" s="40">
        <v>5.2</v>
      </c>
      <c r="F30" s="40">
        <v>2.77</v>
      </c>
      <c r="G30" s="40">
        <v>32.770000000000003</v>
      </c>
      <c r="H30" s="40">
        <v>12.08</v>
      </c>
      <c r="I30" s="40">
        <v>6.14</v>
      </c>
      <c r="J30" s="40">
        <v>0.34</v>
      </c>
      <c r="K30" s="40">
        <v>251.89</v>
      </c>
      <c r="L30" s="40">
        <v>28.59</v>
      </c>
      <c r="M30" s="40">
        <v>75.290000000000006</v>
      </c>
      <c r="N30" s="40">
        <v>2.1</v>
      </c>
      <c r="O30" s="40">
        <v>0</v>
      </c>
      <c r="P30" s="40">
        <v>0.28000000000000003</v>
      </c>
      <c r="Q30" s="40">
        <v>10</v>
      </c>
      <c r="R30" s="38"/>
      <c r="S30" s="38"/>
      <c r="T30" s="38"/>
      <c r="U30" s="38"/>
    </row>
    <row r="31" spans="1:21" customFormat="1">
      <c r="A31" s="39">
        <v>45851.958333333336</v>
      </c>
      <c r="B31" s="40">
        <v>1.6</v>
      </c>
      <c r="C31" s="40">
        <v>3.89</v>
      </c>
      <c r="D31" s="40">
        <v>3.02</v>
      </c>
      <c r="E31" s="40">
        <v>5.22</v>
      </c>
      <c r="F31" s="40">
        <v>3.29</v>
      </c>
      <c r="G31" s="40">
        <v>29.98</v>
      </c>
      <c r="H31" s="40">
        <v>13.38</v>
      </c>
      <c r="I31" s="40">
        <v>5.82</v>
      </c>
      <c r="J31" s="40">
        <v>0.39</v>
      </c>
      <c r="K31" s="40">
        <v>244.38</v>
      </c>
      <c r="L31" s="40">
        <v>28.41</v>
      </c>
      <c r="M31" s="40">
        <v>79.650000000000006</v>
      </c>
      <c r="N31" s="40">
        <v>2.1</v>
      </c>
      <c r="O31" s="40">
        <v>0</v>
      </c>
      <c r="P31" s="40">
        <v>0.27</v>
      </c>
      <c r="Q31" s="40">
        <v>10</v>
      </c>
      <c r="R31" s="38"/>
      <c r="S31" s="38"/>
      <c r="T31" s="38"/>
      <c r="U31" s="38"/>
    </row>
    <row r="32" spans="1:21" customFormat="1">
      <c r="A32" s="40">
        <v>45852</v>
      </c>
      <c r="B32" s="40">
        <v>1.62</v>
      </c>
      <c r="C32" s="40">
        <v>3.75</v>
      </c>
      <c r="D32" s="40">
        <v>2.7</v>
      </c>
      <c r="E32" s="40">
        <v>5.52</v>
      </c>
      <c r="F32" s="40">
        <v>6.87</v>
      </c>
      <c r="G32" s="40">
        <v>34.200000000000003</v>
      </c>
      <c r="H32" s="40">
        <v>13.75</v>
      </c>
      <c r="I32" s="40">
        <v>5.57</v>
      </c>
      <c r="J32" s="40">
        <v>0.56999999999999995</v>
      </c>
      <c r="K32" s="40">
        <v>255.35</v>
      </c>
      <c r="L32" s="40">
        <v>28.18</v>
      </c>
      <c r="M32" s="40">
        <v>82.18</v>
      </c>
      <c r="N32" s="40">
        <v>2.1</v>
      </c>
      <c r="O32" s="40">
        <v>0</v>
      </c>
      <c r="P32" s="40">
        <v>0.25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1.31</v>
      </c>
      <c r="C34" s="18">
        <f t="shared" si="0"/>
        <v>3.47</v>
      </c>
      <c r="D34" s="18">
        <f t="shared" si="0"/>
        <v>2.58</v>
      </c>
      <c r="E34" s="18">
        <f t="shared" si="0"/>
        <v>4.3899999999999997</v>
      </c>
      <c r="F34" s="18">
        <f t="shared" si="0"/>
        <v>2.44</v>
      </c>
      <c r="G34" s="18">
        <f t="shared" si="0"/>
        <v>27.47</v>
      </c>
      <c r="H34" s="18">
        <f t="shared" si="0"/>
        <v>9.23</v>
      </c>
      <c r="I34" s="18">
        <f t="shared" si="0"/>
        <v>4.16</v>
      </c>
      <c r="J34" s="18">
        <f t="shared" si="0"/>
        <v>0.11</v>
      </c>
      <c r="K34" s="18">
        <f t="shared" si="0"/>
        <v>154.30000000000001</v>
      </c>
      <c r="L34" s="18">
        <f t="shared" si="0"/>
        <v>25.84</v>
      </c>
      <c r="M34" s="18">
        <f t="shared" si="0"/>
        <v>62.89</v>
      </c>
      <c r="N34" s="18">
        <f t="shared" si="0"/>
        <v>2.1</v>
      </c>
      <c r="O34" s="18">
        <f t="shared" si="0"/>
        <v>0</v>
      </c>
      <c r="P34" s="18">
        <f t="shared" si="0"/>
        <v>0.1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2.2599999999999998</v>
      </c>
      <c r="C35" s="3">
        <f t="shared" si="1"/>
        <v>4.3499999999999996</v>
      </c>
      <c r="D35" s="3">
        <f t="shared" si="1"/>
        <v>3.41</v>
      </c>
      <c r="E35" s="3">
        <f t="shared" si="1"/>
        <v>5.69</v>
      </c>
      <c r="F35" s="3">
        <f t="shared" si="1"/>
        <v>11.09</v>
      </c>
      <c r="G35" s="3">
        <f t="shared" si="1"/>
        <v>39.22</v>
      </c>
      <c r="H35" s="3">
        <f t="shared" si="1"/>
        <v>16.87</v>
      </c>
      <c r="I35" s="3">
        <f t="shared" si="1"/>
        <v>6.22</v>
      </c>
      <c r="J35" s="3">
        <f t="shared" si="1"/>
        <v>1.1200000000000001</v>
      </c>
      <c r="K35" s="3">
        <f t="shared" si="1"/>
        <v>306.72000000000003</v>
      </c>
      <c r="L35" s="3">
        <f t="shared" si="1"/>
        <v>33.130000000000003</v>
      </c>
      <c r="M35" s="3">
        <f t="shared" si="1"/>
        <v>95.44</v>
      </c>
      <c r="N35" s="3">
        <f t="shared" si="1"/>
        <v>614</v>
      </c>
      <c r="O35" s="3">
        <f t="shared" si="1"/>
        <v>0</v>
      </c>
      <c r="P35" s="3">
        <f t="shared" si="1"/>
        <v>0.3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1.6962500000000003</v>
      </c>
      <c r="C36" s="18">
        <f t="shared" si="2"/>
        <v>3.8979166666666671</v>
      </c>
      <c r="D36" s="18">
        <f t="shared" si="2"/>
        <v>2.9333333333333331</v>
      </c>
      <c r="E36" s="18">
        <f t="shared" si="2"/>
        <v>5.163333333333334</v>
      </c>
      <c r="F36" s="18">
        <f t="shared" si="2"/>
        <v>5.0266666666666673</v>
      </c>
      <c r="G36" s="18">
        <f t="shared" si="2"/>
        <v>32.83958333333333</v>
      </c>
      <c r="H36" s="18">
        <f t="shared" si="2"/>
        <v>13.317499999999997</v>
      </c>
      <c r="I36" s="18">
        <f t="shared" si="2"/>
        <v>5.1141666666666659</v>
      </c>
      <c r="J36" s="18">
        <f t="shared" si="2"/>
        <v>0.59125000000000005</v>
      </c>
      <c r="K36" s="18">
        <f t="shared" si="2"/>
        <v>249.75041666666672</v>
      </c>
      <c r="L36" s="18">
        <f t="shared" si="2"/>
        <v>29.645416666666662</v>
      </c>
      <c r="M36" s="18">
        <f t="shared" si="2"/>
        <v>76.209583333333327</v>
      </c>
      <c r="N36" s="18">
        <f t="shared" si="2"/>
        <v>124.55833333333332</v>
      </c>
      <c r="O36" s="18">
        <f t="shared" si="2"/>
        <v>0</v>
      </c>
      <c r="P36" s="18">
        <f t="shared" si="2"/>
        <v>0.18000000000000002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0.28243987432495016</v>
      </c>
      <c r="C37" s="18">
        <f t="shared" ref="C37:Q37" si="3">STDEV(C9:C32)</f>
        <v>0.24703421989089169</v>
      </c>
      <c r="D37" s="18">
        <f t="shared" si="3"/>
        <v>0.19802649507988365</v>
      </c>
      <c r="E37" s="18">
        <f t="shared" si="3"/>
        <v>0.32259365565160564</v>
      </c>
      <c r="F37" s="18">
        <f t="shared" si="3"/>
        <v>2.7384788965165798</v>
      </c>
      <c r="G37" s="18">
        <f t="shared" si="3"/>
        <v>2.8608078505853927</v>
      </c>
      <c r="H37" s="18">
        <f t="shared" si="3"/>
        <v>2.1744069656285623</v>
      </c>
      <c r="I37" s="18">
        <f t="shared" si="3"/>
        <v>0.58711465931997497</v>
      </c>
      <c r="J37" s="18">
        <f t="shared" si="3"/>
        <v>0.24530925468637074</v>
      </c>
      <c r="K37" s="18">
        <f t="shared" si="3"/>
        <v>30.493551916995237</v>
      </c>
      <c r="L37" s="18">
        <f t="shared" si="3"/>
        <v>2.2765992547364737</v>
      </c>
      <c r="M37" s="18">
        <f t="shared" si="3"/>
        <v>10.588544868278106</v>
      </c>
      <c r="N37" s="18">
        <f t="shared" si="3"/>
        <v>167.14987005071535</v>
      </c>
      <c r="O37" s="18">
        <f t="shared" si="3"/>
        <v>0</v>
      </c>
      <c r="P37" s="18">
        <f t="shared" si="3"/>
        <v>5.9490591145008806E-2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45852.041666666664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45852.041666666664</v>
      </c>
      <c r="B9" s="40">
        <v>1.26</v>
      </c>
      <c r="C9" s="40">
        <v>3.32</v>
      </c>
      <c r="D9" s="40">
        <v>2.4700000000000002</v>
      </c>
      <c r="E9" s="40">
        <v>4.9000000000000004</v>
      </c>
      <c r="F9" s="40">
        <v>7.03</v>
      </c>
      <c r="G9" s="40">
        <v>31.23</v>
      </c>
      <c r="H9" s="40">
        <v>11.76</v>
      </c>
      <c r="I9" s="40">
        <v>5.0599999999999996</v>
      </c>
      <c r="J9" s="40">
        <v>0.41</v>
      </c>
      <c r="K9" s="40">
        <v>254.12</v>
      </c>
      <c r="L9" s="40">
        <v>27.84</v>
      </c>
      <c r="M9" s="40">
        <v>83.53</v>
      </c>
      <c r="N9" s="40">
        <v>2.1</v>
      </c>
      <c r="O9" s="40">
        <v>0</v>
      </c>
      <c r="P9" s="40">
        <v>0.2</v>
      </c>
      <c r="Q9" s="40">
        <v>10</v>
      </c>
      <c r="R9" s="38"/>
      <c r="S9" s="38"/>
      <c r="T9" s="38"/>
      <c r="U9" s="38"/>
    </row>
    <row r="10" spans="1:21" customFormat="1">
      <c r="A10" s="39">
        <v>45852.083333333336</v>
      </c>
      <c r="B10" s="40">
        <v>1.31</v>
      </c>
      <c r="C10" s="40">
        <v>3.47</v>
      </c>
      <c r="D10" s="40">
        <v>2.65</v>
      </c>
      <c r="E10" s="40">
        <v>4.9000000000000004</v>
      </c>
      <c r="F10" s="40">
        <v>6.17</v>
      </c>
      <c r="G10" s="40">
        <v>26.92</v>
      </c>
      <c r="H10" s="40">
        <v>10.86</v>
      </c>
      <c r="I10" s="40">
        <v>4.9000000000000004</v>
      </c>
      <c r="J10" s="40">
        <v>0.38</v>
      </c>
      <c r="K10" s="40">
        <v>251.39</v>
      </c>
      <c r="L10" s="40">
        <v>27.65</v>
      </c>
      <c r="M10" s="40">
        <v>83.84</v>
      </c>
      <c r="N10" s="40">
        <v>2.1</v>
      </c>
      <c r="O10" s="40">
        <v>0</v>
      </c>
      <c r="P10" s="40">
        <v>0.19</v>
      </c>
      <c r="Q10" s="40">
        <v>10</v>
      </c>
      <c r="R10" s="38"/>
      <c r="S10" s="38"/>
      <c r="T10" s="38"/>
      <c r="U10" s="38"/>
    </row>
    <row r="11" spans="1:21" customFormat="1">
      <c r="A11" s="39">
        <v>45852.125</v>
      </c>
      <c r="B11" s="40">
        <v>1.42</v>
      </c>
      <c r="C11" s="40">
        <v>3.88</v>
      </c>
      <c r="D11" s="40">
        <v>3.27</v>
      </c>
      <c r="E11" s="40">
        <v>4.91</v>
      </c>
      <c r="F11" s="40">
        <v>5.82</v>
      </c>
      <c r="G11" s="40">
        <v>23.95</v>
      </c>
      <c r="H11" s="40">
        <v>10.09</v>
      </c>
      <c r="I11" s="40">
        <v>4.72</v>
      </c>
      <c r="J11" s="40">
        <v>0.53</v>
      </c>
      <c r="K11" s="40">
        <v>251.35</v>
      </c>
      <c r="L11" s="40">
        <v>27.57</v>
      </c>
      <c r="M11" s="40">
        <v>84.58</v>
      </c>
      <c r="N11" s="40">
        <v>2.2999999999999998</v>
      </c>
      <c r="O11" s="40">
        <v>0</v>
      </c>
      <c r="P11" s="40">
        <v>0.17</v>
      </c>
      <c r="Q11" s="40">
        <v>10</v>
      </c>
      <c r="R11" s="38"/>
      <c r="S11" s="38"/>
      <c r="T11" s="38"/>
      <c r="U11" s="38"/>
    </row>
    <row r="12" spans="1:21" customFormat="1">
      <c r="A12" s="39">
        <v>45852.166666666664</v>
      </c>
      <c r="B12" s="40">
        <v>1.51</v>
      </c>
      <c r="C12" s="40">
        <v>3.85</v>
      </c>
      <c r="D12" s="40">
        <v>3.1</v>
      </c>
      <c r="E12" s="40">
        <v>4.92</v>
      </c>
      <c r="F12" s="40">
        <v>6.38</v>
      </c>
      <c r="G12" s="40">
        <v>21.03</v>
      </c>
      <c r="H12" s="40">
        <v>9.61</v>
      </c>
      <c r="I12" s="40">
        <v>4.59</v>
      </c>
      <c r="J12" s="40">
        <v>0.57999999999999996</v>
      </c>
      <c r="K12" s="40">
        <v>257.31</v>
      </c>
      <c r="L12" s="40">
        <v>27.43</v>
      </c>
      <c r="M12" s="40">
        <v>85.31</v>
      </c>
      <c r="N12" s="40">
        <v>2.2000000000000002</v>
      </c>
      <c r="O12" s="40">
        <v>0</v>
      </c>
      <c r="P12" s="40">
        <v>0.16</v>
      </c>
      <c r="Q12" s="40">
        <v>10</v>
      </c>
      <c r="R12" s="38"/>
      <c r="S12" s="38"/>
      <c r="T12" s="38"/>
      <c r="U12" s="38"/>
    </row>
    <row r="13" spans="1:21" customFormat="1">
      <c r="A13" s="39">
        <v>45852.208333333336</v>
      </c>
      <c r="B13" s="40">
        <v>1.43</v>
      </c>
      <c r="C13" s="40">
        <v>3.62</v>
      </c>
      <c r="D13" s="40">
        <v>2.84</v>
      </c>
      <c r="E13" s="40">
        <v>5.07</v>
      </c>
      <c r="F13" s="40">
        <v>3.09</v>
      </c>
      <c r="G13" s="40">
        <v>23.84</v>
      </c>
      <c r="H13" s="40">
        <v>6.98</v>
      </c>
      <c r="I13" s="40">
        <v>4.3600000000000003</v>
      </c>
      <c r="J13" s="40">
        <v>0.48</v>
      </c>
      <c r="K13" s="40">
        <v>257.39</v>
      </c>
      <c r="L13" s="40">
        <v>27.39</v>
      </c>
      <c r="M13" s="40">
        <v>84.16</v>
      </c>
      <c r="N13" s="40">
        <v>2.2000000000000002</v>
      </c>
      <c r="O13" s="40">
        <v>0</v>
      </c>
      <c r="P13" s="40">
        <v>0.16</v>
      </c>
      <c r="Q13" s="40">
        <v>10</v>
      </c>
      <c r="R13" s="38"/>
      <c r="S13" s="38"/>
      <c r="T13" s="38"/>
      <c r="U13" s="38"/>
    </row>
    <row r="14" spans="1:21" customFormat="1">
      <c r="A14" s="39">
        <v>45852.25</v>
      </c>
      <c r="B14" s="40">
        <v>1.31</v>
      </c>
      <c r="C14" s="40">
        <v>3.61</v>
      </c>
      <c r="D14" s="40">
        <v>2.91</v>
      </c>
      <c r="E14" s="40">
        <v>5.35</v>
      </c>
      <c r="F14" s="40">
        <v>3.14</v>
      </c>
      <c r="G14" s="40">
        <v>23.36</v>
      </c>
      <c r="H14" s="40">
        <v>7.09</v>
      </c>
      <c r="I14" s="40">
        <v>4.24</v>
      </c>
      <c r="J14" s="40">
        <v>0.35</v>
      </c>
      <c r="K14" s="40">
        <v>247.18</v>
      </c>
      <c r="L14" s="40">
        <v>27.16</v>
      </c>
      <c r="M14" s="40">
        <v>88.02</v>
      </c>
      <c r="N14" s="40">
        <v>10.9</v>
      </c>
      <c r="O14" s="40">
        <v>0</v>
      </c>
      <c r="P14" s="40">
        <v>0.16</v>
      </c>
      <c r="Q14" s="40">
        <v>10</v>
      </c>
      <c r="R14" s="38"/>
      <c r="S14" s="38"/>
      <c r="T14" s="38"/>
      <c r="U14" s="38"/>
    </row>
    <row r="15" spans="1:21" customFormat="1">
      <c r="A15" s="39">
        <v>45852.291666666664</v>
      </c>
      <c r="B15" s="40">
        <v>1.36</v>
      </c>
      <c r="C15" s="40">
        <v>3.7</v>
      </c>
      <c r="D15" s="40">
        <v>3.02</v>
      </c>
      <c r="E15" s="40">
        <v>5.33</v>
      </c>
      <c r="F15" s="40">
        <v>2.33</v>
      </c>
      <c r="G15" s="40">
        <v>19.559999999999999</v>
      </c>
      <c r="H15" s="40">
        <v>7.04</v>
      </c>
      <c r="I15" s="40">
        <v>3.89</v>
      </c>
      <c r="J15" s="40">
        <v>0.46</v>
      </c>
      <c r="K15" s="40">
        <v>252.72</v>
      </c>
      <c r="L15" s="40">
        <v>27.31</v>
      </c>
      <c r="M15" s="40">
        <v>87.93</v>
      </c>
      <c r="N15" s="40">
        <v>53.8</v>
      </c>
      <c r="O15" s="40">
        <v>0</v>
      </c>
      <c r="P15" s="40">
        <v>0.15</v>
      </c>
      <c r="Q15" s="40">
        <v>10</v>
      </c>
      <c r="R15" s="38"/>
      <c r="S15" s="38"/>
      <c r="T15" s="38"/>
      <c r="U15" s="38"/>
    </row>
    <row r="16" spans="1:21" customFormat="1">
      <c r="A16" s="39">
        <v>45852.333333333336</v>
      </c>
      <c r="B16" s="40">
        <v>1.26</v>
      </c>
      <c r="C16" s="40">
        <v>3.44</v>
      </c>
      <c r="D16" s="40">
        <v>2.66</v>
      </c>
      <c r="E16" s="40">
        <v>5.33</v>
      </c>
      <c r="F16" s="40">
        <v>2.19</v>
      </c>
      <c r="G16" s="40">
        <v>21.5</v>
      </c>
      <c r="H16" s="40">
        <v>7.02</v>
      </c>
      <c r="I16" s="40">
        <v>3.78</v>
      </c>
      <c r="J16" s="40">
        <v>0.43</v>
      </c>
      <c r="K16" s="40">
        <v>257.04000000000002</v>
      </c>
      <c r="L16" s="40">
        <v>28.18</v>
      </c>
      <c r="M16" s="40">
        <v>85.35</v>
      </c>
      <c r="N16" s="40">
        <v>94.2</v>
      </c>
      <c r="O16" s="40">
        <v>0</v>
      </c>
      <c r="P16" s="40">
        <v>0.14000000000000001</v>
      </c>
      <c r="Q16" s="40">
        <v>10</v>
      </c>
      <c r="R16" s="38"/>
      <c r="S16" s="38"/>
      <c r="T16" s="38"/>
      <c r="U16" s="38"/>
    </row>
    <row r="17" spans="1:21" customFormat="1">
      <c r="A17" s="39">
        <v>45852.375</v>
      </c>
      <c r="B17" s="40">
        <v>1.24</v>
      </c>
      <c r="C17" s="40">
        <v>3.23</v>
      </c>
      <c r="D17" s="40">
        <v>2.29</v>
      </c>
      <c r="E17" s="40">
        <v>5.35</v>
      </c>
      <c r="F17" s="40">
        <v>2.4900000000000002</v>
      </c>
      <c r="G17" s="40">
        <v>20.73</v>
      </c>
      <c r="H17" s="40">
        <v>5.78</v>
      </c>
      <c r="I17" s="40">
        <v>3.86</v>
      </c>
      <c r="J17" s="40">
        <v>0.63</v>
      </c>
      <c r="K17" s="40">
        <v>270.87</v>
      </c>
      <c r="L17" s="40">
        <v>28.64</v>
      </c>
      <c r="M17" s="40">
        <v>81.31</v>
      </c>
      <c r="N17" s="40">
        <v>135.4</v>
      </c>
      <c r="O17" s="40">
        <v>0</v>
      </c>
      <c r="P17" s="40">
        <v>0.19</v>
      </c>
      <c r="Q17" s="40">
        <v>10</v>
      </c>
      <c r="R17" s="38"/>
      <c r="S17" s="38"/>
      <c r="T17" s="38"/>
      <c r="U17" s="38"/>
    </row>
    <row r="18" spans="1:21" customFormat="1">
      <c r="A18" s="39">
        <v>45852.416666666664</v>
      </c>
      <c r="B18" s="40">
        <v>1.5</v>
      </c>
      <c r="C18" s="40">
        <v>3.83</v>
      </c>
      <c r="D18" s="40">
        <v>3.05</v>
      </c>
      <c r="E18" s="40">
        <v>5.59</v>
      </c>
      <c r="F18" s="40">
        <v>5.07</v>
      </c>
      <c r="G18" s="40">
        <v>23.52</v>
      </c>
      <c r="H18" s="40">
        <v>4.95</v>
      </c>
      <c r="I18" s="40">
        <v>4.87</v>
      </c>
      <c r="J18" s="40">
        <v>0.51</v>
      </c>
      <c r="K18" s="40">
        <v>261.74</v>
      </c>
      <c r="L18" s="40">
        <v>29.01</v>
      </c>
      <c r="M18" s="40">
        <v>78.28</v>
      </c>
      <c r="N18" s="40">
        <v>179.3</v>
      </c>
      <c r="O18" s="40">
        <v>0</v>
      </c>
      <c r="P18" s="40">
        <v>0.22</v>
      </c>
      <c r="Q18" s="40">
        <v>10</v>
      </c>
      <c r="R18" s="38"/>
      <c r="S18" s="38"/>
      <c r="T18" s="38"/>
      <c r="U18" s="38"/>
    </row>
    <row r="19" spans="1:21" customFormat="1">
      <c r="A19" s="39">
        <v>45852.458333333336</v>
      </c>
      <c r="B19" s="40">
        <v>1.41</v>
      </c>
      <c r="C19" s="40">
        <v>3.75</v>
      </c>
      <c r="D19" s="40">
        <v>3.02</v>
      </c>
      <c r="E19" s="40">
        <v>7.07</v>
      </c>
      <c r="F19" s="40">
        <v>15.02</v>
      </c>
      <c r="G19" s="40">
        <v>24.33</v>
      </c>
      <c r="H19" s="40">
        <v>7.82</v>
      </c>
      <c r="I19" s="40">
        <v>5.53</v>
      </c>
      <c r="J19" s="40">
        <v>0.89</v>
      </c>
      <c r="K19" s="40">
        <v>279.41000000000003</v>
      </c>
      <c r="L19" s="40">
        <v>30.23</v>
      </c>
      <c r="M19" s="40">
        <v>74.69</v>
      </c>
      <c r="N19" s="40">
        <v>267.89999999999998</v>
      </c>
      <c r="O19" s="40">
        <v>0</v>
      </c>
      <c r="P19" s="40">
        <v>0.24</v>
      </c>
      <c r="Q19" s="40">
        <v>10</v>
      </c>
      <c r="R19" s="38"/>
      <c r="S19" s="38"/>
      <c r="T19" s="38"/>
      <c r="U19" s="38"/>
    </row>
    <row r="20" spans="1:21" customFormat="1">
      <c r="A20" s="39">
        <v>45852.5</v>
      </c>
      <c r="B20" s="40">
        <v>1.24</v>
      </c>
      <c r="C20" s="40">
        <v>2.9</v>
      </c>
      <c r="D20" s="40">
        <v>1.66</v>
      </c>
      <c r="E20" s="40">
        <v>7.47</v>
      </c>
      <c r="F20" s="40">
        <v>21.1</v>
      </c>
      <c r="G20" s="40">
        <v>30.48</v>
      </c>
      <c r="H20" s="40">
        <v>9.5399999999999991</v>
      </c>
      <c r="I20" s="40">
        <v>6.72</v>
      </c>
      <c r="J20" s="40">
        <v>0.7</v>
      </c>
      <c r="K20" s="40">
        <v>276.72000000000003</v>
      </c>
      <c r="L20" s="40">
        <v>30.51</v>
      </c>
      <c r="M20" s="40">
        <v>71.91</v>
      </c>
      <c r="N20" s="40">
        <v>290</v>
      </c>
      <c r="O20" s="40">
        <v>0</v>
      </c>
      <c r="P20" s="40">
        <v>0.21</v>
      </c>
      <c r="Q20" s="40">
        <v>10</v>
      </c>
      <c r="R20" s="38"/>
      <c r="S20" s="38"/>
      <c r="T20" s="38"/>
      <c r="U20" s="38"/>
    </row>
    <row r="21" spans="1:21" customFormat="1">
      <c r="A21" s="39">
        <v>45852.541666666664</v>
      </c>
      <c r="B21" s="40">
        <v>1.24</v>
      </c>
      <c r="C21" s="40">
        <v>2.15</v>
      </c>
      <c r="D21" s="40">
        <v>0.22</v>
      </c>
      <c r="E21" s="40">
        <v>6.28</v>
      </c>
      <c r="F21" s="40">
        <v>29.28</v>
      </c>
      <c r="G21" s="40">
        <v>26.5</v>
      </c>
      <c r="H21" s="40">
        <v>8.0299999999999994</v>
      </c>
      <c r="I21" s="40">
        <v>5.86</v>
      </c>
      <c r="J21" s="40">
        <v>0.72</v>
      </c>
      <c r="K21" s="40">
        <v>284.01</v>
      </c>
      <c r="L21" s="40">
        <v>30.84</v>
      </c>
      <c r="M21" s="40">
        <v>68.69</v>
      </c>
      <c r="N21" s="40">
        <v>314.5</v>
      </c>
      <c r="O21" s="40">
        <v>0</v>
      </c>
      <c r="P21" s="40">
        <v>0.16</v>
      </c>
      <c r="Q21" s="40">
        <v>10</v>
      </c>
      <c r="R21" s="38"/>
      <c r="S21" s="38"/>
      <c r="T21" s="38"/>
      <c r="U21" s="38"/>
    </row>
    <row r="22" spans="1:21" customFormat="1">
      <c r="A22" s="39">
        <v>45852.583333333336</v>
      </c>
      <c r="B22" s="40">
        <v>1.24</v>
      </c>
      <c r="C22" s="40">
        <v>2.0299999999999998</v>
      </c>
      <c r="D22" s="24" t="s">
        <v>14</v>
      </c>
      <c r="E22" s="40">
        <v>7.31</v>
      </c>
      <c r="F22" s="40">
        <v>36.659999999999997</v>
      </c>
      <c r="G22" s="40">
        <v>28.63</v>
      </c>
      <c r="H22" s="40">
        <v>11.09</v>
      </c>
      <c r="I22" s="40">
        <v>6.22</v>
      </c>
      <c r="J22" s="40">
        <v>0.48</v>
      </c>
      <c r="K22" s="40">
        <v>260.74</v>
      </c>
      <c r="L22" s="40">
        <v>30.98</v>
      </c>
      <c r="M22" s="40">
        <v>68.88</v>
      </c>
      <c r="N22" s="40">
        <v>243.7</v>
      </c>
      <c r="O22" s="40">
        <v>0</v>
      </c>
      <c r="P22" s="40">
        <v>0.27</v>
      </c>
      <c r="Q22" s="40">
        <v>10</v>
      </c>
      <c r="R22" s="38"/>
      <c r="S22" s="38"/>
      <c r="T22" s="38"/>
      <c r="U22" s="38"/>
    </row>
    <row r="23" spans="1:21" customFormat="1">
      <c r="A23" s="39">
        <v>45852.625</v>
      </c>
      <c r="B23" s="40">
        <v>1.24</v>
      </c>
      <c r="C23" s="40">
        <v>2.0299999999999998</v>
      </c>
      <c r="D23" s="24" t="s">
        <v>14</v>
      </c>
      <c r="E23" s="40">
        <v>6.96</v>
      </c>
      <c r="F23" s="40">
        <v>28.22</v>
      </c>
      <c r="G23" s="40">
        <v>34.9</v>
      </c>
      <c r="H23" s="40">
        <v>13.8</v>
      </c>
      <c r="I23" s="40">
        <v>7.4</v>
      </c>
      <c r="J23" s="40">
        <v>0.57999999999999996</v>
      </c>
      <c r="K23" s="40">
        <v>255.24</v>
      </c>
      <c r="L23" s="40">
        <v>31.66</v>
      </c>
      <c r="M23" s="40">
        <v>69.17</v>
      </c>
      <c r="N23" s="40">
        <v>240</v>
      </c>
      <c r="O23" s="40">
        <v>0</v>
      </c>
      <c r="P23" s="40">
        <v>0.28999999999999998</v>
      </c>
      <c r="Q23" s="40">
        <v>10</v>
      </c>
      <c r="R23" s="38"/>
      <c r="S23" s="38"/>
      <c r="T23" s="38"/>
      <c r="U23" s="38"/>
    </row>
    <row r="24" spans="1:21" customFormat="1">
      <c r="A24" s="39">
        <v>45852.666666666664</v>
      </c>
      <c r="B24" s="40">
        <v>1.24</v>
      </c>
      <c r="C24" s="40">
        <v>2.0299999999999998</v>
      </c>
      <c r="D24" s="24" t="s">
        <v>14</v>
      </c>
      <c r="E24" s="40">
        <v>5.24</v>
      </c>
      <c r="F24" s="40">
        <v>27.36</v>
      </c>
      <c r="G24" s="40">
        <v>32.65</v>
      </c>
      <c r="H24" s="40">
        <v>15.65</v>
      </c>
      <c r="I24" s="40">
        <v>6.51</v>
      </c>
      <c r="J24" s="40">
        <v>0.41</v>
      </c>
      <c r="K24" s="40">
        <v>244.21</v>
      </c>
      <c r="L24" s="40">
        <v>32.1</v>
      </c>
      <c r="M24" s="40">
        <v>67.27</v>
      </c>
      <c r="N24" s="40">
        <v>301.60000000000002</v>
      </c>
      <c r="O24" s="40">
        <v>0</v>
      </c>
      <c r="P24" s="40">
        <v>0.19</v>
      </c>
      <c r="Q24" s="40">
        <v>10</v>
      </c>
      <c r="R24" s="38"/>
      <c r="S24" s="38"/>
      <c r="T24" s="38"/>
      <c r="U24" s="38"/>
    </row>
    <row r="25" spans="1:21" customFormat="1">
      <c r="A25" s="39">
        <v>45852.708333333336</v>
      </c>
      <c r="B25" s="40">
        <v>1.24</v>
      </c>
      <c r="C25" s="40">
        <v>2.0299999999999998</v>
      </c>
      <c r="D25" s="24" t="s">
        <v>14</v>
      </c>
      <c r="E25" s="40">
        <v>4.51</v>
      </c>
      <c r="F25" s="40">
        <v>28.36</v>
      </c>
      <c r="G25" s="40">
        <v>30.45</v>
      </c>
      <c r="H25" s="40">
        <v>11.04</v>
      </c>
      <c r="I25" s="40">
        <v>4.97</v>
      </c>
      <c r="J25" s="40">
        <v>0.56999999999999995</v>
      </c>
      <c r="K25" s="40">
        <v>260.08</v>
      </c>
      <c r="L25" s="40">
        <v>31.38</v>
      </c>
      <c r="M25" s="40">
        <v>67.41</v>
      </c>
      <c r="N25" s="40">
        <v>124.5</v>
      </c>
      <c r="O25" s="40">
        <v>0</v>
      </c>
      <c r="P25" s="40">
        <v>0.1</v>
      </c>
      <c r="Q25" s="40">
        <v>10</v>
      </c>
      <c r="R25" s="38"/>
      <c r="S25" s="38"/>
      <c r="T25" s="38"/>
      <c r="U25" s="38"/>
    </row>
    <row r="26" spans="1:21" customFormat="1">
      <c r="A26" s="39">
        <v>45852.75</v>
      </c>
      <c r="B26" s="40">
        <v>1.24</v>
      </c>
      <c r="C26" s="40">
        <v>2.0299999999999998</v>
      </c>
      <c r="D26" s="24" t="s">
        <v>14</v>
      </c>
      <c r="E26" s="40">
        <v>4.3499999999999996</v>
      </c>
      <c r="F26" s="40">
        <v>31.12</v>
      </c>
      <c r="G26" s="40">
        <v>27.78</v>
      </c>
      <c r="H26" s="40">
        <v>9.9</v>
      </c>
      <c r="I26" s="40">
        <v>2.79</v>
      </c>
      <c r="J26" s="40">
        <v>1.33</v>
      </c>
      <c r="K26" s="40">
        <v>303.39999999999998</v>
      </c>
      <c r="L26" s="40">
        <v>31.15</v>
      </c>
      <c r="M26" s="40">
        <v>69.56</v>
      </c>
      <c r="N26" s="40">
        <v>53</v>
      </c>
      <c r="O26" s="40">
        <v>0</v>
      </c>
      <c r="P26" s="40">
        <v>0.11</v>
      </c>
      <c r="Q26" s="40">
        <v>10</v>
      </c>
      <c r="R26" s="38"/>
      <c r="S26" s="38"/>
      <c r="T26" s="38"/>
      <c r="U26" s="38"/>
    </row>
    <row r="27" spans="1:21" customFormat="1">
      <c r="A27" s="39">
        <v>45852.791666666664</v>
      </c>
      <c r="B27" s="40">
        <v>1.24</v>
      </c>
      <c r="C27" s="40">
        <v>2.19</v>
      </c>
      <c r="D27" s="40">
        <v>0.32</v>
      </c>
      <c r="E27" s="40">
        <v>2.85</v>
      </c>
      <c r="F27" s="40">
        <v>12.18</v>
      </c>
      <c r="G27" s="40">
        <v>25.31</v>
      </c>
      <c r="H27" s="40">
        <v>7.96</v>
      </c>
      <c r="I27" s="40">
        <v>5.94</v>
      </c>
      <c r="J27" s="40">
        <v>0.71</v>
      </c>
      <c r="K27" s="40">
        <v>313.02999999999997</v>
      </c>
      <c r="L27" s="40">
        <v>28.41</v>
      </c>
      <c r="M27" s="40">
        <v>75.510000000000005</v>
      </c>
      <c r="N27" s="40">
        <v>19.2</v>
      </c>
      <c r="O27" s="40">
        <v>0</v>
      </c>
      <c r="P27" s="40">
        <v>0.21</v>
      </c>
      <c r="Q27" s="40">
        <v>10</v>
      </c>
      <c r="R27" s="38"/>
      <c r="S27" s="38"/>
      <c r="T27" s="38"/>
      <c r="U27" s="38"/>
    </row>
    <row r="28" spans="1:21" customFormat="1">
      <c r="A28" s="39">
        <v>45852.833333333336</v>
      </c>
      <c r="B28" s="40">
        <v>1.24</v>
      </c>
      <c r="C28" s="40">
        <v>2.85</v>
      </c>
      <c r="D28" s="40">
        <v>1.57</v>
      </c>
      <c r="E28" s="40">
        <v>2.82</v>
      </c>
      <c r="F28" s="40">
        <v>5.54</v>
      </c>
      <c r="G28" s="40">
        <v>30.95</v>
      </c>
      <c r="H28" s="40">
        <v>10.85</v>
      </c>
      <c r="I28" s="40">
        <v>6.52</v>
      </c>
      <c r="J28" s="40">
        <v>0.35</v>
      </c>
      <c r="K28" s="40">
        <v>188</v>
      </c>
      <c r="L28" s="40">
        <v>28.37</v>
      </c>
      <c r="M28" s="40">
        <v>83.7</v>
      </c>
      <c r="N28" s="40">
        <v>2.2999999999999998</v>
      </c>
      <c r="O28" s="40">
        <v>0</v>
      </c>
      <c r="P28" s="40">
        <v>0.24</v>
      </c>
      <c r="Q28" s="40">
        <v>10</v>
      </c>
      <c r="R28" s="38"/>
      <c r="S28" s="38"/>
      <c r="T28" s="38"/>
      <c r="U28" s="38"/>
    </row>
    <row r="29" spans="1:21" customFormat="1">
      <c r="A29" s="39">
        <v>45852.875</v>
      </c>
      <c r="B29" s="40">
        <v>1.31</v>
      </c>
      <c r="C29" s="40">
        <v>3.36</v>
      </c>
      <c r="D29" s="40">
        <v>2.44</v>
      </c>
      <c r="E29" s="40">
        <v>2.8</v>
      </c>
      <c r="F29" s="40">
        <v>4.1500000000000004</v>
      </c>
      <c r="G29" s="40">
        <v>32.590000000000003</v>
      </c>
      <c r="H29" s="40">
        <v>11.04</v>
      </c>
      <c r="I29" s="40">
        <v>7.26</v>
      </c>
      <c r="J29" s="40">
        <v>0.28000000000000003</v>
      </c>
      <c r="K29" s="40">
        <v>151.38</v>
      </c>
      <c r="L29" s="40">
        <v>28.34</v>
      </c>
      <c r="M29" s="40">
        <v>82.35</v>
      </c>
      <c r="N29" s="40">
        <v>2.1</v>
      </c>
      <c r="O29" s="40">
        <v>0</v>
      </c>
      <c r="P29" s="40">
        <v>0.31</v>
      </c>
      <c r="Q29" s="40">
        <v>10</v>
      </c>
      <c r="R29" s="38"/>
      <c r="S29" s="38"/>
      <c r="T29" s="38"/>
      <c r="U29" s="38"/>
    </row>
    <row r="30" spans="1:21" customFormat="1">
      <c r="A30" s="39">
        <v>45852.916666666664</v>
      </c>
      <c r="B30" s="40">
        <v>1.35</v>
      </c>
      <c r="C30" s="40">
        <v>3.43</v>
      </c>
      <c r="D30" s="40">
        <v>2.5099999999999998</v>
      </c>
      <c r="E30" s="40">
        <v>2.93</v>
      </c>
      <c r="F30" s="40">
        <v>2.57</v>
      </c>
      <c r="G30" s="40">
        <v>39.35</v>
      </c>
      <c r="H30" s="40">
        <v>12.47</v>
      </c>
      <c r="I30" s="40">
        <v>8.14</v>
      </c>
      <c r="J30" s="40">
        <v>0.32</v>
      </c>
      <c r="K30" s="40">
        <v>157.51</v>
      </c>
      <c r="L30" s="40">
        <v>28.23</v>
      </c>
      <c r="M30" s="40">
        <v>86.28</v>
      </c>
      <c r="N30" s="40">
        <v>2.2999999999999998</v>
      </c>
      <c r="O30" s="40">
        <v>0</v>
      </c>
      <c r="P30" s="40">
        <v>0.33</v>
      </c>
      <c r="Q30" s="40">
        <v>10</v>
      </c>
      <c r="R30" s="38"/>
      <c r="S30" s="38"/>
      <c r="T30" s="38"/>
      <c r="U30" s="38"/>
    </row>
    <row r="31" spans="1:21" customFormat="1">
      <c r="A31" s="39">
        <v>45852.958333333336</v>
      </c>
      <c r="B31" s="40">
        <v>1.75</v>
      </c>
      <c r="C31" s="40">
        <v>3.85</v>
      </c>
      <c r="D31" s="40">
        <v>2.71</v>
      </c>
      <c r="E31" s="40">
        <v>2.86</v>
      </c>
      <c r="F31" s="40">
        <v>2.64</v>
      </c>
      <c r="G31" s="40">
        <v>50.95</v>
      </c>
      <c r="H31" s="40">
        <v>14.92</v>
      </c>
      <c r="I31" s="40">
        <v>8.1</v>
      </c>
      <c r="J31" s="40">
        <v>0.27</v>
      </c>
      <c r="K31" s="40">
        <v>168.95</v>
      </c>
      <c r="L31" s="40">
        <v>27.68</v>
      </c>
      <c r="M31" s="40">
        <v>91.31</v>
      </c>
      <c r="N31" s="40">
        <v>2.2999999999999998</v>
      </c>
      <c r="O31" s="40">
        <v>0</v>
      </c>
      <c r="P31" s="40">
        <v>0.32</v>
      </c>
      <c r="Q31" s="40">
        <v>10</v>
      </c>
      <c r="R31" s="38"/>
      <c r="S31" s="38"/>
      <c r="T31" s="38"/>
      <c r="U31" s="38"/>
    </row>
    <row r="32" spans="1:21" customFormat="1">
      <c r="A32" s="40">
        <v>45853</v>
      </c>
      <c r="B32" s="40">
        <v>2.2599999999999998</v>
      </c>
      <c r="C32" s="40">
        <v>4.5</v>
      </c>
      <c r="D32" s="40">
        <v>3.16</v>
      </c>
      <c r="E32" s="40">
        <v>3.15</v>
      </c>
      <c r="F32" s="40">
        <v>2.87</v>
      </c>
      <c r="G32" s="40">
        <v>51.59</v>
      </c>
      <c r="H32" s="40">
        <v>16.64</v>
      </c>
      <c r="I32" s="40">
        <v>7.98</v>
      </c>
      <c r="J32" s="40">
        <v>0.38</v>
      </c>
      <c r="K32" s="40">
        <v>171.58</v>
      </c>
      <c r="L32" s="40">
        <v>27.35</v>
      </c>
      <c r="M32" s="40">
        <v>94.82</v>
      </c>
      <c r="N32" s="40">
        <v>2.2000000000000002</v>
      </c>
      <c r="O32" s="40">
        <v>0.2</v>
      </c>
      <c r="P32" s="40">
        <v>0.32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1.24</v>
      </c>
      <c r="C34" s="18">
        <f t="shared" si="0"/>
        <v>2.0299999999999998</v>
      </c>
      <c r="D34" s="18">
        <f t="shared" si="0"/>
        <v>0.22</v>
      </c>
      <c r="E34" s="18">
        <f t="shared" si="0"/>
        <v>2.8</v>
      </c>
      <c r="F34" s="18">
        <f t="shared" si="0"/>
        <v>2.19</v>
      </c>
      <c r="G34" s="18">
        <f t="shared" si="0"/>
        <v>19.559999999999999</v>
      </c>
      <c r="H34" s="18">
        <f t="shared" si="0"/>
        <v>4.95</v>
      </c>
      <c r="I34" s="18">
        <f t="shared" si="0"/>
        <v>2.79</v>
      </c>
      <c r="J34" s="18">
        <f t="shared" si="0"/>
        <v>0.27</v>
      </c>
      <c r="K34" s="18">
        <f t="shared" si="0"/>
        <v>151.38</v>
      </c>
      <c r="L34" s="18">
        <f t="shared" si="0"/>
        <v>27.16</v>
      </c>
      <c r="M34" s="18">
        <f t="shared" si="0"/>
        <v>67.27</v>
      </c>
      <c r="N34" s="18">
        <f t="shared" si="0"/>
        <v>2.1</v>
      </c>
      <c r="O34" s="18">
        <f t="shared" si="0"/>
        <v>0</v>
      </c>
      <c r="P34" s="18">
        <f t="shared" si="0"/>
        <v>0.1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2.2599999999999998</v>
      </c>
      <c r="C35" s="3">
        <f t="shared" si="1"/>
        <v>4.5</v>
      </c>
      <c r="D35" s="3">
        <f t="shared" si="1"/>
        <v>3.27</v>
      </c>
      <c r="E35" s="3">
        <f t="shared" si="1"/>
        <v>7.47</v>
      </c>
      <c r="F35" s="3">
        <f t="shared" si="1"/>
        <v>36.659999999999997</v>
      </c>
      <c r="G35" s="3">
        <f t="shared" si="1"/>
        <v>51.59</v>
      </c>
      <c r="H35" s="3">
        <f t="shared" si="1"/>
        <v>16.64</v>
      </c>
      <c r="I35" s="3">
        <f t="shared" si="1"/>
        <v>8.14</v>
      </c>
      <c r="J35" s="3">
        <f t="shared" si="1"/>
        <v>1.33</v>
      </c>
      <c r="K35" s="3">
        <f t="shared" si="1"/>
        <v>313.02999999999997</v>
      </c>
      <c r="L35" s="3">
        <f t="shared" si="1"/>
        <v>32.1</v>
      </c>
      <c r="M35" s="3">
        <f t="shared" si="1"/>
        <v>94.82</v>
      </c>
      <c r="N35" s="3">
        <f t="shared" si="1"/>
        <v>314.5</v>
      </c>
      <c r="O35" s="3">
        <f t="shared" si="1"/>
        <v>0.2</v>
      </c>
      <c r="P35" s="3">
        <f t="shared" si="1"/>
        <v>0.33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1.368333333333333</v>
      </c>
      <c r="C36" s="18">
        <f t="shared" si="2"/>
        <v>3.1283333333333334</v>
      </c>
      <c r="D36" s="18">
        <f t="shared" si="2"/>
        <v>2.4142105263157889</v>
      </c>
      <c r="E36" s="18">
        <f t="shared" si="2"/>
        <v>4.927083333333333</v>
      </c>
      <c r="F36" s="18">
        <f t="shared" si="2"/>
        <v>12.115833333333335</v>
      </c>
      <c r="G36" s="18">
        <f t="shared" si="2"/>
        <v>29.254166666666674</v>
      </c>
      <c r="H36" s="18">
        <f t="shared" si="2"/>
        <v>10.080416666666666</v>
      </c>
      <c r="I36" s="18">
        <f t="shared" si="2"/>
        <v>5.592083333333334</v>
      </c>
      <c r="J36" s="18">
        <f t="shared" si="2"/>
        <v>0.53124999999999989</v>
      </c>
      <c r="K36" s="18">
        <f t="shared" si="2"/>
        <v>244.80708333333328</v>
      </c>
      <c r="L36" s="18">
        <f t="shared" si="2"/>
        <v>28.975416666666671</v>
      </c>
      <c r="M36" s="18">
        <f t="shared" si="2"/>
        <v>79.744166666666658</v>
      </c>
      <c r="N36" s="18">
        <f t="shared" si="2"/>
        <v>97.920833333333348</v>
      </c>
      <c r="O36" s="18">
        <f t="shared" si="2"/>
        <v>8.3333333333333332E-3</v>
      </c>
      <c r="P36" s="18">
        <f t="shared" si="2"/>
        <v>0.21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0.22699677581825975</v>
      </c>
      <c r="C37" s="18">
        <f t="shared" ref="C37:Q37" si="3">STDEV(C9:C32)</f>
        <v>0.76816928991662836</v>
      </c>
      <c r="D37" s="18">
        <f t="shared" si="3"/>
        <v>0.88310887581866704</v>
      </c>
      <c r="E37" s="18">
        <f t="shared" si="3"/>
        <v>1.4617841367037898</v>
      </c>
      <c r="F37" s="18">
        <f t="shared" si="3"/>
        <v>11.625322030758568</v>
      </c>
      <c r="G37" s="18">
        <f t="shared" si="3"/>
        <v>8.368272855237791</v>
      </c>
      <c r="H37" s="18">
        <f t="shared" si="3"/>
        <v>3.0944079705827106</v>
      </c>
      <c r="I37" s="18">
        <f t="shared" si="3"/>
        <v>1.5023864470341437</v>
      </c>
      <c r="J37" s="18">
        <f t="shared" si="3"/>
        <v>0.22999645554924872</v>
      </c>
      <c r="K37" s="18">
        <f t="shared" si="3"/>
        <v>44.134600197593983</v>
      </c>
      <c r="L37" s="18">
        <f t="shared" si="3"/>
        <v>1.6366614458726023</v>
      </c>
      <c r="M37" s="18">
        <f t="shared" si="3"/>
        <v>8.2647333088652815</v>
      </c>
      <c r="N37" s="18">
        <f t="shared" si="3"/>
        <v>116.78752531345367</v>
      </c>
      <c r="O37" s="18">
        <f t="shared" si="3"/>
        <v>4.0824829046386311E-2</v>
      </c>
      <c r="P37" s="18">
        <f t="shared" si="3"/>
        <v>6.7243878014543346E-2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>COUNT(D9:D32)+5</f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39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45853.041666666664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>
        <v>45853.041666666664</v>
      </c>
      <c r="B9" s="40">
        <v>3.09</v>
      </c>
      <c r="C9" s="40">
        <v>5.32</v>
      </c>
      <c r="D9" s="40">
        <v>3.46</v>
      </c>
      <c r="E9" s="40">
        <v>3.47</v>
      </c>
      <c r="F9" s="40">
        <v>2.5099999999999998</v>
      </c>
      <c r="G9" s="40">
        <v>51.75</v>
      </c>
      <c r="H9" s="40">
        <v>16.25</v>
      </c>
      <c r="I9" s="40">
        <v>7.65</v>
      </c>
      <c r="J9" s="40">
        <v>0.13</v>
      </c>
      <c r="K9" s="40">
        <v>211.71</v>
      </c>
      <c r="L9" s="40">
        <v>26.8</v>
      </c>
      <c r="M9" s="40">
        <v>95.86</v>
      </c>
      <c r="N9" s="40">
        <v>2.2000000000000002</v>
      </c>
      <c r="O9" s="40">
        <v>0</v>
      </c>
      <c r="P9" s="40">
        <v>0.32</v>
      </c>
      <c r="Q9" s="40">
        <v>10</v>
      </c>
      <c r="R9" s="38"/>
      <c r="S9" s="38"/>
      <c r="T9" s="38"/>
      <c r="U9" s="38"/>
    </row>
    <row r="10" spans="1:21" customFormat="1">
      <c r="A10" s="39">
        <v>45853.083333333336</v>
      </c>
      <c r="B10" s="40">
        <v>2.98</v>
      </c>
      <c r="C10" s="40">
        <v>4.8</v>
      </c>
      <c r="D10" s="40">
        <v>2.62</v>
      </c>
      <c r="E10" s="40">
        <v>3.94</v>
      </c>
      <c r="F10" s="40">
        <v>2.41</v>
      </c>
      <c r="G10" s="40">
        <v>50.28</v>
      </c>
      <c r="H10" s="40">
        <v>18.61</v>
      </c>
      <c r="I10" s="40">
        <v>7.47</v>
      </c>
      <c r="J10" s="40">
        <v>0.3</v>
      </c>
      <c r="K10" s="40">
        <v>170.11</v>
      </c>
      <c r="L10" s="40">
        <v>26.91</v>
      </c>
      <c r="M10" s="40">
        <v>96.2</v>
      </c>
      <c r="N10" s="40">
        <v>2.2999999999999998</v>
      </c>
      <c r="O10" s="40">
        <v>0</v>
      </c>
      <c r="P10" s="40">
        <v>0.31</v>
      </c>
      <c r="Q10" s="40">
        <v>10</v>
      </c>
      <c r="R10" s="38"/>
      <c r="S10" s="38"/>
      <c r="T10" s="38"/>
      <c r="U10" s="38"/>
    </row>
    <row r="11" spans="1:21" customFormat="1">
      <c r="A11" s="39">
        <v>45853.125</v>
      </c>
      <c r="B11" s="40">
        <v>3.27</v>
      </c>
      <c r="C11" s="40">
        <v>5.2</v>
      </c>
      <c r="D11" s="40">
        <v>2.95</v>
      </c>
      <c r="E11" s="40">
        <v>5.01</v>
      </c>
      <c r="F11" s="40">
        <v>2.8</v>
      </c>
      <c r="G11" s="40">
        <v>53.13</v>
      </c>
      <c r="H11" s="40">
        <v>19.329999999999998</v>
      </c>
      <c r="I11" s="40">
        <v>7.3</v>
      </c>
      <c r="J11" s="40">
        <v>0.24</v>
      </c>
      <c r="K11" s="40">
        <v>141.25</v>
      </c>
      <c r="L11" s="40">
        <v>26.98</v>
      </c>
      <c r="M11" s="40">
        <v>96.39</v>
      </c>
      <c r="N11" s="40">
        <v>2.2000000000000002</v>
      </c>
      <c r="O11" s="40">
        <v>0</v>
      </c>
      <c r="P11" s="40">
        <v>0.32</v>
      </c>
      <c r="Q11" s="40">
        <v>10</v>
      </c>
      <c r="R11" s="38"/>
      <c r="S11" s="38"/>
      <c r="T11" s="38"/>
      <c r="U11" s="38"/>
    </row>
    <row r="12" spans="1:21" customFormat="1">
      <c r="A12" s="39">
        <v>45853.166666666664</v>
      </c>
      <c r="B12" s="40">
        <v>3.27</v>
      </c>
      <c r="C12" s="40">
        <v>5</v>
      </c>
      <c r="D12" s="40">
        <v>2.69</v>
      </c>
      <c r="E12" s="40">
        <v>5.08</v>
      </c>
      <c r="F12" s="40">
        <v>2.0499999999999998</v>
      </c>
      <c r="G12" s="40">
        <v>53.57</v>
      </c>
      <c r="H12" s="40">
        <v>21.16</v>
      </c>
      <c r="I12" s="40">
        <v>7.18</v>
      </c>
      <c r="J12" s="40">
        <v>0.11</v>
      </c>
      <c r="K12" s="40">
        <v>179.33</v>
      </c>
      <c r="L12" s="40">
        <v>26.68</v>
      </c>
      <c r="M12" s="40">
        <v>96.34</v>
      </c>
      <c r="N12" s="40">
        <v>2.1</v>
      </c>
      <c r="O12" s="40">
        <v>0</v>
      </c>
      <c r="P12" s="40">
        <v>0.31</v>
      </c>
      <c r="Q12" s="40">
        <v>10</v>
      </c>
      <c r="R12" s="38"/>
      <c r="S12" s="38"/>
      <c r="T12" s="38"/>
      <c r="U12" s="38"/>
    </row>
    <row r="13" spans="1:21" customFormat="1">
      <c r="A13" s="39">
        <v>45853.208333333336</v>
      </c>
      <c r="B13" s="40">
        <v>2.86</v>
      </c>
      <c r="C13" s="40">
        <v>4.5</v>
      </c>
      <c r="D13" s="40">
        <v>2.2799999999999998</v>
      </c>
      <c r="E13" s="40">
        <v>5.0999999999999996</v>
      </c>
      <c r="F13" s="40">
        <v>2.48</v>
      </c>
      <c r="G13" s="40">
        <v>43.08</v>
      </c>
      <c r="H13" s="40">
        <v>14.39</v>
      </c>
      <c r="I13" s="40">
        <v>6.8</v>
      </c>
      <c r="J13" s="40">
        <v>0.67</v>
      </c>
      <c r="K13" s="40">
        <v>192.73</v>
      </c>
      <c r="L13" s="40">
        <v>26.5</v>
      </c>
      <c r="M13" s="40">
        <v>97.43</v>
      </c>
      <c r="N13" s="40">
        <v>2.2000000000000002</v>
      </c>
      <c r="O13" s="40">
        <v>0</v>
      </c>
      <c r="P13" s="40">
        <v>0.28999999999999998</v>
      </c>
      <c r="Q13" s="40">
        <v>10</v>
      </c>
      <c r="R13" s="38"/>
      <c r="S13" s="38"/>
      <c r="T13" s="38"/>
      <c r="U13" s="38"/>
    </row>
    <row r="14" spans="1:21" customFormat="1">
      <c r="A14" s="39">
        <v>45853.25</v>
      </c>
      <c r="B14" s="40">
        <v>3.31</v>
      </c>
      <c r="C14" s="40">
        <v>5.17</v>
      </c>
      <c r="D14" s="40">
        <v>2.86</v>
      </c>
      <c r="E14" s="40">
        <v>5.04</v>
      </c>
      <c r="F14" s="40">
        <v>2.64</v>
      </c>
      <c r="G14" s="40">
        <v>39.43</v>
      </c>
      <c r="H14" s="40">
        <v>15.71</v>
      </c>
      <c r="I14" s="40">
        <v>6.47</v>
      </c>
      <c r="J14" s="40">
        <v>0.28000000000000003</v>
      </c>
      <c r="K14" s="40">
        <v>177.47</v>
      </c>
      <c r="L14" s="40">
        <v>26.04</v>
      </c>
      <c r="M14" s="40">
        <v>96.93</v>
      </c>
      <c r="N14" s="40">
        <v>8.1</v>
      </c>
      <c r="O14" s="40">
        <v>0</v>
      </c>
      <c r="P14" s="40">
        <v>0.27</v>
      </c>
      <c r="Q14" s="40">
        <v>10</v>
      </c>
      <c r="R14" s="38"/>
      <c r="S14" s="38"/>
      <c r="T14" s="38"/>
      <c r="U14" s="38"/>
    </row>
    <row r="15" spans="1:21" customFormat="1">
      <c r="A15" s="39">
        <v>45853.291666666664</v>
      </c>
      <c r="B15" s="40">
        <v>3.11</v>
      </c>
      <c r="C15" s="40">
        <v>4.9000000000000004</v>
      </c>
      <c r="D15" s="40">
        <v>2.62</v>
      </c>
      <c r="E15" s="40">
        <v>4.51</v>
      </c>
      <c r="F15" s="40">
        <v>3.18</v>
      </c>
      <c r="G15" s="40">
        <v>37.450000000000003</v>
      </c>
      <c r="H15" s="40">
        <v>13.57</v>
      </c>
      <c r="I15" s="40">
        <v>6.12</v>
      </c>
      <c r="J15" s="40">
        <v>0.15</v>
      </c>
      <c r="K15" s="40">
        <v>250.7</v>
      </c>
      <c r="L15" s="40">
        <v>26.79</v>
      </c>
      <c r="M15" s="40">
        <v>97.59</v>
      </c>
      <c r="N15" s="40">
        <v>35.299999999999997</v>
      </c>
      <c r="O15" s="40">
        <v>0</v>
      </c>
      <c r="P15" s="40">
        <v>0.25</v>
      </c>
      <c r="Q15" s="40">
        <v>10</v>
      </c>
      <c r="R15" s="38"/>
      <c r="S15" s="38"/>
      <c r="T15" s="38"/>
      <c r="U15" s="38"/>
    </row>
    <row r="16" spans="1:21" customFormat="1">
      <c r="A16" s="39">
        <v>45853.333333333336</v>
      </c>
      <c r="B16" s="40">
        <v>3.24</v>
      </c>
      <c r="C16" s="40">
        <v>5.29</v>
      </c>
      <c r="D16" s="40">
        <v>3.24</v>
      </c>
      <c r="E16" s="40">
        <v>4.38</v>
      </c>
      <c r="F16" s="40">
        <v>3.9</v>
      </c>
      <c r="G16" s="40">
        <v>34.61</v>
      </c>
      <c r="H16" s="40">
        <v>15.21</v>
      </c>
      <c r="I16" s="40">
        <v>5.95</v>
      </c>
      <c r="J16" s="40">
        <v>0.54</v>
      </c>
      <c r="K16" s="40">
        <v>254.26</v>
      </c>
      <c r="L16" s="40">
        <v>27.47</v>
      </c>
      <c r="M16" s="40">
        <v>94.69</v>
      </c>
      <c r="N16" s="40">
        <v>74</v>
      </c>
      <c r="O16" s="40">
        <v>0</v>
      </c>
      <c r="P16" s="40">
        <v>0.23</v>
      </c>
      <c r="Q16" s="40">
        <v>10</v>
      </c>
      <c r="R16" s="38"/>
      <c r="S16" s="38"/>
      <c r="T16" s="38"/>
      <c r="U16" s="38"/>
    </row>
    <row r="17" spans="1:21" customFormat="1">
      <c r="A17" s="39">
        <v>45853.375</v>
      </c>
      <c r="B17" s="40">
        <v>3.17</v>
      </c>
      <c r="C17" s="40">
        <v>5.17</v>
      </c>
      <c r="D17" s="40">
        <v>3.19</v>
      </c>
      <c r="E17" s="40">
        <v>4.87</v>
      </c>
      <c r="F17" s="40">
        <v>3.82</v>
      </c>
      <c r="G17" s="40">
        <v>25.37</v>
      </c>
      <c r="H17" s="40">
        <v>11.73</v>
      </c>
      <c r="I17" s="40">
        <v>5.83</v>
      </c>
      <c r="J17" s="40">
        <v>0.57999999999999996</v>
      </c>
      <c r="K17" s="40">
        <v>261.38</v>
      </c>
      <c r="L17" s="40">
        <v>28.83</v>
      </c>
      <c r="M17" s="40">
        <v>86.22</v>
      </c>
      <c r="N17" s="40">
        <v>167</v>
      </c>
      <c r="O17" s="40">
        <v>0</v>
      </c>
      <c r="P17" s="40">
        <v>0.23</v>
      </c>
      <c r="Q17" s="40">
        <v>10</v>
      </c>
      <c r="R17" s="38"/>
      <c r="S17" s="38"/>
      <c r="T17" s="38"/>
      <c r="U17" s="38"/>
    </row>
    <row r="18" spans="1:21" customFormat="1">
      <c r="A18" s="39">
        <v>45853.416666666664</v>
      </c>
      <c r="B18" s="40">
        <v>2.86</v>
      </c>
      <c r="C18" s="40">
        <v>5.0599999999999996</v>
      </c>
      <c r="D18" s="40">
        <v>3.39</v>
      </c>
      <c r="E18" s="40">
        <v>5.49</v>
      </c>
      <c r="F18" s="40">
        <v>3.65</v>
      </c>
      <c r="G18" s="40">
        <v>23.57</v>
      </c>
      <c r="H18" s="40">
        <v>10.66</v>
      </c>
      <c r="I18" s="40">
        <v>5.84</v>
      </c>
      <c r="J18" s="40">
        <v>0.79</v>
      </c>
      <c r="K18" s="40">
        <v>262.5</v>
      </c>
      <c r="L18" s="40">
        <v>29.75</v>
      </c>
      <c r="M18" s="40">
        <v>78.77</v>
      </c>
      <c r="N18" s="40">
        <v>274.39999999999998</v>
      </c>
      <c r="O18" s="40">
        <v>0</v>
      </c>
      <c r="P18" s="40">
        <v>0.21</v>
      </c>
      <c r="Q18" s="40">
        <v>10</v>
      </c>
      <c r="R18" s="38"/>
      <c r="S18" s="38"/>
      <c r="T18" s="38"/>
      <c r="U18" s="38"/>
    </row>
    <row r="19" spans="1:21" customFormat="1">
      <c r="A19" s="39">
        <v>45853.458333333336</v>
      </c>
      <c r="B19" s="40">
        <v>2.65</v>
      </c>
      <c r="C19" s="40">
        <v>5.0599999999999996</v>
      </c>
      <c r="D19" s="40">
        <v>3.64</v>
      </c>
      <c r="E19" s="40">
        <v>5.59</v>
      </c>
      <c r="F19" s="40">
        <v>8.5</v>
      </c>
      <c r="G19" s="40">
        <v>21.79</v>
      </c>
      <c r="H19" s="40">
        <v>10.41</v>
      </c>
      <c r="I19" s="40">
        <v>8.51</v>
      </c>
      <c r="J19" s="40">
        <v>0.77</v>
      </c>
      <c r="K19" s="40">
        <v>258.22000000000003</v>
      </c>
      <c r="L19" s="40">
        <v>29.68</v>
      </c>
      <c r="M19" s="40">
        <v>75.959999999999994</v>
      </c>
      <c r="N19" s="40">
        <v>261.3</v>
      </c>
      <c r="O19" s="40">
        <v>0</v>
      </c>
      <c r="P19" s="40">
        <v>0.34</v>
      </c>
      <c r="Q19" s="40">
        <v>10</v>
      </c>
      <c r="R19" s="38"/>
      <c r="S19" s="38"/>
      <c r="T19" s="38"/>
      <c r="U19" s="38"/>
    </row>
    <row r="20" spans="1:21" customFormat="1">
      <c r="A20" s="39">
        <v>45853.5</v>
      </c>
      <c r="B20" s="40">
        <v>1.78</v>
      </c>
      <c r="C20" s="40">
        <v>3.65</v>
      </c>
      <c r="D20" s="40">
        <v>2.27</v>
      </c>
      <c r="E20" s="40">
        <v>5.99</v>
      </c>
      <c r="F20" s="40">
        <v>16.690000000000001</v>
      </c>
      <c r="G20" s="40">
        <v>19.68</v>
      </c>
      <c r="H20" s="40">
        <v>8.2200000000000006</v>
      </c>
      <c r="I20" s="40">
        <v>10.77</v>
      </c>
      <c r="J20" s="40">
        <v>0.72</v>
      </c>
      <c r="K20" s="40">
        <v>280.67</v>
      </c>
      <c r="L20" s="40">
        <v>31.56</v>
      </c>
      <c r="M20" s="40">
        <v>74.09</v>
      </c>
      <c r="N20" s="40">
        <v>411.5</v>
      </c>
      <c r="O20" s="40">
        <v>0</v>
      </c>
      <c r="P20" s="40">
        <v>0.39</v>
      </c>
      <c r="Q20" s="40">
        <v>10</v>
      </c>
      <c r="R20" s="38"/>
      <c r="S20" s="38"/>
      <c r="T20" s="38"/>
      <c r="U20" s="38"/>
    </row>
    <row r="21" spans="1:21" customFormat="1">
      <c r="A21" s="39">
        <v>45853.541666666664</v>
      </c>
      <c r="B21" s="40">
        <v>1.3</v>
      </c>
      <c r="C21" s="40">
        <v>2.71</v>
      </c>
      <c r="D21" s="40">
        <v>1.24</v>
      </c>
      <c r="E21" s="40">
        <v>6.13</v>
      </c>
      <c r="F21" s="40">
        <v>25.29</v>
      </c>
      <c r="G21" s="40">
        <v>20.059999999999999</v>
      </c>
      <c r="H21" s="40">
        <v>8.9</v>
      </c>
      <c r="I21" s="40">
        <v>11.54</v>
      </c>
      <c r="J21" s="40">
        <v>0.65</v>
      </c>
      <c r="K21" s="40">
        <v>259.20999999999998</v>
      </c>
      <c r="L21" s="40">
        <v>32.25</v>
      </c>
      <c r="M21" s="40">
        <v>67.25</v>
      </c>
      <c r="N21" s="40">
        <v>482.3</v>
      </c>
      <c r="O21" s="40">
        <v>0</v>
      </c>
      <c r="P21" s="40">
        <v>0.42</v>
      </c>
      <c r="Q21" s="40">
        <v>10</v>
      </c>
      <c r="R21" s="38"/>
      <c r="S21" s="38"/>
      <c r="T21" s="38"/>
      <c r="U21" s="38"/>
    </row>
    <row r="22" spans="1:21" customFormat="1">
      <c r="A22" s="39">
        <v>45853.583333333336</v>
      </c>
      <c r="B22" s="40">
        <v>1.26</v>
      </c>
      <c r="C22" s="40">
        <v>2.54</v>
      </c>
      <c r="D22" s="40">
        <v>0.98</v>
      </c>
      <c r="E22" s="40">
        <v>6.44</v>
      </c>
      <c r="F22" s="40">
        <v>22.25</v>
      </c>
      <c r="G22" s="40">
        <v>30.61</v>
      </c>
      <c r="H22" s="40">
        <v>12</v>
      </c>
      <c r="I22" s="40">
        <v>10.35</v>
      </c>
      <c r="J22" s="40">
        <v>0.56000000000000005</v>
      </c>
      <c r="K22" s="40">
        <v>265.79000000000002</v>
      </c>
      <c r="L22" s="40">
        <v>31.71</v>
      </c>
      <c r="M22" s="40">
        <v>68.66</v>
      </c>
      <c r="N22" s="40">
        <v>192.5</v>
      </c>
      <c r="O22" s="40">
        <v>0</v>
      </c>
      <c r="P22" s="40">
        <v>0.39</v>
      </c>
      <c r="Q22" s="40">
        <v>10</v>
      </c>
      <c r="R22" s="38"/>
      <c r="S22" s="38"/>
      <c r="T22" s="38"/>
      <c r="U22" s="38"/>
    </row>
    <row r="23" spans="1:21" customFormat="1">
      <c r="A23" s="39">
        <v>45853.625</v>
      </c>
      <c r="B23" s="40">
        <v>1.31</v>
      </c>
      <c r="C23" s="40">
        <v>2.9</v>
      </c>
      <c r="D23" s="40">
        <v>1.59</v>
      </c>
      <c r="E23" s="40">
        <v>5.19</v>
      </c>
      <c r="F23" s="40">
        <v>7.61</v>
      </c>
      <c r="G23" s="40">
        <v>25.64</v>
      </c>
      <c r="H23" s="40">
        <v>13.95</v>
      </c>
      <c r="I23" s="40">
        <v>8.89</v>
      </c>
      <c r="J23" s="40">
        <v>0.65</v>
      </c>
      <c r="K23" s="40">
        <v>264.14999999999998</v>
      </c>
      <c r="L23" s="40">
        <v>31.15</v>
      </c>
      <c r="M23" s="40">
        <v>68.17</v>
      </c>
      <c r="N23" s="40">
        <v>136.9</v>
      </c>
      <c r="O23" s="40">
        <v>0</v>
      </c>
      <c r="P23" s="40">
        <v>0.34</v>
      </c>
      <c r="Q23" s="40">
        <v>10</v>
      </c>
      <c r="R23" s="38"/>
      <c r="S23" s="38"/>
      <c r="T23" s="38"/>
      <c r="U23" s="38"/>
    </row>
    <row r="24" spans="1:21" customFormat="1">
      <c r="A24" s="39">
        <v>45853.666666666664</v>
      </c>
      <c r="B24" s="40">
        <v>1.53</v>
      </c>
      <c r="C24" s="40">
        <v>3.35</v>
      </c>
      <c r="D24" s="40">
        <v>2.08</v>
      </c>
      <c r="E24" s="40">
        <v>5.97</v>
      </c>
      <c r="F24" s="40">
        <v>11.83</v>
      </c>
      <c r="G24" s="40">
        <v>29.59</v>
      </c>
      <c r="H24" s="40">
        <v>9.93</v>
      </c>
      <c r="I24" s="40">
        <v>8.5500000000000007</v>
      </c>
      <c r="J24" s="40">
        <v>1.1000000000000001</v>
      </c>
      <c r="K24" s="40">
        <v>326.24</v>
      </c>
      <c r="L24" s="40">
        <v>30.96</v>
      </c>
      <c r="M24" s="40">
        <v>80.260000000000005</v>
      </c>
      <c r="N24" s="40">
        <v>118.4</v>
      </c>
      <c r="O24" s="40">
        <v>0</v>
      </c>
      <c r="P24" s="40">
        <v>0.27</v>
      </c>
      <c r="Q24" s="40">
        <v>10</v>
      </c>
      <c r="R24" s="38"/>
      <c r="S24" s="38"/>
      <c r="T24" s="38"/>
      <c r="U24" s="38"/>
    </row>
    <row r="25" spans="1:21" customFormat="1">
      <c r="A25" s="39">
        <v>45853.708333333336</v>
      </c>
      <c r="B25" s="40">
        <v>1.81</v>
      </c>
      <c r="C25" s="40">
        <v>3.74</v>
      </c>
      <c r="D25" s="40">
        <v>2.42</v>
      </c>
      <c r="E25" s="40">
        <v>5.0199999999999996</v>
      </c>
      <c r="F25" s="40">
        <v>6</v>
      </c>
      <c r="G25" s="40">
        <v>30.26</v>
      </c>
      <c r="H25" s="40">
        <v>9.8800000000000008</v>
      </c>
      <c r="I25" s="40">
        <v>7.73</v>
      </c>
      <c r="J25" s="40">
        <v>0.72</v>
      </c>
      <c r="K25" s="40">
        <v>85.69</v>
      </c>
      <c r="L25" s="40">
        <v>28.07</v>
      </c>
      <c r="M25" s="40">
        <v>79.06</v>
      </c>
      <c r="N25" s="40">
        <v>42.8</v>
      </c>
      <c r="O25" s="40">
        <v>0</v>
      </c>
      <c r="P25" s="40">
        <v>0.24</v>
      </c>
      <c r="Q25" s="40">
        <v>10</v>
      </c>
      <c r="R25" s="38"/>
      <c r="S25" s="38"/>
      <c r="T25" s="38"/>
      <c r="U25" s="38"/>
    </row>
    <row r="26" spans="1:21" customFormat="1">
      <c r="A26" s="39">
        <v>45853.75</v>
      </c>
      <c r="B26" s="40">
        <v>2.4900000000000002</v>
      </c>
      <c r="C26" s="40">
        <v>4.8099999999999996</v>
      </c>
      <c r="D26" s="40">
        <v>3.4</v>
      </c>
      <c r="E26" s="40">
        <v>6.97</v>
      </c>
      <c r="F26" s="40">
        <v>5.43</v>
      </c>
      <c r="G26" s="40">
        <v>26.64</v>
      </c>
      <c r="H26" s="40">
        <v>8.6199999999999992</v>
      </c>
      <c r="I26" s="40">
        <v>8.1999999999999993</v>
      </c>
      <c r="J26" s="40">
        <v>0.43</v>
      </c>
      <c r="K26" s="40">
        <v>68.08</v>
      </c>
      <c r="L26" s="40">
        <v>28.26</v>
      </c>
      <c r="M26" s="40">
        <v>78.58</v>
      </c>
      <c r="N26" s="40">
        <v>33.5</v>
      </c>
      <c r="O26" s="40">
        <v>0</v>
      </c>
      <c r="P26" s="40">
        <v>0.25</v>
      </c>
      <c r="Q26" s="40">
        <v>10</v>
      </c>
      <c r="R26" s="38"/>
      <c r="S26" s="38"/>
      <c r="T26" s="38"/>
      <c r="U26" s="38"/>
    </row>
    <row r="27" spans="1:21" customFormat="1">
      <c r="A27" s="39">
        <v>45853.791666666664</v>
      </c>
      <c r="B27" s="40">
        <v>2.5299999999999998</v>
      </c>
      <c r="C27" s="40">
        <v>4.6500000000000004</v>
      </c>
      <c r="D27" s="40">
        <v>3.04</v>
      </c>
      <c r="E27" s="40">
        <v>5.34</v>
      </c>
      <c r="F27" s="40">
        <v>4.96</v>
      </c>
      <c r="G27" s="40">
        <v>32.42</v>
      </c>
      <c r="H27" s="40">
        <v>10.83</v>
      </c>
      <c r="I27" s="40">
        <v>8.18</v>
      </c>
      <c r="J27" s="40">
        <v>0.54</v>
      </c>
      <c r="K27" s="40">
        <v>57.44</v>
      </c>
      <c r="L27" s="40">
        <v>28.29</v>
      </c>
      <c r="M27" s="40">
        <v>80.64</v>
      </c>
      <c r="N27" s="40">
        <v>14</v>
      </c>
      <c r="O27" s="40">
        <v>0</v>
      </c>
      <c r="P27" s="40">
        <v>0.25</v>
      </c>
      <c r="Q27" s="40">
        <v>10</v>
      </c>
      <c r="R27" s="38"/>
      <c r="S27" s="38"/>
      <c r="T27" s="38"/>
      <c r="U27" s="38"/>
    </row>
    <row r="28" spans="1:21" customFormat="1">
      <c r="A28" s="39">
        <v>45853.833333333336</v>
      </c>
      <c r="B28" s="40">
        <v>2.96</v>
      </c>
      <c r="C28" s="40">
        <v>5.17</v>
      </c>
      <c r="D28" s="40">
        <v>3.39</v>
      </c>
      <c r="E28" s="40">
        <v>4.54</v>
      </c>
      <c r="F28" s="40">
        <v>2.8</v>
      </c>
      <c r="G28" s="40">
        <v>42.43</v>
      </c>
      <c r="H28" s="40">
        <v>12.42</v>
      </c>
      <c r="I28" s="40">
        <v>7.54</v>
      </c>
      <c r="J28" s="40">
        <v>0.33</v>
      </c>
      <c r="K28" s="40">
        <v>337.66</v>
      </c>
      <c r="L28" s="40">
        <v>27.88</v>
      </c>
      <c r="M28" s="40">
        <v>97.49</v>
      </c>
      <c r="N28" s="40">
        <v>4.8</v>
      </c>
      <c r="O28" s="40">
        <v>3</v>
      </c>
      <c r="P28" s="40">
        <v>0.28000000000000003</v>
      </c>
      <c r="Q28" s="40">
        <v>10</v>
      </c>
      <c r="R28" s="38"/>
      <c r="S28" s="38"/>
      <c r="T28" s="38"/>
      <c r="U28" s="38"/>
    </row>
    <row r="29" spans="1:21" customFormat="1">
      <c r="A29" s="39">
        <v>45853.875</v>
      </c>
      <c r="B29" s="40">
        <v>2.77</v>
      </c>
      <c r="C29" s="40">
        <v>4.9800000000000004</v>
      </c>
      <c r="D29" s="40">
        <v>3.3</v>
      </c>
      <c r="E29" s="40">
        <v>4.8099999999999996</v>
      </c>
      <c r="F29" s="40">
        <v>1.61</v>
      </c>
      <c r="G29" s="40">
        <v>40.72</v>
      </c>
      <c r="H29" s="40">
        <v>11.3</v>
      </c>
      <c r="I29" s="40">
        <v>7.53</v>
      </c>
      <c r="J29" s="40">
        <v>0.55000000000000004</v>
      </c>
      <c r="K29" s="40">
        <v>250.45</v>
      </c>
      <c r="L29" s="40">
        <v>25.99</v>
      </c>
      <c r="M29" s="40">
        <v>98.23</v>
      </c>
      <c r="N29" s="40">
        <v>2.8</v>
      </c>
      <c r="O29" s="40">
        <v>2.2000000000000002</v>
      </c>
      <c r="P29" s="40">
        <v>0.28999999999999998</v>
      </c>
      <c r="Q29" s="40">
        <v>10</v>
      </c>
      <c r="R29" s="38"/>
      <c r="S29" s="38"/>
      <c r="T29" s="38"/>
      <c r="U29" s="38"/>
    </row>
    <row r="30" spans="1:21" customFormat="1">
      <c r="A30" s="39">
        <v>45853.916666666664</v>
      </c>
      <c r="B30" s="40">
        <v>2.68</v>
      </c>
      <c r="C30" s="40">
        <v>4.99</v>
      </c>
      <c r="D30" s="40">
        <v>3.45</v>
      </c>
      <c r="E30" s="40">
        <v>4.96</v>
      </c>
      <c r="F30" s="40">
        <v>1.99</v>
      </c>
      <c r="G30" s="40">
        <v>33.43</v>
      </c>
      <c r="H30" s="40">
        <v>8.7899999999999991</v>
      </c>
      <c r="I30" s="40">
        <v>7.02</v>
      </c>
      <c r="J30" s="40">
        <v>0.38</v>
      </c>
      <c r="K30" s="40">
        <v>252.13</v>
      </c>
      <c r="L30" s="40">
        <v>26.38</v>
      </c>
      <c r="M30" s="40">
        <v>98.33</v>
      </c>
      <c r="N30" s="40">
        <v>2.4</v>
      </c>
      <c r="O30" s="40">
        <v>0</v>
      </c>
      <c r="P30" s="40">
        <v>0.28000000000000003</v>
      </c>
      <c r="Q30" s="40">
        <v>10</v>
      </c>
      <c r="R30" s="38"/>
      <c r="S30" s="38"/>
      <c r="T30" s="38"/>
      <c r="U30" s="38"/>
    </row>
    <row r="31" spans="1:21" customFormat="1">
      <c r="A31" s="39">
        <v>45853.958333333336</v>
      </c>
      <c r="B31" s="40">
        <v>2.4300000000000002</v>
      </c>
      <c r="C31" s="40">
        <v>4.3899999999999997</v>
      </c>
      <c r="D31" s="40">
        <v>2.86</v>
      </c>
      <c r="E31" s="40">
        <v>4.87</v>
      </c>
      <c r="F31" s="40">
        <v>2.59</v>
      </c>
      <c r="G31" s="40">
        <v>29.92</v>
      </c>
      <c r="H31" s="40">
        <v>11.07</v>
      </c>
      <c r="I31" s="40">
        <v>7.23</v>
      </c>
      <c r="J31" s="40">
        <v>0.26</v>
      </c>
      <c r="K31" s="40">
        <v>219.65</v>
      </c>
      <c r="L31" s="40">
        <v>26.34</v>
      </c>
      <c r="M31" s="40">
        <v>98.46</v>
      </c>
      <c r="N31" s="40">
        <v>2.4</v>
      </c>
      <c r="O31" s="40">
        <v>0</v>
      </c>
      <c r="P31" s="40">
        <v>0.28999999999999998</v>
      </c>
      <c r="Q31" s="40">
        <v>10</v>
      </c>
      <c r="R31" s="38"/>
      <c r="S31" s="38"/>
      <c r="T31" s="38"/>
      <c r="U31" s="38"/>
    </row>
    <row r="32" spans="1:21" customFormat="1">
      <c r="A32" s="40">
        <v>45854</v>
      </c>
      <c r="B32" s="40">
        <v>2.69</v>
      </c>
      <c r="C32" s="40">
        <v>4.7300000000000004</v>
      </c>
      <c r="D32" s="40">
        <v>3.01</v>
      </c>
      <c r="E32" s="40">
        <v>5.22</v>
      </c>
      <c r="F32" s="40">
        <v>1.53</v>
      </c>
      <c r="G32" s="40">
        <v>25.28</v>
      </c>
      <c r="H32" s="40">
        <v>11.1</v>
      </c>
      <c r="I32" s="40">
        <v>7.24</v>
      </c>
      <c r="J32" s="40">
        <v>0.16</v>
      </c>
      <c r="K32" s="40">
        <v>177.76</v>
      </c>
      <c r="L32" s="40">
        <v>26.43</v>
      </c>
      <c r="M32" s="40">
        <v>98.62</v>
      </c>
      <c r="N32" s="40">
        <v>2.2000000000000002</v>
      </c>
      <c r="O32" s="40">
        <v>0</v>
      </c>
      <c r="P32" s="40">
        <v>0.27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1.26</v>
      </c>
      <c r="C34" s="18">
        <f t="shared" si="0"/>
        <v>2.54</v>
      </c>
      <c r="D34" s="18">
        <f t="shared" si="0"/>
        <v>0.98</v>
      </c>
      <c r="E34" s="18">
        <f t="shared" si="0"/>
        <v>3.47</v>
      </c>
      <c r="F34" s="18">
        <f t="shared" si="0"/>
        <v>1.53</v>
      </c>
      <c r="G34" s="18">
        <f t="shared" si="0"/>
        <v>19.68</v>
      </c>
      <c r="H34" s="18">
        <f t="shared" si="0"/>
        <v>8.2200000000000006</v>
      </c>
      <c r="I34" s="18">
        <f t="shared" si="0"/>
        <v>5.83</v>
      </c>
      <c r="J34" s="18">
        <f t="shared" si="0"/>
        <v>0.11</v>
      </c>
      <c r="K34" s="18">
        <f t="shared" si="0"/>
        <v>57.44</v>
      </c>
      <c r="L34" s="18">
        <f t="shared" si="0"/>
        <v>25.99</v>
      </c>
      <c r="M34" s="18">
        <f t="shared" si="0"/>
        <v>67.25</v>
      </c>
      <c r="N34" s="18">
        <f t="shared" si="0"/>
        <v>2.1</v>
      </c>
      <c r="O34" s="18">
        <f t="shared" si="0"/>
        <v>0</v>
      </c>
      <c r="P34" s="18">
        <f t="shared" si="0"/>
        <v>0.21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3.31</v>
      </c>
      <c r="C35" s="3">
        <f t="shared" si="1"/>
        <v>5.32</v>
      </c>
      <c r="D35" s="3">
        <f t="shared" si="1"/>
        <v>3.64</v>
      </c>
      <c r="E35" s="3">
        <f t="shared" si="1"/>
        <v>6.97</v>
      </c>
      <c r="F35" s="3">
        <f t="shared" si="1"/>
        <v>25.29</v>
      </c>
      <c r="G35" s="3">
        <f t="shared" si="1"/>
        <v>53.57</v>
      </c>
      <c r="H35" s="3">
        <f t="shared" si="1"/>
        <v>21.16</v>
      </c>
      <c r="I35" s="3">
        <f t="shared" si="1"/>
        <v>11.54</v>
      </c>
      <c r="J35" s="3">
        <f t="shared" si="1"/>
        <v>1.1000000000000001</v>
      </c>
      <c r="K35" s="3">
        <f t="shared" si="1"/>
        <v>337.66</v>
      </c>
      <c r="L35" s="3">
        <f t="shared" si="1"/>
        <v>32.25</v>
      </c>
      <c r="M35" s="3">
        <f t="shared" si="1"/>
        <v>98.62</v>
      </c>
      <c r="N35" s="3">
        <f t="shared" si="1"/>
        <v>482.3</v>
      </c>
      <c r="O35" s="3">
        <f t="shared" si="1"/>
        <v>3</v>
      </c>
      <c r="P35" s="3">
        <f t="shared" si="1"/>
        <v>0.42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2.5562499999999999</v>
      </c>
      <c r="C36" s="18">
        <f t="shared" si="2"/>
        <v>4.5033333333333339</v>
      </c>
      <c r="D36" s="18">
        <f t="shared" si="2"/>
        <v>2.7487499999999998</v>
      </c>
      <c r="E36" s="18">
        <f t="shared" si="2"/>
        <v>5.1637500000000003</v>
      </c>
      <c r="F36" s="18">
        <f t="shared" si="2"/>
        <v>6.1883333333333352</v>
      </c>
      <c r="G36" s="18">
        <f t="shared" si="2"/>
        <v>34.196249999999999</v>
      </c>
      <c r="H36" s="18">
        <f t="shared" si="2"/>
        <v>12.668333333333335</v>
      </c>
      <c r="I36" s="18">
        <f t="shared" si="2"/>
        <v>7.7454166666666664</v>
      </c>
      <c r="J36" s="18">
        <f t="shared" si="2"/>
        <v>0.48375000000000007</v>
      </c>
      <c r="K36" s="18">
        <f t="shared" si="2"/>
        <v>216.85749999999999</v>
      </c>
      <c r="L36" s="18">
        <f t="shared" si="2"/>
        <v>28.237499999999997</v>
      </c>
      <c r="M36" s="18">
        <f t="shared" si="2"/>
        <v>87.509166666666673</v>
      </c>
      <c r="N36" s="18">
        <f t="shared" si="2"/>
        <v>94.90000000000002</v>
      </c>
      <c r="O36" s="18">
        <f t="shared" si="2"/>
        <v>0.21666666666666667</v>
      </c>
      <c r="P36" s="18">
        <f t="shared" si="2"/>
        <v>0.29333333333333339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0.68151884404072594</v>
      </c>
      <c r="C37" s="18">
        <f t="shared" ref="C37:Q37" si="3">STDEV(C9:C32)</f>
        <v>0.86332354087670227</v>
      </c>
      <c r="D37" s="18">
        <f t="shared" si="3"/>
        <v>0.71581703090882776</v>
      </c>
      <c r="E37" s="18">
        <f t="shared" si="3"/>
        <v>0.77144028200220438</v>
      </c>
      <c r="F37" s="18">
        <f t="shared" si="3"/>
        <v>6.4883110059664153</v>
      </c>
      <c r="G37" s="18">
        <f t="shared" si="3"/>
        <v>10.559917165559524</v>
      </c>
      <c r="H37" s="18">
        <f t="shared" si="3"/>
        <v>3.5338717117861407</v>
      </c>
      <c r="I37" s="18">
        <f t="shared" si="3"/>
        <v>1.4846020669194342</v>
      </c>
      <c r="J37" s="18">
        <f t="shared" si="3"/>
        <v>0.25417919902578817</v>
      </c>
      <c r="K37" s="18">
        <f t="shared" si="3"/>
        <v>73.870592739865899</v>
      </c>
      <c r="L37" s="18">
        <f t="shared" si="3"/>
        <v>2.0184782257498068</v>
      </c>
      <c r="M37" s="18">
        <f t="shared" si="3"/>
        <v>11.419990830981792</v>
      </c>
      <c r="N37" s="18">
        <f t="shared" si="3"/>
        <v>137.85452634854832</v>
      </c>
      <c r="O37" s="18">
        <f t="shared" si="3"/>
        <v>0.74347402321023015</v>
      </c>
      <c r="P37" s="18">
        <f t="shared" si="3"/>
        <v>5.3784325069562745E-2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60</v>
      </c>
      <c r="B9" s="40">
        <v>2.82</v>
      </c>
      <c r="C9" s="40">
        <v>4.8499999999999996</v>
      </c>
      <c r="D9" s="40">
        <v>2.97</v>
      </c>
      <c r="E9" s="40">
        <v>5.09</v>
      </c>
      <c r="F9" s="40">
        <v>2.2000000000000002</v>
      </c>
      <c r="G9" s="40">
        <v>34.99</v>
      </c>
      <c r="H9" s="40">
        <v>10.73</v>
      </c>
      <c r="I9" s="40">
        <v>7.38</v>
      </c>
      <c r="J9" s="40">
        <v>0.13</v>
      </c>
      <c r="K9" s="40">
        <v>211.09</v>
      </c>
      <c r="L9" s="40">
        <v>26.35</v>
      </c>
      <c r="M9" s="40">
        <v>98.85</v>
      </c>
      <c r="N9" s="40">
        <v>2.2999999999999998</v>
      </c>
      <c r="O9" s="40">
        <v>0</v>
      </c>
      <c r="P9" s="40">
        <v>0.27</v>
      </c>
      <c r="Q9" s="40">
        <v>10</v>
      </c>
      <c r="R9" s="38"/>
      <c r="S9" s="38"/>
      <c r="T9" s="38"/>
      <c r="U9" s="38"/>
    </row>
    <row r="10" spans="1:21" customFormat="1">
      <c r="A10" s="41" t="s">
        <v>61</v>
      </c>
      <c r="B10" s="40">
        <v>2.75</v>
      </c>
      <c r="C10" s="40">
        <v>4.8099999999999996</v>
      </c>
      <c r="D10" s="40">
        <v>3</v>
      </c>
      <c r="E10" s="40">
        <v>4.1900000000000004</v>
      </c>
      <c r="F10" s="40">
        <v>3.42</v>
      </c>
      <c r="G10" s="40">
        <v>26.18</v>
      </c>
      <c r="H10" s="40">
        <v>10.8</v>
      </c>
      <c r="I10" s="40">
        <v>7.25</v>
      </c>
      <c r="J10" s="40">
        <v>0.74</v>
      </c>
      <c r="K10" s="40">
        <v>276.29000000000002</v>
      </c>
      <c r="L10" s="40">
        <v>26.39</v>
      </c>
      <c r="M10" s="40">
        <v>99</v>
      </c>
      <c r="N10" s="40">
        <v>3.1</v>
      </c>
      <c r="O10" s="40">
        <v>0</v>
      </c>
      <c r="P10" s="40">
        <v>0.22</v>
      </c>
      <c r="Q10" s="40">
        <v>10</v>
      </c>
      <c r="R10" s="38"/>
      <c r="S10" s="38"/>
      <c r="T10" s="38"/>
      <c r="U10" s="38"/>
    </row>
    <row r="11" spans="1:21" customFormat="1">
      <c r="A11" s="41" t="s">
        <v>62</v>
      </c>
      <c r="B11" s="40">
        <v>2.68</v>
      </c>
      <c r="C11" s="40">
        <v>4.7300000000000004</v>
      </c>
      <c r="D11" s="40">
        <v>3.1</v>
      </c>
      <c r="E11" s="40">
        <v>4.58</v>
      </c>
      <c r="F11" s="40">
        <v>2.61</v>
      </c>
      <c r="G11" s="40">
        <v>22.45</v>
      </c>
      <c r="H11" s="40">
        <v>9.86</v>
      </c>
      <c r="I11" s="40">
        <v>7.03</v>
      </c>
      <c r="J11" s="40">
        <v>1.75</v>
      </c>
      <c r="K11" s="40">
        <v>287.01</v>
      </c>
      <c r="L11" s="40">
        <v>25.9</v>
      </c>
      <c r="M11" s="40">
        <v>99.11</v>
      </c>
      <c r="N11" s="40">
        <v>4.7</v>
      </c>
      <c r="O11" s="40">
        <v>4.2</v>
      </c>
      <c r="P11" s="40">
        <v>0.21</v>
      </c>
      <c r="Q11" s="40">
        <v>10</v>
      </c>
      <c r="R11" s="38"/>
      <c r="S11" s="38"/>
      <c r="T11" s="38"/>
      <c r="U11" s="38"/>
    </row>
    <row r="12" spans="1:21" customFormat="1">
      <c r="A12" s="41" t="s">
        <v>63</v>
      </c>
      <c r="B12" s="40">
        <v>2.81</v>
      </c>
      <c r="C12" s="40">
        <v>5.14</v>
      </c>
      <c r="D12" s="40">
        <v>3.59</v>
      </c>
      <c r="E12" s="40">
        <v>4.6100000000000003</v>
      </c>
      <c r="F12" s="40">
        <v>2.37</v>
      </c>
      <c r="G12" s="40">
        <v>16.95</v>
      </c>
      <c r="H12" s="40">
        <v>7.24</v>
      </c>
      <c r="I12" s="40">
        <v>6.93</v>
      </c>
      <c r="J12" s="40">
        <v>0.21</v>
      </c>
      <c r="K12" s="40">
        <v>214.94</v>
      </c>
      <c r="L12" s="40">
        <v>23.84</v>
      </c>
      <c r="M12" s="40">
        <v>99.34</v>
      </c>
      <c r="N12" s="40">
        <v>2.2999999999999998</v>
      </c>
      <c r="O12" s="40">
        <v>0.6</v>
      </c>
      <c r="P12" s="40">
        <v>0.19</v>
      </c>
      <c r="Q12" s="40">
        <v>10</v>
      </c>
      <c r="R12" s="38"/>
      <c r="S12" s="38"/>
      <c r="T12" s="38"/>
      <c r="U12" s="38"/>
    </row>
    <row r="13" spans="1:21" customFormat="1">
      <c r="A13" s="41" t="s">
        <v>64</v>
      </c>
      <c r="B13" s="40">
        <v>2.86</v>
      </c>
      <c r="C13" s="40">
        <v>5.21</v>
      </c>
      <c r="D13" s="40">
        <v>3.6</v>
      </c>
      <c r="E13" s="40">
        <v>4.71</v>
      </c>
      <c r="F13" s="40">
        <v>2.77</v>
      </c>
      <c r="G13" s="40">
        <v>13.56</v>
      </c>
      <c r="H13" s="40">
        <v>5.31</v>
      </c>
      <c r="I13" s="40">
        <v>6.95</v>
      </c>
      <c r="J13" s="40">
        <v>0.47</v>
      </c>
      <c r="K13" s="40">
        <v>306.61</v>
      </c>
      <c r="L13" s="40">
        <v>24.17</v>
      </c>
      <c r="M13" s="40">
        <v>98.56</v>
      </c>
      <c r="N13" s="40">
        <v>2.2000000000000002</v>
      </c>
      <c r="O13" s="40">
        <v>0.4</v>
      </c>
      <c r="P13" s="40">
        <v>0.23</v>
      </c>
      <c r="Q13" s="40">
        <v>10</v>
      </c>
      <c r="R13" s="38"/>
      <c r="S13" s="38"/>
      <c r="T13" s="38"/>
      <c r="U13" s="38"/>
    </row>
    <row r="14" spans="1:21" customFormat="1">
      <c r="A14" s="41" t="s">
        <v>65</v>
      </c>
      <c r="B14" s="40">
        <v>3.15</v>
      </c>
      <c r="C14" s="40">
        <v>5.52</v>
      </c>
      <c r="D14" s="40">
        <v>3.75</v>
      </c>
      <c r="E14" s="40">
        <v>4.6100000000000003</v>
      </c>
      <c r="F14" s="40">
        <v>2.15</v>
      </c>
      <c r="G14" s="40">
        <v>11.48</v>
      </c>
      <c r="H14" s="40">
        <v>4.79</v>
      </c>
      <c r="I14" s="40">
        <v>7.3</v>
      </c>
      <c r="J14" s="40">
        <v>0.28000000000000003</v>
      </c>
      <c r="K14" s="40">
        <v>341.42</v>
      </c>
      <c r="L14" s="40">
        <v>24.67</v>
      </c>
      <c r="M14" s="40">
        <v>98.83</v>
      </c>
      <c r="N14" s="40">
        <v>2.9</v>
      </c>
      <c r="O14" s="40">
        <v>0.4</v>
      </c>
      <c r="P14" s="40">
        <v>0.3</v>
      </c>
      <c r="Q14" s="40">
        <v>10</v>
      </c>
      <c r="R14" s="38"/>
      <c r="S14" s="38"/>
      <c r="T14" s="38"/>
      <c r="U14" s="38"/>
    </row>
    <row r="15" spans="1:21" customFormat="1">
      <c r="A15" s="41" t="s">
        <v>66</v>
      </c>
      <c r="B15" s="40">
        <v>2.93</v>
      </c>
      <c r="C15" s="40">
        <v>5.23</v>
      </c>
      <c r="D15" s="40">
        <v>3.53</v>
      </c>
      <c r="E15" s="40">
        <v>5.08</v>
      </c>
      <c r="F15" s="40">
        <v>2.1</v>
      </c>
      <c r="G15" s="40">
        <v>10.9</v>
      </c>
      <c r="H15" s="40">
        <v>5.32</v>
      </c>
      <c r="I15" s="40">
        <v>8</v>
      </c>
      <c r="J15" s="40">
        <v>0.15</v>
      </c>
      <c r="K15" s="40">
        <v>156.06</v>
      </c>
      <c r="L15" s="40">
        <v>24.68</v>
      </c>
      <c r="M15" s="40">
        <v>99.07</v>
      </c>
      <c r="N15" s="40">
        <v>13.9</v>
      </c>
      <c r="O15" s="40">
        <v>0.4</v>
      </c>
      <c r="P15" s="40">
        <v>0.33</v>
      </c>
      <c r="Q15" s="40">
        <v>10</v>
      </c>
      <c r="R15" s="38"/>
      <c r="S15" s="38"/>
      <c r="T15" s="38"/>
      <c r="U15" s="38"/>
    </row>
    <row r="16" spans="1:21" customFormat="1">
      <c r="A16" s="41" t="s">
        <v>67</v>
      </c>
      <c r="B16" s="40">
        <v>3.08</v>
      </c>
      <c r="C16" s="40">
        <v>5.43</v>
      </c>
      <c r="D16" s="40">
        <v>3.69</v>
      </c>
      <c r="E16" s="40">
        <v>4.96</v>
      </c>
      <c r="F16" s="40">
        <v>2.1</v>
      </c>
      <c r="G16" s="40">
        <v>11.12</v>
      </c>
      <c r="H16" s="40">
        <v>7.07</v>
      </c>
      <c r="I16" s="40">
        <v>8.5399999999999991</v>
      </c>
      <c r="J16" s="40">
        <v>0.28999999999999998</v>
      </c>
      <c r="K16" s="40">
        <v>250.9</v>
      </c>
      <c r="L16" s="40">
        <v>25.27</v>
      </c>
      <c r="M16" s="40">
        <v>99.9</v>
      </c>
      <c r="N16" s="40">
        <v>71.8</v>
      </c>
      <c r="O16" s="40">
        <v>0.2</v>
      </c>
      <c r="P16" s="40">
        <v>0.38</v>
      </c>
      <c r="Q16" s="40">
        <v>10</v>
      </c>
      <c r="R16" s="38"/>
      <c r="S16" s="38"/>
      <c r="T16" s="38"/>
      <c r="U16" s="38"/>
    </row>
    <row r="17" spans="1:21" customFormat="1">
      <c r="A17" s="41" t="s">
        <v>68</v>
      </c>
      <c r="B17" s="40">
        <v>2.57</v>
      </c>
      <c r="C17" s="40">
        <v>4.5599999999999996</v>
      </c>
      <c r="D17" s="40">
        <v>2.86</v>
      </c>
      <c r="E17" s="40">
        <v>5.01</v>
      </c>
      <c r="F17" s="40">
        <v>2.4</v>
      </c>
      <c r="G17" s="40">
        <v>11.64</v>
      </c>
      <c r="H17" s="40">
        <v>5.34</v>
      </c>
      <c r="I17" s="40">
        <v>8.8800000000000008</v>
      </c>
      <c r="J17" s="40">
        <v>0.35</v>
      </c>
      <c r="K17" s="40">
        <v>251.48</v>
      </c>
      <c r="L17" s="40">
        <v>26.29</v>
      </c>
      <c r="M17" s="40">
        <v>98.54</v>
      </c>
      <c r="N17" s="40">
        <v>141.5</v>
      </c>
      <c r="O17" s="40">
        <v>0</v>
      </c>
      <c r="P17" s="40">
        <v>0.38</v>
      </c>
      <c r="Q17" s="40">
        <v>10</v>
      </c>
      <c r="R17" s="38"/>
      <c r="S17" s="38"/>
      <c r="T17" s="38"/>
      <c r="U17" s="38"/>
    </row>
    <row r="18" spans="1:21" customFormat="1">
      <c r="A18" s="41" t="s">
        <v>69</v>
      </c>
      <c r="B18" s="40">
        <v>2.4700000000000002</v>
      </c>
      <c r="C18" s="40">
        <v>4.51</v>
      </c>
      <c r="D18" s="40">
        <v>2.86</v>
      </c>
      <c r="E18" s="40">
        <v>4.9000000000000004</v>
      </c>
      <c r="F18" s="40">
        <v>2.52</v>
      </c>
      <c r="G18" s="40">
        <v>14.46</v>
      </c>
      <c r="H18" s="40">
        <v>6.02</v>
      </c>
      <c r="I18" s="40">
        <v>8.68</v>
      </c>
      <c r="J18" s="40">
        <v>0.45</v>
      </c>
      <c r="K18" s="40">
        <v>278.14999999999998</v>
      </c>
      <c r="L18" s="40">
        <v>27.82</v>
      </c>
      <c r="M18" s="40">
        <v>98.04</v>
      </c>
      <c r="N18" s="40">
        <v>266.10000000000002</v>
      </c>
      <c r="O18" s="40">
        <v>0</v>
      </c>
      <c r="P18" s="40">
        <v>0.34</v>
      </c>
      <c r="Q18" s="40">
        <v>10</v>
      </c>
      <c r="R18" s="38"/>
      <c r="S18" s="38"/>
      <c r="T18" s="38"/>
      <c r="U18" s="38"/>
    </row>
    <row r="19" spans="1:21" customFormat="1">
      <c r="A19" s="41" t="s">
        <v>70</v>
      </c>
      <c r="B19" s="40">
        <v>2.19</v>
      </c>
      <c r="C19" s="40">
        <v>4.38</v>
      </c>
      <c r="D19" s="40">
        <v>3.03</v>
      </c>
      <c r="E19" s="40">
        <v>4.2300000000000004</v>
      </c>
      <c r="F19" s="40">
        <v>5.49</v>
      </c>
      <c r="G19" s="40">
        <v>14.29</v>
      </c>
      <c r="H19" s="40">
        <v>5.28</v>
      </c>
      <c r="I19" s="40">
        <v>7.64</v>
      </c>
      <c r="J19" s="40">
        <v>0.51</v>
      </c>
      <c r="K19" s="40">
        <v>284.12</v>
      </c>
      <c r="L19" s="40">
        <v>28.28</v>
      </c>
      <c r="M19" s="40">
        <v>89.21</v>
      </c>
      <c r="N19" s="40">
        <v>227</v>
      </c>
      <c r="O19" s="40">
        <v>0</v>
      </c>
      <c r="P19" s="40">
        <v>0.28000000000000003</v>
      </c>
      <c r="Q19" s="40">
        <v>10</v>
      </c>
      <c r="R19" s="38"/>
      <c r="S19" s="38"/>
      <c r="T19" s="38"/>
      <c r="U19" s="38"/>
    </row>
    <row r="20" spans="1:21" customFormat="1">
      <c r="A20" s="41" t="s">
        <v>71</v>
      </c>
      <c r="B20" s="40">
        <v>2.25</v>
      </c>
      <c r="C20" s="40">
        <v>4.4800000000000004</v>
      </c>
      <c r="D20" s="40">
        <v>3.14</v>
      </c>
      <c r="E20" s="40">
        <v>3.49</v>
      </c>
      <c r="F20" s="40">
        <v>5.1100000000000003</v>
      </c>
      <c r="G20" s="40">
        <v>14.4</v>
      </c>
      <c r="H20" s="40">
        <v>5.1100000000000003</v>
      </c>
      <c r="I20" s="40">
        <v>6.85</v>
      </c>
      <c r="J20" s="40">
        <v>0.43</v>
      </c>
      <c r="K20" s="40">
        <v>281.93</v>
      </c>
      <c r="L20" s="40">
        <v>28.2</v>
      </c>
      <c r="M20" s="40">
        <v>89.99</v>
      </c>
      <c r="N20" s="40">
        <v>153</v>
      </c>
      <c r="O20" s="40">
        <v>0</v>
      </c>
      <c r="P20" s="40">
        <v>0.25</v>
      </c>
      <c r="Q20" s="40">
        <v>10</v>
      </c>
      <c r="R20" s="38"/>
      <c r="S20" s="38"/>
      <c r="T20" s="38"/>
      <c r="U20" s="38"/>
    </row>
    <row r="21" spans="1:21" customFormat="1">
      <c r="A21" s="41" t="s">
        <v>72</v>
      </c>
      <c r="B21" s="40">
        <v>2.4300000000000002</v>
      </c>
      <c r="C21" s="40">
        <v>4.7699999999999996</v>
      </c>
      <c r="D21" s="40">
        <v>3.43</v>
      </c>
      <c r="E21" s="40">
        <v>4.07</v>
      </c>
      <c r="F21" s="40">
        <v>5.71</v>
      </c>
      <c r="G21" s="40">
        <v>16.440000000000001</v>
      </c>
      <c r="H21" s="40">
        <v>3.68</v>
      </c>
      <c r="I21" s="40">
        <v>7.14</v>
      </c>
      <c r="J21" s="40">
        <v>0.65</v>
      </c>
      <c r="K21" s="40">
        <v>286.92</v>
      </c>
      <c r="L21" s="40">
        <v>29.48</v>
      </c>
      <c r="M21" s="40">
        <v>85.68</v>
      </c>
      <c r="N21" s="40">
        <v>325</v>
      </c>
      <c r="O21" s="40">
        <v>0</v>
      </c>
      <c r="P21" s="40">
        <v>0.24</v>
      </c>
      <c r="Q21" s="40">
        <v>10</v>
      </c>
      <c r="R21" s="38"/>
      <c r="S21" s="38"/>
      <c r="T21" s="38"/>
      <c r="U21" s="38"/>
    </row>
    <row r="22" spans="1:21" customFormat="1">
      <c r="A22" s="41" t="s">
        <v>73</v>
      </c>
      <c r="B22" s="40">
        <v>2.0299999999999998</v>
      </c>
      <c r="C22" s="40">
        <v>4.2699999999999996</v>
      </c>
      <c r="D22" s="40">
        <v>3.07</v>
      </c>
      <c r="E22" s="40">
        <v>3.64</v>
      </c>
      <c r="F22" s="40">
        <v>6.79</v>
      </c>
      <c r="G22" s="40">
        <v>22.67</v>
      </c>
      <c r="H22" s="40">
        <v>4.87</v>
      </c>
      <c r="I22" s="40">
        <v>7.19</v>
      </c>
      <c r="J22" s="40">
        <v>1.07</v>
      </c>
      <c r="K22" s="40">
        <v>303.79000000000002</v>
      </c>
      <c r="L22" s="40">
        <v>30.63</v>
      </c>
      <c r="M22" s="40">
        <v>77.099999999999994</v>
      </c>
      <c r="N22" s="40">
        <v>497.8</v>
      </c>
      <c r="O22" s="40">
        <v>0</v>
      </c>
      <c r="P22" s="40">
        <v>0.25</v>
      </c>
      <c r="Q22" s="40">
        <v>10</v>
      </c>
      <c r="R22" s="38"/>
      <c r="S22" s="38"/>
      <c r="T22" s="38"/>
      <c r="U22" s="38"/>
    </row>
    <row r="23" spans="1:21" customFormat="1">
      <c r="A23" s="41" t="s">
        <v>74</v>
      </c>
      <c r="B23" s="40">
        <v>2.02</v>
      </c>
      <c r="C23" s="40">
        <v>4.3499999999999996</v>
      </c>
      <c r="D23" s="40">
        <v>3.24</v>
      </c>
      <c r="E23" s="40">
        <v>3.16</v>
      </c>
      <c r="F23" s="40">
        <v>8.08</v>
      </c>
      <c r="G23" s="40">
        <v>26.51</v>
      </c>
      <c r="H23" s="40">
        <v>8.23</v>
      </c>
      <c r="I23" s="40">
        <v>7.07</v>
      </c>
      <c r="J23" s="40">
        <v>0.81</v>
      </c>
      <c r="K23" s="40">
        <v>293.48</v>
      </c>
      <c r="L23" s="40">
        <v>30.61</v>
      </c>
      <c r="M23" s="40">
        <v>74.290000000000006</v>
      </c>
      <c r="N23" s="40">
        <v>270.10000000000002</v>
      </c>
      <c r="O23" s="40">
        <v>0</v>
      </c>
      <c r="P23" s="40">
        <v>0.2</v>
      </c>
      <c r="Q23" s="40">
        <v>10</v>
      </c>
      <c r="R23" s="38"/>
      <c r="S23" s="38"/>
      <c r="T23" s="38"/>
      <c r="U23" s="38"/>
    </row>
    <row r="24" spans="1:21" customFormat="1">
      <c r="A24" s="41" t="s">
        <v>75</v>
      </c>
      <c r="B24" s="40">
        <v>1.62</v>
      </c>
      <c r="C24" s="40">
        <v>3.89</v>
      </c>
      <c r="D24" s="40">
        <v>2.98</v>
      </c>
      <c r="E24" s="40">
        <v>3.3</v>
      </c>
      <c r="F24" s="40">
        <v>4.12</v>
      </c>
      <c r="G24" s="40">
        <v>30.01</v>
      </c>
      <c r="H24" s="40">
        <v>9.31</v>
      </c>
      <c r="I24" s="40">
        <v>6.42</v>
      </c>
      <c r="J24" s="40">
        <v>0.71</v>
      </c>
      <c r="K24" s="40">
        <v>257.57</v>
      </c>
      <c r="L24" s="40">
        <v>31.1</v>
      </c>
      <c r="M24" s="40">
        <v>73.8</v>
      </c>
      <c r="N24" s="40">
        <v>277.8</v>
      </c>
      <c r="O24" s="40">
        <v>0</v>
      </c>
      <c r="P24" s="40">
        <v>0.22</v>
      </c>
      <c r="Q24" s="40">
        <v>10</v>
      </c>
      <c r="R24" s="38"/>
      <c r="S24" s="38"/>
      <c r="T24" s="38"/>
      <c r="U24" s="38"/>
    </row>
    <row r="25" spans="1:21" customFormat="1">
      <c r="A25" s="41" t="s">
        <v>76</v>
      </c>
      <c r="B25" s="40">
        <v>1.41</v>
      </c>
      <c r="C25" s="40">
        <v>3.65</v>
      </c>
      <c r="D25" s="40">
        <v>2.94</v>
      </c>
      <c r="E25" s="40">
        <v>3.56</v>
      </c>
      <c r="F25" s="40">
        <v>4.97</v>
      </c>
      <c r="G25" s="40">
        <v>26.81</v>
      </c>
      <c r="H25" s="40">
        <v>10.24</v>
      </c>
      <c r="I25" s="40">
        <v>6.18</v>
      </c>
      <c r="J25" s="40">
        <v>0.46</v>
      </c>
      <c r="K25" s="40">
        <v>248.08</v>
      </c>
      <c r="L25" s="40">
        <v>30.15</v>
      </c>
      <c r="M25" s="40">
        <v>79.010000000000005</v>
      </c>
      <c r="N25" s="40">
        <v>85</v>
      </c>
      <c r="O25" s="40">
        <v>0</v>
      </c>
      <c r="P25" s="40">
        <v>0.22</v>
      </c>
      <c r="Q25" s="40">
        <v>10</v>
      </c>
      <c r="R25" s="38"/>
      <c r="S25" s="38"/>
      <c r="T25" s="38"/>
      <c r="U25" s="38"/>
    </row>
    <row r="26" spans="1:21" customFormat="1">
      <c r="A26" s="41" t="s">
        <v>77</v>
      </c>
      <c r="B26" s="40">
        <v>1.32</v>
      </c>
      <c r="C26" s="40">
        <v>3.25</v>
      </c>
      <c r="D26" s="40">
        <v>2.21</v>
      </c>
      <c r="E26" s="40">
        <v>3.85</v>
      </c>
      <c r="F26" s="40">
        <v>5.84</v>
      </c>
      <c r="G26" s="40">
        <v>30.5</v>
      </c>
      <c r="H26" s="40">
        <v>13.37</v>
      </c>
      <c r="I26" s="40">
        <v>6.17</v>
      </c>
      <c r="J26" s="40">
        <v>0.31</v>
      </c>
      <c r="K26" s="40">
        <v>251.12</v>
      </c>
      <c r="L26" s="40">
        <v>29.83</v>
      </c>
      <c r="M26" s="40">
        <v>81.17</v>
      </c>
      <c r="N26" s="40">
        <v>58.4</v>
      </c>
      <c r="O26" s="40">
        <v>0</v>
      </c>
      <c r="P26" s="40">
        <v>0.2</v>
      </c>
      <c r="Q26" s="40">
        <v>10</v>
      </c>
      <c r="R26" s="38"/>
      <c r="S26" s="38"/>
      <c r="T26" s="38"/>
      <c r="U26" s="38"/>
    </row>
    <row r="27" spans="1:21" customFormat="1">
      <c r="A27" s="41" t="s">
        <v>78</v>
      </c>
      <c r="B27" s="40">
        <v>1.32</v>
      </c>
      <c r="C27" s="40">
        <v>3.21</v>
      </c>
      <c r="D27" s="40">
        <v>2.14</v>
      </c>
      <c r="E27" s="40">
        <v>4.63</v>
      </c>
      <c r="F27" s="40">
        <v>4.08</v>
      </c>
      <c r="G27" s="40">
        <v>31.25</v>
      </c>
      <c r="H27" s="40">
        <v>14.32</v>
      </c>
      <c r="I27" s="40">
        <v>5.51</v>
      </c>
      <c r="J27" s="40">
        <v>0.39</v>
      </c>
      <c r="K27" s="40">
        <v>252.67</v>
      </c>
      <c r="L27" s="40">
        <v>29.19</v>
      </c>
      <c r="M27" s="40">
        <v>89.28</v>
      </c>
      <c r="N27" s="40">
        <v>18.8</v>
      </c>
      <c r="O27" s="40">
        <v>0</v>
      </c>
      <c r="P27" s="40">
        <v>0.18</v>
      </c>
      <c r="Q27" s="40">
        <v>10</v>
      </c>
      <c r="R27" s="38"/>
      <c r="S27" s="38"/>
      <c r="T27" s="38"/>
      <c r="U27" s="38"/>
    </row>
    <row r="28" spans="1:21" customFormat="1">
      <c r="A28" s="41" t="s">
        <v>79</v>
      </c>
      <c r="B28" s="40">
        <v>1.48</v>
      </c>
      <c r="C28" s="40">
        <v>3.66</v>
      </c>
      <c r="D28" s="40">
        <v>2.77</v>
      </c>
      <c r="E28" s="40">
        <v>4.63</v>
      </c>
      <c r="F28" s="40">
        <v>2.64</v>
      </c>
      <c r="G28" s="40">
        <v>27.95</v>
      </c>
      <c r="H28" s="40">
        <v>14.57</v>
      </c>
      <c r="I28" s="40">
        <v>5.09</v>
      </c>
      <c r="J28" s="40">
        <v>0.31</v>
      </c>
      <c r="K28" s="40">
        <v>250.06</v>
      </c>
      <c r="L28" s="40">
        <v>28.27</v>
      </c>
      <c r="M28" s="40">
        <v>92.08</v>
      </c>
      <c r="N28" s="40">
        <v>2.2000000000000002</v>
      </c>
      <c r="O28" s="40">
        <v>0</v>
      </c>
      <c r="P28" s="40">
        <v>0.17</v>
      </c>
      <c r="Q28" s="40">
        <v>10</v>
      </c>
      <c r="R28" s="38"/>
      <c r="S28" s="38"/>
      <c r="T28" s="38"/>
      <c r="U28" s="38"/>
    </row>
    <row r="29" spans="1:21" customFormat="1">
      <c r="A29" s="41" t="s">
        <v>80</v>
      </c>
      <c r="B29" s="40">
        <v>1.55</v>
      </c>
      <c r="C29" s="40">
        <v>3.45</v>
      </c>
      <c r="D29" s="40">
        <v>2.25</v>
      </c>
      <c r="E29" s="40">
        <v>4.67</v>
      </c>
      <c r="F29" s="40">
        <v>11.28</v>
      </c>
      <c r="G29" s="40">
        <v>25.9</v>
      </c>
      <c r="H29" s="40">
        <v>12.04</v>
      </c>
      <c r="I29" s="40">
        <v>4.76</v>
      </c>
      <c r="J29" s="40">
        <v>0.14000000000000001</v>
      </c>
      <c r="K29" s="40">
        <v>286.39</v>
      </c>
      <c r="L29" s="40">
        <v>27.71</v>
      </c>
      <c r="M29" s="40">
        <v>93.14</v>
      </c>
      <c r="N29" s="40">
        <v>2.1</v>
      </c>
      <c r="O29" s="40">
        <v>0</v>
      </c>
      <c r="P29" s="40">
        <v>0.15</v>
      </c>
      <c r="Q29" s="40">
        <v>10</v>
      </c>
      <c r="R29" s="38"/>
      <c r="S29" s="38"/>
      <c r="T29" s="38"/>
      <c r="U29" s="38"/>
    </row>
    <row r="30" spans="1:21" customFormat="1">
      <c r="A30" s="41" t="s">
        <v>81</v>
      </c>
      <c r="B30" s="40">
        <v>1.6</v>
      </c>
      <c r="C30" s="40">
        <v>3.49</v>
      </c>
      <c r="D30" s="40">
        <v>2.25</v>
      </c>
      <c r="E30" s="40">
        <v>4.0999999999999996</v>
      </c>
      <c r="F30" s="40">
        <v>6.22</v>
      </c>
      <c r="G30" s="40">
        <v>23.6</v>
      </c>
      <c r="H30" s="40">
        <v>10.01</v>
      </c>
      <c r="I30" s="40">
        <v>4.42</v>
      </c>
      <c r="J30" s="40">
        <v>0.11</v>
      </c>
      <c r="K30" s="40">
        <v>190.29</v>
      </c>
      <c r="L30" s="40">
        <v>27.35</v>
      </c>
      <c r="M30" s="40">
        <v>94.3</v>
      </c>
      <c r="N30" s="40">
        <v>2.2000000000000002</v>
      </c>
      <c r="O30" s="40">
        <v>0</v>
      </c>
      <c r="P30" s="40">
        <v>0.11</v>
      </c>
      <c r="Q30" s="40">
        <v>10</v>
      </c>
      <c r="R30" s="38"/>
      <c r="S30" s="38"/>
      <c r="T30" s="38"/>
      <c r="U30" s="38"/>
    </row>
    <row r="31" spans="1:21" customFormat="1">
      <c r="A31" s="41" t="s">
        <v>82</v>
      </c>
      <c r="B31" s="40">
        <v>1.81</v>
      </c>
      <c r="C31" s="40">
        <v>3.82</v>
      </c>
      <c r="D31" s="40">
        <v>2.56</v>
      </c>
      <c r="E31" s="40">
        <v>3.91</v>
      </c>
      <c r="F31" s="40">
        <v>4.6500000000000004</v>
      </c>
      <c r="G31" s="40">
        <v>22.31</v>
      </c>
      <c r="H31" s="40">
        <v>9.75</v>
      </c>
      <c r="I31" s="40">
        <v>4.47</v>
      </c>
      <c r="J31" s="40">
        <v>0.13</v>
      </c>
      <c r="K31" s="40">
        <v>250.49</v>
      </c>
      <c r="L31" s="40">
        <v>26.84</v>
      </c>
      <c r="M31" s="40">
        <v>96.31</v>
      </c>
      <c r="N31" s="40">
        <v>2.1</v>
      </c>
      <c r="O31" s="40">
        <v>0</v>
      </c>
      <c r="P31" s="40">
        <v>0.12</v>
      </c>
      <c r="Q31" s="40">
        <v>10</v>
      </c>
      <c r="R31" s="38"/>
      <c r="S31" s="38"/>
      <c r="T31" s="38"/>
      <c r="U31" s="38"/>
    </row>
    <row r="32" spans="1:21" customFormat="1">
      <c r="A32" s="41" t="s">
        <v>83</v>
      </c>
      <c r="B32" s="40">
        <v>1.75</v>
      </c>
      <c r="C32" s="40">
        <v>3.68</v>
      </c>
      <c r="D32" s="40">
        <v>2.39</v>
      </c>
      <c r="E32" s="40">
        <v>4.24</v>
      </c>
      <c r="F32" s="40">
        <v>5.56</v>
      </c>
      <c r="G32" s="40">
        <v>20.54</v>
      </c>
      <c r="H32" s="40">
        <v>10.08</v>
      </c>
      <c r="I32" s="40">
        <v>4.3899999999999997</v>
      </c>
      <c r="J32" s="40">
        <v>0.16</v>
      </c>
      <c r="K32" s="40">
        <v>256.39</v>
      </c>
      <c r="L32" s="40">
        <v>26.76</v>
      </c>
      <c r="M32" s="40">
        <v>94.91</v>
      </c>
      <c r="N32" s="40">
        <v>2.1</v>
      </c>
      <c r="O32" s="40">
        <v>0</v>
      </c>
      <c r="P32" s="40">
        <v>0.1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1.32</v>
      </c>
      <c r="C34" s="18">
        <f t="shared" si="0"/>
        <v>3.21</v>
      </c>
      <c r="D34" s="18">
        <f t="shared" si="0"/>
        <v>2.14</v>
      </c>
      <c r="E34" s="18">
        <f t="shared" si="0"/>
        <v>3.16</v>
      </c>
      <c r="F34" s="18">
        <f t="shared" si="0"/>
        <v>2.1</v>
      </c>
      <c r="G34" s="18">
        <f t="shared" si="0"/>
        <v>10.9</v>
      </c>
      <c r="H34" s="18">
        <f t="shared" si="0"/>
        <v>3.68</v>
      </c>
      <c r="I34" s="18">
        <f t="shared" si="0"/>
        <v>4.3899999999999997</v>
      </c>
      <c r="J34" s="18">
        <f t="shared" si="0"/>
        <v>0.11</v>
      </c>
      <c r="K34" s="18">
        <f t="shared" si="0"/>
        <v>156.06</v>
      </c>
      <c r="L34" s="18">
        <f t="shared" si="0"/>
        <v>23.84</v>
      </c>
      <c r="M34" s="18">
        <f t="shared" si="0"/>
        <v>73.8</v>
      </c>
      <c r="N34" s="18">
        <f t="shared" si="0"/>
        <v>2.1</v>
      </c>
      <c r="O34" s="18">
        <f t="shared" si="0"/>
        <v>0</v>
      </c>
      <c r="P34" s="18">
        <f t="shared" si="0"/>
        <v>0.1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3.15</v>
      </c>
      <c r="C35" s="3">
        <f t="shared" si="1"/>
        <v>5.52</v>
      </c>
      <c r="D35" s="3">
        <f t="shared" si="1"/>
        <v>3.75</v>
      </c>
      <c r="E35" s="3">
        <f t="shared" si="1"/>
        <v>5.09</v>
      </c>
      <c r="F35" s="3">
        <f t="shared" si="1"/>
        <v>11.28</v>
      </c>
      <c r="G35" s="3">
        <f t="shared" si="1"/>
        <v>34.99</v>
      </c>
      <c r="H35" s="3">
        <f t="shared" si="1"/>
        <v>14.57</v>
      </c>
      <c r="I35" s="3">
        <f t="shared" si="1"/>
        <v>8.8800000000000008</v>
      </c>
      <c r="J35" s="3">
        <f t="shared" si="1"/>
        <v>1.75</v>
      </c>
      <c r="K35" s="3">
        <f t="shared" si="1"/>
        <v>341.42</v>
      </c>
      <c r="L35" s="3">
        <f t="shared" si="1"/>
        <v>31.1</v>
      </c>
      <c r="M35" s="3">
        <f t="shared" si="1"/>
        <v>99.9</v>
      </c>
      <c r="N35" s="3">
        <f t="shared" si="1"/>
        <v>497.8</v>
      </c>
      <c r="O35" s="3">
        <f t="shared" si="1"/>
        <v>4.2</v>
      </c>
      <c r="P35" s="3">
        <f t="shared" si="1"/>
        <v>0.38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2.2041666666666666</v>
      </c>
      <c r="C36" s="18">
        <f t="shared" si="2"/>
        <v>4.3474999999999993</v>
      </c>
      <c r="D36" s="18">
        <f t="shared" si="2"/>
        <v>2.9729166666666669</v>
      </c>
      <c r="E36" s="18">
        <f t="shared" si="2"/>
        <v>4.3008333333333324</v>
      </c>
      <c r="F36" s="18">
        <f t="shared" si="2"/>
        <v>4.3825000000000003</v>
      </c>
      <c r="G36" s="18">
        <f t="shared" si="2"/>
        <v>21.12125</v>
      </c>
      <c r="H36" s="18">
        <f t="shared" si="2"/>
        <v>8.4725000000000001</v>
      </c>
      <c r="I36" s="18">
        <f t="shared" si="2"/>
        <v>6.6766666666666632</v>
      </c>
      <c r="J36" s="18">
        <f t="shared" si="2"/>
        <v>0.45875000000000016</v>
      </c>
      <c r="K36" s="18">
        <f t="shared" si="2"/>
        <v>261.13541666666669</v>
      </c>
      <c r="L36" s="18">
        <f t="shared" si="2"/>
        <v>27.490833333333338</v>
      </c>
      <c r="M36" s="18">
        <f t="shared" si="2"/>
        <v>91.646249999999995</v>
      </c>
      <c r="N36" s="18">
        <f t="shared" si="2"/>
        <v>101.43333333333332</v>
      </c>
      <c r="O36" s="18">
        <f t="shared" si="2"/>
        <v>0.25833333333333336</v>
      </c>
      <c r="P36" s="18">
        <f t="shared" si="2"/>
        <v>0.23083333333333333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0.60525895763474813</v>
      </c>
      <c r="C37" s="18">
        <f t="shared" ref="C37:Q37" si="3">STDEV(C9:C32)</f>
        <v>0.70760619113962575</v>
      </c>
      <c r="D37" s="18">
        <f t="shared" si="3"/>
        <v>0.48630352989506737</v>
      </c>
      <c r="E37" s="18">
        <f t="shared" si="3"/>
        <v>0.57982693569920085</v>
      </c>
      <c r="F37" s="18">
        <f t="shared" si="3"/>
        <v>2.2779324149229092</v>
      </c>
      <c r="G37" s="18">
        <f t="shared" si="3"/>
        <v>7.373483226488303</v>
      </c>
      <c r="H37" s="18">
        <f t="shared" si="3"/>
        <v>3.2386702182545086</v>
      </c>
      <c r="I37" s="18">
        <f t="shared" si="3"/>
        <v>1.3264882262925703</v>
      </c>
      <c r="J37" s="18">
        <f t="shared" si="3"/>
        <v>0.37030319539768902</v>
      </c>
      <c r="K37" s="18">
        <f t="shared" si="3"/>
        <v>39.749890672987569</v>
      </c>
      <c r="L37" s="18">
        <f t="shared" si="3"/>
        <v>2.1518019075359516</v>
      </c>
      <c r="M37" s="18">
        <f t="shared" si="3"/>
        <v>8.658762243355369</v>
      </c>
      <c r="N37" s="18">
        <f t="shared" si="3"/>
        <v>138.12608186998438</v>
      </c>
      <c r="O37" s="18">
        <f t="shared" si="3"/>
        <v>0.85765943715727133</v>
      </c>
      <c r="P37" s="18">
        <f t="shared" si="3"/>
        <v>7.7173810981765512E-2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84</v>
      </c>
      <c r="B9" s="40">
        <v>1.43</v>
      </c>
      <c r="C9" s="40">
        <v>3.51</v>
      </c>
      <c r="D9" s="40">
        <v>2.54</v>
      </c>
      <c r="E9" s="40">
        <v>4.24</v>
      </c>
      <c r="F9" s="40">
        <v>4.79</v>
      </c>
      <c r="G9" s="40">
        <v>16.66</v>
      </c>
      <c r="H9" s="40">
        <v>8.82</v>
      </c>
      <c r="I9" s="40">
        <v>4.49</v>
      </c>
      <c r="J9" s="40">
        <v>0.18</v>
      </c>
      <c r="K9" s="40">
        <v>253.08</v>
      </c>
      <c r="L9" s="40">
        <v>26.69</v>
      </c>
      <c r="M9" s="40">
        <v>94.87</v>
      </c>
      <c r="N9" s="40">
        <v>2.1</v>
      </c>
      <c r="O9" s="40">
        <v>0</v>
      </c>
      <c r="P9" s="40">
        <v>0.1</v>
      </c>
      <c r="Q9" s="40">
        <v>10</v>
      </c>
      <c r="R9" s="38"/>
      <c r="S9" s="38"/>
      <c r="T9" s="38"/>
      <c r="U9" s="38"/>
    </row>
    <row r="10" spans="1:21" customFormat="1">
      <c r="A10" s="41" t="s">
        <v>85</v>
      </c>
      <c r="B10" s="40">
        <v>1.56</v>
      </c>
      <c r="C10" s="40">
        <v>3.75</v>
      </c>
      <c r="D10" s="40">
        <v>2.81</v>
      </c>
      <c r="E10" s="40">
        <v>4.28</v>
      </c>
      <c r="F10" s="40">
        <v>2.42</v>
      </c>
      <c r="G10" s="40">
        <v>13.73</v>
      </c>
      <c r="H10" s="40">
        <v>7.54</v>
      </c>
      <c r="I10" s="40">
        <v>4.3899999999999997</v>
      </c>
      <c r="J10" s="40">
        <v>0.13</v>
      </c>
      <c r="K10" s="40">
        <v>240.94</v>
      </c>
      <c r="L10" s="40">
        <v>26.61</v>
      </c>
      <c r="M10" s="40">
        <v>95.91</v>
      </c>
      <c r="N10" s="40">
        <v>2.1</v>
      </c>
      <c r="O10" s="40">
        <v>0</v>
      </c>
      <c r="P10" s="40">
        <v>0.13</v>
      </c>
      <c r="Q10" s="40">
        <v>10</v>
      </c>
      <c r="R10" s="38"/>
      <c r="S10" s="38"/>
      <c r="T10" s="38"/>
      <c r="U10" s="38"/>
    </row>
    <row r="11" spans="1:21" customFormat="1">
      <c r="A11" s="41" t="s">
        <v>86</v>
      </c>
      <c r="B11" s="40">
        <v>1.34</v>
      </c>
      <c r="C11" s="40">
        <v>3.28</v>
      </c>
      <c r="D11" s="40">
        <v>2.2400000000000002</v>
      </c>
      <c r="E11" s="40">
        <v>6.09</v>
      </c>
      <c r="F11" s="40">
        <v>1.95</v>
      </c>
      <c r="G11" s="40">
        <v>15.37</v>
      </c>
      <c r="H11" s="40">
        <v>8.93</v>
      </c>
      <c r="I11" s="40">
        <v>4.17</v>
      </c>
      <c r="J11" s="40">
        <v>0.14000000000000001</v>
      </c>
      <c r="K11" s="40">
        <v>189.09</v>
      </c>
      <c r="L11" s="40">
        <v>26.37</v>
      </c>
      <c r="M11" s="40">
        <v>96.2</v>
      </c>
      <c r="N11" s="40">
        <v>2.1</v>
      </c>
      <c r="O11" s="40">
        <v>0</v>
      </c>
      <c r="P11" s="40">
        <v>0.12</v>
      </c>
      <c r="Q11" s="40">
        <v>10</v>
      </c>
      <c r="R11" s="38"/>
      <c r="S11" s="38"/>
      <c r="T11" s="38"/>
      <c r="U11" s="38"/>
    </row>
    <row r="12" spans="1:21" customFormat="1">
      <c r="A12" s="41" t="s">
        <v>87</v>
      </c>
      <c r="B12" s="40">
        <v>1.5</v>
      </c>
      <c r="C12" s="40">
        <v>3.72</v>
      </c>
      <c r="D12" s="40">
        <v>2.82</v>
      </c>
      <c r="E12" s="40">
        <v>6.14</v>
      </c>
      <c r="F12" s="40">
        <v>2.46</v>
      </c>
      <c r="G12" s="40">
        <v>16.079999999999998</v>
      </c>
      <c r="H12" s="40">
        <v>7.07</v>
      </c>
      <c r="I12" s="40">
        <v>4.03</v>
      </c>
      <c r="J12" s="40">
        <v>0.18</v>
      </c>
      <c r="K12" s="40">
        <v>242.07</v>
      </c>
      <c r="L12" s="40">
        <v>26.27</v>
      </c>
      <c r="M12" s="40">
        <v>97.09</v>
      </c>
      <c r="N12" s="40">
        <v>2.1</v>
      </c>
      <c r="O12" s="40">
        <v>0</v>
      </c>
      <c r="P12" s="40">
        <v>0.12</v>
      </c>
      <c r="Q12" s="40">
        <v>10</v>
      </c>
      <c r="R12" s="38"/>
      <c r="S12" s="38"/>
      <c r="T12" s="38"/>
      <c r="U12" s="38"/>
    </row>
    <row r="13" spans="1:21" customFormat="1">
      <c r="A13" s="41" t="s">
        <v>88</v>
      </c>
      <c r="B13" s="40">
        <v>1.55</v>
      </c>
      <c r="C13" s="40">
        <v>3.74</v>
      </c>
      <c r="D13" s="40">
        <v>2.79</v>
      </c>
      <c r="E13" s="40">
        <v>6.11</v>
      </c>
      <c r="F13" s="40">
        <v>1.88</v>
      </c>
      <c r="G13" s="40">
        <v>15.26</v>
      </c>
      <c r="H13" s="40">
        <v>8.2100000000000009</v>
      </c>
      <c r="I13" s="40">
        <v>3.79</v>
      </c>
      <c r="J13" s="40">
        <v>0.13</v>
      </c>
      <c r="K13" s="40">
        <v>210.85</v>
      </c>
      <c r="L13" s="40">
        <v>26.06</v>
      </c>
      <c r="M13" s="40">
        <v>96.72</v>
      </c>
      <c r="N13" s="40">
        <v>2.1</v>
      </c>
      <c r="O13" s="40">
        <v>0</v>
      </c>
      <c r="P13" s="40">
        <v>0.11</v>
      </c>
      <c r="Q13" s="40">
        <v>10</v>
      </c>
      <c r="R13" s="38"/>
      <c r="S13" s="38"/>
      <c r="T13" s="38"/>
      <c r="U13" s="38"/>
    </row>
    <row r="14" spans="1:21" customFormat="1">
      <c r="A14" s="41" t="s">
        <v>89</v>
      </c>
      <c r="B14" s="40">
        <v>1.66</v>
      </c>
      <c r="C14" s="40">
        <v>3.88</v>
      </c>
      <c r="D14" s="40">
        <v>2.9</v>
      </c>
      <c r="E14" s="40">
        <v>6.29</v>
      </c>
      <c r="F14" s="40">
        <v>2.35</v>
      </c>
      <c r="G14" s="40">
        <v>14.12</v>
      </c>
      <c r="H14" s="40">
        <v>6.32</v>
      </c>
      <c r="I14" s="40">
        <v>3.7</v>
      </c>
      <c r="J14" s="40">
        <v>0.12</v>
      </c>
      <c r="K14" s="40">
        <v>156.06</v>
      </c>
      <c r="L14" s="40">
        <v>25.77</v>
      </c>
      <c r="M14" s="40">
        <v>97.72</v>
      </c>
      <c r="N14" s="40">
        <v>12.6</v>
      </c>
      <c r="O14" s="40">
        <v>0</v>
      </c>
      <c r="P14" s="40">
        <v>0.11</v>
      </c>
      <c r="Q14" s="40">
        <v>10</v>
      </c>
      <c r="R14" s="38"/>
      <c r="S14" s="38"/>
      <c r="T14" s="38"/>
      <c r="U14" s="38"/>
    </row>
    <row r="15" spans="1:21" customFormat="1">
      <c r="A15" s="41" t="s">
        <v>90</v>
      </c>
      <c r="B15" s="40">
        <v>1.67</v>
      </c>
      <c r="C15" s="40">
        <v>3.72</v>
      </c>
      <c r="D15" s="40">
        <v>2.57</v>
      </c>
      <c r="E15" s="40">
        <v>5.95</v>
      </c>
      <c r="F15" s="40">
        <v>3.2</v>
      </c>
      <c r="G15" s="40">
        <v>11.98</v>
      </c>
      <c r="H15" s="40">
        <v>7.56</v>
      </c>
      <c r="I15" s="40">
        <v>3.96</v>
      </c>
      <c r="J15" s="40">
        <v>0.14000000000000001</v>
      </c>
      <c r="K15" s="40">
        <v>262.45</v>
      </c>
      <c r="L15" s="40">
        <v>26.58</v>
      </c>
      <c r="M15" s="40">
        <v>97.93</v>
      </c>
      <c r="N15" s="40">
        <v>55.8</v>
      </c>
      <c r="O15" s="40">
        <v>0</v>
      </c>
      <c r="P15" s="40">
        <v>0.1</v>
      </c>
      <c r="Q15" s="40">
        <v>10</v>
      </c>
      <c r="R15" s="38"/>
      <c r="S15" s="38"/>
      <c r="T15" s="38"/>
      <c r="U15" s="38"/>
    </row>
    <row r="16" spans="1:21" customFormat="1">
      <c r="A16" s="41" t="s">
        <v>91</v>
      </c>
      <c r="B16" s="40">
        <v>1.71</v>
      </c>
      <c r="C16" s="40">
        <v>3.83</v>
      </c>
      <c r="D16" s="40">
        <v>2.72</v>
      </c>
      <c r="E16" s="40">
        <v>5.42</v>
      </c>
      <c r="F16" s="40">
        <v>3.96</v>
      </c>
      <c r="G16" s="40">
        <v>12.05</v>
      </c>
      <c r="H16" s="40">
        <v>5.49</v>
      </c>
      <c r="I16" s="40">
        <v>4.01</v>
      </c>
      <c r="J16" s="40">
        <v>0.43</v>
      </c>
      <c r="K16" s="40">
        <v>251.94</v>
      </c>
      <c r="L16" s="40">
        <v>27.5</v>
      </c>
      <c r="M16" s="40">
        <v>92.16</v>
      </c>
      <c r="N16" s="40">
        <v>135.6</v>
      </c>
      <c r="O16" s="40">
        <v>0</v>
      </c>
      <c r="P16" s="40">
        <v>0.08</v>
      </c>
      <c r="Q16" s="40">
        <v>10</v>
      </c>
      <c r="R16" s="38"/>
      <c r="S16" s="38"/>
      <c r="T16" s="38"/>
      <c r="U16" s="38"/>
    </row>
    <row r="17" spans="1:21" customFormat="1">
      <c r="A17" s="41" t="s">
        <v>92</v>
      </c>
      <c r="B17" s="40">
        <v>1.62</v>
      </c>
      <c r="C17" s="40">
        <v>3.93</v>
      </c>
      <c r="D17" s="40">
        <v>3.06</v>
      </c>
      <c r="E17" s="40">
        <v>5.42</v>
      </c>
      <c r="F17" s="40">
        <v>4.41</v>
      </c>
      <c r="G17" s="40">
        <v>13.79</v>
      </c>
      <c r="H17" s="40">
        <v>5.04</v>
      </c>
      <c r="I17" s="40">
        <v>4.07</v>
      </c>
      <c r="J17" s="40">
        <v>0.5</v>
      </c>
      <c r="K17" s="40">
        <v>255.98</v>
      </c>
      <c r="L17" s="40">
        <v>29.06</v>
      </c>
      <c r="M17" s="40">
        <v>85.65</v>
      </c>
      <c r="N17" s="40">
        <v>194.1</v>
      </c>
      <c r="O17" s="40">
        <v>0</v>
      </c>
      <c r="P17" s="40">
        <v>0.08</v>
      </c>
      <c r="Q17" s="40">
        <v>10</v>
      </c>
      <c r="R17" s="38"/>
      <c r="S17" s="38"/>
      <c r="T17" s="38"/>
      <c r="U17" s="38"/>
    </row>
    <row r="18" spans="1:21" customFormat="1">
      <c r="A18" s="41" t="s">
        <v>93</v>
      </c>
      <c r="B18" s="40">
        <v>1.69</v>
      </c>
      <c r="C18" s="40">
        <v>3.98</v>
      </c>
      <c r="D18" s="40">
        <v>3.13</v>
      </c>
      <c r="E18" s="40">
        <v>5.09</v>
      </c>
      <c r="F18" s="40">
        <v>4.32</v>
      </c>
      <c r="G18" s="40">
        <v>14.77</v>
      </c>
      <c r="H18" s="40">
        <v>7.25</v>
      </c>
      <c r="I18" s="40">
        <v>4.03</v>
      </c>
      <c r="J18" s="40">
        <v>0.57999999999999996</v>
      </c>
      <c r="K18" s="40">
        <v>263.79000000000002</v>
      </c>
      <c r="L18" s="40">
        <v>30.37</v>
      </c>
      <c r="M18" s="40">
        <v>78.650000000000006</v>
      </c>
      <c r="N18" s="40">
        <v>235.6</v>
      </c>
      <c r="O18" s="40">
        <v>0</v>
      </c>
      <c r="P18" s="40">
        <v>0.08</v>
      </c>
      <c r="Q18" s="40">
        <v>10</v>
      </c>
      <c r="R18" s="38"/>
      <c r="S18" s="38"/>
      <c r="T18" s="38"/>
      <c r="U18" s="38"/>
    </row>
    <row r="19" spans="1:21" customFormat="1">
      <c r="A19" s="41" t="s">
        <v>94</v>
      </c>
      <c r="B19" s="40">
        <v>1.39</v>
      </c>
      <c r="C19" s="40">
        <v>3.67</v>
      </c>
      <c r="D19" s="40">
        <v>2.9</v>
      </c>
      <c r="E19" s="40">
        <v>4.59</v>
      </c>
      <c r="F19" s="40">
        <v>5.69</v>
      </c>
      <c r="G19" s="40">
        <v>16.510000000000002</v>
      </c>
      <c r="H19" s="40">
        <v>9</v>
      </c>
      <c r="I19" s="40">
        <v>4.01</v>
      </c>
      <c r="J19" s="40">
        <v>0.7</v>
      </c>
      <c r="K19" s="40">
        <v>268.3</v>
      </c>
      <c r="L19" s="40">
        <v>31.78</v>
      </c>
      <c r="M19" s="40">
        <v>74.75</v>
      </c>
      <c r="N19" s="40">
        <v>256.8</v>
      </c>
      <c r="O19" s="40">
        <v>0</v>
      </c>
      <c r="P19" s="40">
        <v>0.09</v>
      </c>
      <c r="Q19" s="40">
        <v>10</v>
      </c>
      <c r="R19" s="38"/>
      <c r="S19" s="38"/>
      <c r="T19" s="38"/>
      <c r="U19" s="38"/>
    </row>
    <row r="20" spans="1:21" customFormat="1">
      <c r="A20" s="41" t="s">
        <v>95</v>
      </c>
      <c r="B20" s="40">
        <v>1.24</v>
      </c>
      <c r="C20" s="40">
        <v>3.09</v>
      </c>
      <c r="D20" s="40">
        <v>2.02</v>
      </c>
      <c r="E20" s="40">
        <v>4.91</v>
      </c>
      <c r="F20" s="40">
        <v>3.31</v>
      </c>
      <c r="G20" s="40">
        <v>18.809999999999999</v>
      </c>
      <c r="H20" s="40">
        <v>10.88</v>
      </c>
      <c r="I20" s="40">
        <v>3.86</v>
      </c>
      <c r="J20" s="40">
        <v>0.54</v>
      </c>
      <c r="K20" s="40">
        <v>260.23</v>
      </c>
      <c r="L20" s="40">
        <v>32.700000000000003</v>
      </c>
      <c r="M20" s="40">
        <v>68.2</v>
      </c>
      <c r="N20" s="40">
        <v>421.4</v>
      </c>
      <c r="O20" s="40">
        <v>0</v>
      </c>
      <c r="P20" s="40">
        <v>0.1</v>
      </c>
      <c r="Q20" s="40">
        <v>10</v>
      </c>
      <c r="R20" s="38"/>
      <c r="S20" s="38"/>
      <c r="T20" s="38"/>
      <c r="U20" s="38"/>
    </row>
    <row r="21" spans="1:21" customFormat="1">
      <c r="A21" s="41" t="s">
        <v>96</v>
      </c>
      <c r="B21" s="40">
        <v>1.24</v>
      </c>
      <c r="C21" s="40">
        <v>3.33</v>
      </c>
      <c r="D21" s="40">
        <v>2.48</v>
      </c>
      <c r="E21" s="40">
        <v>4.96</v>
      </c>
      <c r="F21" s="40">
        <v>3.92</v>
      </c>
      <c r="G21" s="40">
        <v>17.52</v>
      </c>
      <c r="H21" s="40">
        <v>7.84</v>
      </c>
      <c r="I21" s="40">
        <v>3.57</v>
      </c>
      <c r="J21" s="40">
        <v>0.4</v>
      </c>
      <c r="K21" s="40">
        <v>352.87</v>
      </c>
      <c r="L21" s="40">
        <v>32.64</v>
      </c>
      <c r="M21" s="40">
        <v>68.28</v>
      </c>
      <c r="N21" s="40">
        <v>516.1</v>
      </c>
      <c r="O21" s="40">
        <v>0</v>
      </c>
      <c r="P21" s="40">
        <v>0.11</v>
      </c>
      <c r="Q21" s="40">
        <v>10</v>
      </c>
      <c r="R21" s="38"/>
      <c r="S21" s="38"/>
      <c r="T21" s="38"/>
      <c r="U21" s="38"/>
    </row>
    <row r="22" spans="1:21" customFormat="1">
      <c r="A22" s="41" t="s">
        <v>97</v>
      </c>
      <c r="B22" s="40">
        <v>1.24</v>
      </c>
      <c r="C22" s="40">
        <v>3.04</v>
      </c>
      <c r="D22" s="40">
        <v>1.94</v>
      </c>
      <c r="E22" s="40">
        <v>5.41</v>
      </c>
      <c r="F22" s="40">
        <v>3.76</v>
      </c>
      <c r="G22" s="40">
        <v>21.28</v>
      </c>
      <c r="H22" s="40">
        <v>7.02</v>
      </c>
      <c r="I22" s="40">
        <v>3.88</v>
      </c>
      <c r="J22" s="40">
        <v>0.64</v>
      </c>
      <c r="K22" s="40">
        <v>313.88</v>
      </c>
      <c r="L22" s="40">
        <v>34.01</v>
      </c>
      <c r="M22" s="40">
        <v>64.97</v>
      </c>
      <c r="N22" s="40">
        <v>649.29999999999995</v>
      </c>
      <c r="O22" s="40">
        <v>0</v>
      </c>
      <c r="P22" s="40">
        <v>0.12</v>
      </c>
      <c r="Q22" s="40">
        <v>10</v>
      </c>
      <c r="R22" s="38"/>
      <c r="S22" s="38"/>
      <c r="T22" s="38"/>
      <c r="U22" s="38"/>
    </row>
    <row r="23" spans="1:21" customFormat="1">
      <c r="A23" s="41" t="s">
        <v>98</v>
      </c>
      <c r="B23" s="40">
        <v>1.24</v>
      </c>
      <c r="C23" s="40">
        <v>3</v>
      </c>
      <c r="D23" s="40">
        <v>1.86</v>
      </c>
      <c r="E23" s="40">
        <v>5.28</v>
      </c>
      <c r="F23" s="40">
        <v>3.56</v>
      </c>
      <c r="G23" s="40">
        <v>24.28</v>
      </c>
      <c r="H23" s="40">
        <v>8.49</v>
      </c>
      <c r="I23" s="40">
        <v>3.79</v>
      </c>
      <c r="J23" s="40">
        <v>0.46</v>
      </c>
      <c r="K23" s="40">
        <v>273.10000000000002</v>
      </c>
      <c r="L23" s="40">
        <v>33.869999999999997</v>
      </c>
      <c r="M23" s="40">
        <v>62.08</v>
      </c>
      <c r="N23" s="40">
        <v>351.2</v>
      </c>
      <c r="O23" s="40">
        <v>0</v>
      </c>
      <c r="P23" s="40">
        <v>0.14000000000000001</v>
      </c>
      <c r="Q23" s="40">
        <v>10</v>
      </c>
      <c r="R23" s="38"/>
      <c r="S23" s="38"/>
      <c r="T23" s="38"/>
      <c r="U23" s="38"/>
    </row>
    <row r="24" spans="1:21" customFormat="1">
      <c r="A24" s="41" t="s">
        <v>99</v>
      </c>
      <c r="B24" s="40">
        <v>1.24</v>
      </c>
      <c r="C24" s="40">
        <v>2.91</v>
      </c>
      <c r="D24" s="40">
        <v>1.68</v>
      </c>
      <c r="E24" s="40">
        <v>5.04</v>
      </c>
      <c r="F24" s="40">
        <v>9.1999999999999993</v>
      </c>
      <c r="G24" s="40">
        <v>26.57</v>
      </c>
      <c r="H24" s="40">
        <v>9.98</v>
      </c>
      <c r="I24" s="40">
        <v>3.62</v>
      </c>
      <c r="J24" s="40">
        <v>0.57999999999999996</v>
      </c>
      <c r="K24" s="40">
        <v>269.35000000000002</v>
      </c>
      <c r="L24" s="40">
        <v>33.72</v>
      </c>
      <c r="M24" s="40">
        <v>63.74</v>
      </c>
      <c r="N24" s="40">
        <v>390.7</v>
      </c>
      <c r="O24" s="40">
        <v>0</v>
      </c>
      <c r="P24" s="40">
        <v>0.13</v>
      </c>
      <c r="Q24" s="40">
        <v>10</v>
      </c>
      <c r="R24" s="38"/>
      <c r="S24" s="38"/>
      <c r="T24" s="38"/>
      <c r="U24" s="38"/>
    </row>
    <row r="25" spans="1:21" customFormat="1">
      <c r="A25" s="41" t="s">
        <v>100</v>
      </c>
      <c r="B25" s="40">
        <v>1.24</v>
      </c>
      <c r="C25" s="40">
        <v>3.06</v>
      </c>
      <c r="D25" s="40">
        <v>1.96</v>
      </c>
      <c r="E25" s="40">
        <v>5.0599999999999996</v>
      </c>
      <c r="F25" s="40">
        <v>10.59</v>
      </c>
      <c r="G25" s="40">
        <v>25.56</v>
      </c>
      <c r="H25" s="40">
        <v>8.2200000000000006</v>
      </c>
      <c r="I25" s="40">
        <v>3.33</v>
      </c>
      <c r="J25" s="40">
        <v>0.61</v>
      </c>
      <c r="K25" s="40">
        <v>252.86</v>
      </c>
      <c r="L25" s="40">
        <v>32.450000000000003</v>
      </c>
      <c r="M25" s="40">
        <v>73.2</v>
      </c>
      <c r="N25" s="40">
        <v>133.69999999999999</v>
      </c>
      <c r="O25" s="40">
        <v>0</v>
      </c>
      <c r="P25" s="40">
        <v>0.11</v>
      </c>
      <c r="Q25" s="40">
        <v>10</v>
      </c>
      <c r="R25" s="38"/>
      <c r="S25" s="38"/>
      <c r="T25" s="38"/>
      <c r="U25" s="38"/>
    </row>
    <row r="26" spans="1:21" customFormat="1">
      <c r="A26" s="41" t="s">
        <v>101</v>
      </c>
      <c r="B26" s="40">
        <v>1.24</v>
      </c>
      <c r="C26" s="40">
        <v>3.03</v>
      </c>
      <c r="D26" s="40">
        <v>1.92</v>
      </c>
      <c r="E26" s="40">
        <v>4.43</v>
      </c>
      <c r="F26" s="40">
        <v>11.19</v>
      </c>
      <c r="G26" s="40">
        <v>23.99</v>
      </c>
      <c r="H26" s="40">
        <v>10.25</v>
      </c>
      <c r="I26" s="40">
        <v>3.16</v>
      </c>
      <c r="J26" s="40">
        <v>0.41</v>
      </c>
      <c r="K26" s="40">
        <v>254.35</v>
      </c>
      <c r="L26" s="40">
        <v>29.34</v>
      </c>
      <c r="M26" s="40">
        <v>92.34</v>
      </c>
      <c r="N26" s="40">
        <v>12.9</v>
      </c>
      <c r="O26" s="40">
        <v>0.4</v>
      </c>
      <c r="P26" s="40">
        <v>0.09</v>
      </c>
      <c r="Q26" s="40">
        <v>10</v>
      </c>
      <c r="R26" s="38"/>
      <c r="S26" s="38"/>
      <c r="T26" s="38"/>
      <c r="U26" s="38"/>
    </row>
    <row r="27" spans="1:21" customFormat="1">
      <c r="A27" s="41" t="s">
        <v>102</v>
      </c>
      <c r="B27" s="40">
        <v>1.3</v>
      </c>
      <c r="C27" s="40">
        <v>3.32</v>
      </c>
      <c r="D27" s="40">
        <v>2.39</v>
      </c>
      <c r="E27" s="40">
        <v>4.75</v>
      </c>
      <c r="F27" s="40">
        <v>5.21</v>
      </c>
      <c r="G27" s="40">
        <v>24.31</v>
      </c>
      <c r="H27" s="40">
        <v>12.43</v>
      </c>
      <c r="I27" s="40">
        <v>3.27</v>
      </c>
      <c r="J27" s="40">
        <v>0.56999999999999995</v>
      </c>
      <c r="K27" s="40">
        <v>339.46</v>
      </c>
      <c r="L27" s="40">
        <v>26.87</v>
      </c>
      <c r="M27" s="40">
        <v>94.49</v>
      </c>
      <c r="N27" s="40">
        <v>3.5</v>
      </c>
      <c r="O27" s="40">
        <v>0.2</v>
      </c>
      <c r="P27" s="40">
        <v>0.12</v>
      </c>
      <c r="Q27" s="40">
        <v>10</v>
      </c>
      <c r="R27" s="38"/>
      <c r="S27" s="38"/>
      <c r="T27" s="38"/>
      <c r="U27" s="38"/>
    </row>
    <row r="28" spans="1:21" customFormat="1">
      <c r="A28" s="41" t="s">
        <v>103</v>
      </c>
      <c r="B28" s="40">
        <v>1.45</v>
      </c>
      <c r="C28" s="40">
        <v>3.79</v>
      </c>
      <c r="D28" s="40">
        <v>3.06</v>
      </c>
      <c r="E28" s="40">
        <v>5.41</v>
      </c>
      <c r="F28" s="40">
        <v>4.59</v>
      </c>
      <c r="G28" s="40">
        <v>24.56</v>
      </c>
      <c r="H28" s="40">
        <v>11.51</v>
      </c>
      <c r="I28" s="40">
        <v>3.56</v>
      </c>
      <c r="J28" s="40">
        <v>0.45</v>
      </c>
      <c r="K28" s="40">
        <v>332.96</v>
      </c>
      <c r="L28" s="40">
        <v>25.89</v>
      </c>
      <c r="M28" s="40">
        <v>95.47</v>
      </c>
      <c r="N28" s="40">
        <v>3.6</v>
      </c>
      <c r="O28" s="40">
        <v>0</v>
      </c>
      <c r="P28" s="40">
        <v>0.14000000000000001</v>
      </c>
      <c r="Q28" s="40">
        <v>10</v>
      </c>
      <c r="R28" s="38"/>
      <c r="S28" s="38"/>
      <c r="T28" s="38"/>
      <c r="U28" s="38"/>
    </row>
    <row r="29" spans="1:21" customFormat="1">
      <c r="A29" s="41" t="s">
        <v>104</v>
      </c>
      <c r="B29" s="40">
        <v>1.71</v>
      </c>
      <c r="C29" s="40">
        <v>4.43</v>
      </c>
      <c r="D29" s="40">
        <v>3.86</v>
      </c>
      <c r="E29" s="40">
        <v>6.52</v>
      </c>
      <c r="F29" s="40">
        <v>2.79</v>
      </c>
      <c r="G29" s="40">
        <v>28.78</v>
      </c>
      <c r="H29" s="40">
        <v>10.08</v>
      </c>
      <c r="I29" s="40">
        <v>4.08</v>
      </c>
      <c r="J29" s="40">
        <v>0.63</v>
      </c>
      <c r="K29" s="40">
        <v>230.87</v>
      </c>
      <c r="L29" s="40">
        <v>26.14</v>
      </c>
      <c r="M29" s="40">
        <v>94.6</v>
      </c>
      <c r="N29" s="40">
        <v>2.1</v>
      </c>
      <c r="O29" s="40">
        <v>0</v>
      </c>
      <c r="P29" s="40">
        <v>0.2</v>
      </c>
      <c r="Q29" s="40">
        <v>10</v>
      </c>
      <c r="R29" s="38"/>
      <c r="S29" s="38"/>
      <c r="T29" s="38"/>
      <c r="U29" s="38"/>
    </row>
    <row r="30" spans="1:21" customFormat="1">
      <c r="A30" s="41" t="s">
        <v>105</v>
      </c>
      <c r="B30" s="40">
        <v>1.62</v>
      </c>
      <c r="C30" s="40">
        <v>3.73</v>
      </c>
      <c r="D30" s="40">
        <v>2.67</v>
      </c>
      <c r="E30" s="40">
        <v>5.73</v>
      </c>
      <c r="F30" s="40">
        <v>2.06</v>
      </c>
      <c r="G30" s="40">
        <v>36.71</v>
      </c>
      <c r="H30" s="40">
        <v>15.98</v>
      </c>
      <c r="I30" s="40">
        <v>4.28</v>
      </c>
      <c r="J30" s="40">
        <v>0.17</v>
      </c>
      <c r="K30" s="40">
        <v>198.5</v>
      </c>
      <c r="L30" s="40">
        <v>26.2</v>
      </c>
      <c r="M30" s="40">
        <v>94.81</v>
      </c>
      <c r="N30" s="40">
        <v>2.2999999999999998</v>
      </c>
      <c r="O30" s="40">
        <v>0</v>
      </c>
      <c r="P30" s="40">
        <v>0.25</v>
      </c>
      <c r="Q30" s="40">
        <v>10</v>
      </c>
      <c r="R30" s="38"/>
      <c r="S30" s="38"/>
      <c r="T30" s="38"/>
      <c r="U30" s="38"/>
    </row>
    <row r="31" spans="1:21" customFormat="1">
      <c r="A31" s="41" t="s">
        <v>106</v>
      </c>
      <c r="B31" s="40">
        <v>1.8</v>
      </c>
      <c r="C31" s="40">
        <v>4.2699999999999996</v>
      </c>
      <c r="D31" s="40">
        <v>3.42</v>
      </c>
      <c r="E31" s="40">
        <v>5.76</v>
      </c>
      <c r="F31" s="40">
        <v>2.08</v>
      </c>
      <c r="G31" s="40">
        <v>38.11</v>
      </c>
      <c r="H31" s="40">
        <v>17.25</v>
      </c>
      <c r="I31" s="40">
        <v>4.5199999999999996</v>
      </c>
      <c r="J31" s="40">
        <v>0.16</v>
      </c>
      <c r="K31" s="40">
        <v>197.87</v>
      </c>
      <c r="L31" s="40">
        <v>26.06</v>
      </c>
      <c r="M31" s="40">
        <v>95.75</v>
      </c>
      <c r="N31" s="40">
        <v>2.2000000000000002</v>
      </c>
      <c r="O31" s="40">
        <v>0</v>
      </c>
      <c r="P31" s="40">
        <v>0.28000000000000003</v>
      </c>
      <c r="Q31" s="40">
        <v>10</v>
      </c>
      <c r="R31" s="38"/>
      <c r="S31" s="38"/>
      <c r="T31" s="38"/>
      <c r="U31" s="38"/>
    </row>
    <row r="32" spans="1:21" customFormat="1">
      <c r="A32" s="41" t="s">
        <v>107</v>
      </c>
      <c r="B32" s="40">
        <v>1.92</v>
      </c>
      <c r="C32" s="40">
        <v>4.32</v>
      </c>
      <c r="D32" s="40">
        <v>3.35</v>
      </c>
      <c r="E32" s="40">
        <v>5.85</v>
      </c>
      <c r="F32" s="40">
        <v>2.34</v>
      </c>
      <c r="G32" s="40">
        <v>38.22</v>
      </c>
      <c r="H32" s="40">
        <v>17.8</v>
      </c>
      <c r="I32" s="40">
        <v>4.6900000000000004</v>
      </c>
      <c r="J32" s="40">
        <v>0.17</v>
      </c>
      <c r="K32" s="40">
        <v>231.04</v>
      </c>
      <c r="L32" s="40">
        <v>26.08</v>
      </c>
      <c r="M32" s="40">
        <v>95.75</v>
      </c>
      <c r="N32" s="40">
        <v>2.2000000000000002</v>
      </c>
      <c r="O32" s="40">
        <v>0</v>
      </c>
      <c r="P32" s="40">
        <v>0.28000000000000003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1.24</v>
      </c>
      <c r="C34" s="18">
        <f t="shared" si="0"/>
        <v>2.91</v>
      </c>
      <c r="D34" s="18">
        <f t="shared" si="0"/>
        <v>1.68</v>
      </c>
      <c r="E34" s="18">
        <f t="shared" si="0"/>
        <v>4.24</v>
      </c>
      <c r="F34" s="18">
        <f t="shared" si="0"/>
        <v>1.88</v>
      </c>
      <c r="G34" s="18">
        <f t="shared" si="0"/>
        <v>11.98</v>
      </c>
      <c r="H34" s="18">
        <f t="shared" si="0"/>
        <v>5.04</v>
      </c>
      <c r="I34" s="18">
        <f t="shared" si="0"/>
        <v>3.16</v>
      </c>
      <c r="J34" s="18">
        <f t="shared" si="0"/>
        <v>0.12</v>
      </c>
      <c r="K34" s="18">
        <f t="shared" si="0"/>
        <v>156.06</v>
      </c>
      <c r="L34" s="18">
        <f t="shared" si="0"/>
        <v>25.77</v>
      </c>
      <c r="M34" s="18">
        <f t="shared" si="0"/>
        <v>62.08</v>
      </c>
      <c r="N34" s="18">
        <f t="shared" si="0"/>
        <v>2.1</v>
      </c>
      <c r="O34" s="18">
        <f t="shared" si="0"/>
        <v>0</v>
      </c>
      <c r="P34" s="18">
        <f t="shared" si="0"/>
        <v>0.08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1.92</v>
      </c>
      <c r="C35" s="3">
        <f t="shared" si="1"/>
        <v>4.43</v>
      </c>
      <c r="D35" s="3">
        <f t="shared" si="1"/>
        <v>3.86</v>
      </c>
      <c r="E35" s="3">
        <f t="shared" si="1"/>
        <v>6.52</v>
      </c>
      <c r="F35" s="3">
        <f t="shared" si="1"/>
        <v>11.19</v>
      </c>
      <c r="G35" s="3">
        <f t="shared" si="1"/>
        <v>38.22</v>
      </c>
      <c r="H35" s="3">
        <f t="shared" si="1"/>
        <v>17.8</v>
      </c>
      <c r="I35" s="3">
        <f t="shared" si="1"/>
        <v>4.6900000000000004</v>
      </c>
      <c r="J35" s="3">
        <f t="shared" si="1"/>
        <v>0.7</v>
      </c>
      <c r="K35" s="3">
        <f t="shared" si="1"/>
        <v>352.87</v>
      </c>
      <c r="L35" s="3">
        <f t="shared" si="1"/>
        <v>34.01</v>
      </c>
      <c r="M35" s="3">
        <f t="shared" si="1"/>
        <v>97.93</v>
      </c>
      <c r="N35" s="3">
        <f t="shared" si="1"/>
        <v>649.29999999999995</v>
      </c>
      <c r="O35" s="3">
        <f t="shared" si="1"/>
        <v>0.4</v>
      </c>
      <c r="P35" s="3">
        <f t="shared" si="1"/>
        <v>0.28000000000000003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1.4833333333333327</v>
      </c>
      <c r="C36" s="18">
        <f t="shared" si="2"/>
        <v>3.5970833333333325</v>
      </c>
      <c r="D36" s="18">
        <f t="shared" si="2"/>
        <v>2.6287499999999997</v>
      </c>
      <c r="E36" s="18">
        <f t="shared" si="2"/>
        <v>5.3637500000000005</v>
      </c>
      <c r="F36" s="18">
        <f t="shared" si="2"/>
        <v>4.2512500000000006</v>
      </c>
      <c r="G36" s="18">
        <f t="shared" si="2"/>
        <v>21.209166666666665</v>
      </c>
      <c r="H36" s="18">
        <f t="shared" si="2"/>
        <v>9.5400000000000009</v>
      </c>
      <c r="I36" s="18">
        <f t="shared" si="2"/>
        <v>3.9274999999999998</v>
      </c>
      <c r="J36" s="18">
        <f t="shared" si="2"/>
        <v>0.37583333333333341</v>
      </c>
      <c r="K36" s="18">
        <f t="shared" si="2"/>
        <v>254.24541666666667</v>
      </c>
      <c r="L36" s="18">
        <f t="shared" si="2"/>
        <v>28.709583333333331</v>
      </c>
      <c r="M36" s="18">
        <f t="shared" si="2"/>
        <v>86.305416666666659</v>
      </c>
      <c r="N36" s="18">
        <f t="shared" si="2"/>
        <v>141.34166666666664</v>
      </c>
      <c r="O36" s="18">
        <f t="shared" si="2"/>
        <v>2.5000000000000005E-2</v>
      </c>
      <c r="P36" s="18">
        <f t="shared" si="2"/>
        <v>0.13291666666666671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0.21179700426232351</v>
      </c>
      <c r="C37" s="18">
        <f t="shared" ref="C37:Q37" si="3">STDEV(C9:C32)</f>
        <v>0.44023194644036373</v>
      </c>
      <c r="D37" s="18">
        <f t="shared" si="3"/>
        <v>0.55424302078326371</v>
      </c>
      <c r="E37" s="18">
        <f t="shared" si="3"/>
        <v>0.64928597906368379</v>
      </c>
      <c r="F37" s="18">
        <f t="shared" si="3"/>
        <v>2.6005389282591587</v>
      </c>
      <c r="G37" s="18">
        <f t="shared" si="3"/>
        <v>8.0433293542816795</v>
      </c>
      <c r="H37" s="18">
        <f t="shared" si="3"/>
        <v>3.3974786047251593</v>
      </c>
      <c r="I37" s="18">
        <f t="shared" si="3"/>
        <v>0.39327222566342113</v>
      </c>
      <c r="J37" s="18">
        <f t="shared" si="3"/>
        <v>0.20648016362598726</v>
      </c>
      <c r="K37" s="18">
        <f t="shared" si="3"/>
        <v>47.177878749442449</v>
      </c>
      <c r="L37" s="18">
        <f t="shared" si="3"/>
        <v>3.0761162401944633</v>
      </c>
      <c r="M37" s="18">
        <f t="shared" si="3"/>
        <v>12.960139887585994</v>
      </c>
      <c r="N37" s="18">
        <f t="shared" si="3"/>
        <v>193.47545606988311</v>
      </c>
      <c r="O37" s="18">
        <f t="shared" si="3"/>
        <v>8.9685440629288141E-2</v>
      </c>
      <c r="P37" s="18">
        <f t="shared" si="3"/>
        <v>5.8864558368206962E-2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108</v>
      </c>
      <c r="B9" s="40">
        <v>1.7</v>
      </c>
      <c r="C9" s="40">
        <v>3.68</v>
      </c>
      <c r="D9" s="40">
        <v>2.46</v>
      </c>
      <c r="E9" s="40">
        <v>5.77</v>
      </c>
      <c r="F9" s="40">
        <v>1.93</v>
      </c>
      <c r="G9" s="40">
        <v>39.659999999999997</v>
      </c>
      <c r="H9" s="40">
        <v>12.52</v>
      </c>
      <c r="I9" s="40">
        <v>4.6900000000000004</v>
      </c>
      <c r="J9" s="40">
        <v>0.15</v>
      </c>
      <c r="K9" s="40">
        <v>220.2</v>
      </c>
      <c r="L9" s="40">
        <v>26.15</v>
      </c>
      <c r="M9" s="40">
        <v>95.46</v>
      </c>
      <c r="N9" s="40">
        <v>2.2000000000000002</v>
      </c>
      <c r="O9" s="40">
        <v>0.2</v>
      </c>
      <c r="P9" s="40">
        <v>0.27</v>
      </c>
      <c r="Q9" s="40">
        <v>10</v>
      </c>
      <c r="R9" s="38"/>
      <c r="S9" s="38"/>
      <c r="T9" s="38"/>
      <c r="U9" s="38"/>
    </row>
    <row r="10" spans="1:21" customFormat="1">
      <c r="A10" s="41" t="s">
        <v>109</v>
      </c>
      <c r="B10" s="40">
        <v>1.56</v>
      </c>
      <c r="C10" s="40">
        <v>3.47</v>
      </c>
      <c r="D10" s="40">
        <v>2.27</v>
      </c>
      <c r="E10" s="40">
        <v>5.9</v>
      </c>
      <c r="F10" s="40">
        <v>3.32</v>
      </c>
      <c r="G10" s="40">
        <v>30.12</v>
      </c>
      <c r="H10" s="40">
        <v>11.68</v>
      </c>
      <c r="I10" s="40">
        <v>4.6900000000000004</v>
      </c>
      <c r="J10" s="40">
        <v>0.18</v>
      </c>
      <c r="K10" s="40">
        <v>250.4</v>
      </c>
      <c r="L10" s="40">
        <v>25.7</v>
      </c>
      <c r="M10" s="40">
        <v>95.16</v>
      </c>
      <c r="N10" s="40">
        <v>2.2999999999999998</v>
      </c>
      <c r="O10" s="40">
        <v>0</v>
      </c>
      <c r="P10" s="40">
        <v>0.25</v>
      </c>
      <c r="Q10" s="40">
        <v>10</v>
      </c>
      <c r="R10" s="38"/>
      <c r="S10" s="38"/>
      <c r="T10" s="38"/>
      <c r="U10" s="38"/>
    </row>
    <row r="11" spans="1:21" customFormat="1">
      <c r="A11" s="41" t="s">
        <v>110</v>
      </c>
      <c r="B11" s="40">
        <v>1.82</v>
      </c>
      <c r="C11" s="40">
        <v>4.0599999999999996</v>
      </c>
      <c r="D11" s="40">
        <v>2.98</v>
      </c>
      <c r="E11" s="40">
        <v>4.99</v>
      </c>
      <c r="F11" s="40">
        <v>3.24</v>
      </c>
      <c r="G11" s="40">
        <v>22.11</v>
      </c>
      <c r="H11" s="40">
        <v>12.37</v>
      </c>
      <c r="I11" s="40">
        <v>4.41</v>
      </c>
      <c r="J11" s="40">
        <v>0.12</v>
      </c>
      <c r="K11" s="40">
        <v>193.25</v>
      </c>
      <c r="L11" s="40">
        <v>25.48</v>
      </c>
      <c r="M11" s="40">
        <v>95.73</v>
      </c>
      <c r="N11" s="40">
        <v>2.2000000000000002</v>
      </c>
      <c r="O11" s="40">
        <v>0</v>
      </c>
      <c r="P11" s="40">
        <v>0.19</v>
      </c>
      <c r="Q11" s="40">
        <v>10</v>
      </c>
      <c r="R11" s="38"/>
      <c r="S11" s="38"/>
      <c r="T11" s="38"/>
      <c r="U11" s="38"/>
    </row>
    <row r="12" spans="1:21" customFormat="1">
      <c r="A12" s="41" t="s">
        <v>111</v>
      </c>
      <c r="B12" s="40">
        <v>1.96</v>
      </c>
      <c r="C12" s="40">
        <v>4.4000000000000004</v>
      </c>
      <c r="D12" s="40">
        <v>3.43</v>
      </c>
      <c r="E12" s="40">
        <v>4.8600000000000003</v>
      </c>
      <c r="F12" s="40">
        <v>2.62</v>
      </c>
      <c r="G12" s="40">
        <v>19.63</v>
      </c>
      <c r="H12" s="40">
        <v>9.4600000000000009</v>
      </c>
      <c r="I12" s="40">
        <v>4.38</v>
      </c>
      <c r="J12" s="40">
        <v>0.16</v>
      </c>
      <c r="K12" s="40">
        <v>188.84</v>
      </c>
      <c r="L12" s="40">
        <v>25.35</v>
      </c>
      <c r="M12" s="40">
        <v>96.69</v>
      </c>
      <c r="N12" s="40">
        <v>2.1</v>
      </c>
      <c r="O12" s="40">
        <v>0</v>
      </c>
      <c r="P12" s="40">
        <v>0.17</v>
      </c>
      <c r="Q12" s="40">
        <v>10</v>
      </c>
      <c r="R12" s="38"/>
      <c r="S12" s="38"/>
      <c r="T12" s="38"/>
      <c r="U12" s="38"/>
    </row>
    <row r="13" spans="1:21" customFormat="1">
      <c r="A13" s="41" t="s">
        <v>112</v>
      </c>
      <c r="B13" s="40">
        <v>2.1</v>
      </c>
      <c r="C13" s="40">
        <v>4.3099999999999996</v>
      </c>
      <c r="D13" s="40">
        <v>3.03</v>
      </c>
      <c r="E13" s="40">
        <v>5.0199999999999996</v>
      </c>
      <c r="F13" s="40">
        <v>2.68</v>
      </c>
      <c r="G13" s="40">
        <v>20.52</v>
      </c>
      <c r="H13" s="40">
        <v>10.119999999999999</v>
      </c>
      <c r="I13" s="40">
        <v>4.3099999999999996</v>
      </c>
      <c r="J13" s="40">
        <v>0.11</v>
      </c>
      <c r="K13" s="40">
        <v>193.12</v>
      </c>
      <c r="L13" s="40">
        <v>25.4</v>
      </c>
      <c r="M13" s="40">
        <v>97.51</v>
      </c>
      <c r="N13" s="40">
        <v>2.1</v>
      </c>
      <c r="O13" s="40">
        <v>0</v>
      </c>
      <c r="P13" s="40">
        <v>0.16</v>
      </c>
      <c r="Q13" s="40">
        <v>10</v>
      </c>
      <c r="R13" s="38"/>
      <c r="S13" s="38"/>
      <c r="T13" s="38"/>
      <c r="U13" s="38"/>
    </row>
    <row r="14" spans="1:21" customFormat="1">
      <c r="A14" s="41" t="s">
        <v>113</v>
      </c>
      <c r="B14" s="40">
        <v>2.46</v>
      </c>
      <c r="C14" s="40">
        <v>4.8499999999999996</v>
      </c>
      <c r="D14" s="40">
        <v>3.53</v>
      </c>
      <c r="E14" s="40">
        <v>4.71</v>
      </c>
      <c r="F14" s="40">
        <v>3.47</v>
      </c>
      <c r="G14" s="40">
        <v>15.82</v>
      </c>
      <c r="H14" s="40">
        <v>7.25</v>
      </c>
      <c r="I14" s="40">
        <v>4.22</v>
      </c>
      <c r="J14" s="40">
        <v>0.19</v>
      </c>
      <c r="K14" s="40">
        <v>148.16</v>
      </c>
      <c r="L14" s="40">
        <v>25.7</v>
      </c>
      <c r="M14" s="40">
        <v>97.12</v>
      </c>
      <c r="N14" s="40">
        <v>17.600000000000001</v>
      </c>
      <c r="O14" s="40">
        <v>0</v>
      </c>
      <c r="P14" s="40">
        <v>0.15</v>
      </c>
      <c r="Q14" s="40">
        <v>10</v>
      </c>
      <c r="R14" s="38"/>
      <c r="S14" s="38"/>
      <c r="T14" s="38"/>
      <c r="U14" s="38"/>
    </row>
    <row r="15" spans="1:21" customFormat="1">
      <c r="A15" s="41" t="s">
        <v>114</v>
      </c>
      <c r="B15" s="40">
        <v>2.66</v>
      </c>
      <c r="C15" s="40">
        <v>4.96</v>
      </c>
      <c r="D15" s="40">
        <v>3.57</v>
      </c>
      <c r="E15" s="40">
        <v>5.25</v>
      </c>
      <c r="F15" s="40">
        <v>1.98</v>
      </c>
      <c r="G15" s="40">
        <v>13.12</v>
      </c>
      <c r="H15" s="40">
        <v>5.61</v>
      </c>
      <c r="I15" s="40">
        <v>4.2699999999999996</v>
      </c>
      <c r="J15" s="40">
        <v>0.7</v>
      </c>
      <c r="K15" s="40">
        <v>108.94</v>
      </c>
      <c r="L15" s="40">
        <v>26.6</v>
      </c>
      <c r="M15" s="40">
        <v>95.29</v>
      </c>
      <c r="N15" s="40">
        <v>80.900000000000006</v>
      </c>
      <c r="O15" s="40">
        <v>0</v>
      </c>
      <c r="P15" s="40">
        <v>0.19</v>
      </c>
      <c r="Q15" s="40">
        <v>10</v>
      </c>
      <c r="R15" s="38"/>
      <c r="S15" s="38"/>
      <c r="T15" s="38"/>
      <c r="U15" s="38"/>
    </row>
    <row r="16" spans="1:21" customFormat="1">
      <c r="A16" s="41" t="s">
        <v>115</v>
      </c>
      <c r="B16" s="40">
        <v>2.77</v>
      </c>
      <c r="C16" s="40">
        <v>4.96</v>
      </c>
      <c r="D16" s="40">
        <v>3.26</v>
      </c>
      <c r="E16" s="40">
        <v>5.45</v>
      </c>
      <c r="F16" s="40">
        <v>1.64</v>
      </c>
      <c r="G16" s="40">
        <v>19.809999999999999</v>
      </c>
      <c r="H16" s="40">
        <v>7.46</v>
      </c>
      <c r="I16" s="40">
        <v>4.3600000000000003</v>
      </c>
      <c r="J16" s="40">
        <v>0.85</v>
      </c>
      <c r="K16" s="40">
        <v>84.76</v>
      </c>
      <c r="L16" s="40">
        <v>27.93</v>
      </c>
      <c r="M16" s="40">
        <v>89.63</v>
      </c>
      <c r="N16" s="40">
        <v>118.7</v>
      </c>
      <c r="O16" s="40">
        <v>0</v>
      </c>
      <c r="P16" s="40">
        <v>0.19</v>
      </c>
      <c r="Q16" s="40">
        <v>10</v>
      </c>
      <c r="R16" s="38"/>
      <c r="S16" s="38"/>
      <c r="T16" s="38"/>
      <c r="U16" s="38"/>
    </row>
    <row r="17" spans="1:21" customFormat="1">
      <c r="A17" s="41" t="s">
        <v>116</v>
      </c>
      <c r="B17" s="40">
        <v>2.5499999999999998</v>
      </c>
      <c r="C17" s="40">
        <v>4.8899999999999997</v>
      </c>
      <c r="D17" s="40">
        <v>3.47</v>
      </c>
      <c r="E17" s="40">
        <v>5.49</v>
      </c>
      <c r="F17" s="40">
        <v>2.14</v>
      </c>
      <c r="G17" s="40">
        <v>23.93</v>
      </c>
      <c r="H17" s="40">
        <v>6.05</v>
      </c>
      <c r="I17" s="40">
        <v>4.3899999999999997</v>
      </c>
      <c r="J17" s="40">
        <v>0.2</v>
      </c>
      <c r="K17" s="40">
        <v>151.68</v>
      </c>
      <c r="L17" s="40">
        <v>29.78</v>
      </c>
      <c r="M17" s="40">
        <v>83.89</v>
      </c>
      <c r="N17" s="40">
        <v>207.4</v>
      </c>
      <c r="O17" s="40">
        <v>0</v>
      </c>
      <c r="P17" s="40">
        <v>0.19</v>
      </c>
      <c r="Q17" s="40">
        <v>10</v>
      </c>
      <c r="R17" s="38"/>
      <c r="S17" s="38"/>
      <c r="T17" s="38"/>
      <c r="U17" s="38"/>
    </row>
    <row r="18" spans="1:21" customFormat="1">
      <c r="A18" s="41" t="s">
        <v>117</v>
      </c>
      <c r="B18" s="40">
        <v>1.97</v>
      </c>
      <c r="C18" s="40">
        <v>4.05</v>
      </c>
      <c r="D18" s="40">
        <v>2.74</v>
      </c>
      <c r="E18" s="40">
        <v>5.36</v>
      </c>
      <c r="F18" s="40">
        <v>2</v>
      </c>
      <c r="G18" s="40">
        <v>26.95</v>
      </c>
      <c r="H18" s="40">
        <v>8.9700000000000006</v>
      </c>
      <c r="I18" s="40">
        <v>4.74</v>
      </c>
      <c r="J18" s="40">
        <v>0.2</v>
      </c>
      <c r="K18" s="40">
        <v>217.42</v>
      </c>
      <c r="L18" s="40">
        <v>30.44</v>
      </c>
      <c r="M18" s="40">
        <v>79.87</v>
      </c>
      <c r="N18" s="40">
        <v>231.6</v>
      </c>
      <c r="O18" s="40">
        <v>0</v>
      </c>
      <c r="P18" s="40">
        <v>0.19</v>
      </c>
      <c r="Q18" s="40">
        <v>10</v>
      </c>
      <c r="R18" s="38"/>
      <c r="S18" s="38"/>
      <c r="T18" s="38"/>
      <c r="U18" s="38"/>
    </row>
    <row r="19" spans="1:21" customFormat="1">
      <c r="A19" s="41" t="s">
        <v>118</v>
      </c>
      <c r="B19" s="40">
        <v>2.06</v>
      </c>
      <c r="C19" s="40">
        <v>4.4000000000000004</v>
      </c>
      <c r="D19" s="40">
        <v>3.28</v>
      </c>
      <c r="E19" s="40">
        <v>5.09</v>
      </c>
      <c r="F19" s="40">
        <v>2.0699999999999998</v>
      </c>
      <c r="G19" s="40">
        <v>27.75</v>
      </c>
      <c r="H19" s="40">
        <v>13.14</v>
      </c>
      <c r="I19" s="40">
        <v>4.7</v>
      </c>
      <c r="J19" s="40">
        <v>0.45</v>
      </c>
      <c r="K19" s="40">
        <v>270.02</v>
      </c>
      <c r="L19" s="40">
        <v>30.83</v>
      </c>
      <c r="M19" s="40">
        <v>77.16</v>
      </c>
      <c r="N19" s="40">
        <v>273</v>
      </c>
      <c r="O19" s="40">
        <v>0</v>
      </c>
      <c r="P19" s="40">
        <v>0.17</v>
      </c>
      <c r="Q19" s="40">
        <v>10</v>
      </c>
      <c r="R19" s="38"/>
      <c r="S19" s="38"/>
      <c r="T19" s="38"/>
      <c r="U19" s="38"/>
    </row>
    <row r="20" spans="1:21" customFormat="1">
      <c r="A20" s="41" t="s">
        <v>119</v>
      </c>
      <c r="B20" s="40">
        <v>1.43</v>
      </c>
      <c r="C20" s="40">
        <v>3.49</v>
      </c>
      <c r="D20" s="40">
        <v>2.5</v>
      </c>
      <c r="E20" s="40">
        <v>5.1100000000000003</v>
      </c>
      <c r="F20" s="40">
        <v>6.12</v>
      </c>
      <c r="G20" s="40">
        <v>25.44</v>
      </c>
      <c r="H20" s="40">
        <v>12.33</v>
      </c>
      <c r="I20" s="40">
        <v>4.4400000000000004</v>
      </c>
      <c r="J20" s="40">
        <v>0.36</v>
      </c>
      <c r="K20" s="40">
        <v>250.13</v>
      </c>
      <c r="L20" s="40">
        <v>31.87</v>
      </c>
      <c r="M20" s="40">
        <v>71.099999999999994</v>
      </c>
      <c r="N20" s="40">
        <v>313.7</v>
      </c>
      <c r="O20" s="40">
        <v>0</v>
      </c>
      <c r="P20" s="40">
        <v>0.16</v>
      </c>
      <c r="Q20" s="40">
        <v>10</v>
      </c>
      <c r="R20" s="38"/>
      <c r="S20" s="38"/>
      <c r="T20" s="38"/>
      <c r="U20" s="38"/>
    </row>
    <row r="21" spans="1:21" customFormat="1">
      <c r="A21" s="41" t="s">
        <v>120</v>
      </c>
      <c r="B21" s="40">
        <v>1.41</v>
      </c>
      <c r="C21" s="40">
        <v>3.6</v>
      </c>
      <c r="D21" s="40">
        <v>2.73</v>
      </c>
      <c r="E21" s="40">
        <v>6.35</v>
      </c>
      <c r="F21" s="40">
        <v>10.54</v>
      </c>
      <c r="G21" s="40">
        <v>23.13</v>
      </c>
      <c r="H21" s="40">
        <v>12.38</v>
      </c>
      <c r="I21" s="40">
        <v>4.9400000000000004</v>
      </c>
      <c r="J21" s="40">
        <v>0.55000000000000004</v>
      </c>
      <c r="K21" s="40">
        <v>356.08</v>
      </c>
      <c r="L21" s="40">
        <v>31.26</v>
      </c>
      <c r="M21" s="40">
        <v>72.16</v>
      </c>
      <c r="N21" s="40">
        <v>344.9</v>
      </c>
      <c r="O21" s="40">
        <v>0</v>
      </c>
      <c r="P21" s="40">
        <v>0.19</v>
      </c>
      <c r="Q21" s="40">
        <v>10</v>
      </c>
      <c r="R21" s="38"/>
      <c r="S21" s="38"/>
      <c r="T21" s="38"/>
      <c r="U21" s="38"/>
    </row>
    <row r="22" spans="1:21" customFormat="1">
      <c r="A22" s="41" t="s">
        <v>121</v>
      </c>
      <c r="B22" s="40">
        <v>1.5</v>
      </c>
      <c r="C22" s="40">
        <v>3.92</v>
      </c>
      <c r="D22" s="40">
        <v>3.23</v>
      </c>
      <c r="E22" s="40">
        <v>5.07</v>
      </c>
      <c r="F22" s="40">
        <v>17.010000000000002</v>
      </c>
      <c r="G22" s="40">
        <v>36.36</v>
      </c>
      <c r="H22" s="40">
        <v>21.14</v>
      </c>
      <c r="I22" s="40">
        <v>5.59</v>
      </c>
      <c r="J22" s="40">
        <v>0.46</v>
      </c>
      <c r="K22" s="40">
        <v>357.81</v>
      </c>
      <c r="L22" s="40">
        <v>32.21</v>
      </c>
      <c r="M22" s="40">
        <v>69.78</v>
      </c>
      <c r="N22" s="40">
        <v>503</v>
      </c>
      <c r="O22" s="40">
        <v>0</v>
      </c>
      <c r="P22" s="40">
        <v>0.19</v>
      </c>
      <c r="Q22" s="40">
        <v>10</v>
      </c>
      <c r="R22" s="38"/>
      <c r="S22" s="38"/>
      <c r="T22" s="38"/>
      <c r="U22" s="38"/>
    </row>
    <row r="23" spans="1:21" customFormat="1">
      <c r="A23" s="41" t="s">
        <v>122</v>
      </c>
      <c r="B23" s="40">
        <v>1.32</v>
      </c>
      <c r="C23" s="40">
        <v>3.57</v>
      </c>
      <c r="D23" s="40">
        <v>2.81</v>
      </c>
      <c r="E23" s="40">
        <v>4.5199999999999996</v>
      </c>
      <c r="F23" s="40">
        <v>13.63</v>
      </c>
      <c r="G23" s="40">
        <v>36.56</v>
      </c>
      <c r="H23" s="40">
        <v>19.71</v>
      </c>
      <c r="I23" s="40">
        <v>5.65</v>
      </c>
      <c r="J23" s="40">
        <v>0.24</v>
      </c>
      <c r="K23" s="40">
        <v>245.55</v>
      </c>
      <c r="L23" s="40">
        <v>31.8</v>
      </c>
      <c r="M23" s="40">
        <v>70.44</v>
      </c>
      <c r="N23" s="40">
        <v>207</v>
      </c>
      <c r="O23" s="40">
        <v>0</v>
      </c>
      <c r="P23" s="40">
        <v>0.19</v>
      </c>
      <c r="Q23" s="40">
        <v>10</v>
      </c>
      <c r="R23" s="38"/>
      <c r="S23" s="38"/>
      <c r="T23" s="38"/>
      <c r="U23" s="38"/>
    </row>
    <row r="24" spans="1:21" customFormat="1">
      <c r="A24" s="41" t="s">
        <v>123</v>
      </c>
      <c r="B24" s="40">
        <v>1.26</v>
      </c>
      <c r="C24" s="40">
        <v>2.87</v>
      </c>
      <c r="D24" s="40">
        <v>1.58</v>
      </c>
      <c r="E24" s="40">
        <v>4.05</v>
      </c>
      <c r="F24" s="40">
        <v>15.44</v>
      </c>
      <c r="G24" s="40">
        <v>37.11</v>
      </c>
      <c r="H24" s="40">
        <v>17.37</v>
      </c>
      <c r="I24" s="40">
        <v>5.0199999999999996</v>
      </c>
      <c r="J24" s="40">
        <v>0.28999999999999998</v>
      </c>
      <c r="K24" s="40">
        <v>251.78</v>
      </c>
      <c r="L24" s="40">
        <v>30.55</v>
      </c>
      <c r="M24" s="40">
        <v>76.3</v>
      </c>
      <c r="N24" s="40">
        <v>36.9</v>
      </c>
      <c r="O24" s="40">
        <v>0</v>
      </c>
      <c r="P24" s="40">
        <v>0.18</v>
      </c>
      <c r="Q24" s="40">
        <v>10</v>
      </c>
      <c r="R24" s="38"/>
      <c r="S24" s="38"/>
      <c r="T24" s="38"/>
      <c r="U24" s="38"/>
    </row>
    <row r="25" spans="1:21" customFormat="1">
      <c r="A25" s="41" t="s">
        <v>124</v>
      </c>
      <c r="B25" s="40">
        <v>1.3</v>
      </c>
      <c r="C25" s="40">
        <v>3.14</v>
      </c>
      <c r="D25" s="40">
        <v>2.0299999999999998</v>
      </c>
      <c r="E25" s="40">
        <v>4.82</v>
      </c>
      <c r="F25" s="40">
        <v>6.46</v>
      </c>
      <c r="G25" s="40">
        <v>32.229999999999997</v>
      </c>
      <c r="H25" s="40">
        <v>12.77</v>
      </c>
      <c r="I25" s="40">
        <v>4.84</v>
      </c>
      <c r="J25" s="40">
        <v>0.26</v>
      </c>
      <c r="K25" s="40">
        <v>236.29</v>
      </c>
      <c r="L25" s="40">
        <v>29.94</v>
      </c>
      <c r="M25" s="40">
        <v>75.22</v>
      </c>
      <c r="N25" s="40">
        <v>20.2</v>
      </c>
      <c r="O25" s="40">
        <v>0</v>
      </c>
      <c r="P25" s="40">
        <v>0.22</v>
      </c>
      <c r="Q25" s="40">
        <v>10</v>
      </c>
      <c r="R25" s="38"/>
      <c r="S25" s="38"/>
      <c r="T25" s="38"/>
      <c r="U25" s="38"/>
    </row>
    <row r="26" spans="1:21" customFormat="1">
      <c r="A26" s="41" t="s">
        <v>125</v>
      </c>
      <c r="B26" s="40">
        <v>1.49</v>
      </c>
      <c r="C26" s="40">
        <v>3.84</v>
      </c>
      <c r="D26" s="40">
        <v>3.07</v>
      </c>
      <c r="E26" s="40">
        <v>5.23</v>
      </c>
      <c r="F26" s="40">
        <v>2.8</v>
      </c>
      <c r="G26" s="40">
        <v>28.76</v>
      </c>
      <c r="H26" s="40">
        <v>14.12</v>
      </c>
      <c r="I26" s="40">
        <v>4.87</v>
      </c>
      <c r="J26" s="40">
        <v>0.19</v>
      </c>
      <c r="K26" s="40">
        <v>172.94</v>
      </c>
      <c r="L26" s="40">
        <v>29.4</v>
      </c>
      <c r="M26" s="40">
        <v>90.3</v>
      </c>
      <c r="N26" s="40">
        <v>10.8</v>
      </c>
      <c r="O26" s="40">
        <v>0.2</v>
      </c>
      <c r="P26" s="40">
        <v>0.21</v>
      </c>
      <c r="Q26" s="40">
        <v>10</v>
      </c>
      <c r="R26" s="38"/>
      <c r="S26" s="38"/>
      <c r="T26" s="38"/>
      <c r="U26" s="38"/>
    </row>
    <row r="27" spans="1:21" customFormat="1">
      <c r="A27" s="41" t="s">
        <v>126</v>
      </c>
      <c r="B27" s="40">
        <v>1.57</v>
      </c>
      <c r="C27" s="40">
        <v>3.91</v>
      </c>
      <c r="D27" s="40">
        <v>3.09</v>
      </c>
      <c r="E27" s="40">
        <v>5.09</v>
      </c>
      <c r="F27" s="40">
        <v>2.79</v>
      </c>
      <c r="G27" s="40">
        <v>25.67</v>
      </c>
      <c r="H27" s="40">
        <v>13.62</v>
      </c>
      <c r="I27" s="40">
        <v>4.78</v>
      </c>
      <c r="J27" s="40">
        <v>0.12</v>
      </c>
      <c r="K27" s="40">
        <v>193.43</v>
      </c>
      <c r="L27" s="40">
        <v>27.46</v>
      </c>
      <c r="M27" s="40">
        <v>94.56</v>
      </c>
      <c r="N27" s="40">
        <v>10</v>
      </c>
      <c r="O27" s="40">
        <v>0</v>
      </c>
      <c r="P27" s="40">
        <v>0.21</v>
      </c>
      <c r="Q27" s="40">
        <v>10</v>
      </c>
      <c r="R27" s="38"/>
      <c r="S27" s="38"/>
      <c r="T27" s="38"/>
      <c r="U27" s="38"/>
    </row>
    <row r="28" spans="1:21" customFormat="1">
      <c r="A28" s="41" t="s">
        <v>127</v>
      </c>
      <c r="B28" s="40">
        <v>1.61</v>
      </c>
      <c r="C28" s="40">
        <v>3.66</v>
      </c>
      <c r="D28" s="40">
        <v>2.5499999999999998</v>
      </c>
      <c r="E28" s="40">
        <v>5.05</v>
      </c>
      <c r="F28" s="40">
        <v>2.99</v>
      </c>
      <c r="G28" s="40">
        <v>25.44</v>
      </c>
      <c r="H28" s="40">
        <v>12.3</v>
      </c>
      <c r="I28" s="40">
        <v>4.6900000000000004</v>
      </c>
      <c r="J28" s="40">
        <v>0.17</v>
      </c>
      <c r="K28" s="40">
        <v>187.3</v>
      </c>
      <c r="L28" s="40">
        <v>27.51</v>
      </c>
      <c r="M28" s="40">
        <v>94.6</v>
      </c>
      <c r="N28" s="40">
        <v>2.2000000000000002</v>
      </c>
      <c r="O28" s="40">
        <v>0</v>
      </c>
      <c r="P28" s="40">
        <v>0.21</v>
      </c>
      <c r="Q28" s="40">
        <v>10</v>
      </c>
      <c r="R28" s="38"/>
      <c r="S28" s="38"/>
      <c r="T28" s="38"/>
      <c r="U28" s="38"/>
    </row>
    <row r="29" spans="1:21" customFormat="1">
      <c r="A29" s="41" t="s">
        <v>128</v>
      </c>
      <c r="B29" s="40">
        <v>1.59</v>
      </c>
      <c r="C29" s="40">
        <v>3.54</v>
      </c>
      <c r="D29" s="40">
        <v>2.58</v>
      </c>
      <c r="E29" s="40">
        <v>5.28</v>
      </c>
      <c r="F29" s="40">
        <v>2.36</v>
      </c>
      <c r="G29" s="40">
        <v>23.51</v>
      </c>
      <c r="H29" s="40">
        <v>11.38</v>
      </c>
      <c r="I29" s="40">
        <v>4.75</v>
      </c>
      <c r="J29" s="40">
        <v>0.19</v>
      </c>
      <c r="K29" s="40">
        <v>308.45</v>
      </c>
      <c r="L29" s="40">
        <v>27.44</v>
      </c>
      <c r="M29" s="40">
        <v>93.41</v>
      </c>
      <c r="N29" s="40">
        <v>3.2</v>
      </c>
      <c r="O29" s="40">
        <v>0</v>
      </c>
      <c r="P29" s="40">
        <v>0.23</v>
      </c>
      <c r="Q29" s="40">
        <v>10</v>
      </c>
      <c r="R29" s="38"/>
      <c r="S29" s="38"/>
      <c r="T29" s="38"/>
      <c r="U29" s="38"/>
    </row>
    <row r="30" spans="1:21" customFormat="1">
      <c r="A30" s="41" t="s">
        <v>129</v>
      </c>
      <c r="B30" s="40">
        <v>2.0099999999999998</v>
      </c>
      <c r="C30" s="40">
        <v>4.3600000000000003</v>
      </c>
      <c r="D30" s="40">
        <v>3.28</v>
      </c>
      <c r="E30" s="40">
        <v>5.1100000000000003</v>
      </c>
      <c r="F30" s="40">
        <v>2.27</v>
      </c>
      <c r="G30" s="40">
        <v>26.04</v>
      </c>
      <c r="H30" s="40">
        <v>10.7</v>
      </c>
      <c r="I30" s="40">
        <v>5</v>
      </c>
      <c r="J30" s="40">
        <v>0.2</v>
      </c>
      <c r="K30" s="40">
        <v>214.54</v>
      </c>
      <c r="L30" s="40">
        <v>27.23</v>
      </c>
      <c r="M30" s="40">
        <v>85.51</v>
      </c>
      <c r="N30" s="40">
        <v>2.6</v>
      </c>
      <c r="O30" s="40">
        <v>0</v>
      </c>
      <c r="P30" s="40">
        <v>0.23</v>
      </c>
      <c r="Q30" s="40">
        <v>10</v>
      </c>
      <c r="R30" s="38"/>
      <c r="S30" s="38"/>
      <c r="T30" s="38"/>
      <c r="U30" s="38"/>
    </row>
    <row r="31" spans="1:21" customFormat="1">
      <c r="A31" s="41" t="s">
        <v>130</v>
      </c>
      <c r="B31" s="40">
        <v>2.73</v>
      </c>
      <c r="C31" s="40">
        <v>5.35</v>
      </c>
      <c r="D31" s="40">
        <v>4.07</v>
      </c>
      <c r="E31" s="40">
        <v>4.55</v>
      </c>
      <c r="F31" s="40">
        <v>1.61</v>
      </c>
      <c r="G31" s="40">
        <v>40.049999999999997</v>
      </c>
      <c r="H31" s="40">
        <v>12.44</v>
      </c>
      <c r="I31" s="40">
        <v>5.43</v>
      </c>
      <c r="J31" s="40">
        <v>0.17</v>
      </c>
      <c r="K31" s="40">
        <v>189.69</v>
      </c>
      <c r="L31" s="40">
        <v>27.04</v>
      </c>
      <c r="M31" s="40">
        <v>90.24</v>
      </c>
      <c r="N31" s="40">
        <v>2.4</v>
      </c>
      <c r="O31" s="40">
        <v>0</v>
      </c>
      <c r="P31" s="40">
        <v>0.25</v>
      </c>
      <c r="Q31" s="40">
        <v>10</v>
      </c>
      <c r="R31" s="38"/>
      <c r="S31" s="38"/>
      <c r="T31" s="38"/>
      <c r="U31" s="38"/>
    </row>
    <row r="32" spans="1:21" customFormat="1">
      <c r="A32" s="41" t="s">
        <v>131</v>
      </c>
      <c r="B32" s="40">
        <v>2.91</v>
      </c>
      <c r="C32" s="40">
        <v>5.23</v>
      </c>
      <c r="D32" s="40">
        <v>3.57</v>
      </c>
      <c r="E32" s="40">
        <v>4.91</v>
      </c>
      <c r="F32" s="40">
        <v>3.71</v>
      </c>
      <c r="G32" s="40">
        <v>45.71</v>
      </c>
      <c r="H32" s="40">
        <v>14.23</v>
      </c>
      <c r="I32" s="40">
        <v>5.48</v>
      </c>
      <c r="J32" s="40">
        <v>0.24</v>
      </c>
      <c r="K32" s="40">
        <v>237.95</v>
      </c>
      <c r="L32" s="40">
        <v>26.92</v>
      </c>
      <c r="M32" s="40">
        <v>89.92</v>
      </c>
      <c r="N32" s="40">
        <v>2.2000000000000002</v>
      </c>
      <c r="O32" s="40">
        <v>0</v>
      </c>
      <c r="P32" s="40">
        <v>0.24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1.26</v>
      </c>
      <c r="C34" s="18">
        <f t="shared" si="0"/>
        <v>2.87</v>
      </c>
      <c r="D34" s="18">
        <f t="shared" si="0"/>
        <v>1.58</v>
      </c>
      <c r="E34" s="18">
        <f t="shared" si="0"/>
        <v>4.05</v>
      </c>
      <c r="F34" s="18">
        <f t="shared" si="0"/>
        <v>1.61</v>
      </c>
      <c r="G34" s="18">
        <f t="shared" si="0"/>
        <v>13.12</v>
      </c>
      <c r="H34" s="18">
        <f t="shared" si="0"/>
        <v>5.61</v>
      </c>
      <c r="I34" s="18">
        <f t="shared" si="0"/>
        <v>4.22</v>
      </c>
      <c r="J34" s="18">
        <f t="shared" si="0"/>
        <v>0.11</v>
      </c>
      <c r="K34" s="18">
        <f t="shared" si="0"/>
        <v>84.76</v>
      </c>
      <c r="L34" s="18">
        <f t="shared" si="0"/>
        <v>25.35</v>
      </c>
      <c r="M34" s="18">
        <f t="shared" si="0"/>
        <v>69.78</v>
      </c>
      <c r="N34" s="18">
        <f t="shared" si="0"/>
        <v>2.1</v>
      </c>
      <c r="O34" s="18">
        <f t="shared" si="0"/>
        <v>0</v>
      </c>
      <c r="P34" s="18">
        <f t="shared" si="0"/>
        <v>0.15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2.91</v>
      </c>
      <c r="C35" s="3">
        <f t="shared" si="1"/>
        <v>5.35</v>
      </c>
      <c r="D35" s="3">
        <f t="shared" si="1"/>
        <v>4.07</v>
      </c>
      <c r="E35" s="3">
        <f t="shared" si="1"/>
        <v>6.35</v>
      </c>
      <c r="F35" s="3">
        <f t="shared" si="1"/>
        <v>17.010000000000002</v>
      </c>
      <c r="G35" s="3">
        <f t="shared" si="1"/>
        <v>45.71</v>
      </c>
      <c r="H35" s="3">
        <f t="shared" si="1"/>
        <v>21.14</v>
      </c>
      <c r="I35" s="3">
        <f t="shared" si="1"/>
        <v>5.65</v>
      </c>
      <c r="J35" s="3">
        <f t="shared" si="1"/>
        <v>0.85</v>
      </c>
      <c r="K35" s="3">
        <f t="shared" si="1"/>
        <v>357.81</v>
      </c>
      <c r="L35" s="3">
        <f t="shared" si="1"/>
        <v>32.21</v>
      </c>
      <c r="M35" s="3">
        <f t="shared" si="1"/>
        <v>97.51</v>
      </c>
      <c r="N35" s="3">
        <f t="shared" si="1"/>
        <v>503</v>
      </c>
      <c r="O35" s="3">
        <f t="shared" si="1"/>
        <v>0.2</v>
      </c>
      <c r="P35" s="3">
        <f t="shared" si="1"/>
        <v>0.27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1.905833333333333</v>
      </c>
      <c r="C36" s="18">
        <f t="shared" si="2"/>
        <v>4.1045833333333333</v>
      </c>
      <c r="D36" s="18">
        <f t="shared" si="2"/>
        <v>2.9629166666666662</v>
      </c>
      <c r="E36" s="18">
        <f t="shared" si="2"/>
        <v>5.1262499999999989</v>
      </c>
      <c r="F36" s="18">
        <f t="shared" si="2"/>
        <v>4.7841666666666658</v>
      </c>
      <c r="G36" s="18">
        <f t="shared" si="2"/>
        <v>27.726249999999997</v>
      </c>
      <c r="H36" s="18">
        <f t="shared" si="2"/>
        <v>12.046666666666669</v>
      </c>
      <c r="I36" s="18">
        <f t="shared" si="2"/>
        <v>4.7766666666666664</v>
      </c>
      <c r="J36" s="18">
        <f t="shared" si="2"/>
        <v>0.28125000000000006</v>
      </c>
      <c r="K36" s="18">
        <f t="shared" si="2"/>
        <v>217.86374999999998</v>
      </c>
      <c r="L36" s="18">
        <f t="shared" si="2"/>
        <v>28.332916666666666</v>
      </c>
      <c r="M36" s="18">
        <f t="shared" si="2"/>
        <v>86.543749999999989</v>
      </c>
      <c r="N36" s="18">
        <f t="shared" si="2"/>
        <v>99.96666666666664</v>
      </c>
      <c r="O36" s="18">
        <f t="shared" si="2"/>
        <v>1.6666666666666666E-2</v>
      </c>
      <c r="P36" s="18">
        <f t="shared" si="2"/>
        <v>0.20125000000000004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0.51966474700075982</v>
      </c>
      <c r="C37" s="18">
        <f t="shared" ref="C37:Q37" si="3">STDEV(C9:C32)</f>
        <v>0.67096931289037198</v>
      </c>
      <c r="D37" s="18">
        <f t="shared" si="3"/>
        <v>0.56442721382845007</v>
      </c>
      <c r="E37" s="18">
        <f t="shared" si="3"/>
        <v>0.47258597101479854</v>
      </c>
      <c r="F37" s="18">
        <f t="shared" si="3"/>
        <v>4.5536425139581986</v>
      </c>
      <c r="G37" s="18">
        <f t="shared" si="3"/>
        <v>8.1391452454227036</v>
      </c>
      <c r="H37" s="18">
        <f t="shared" si="3"/>
        <v>3.7731841779297812</v>
      </c>
      <c r="I37" s="18">
        <f t="shared" si="3"/>
        <v>0.41897044273320522</v>
      </c>
      <c r="J37" s="18">
        <f t="shared" si="3"/>
        <v>0.19049848795474325</v>
      </c>
      <c r="K37" s="18">
        <f t="shared" si="3"/>
        <v>65.810825250172186</v>
      </c>
      <c r="L37" s="18">
        <f t="shared" si="3"/>
        <v>2.3227803414211929</v>
      </c>
      <c r="M37" s="18">
        <f t="shared" si="3"/>
        <v>9.8561659414408336</v>
      </c>
      <c r="N37" s="18">
        <f t="shared" si="3"/>
        <v>142.57732811619675</v>
      </c>
      <c r="O37" s="18">
        <f t="shared" si="3"/>
        <v>5.6465970257327996E-2</v>
      </c>
      <c r="P37" s="18">
        <f t="shared" si="3"/>
        <v>3.1389904220250633E-2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132</v>
      </c>
      <c r="B9" s="40">
        <v>3.12</v>
      </c>
      <c r="C9" s="40">
        <v>5.04</v>
      </c>
      <c r="D9" s="40">
        <v>2.92</v>
      </c>
      <c r="E9" s="40">
        <v>4.6500000000000004</v>
      </c>
      <c r="F9" s="40">
        <v>3.28</v>
      </c>
      <c r="G9" s="40">
        <v>32.89</v>
      </c>
      <c r="H9" s="40">
        <v>13.39</v>
      </c>
      <c r="I9" s="40">
        <v>5.82</v>
      </c>
      <c r="J9" s="40">
        <v>0.17</v>
      </c>
      <c r="K9" s="40">
        <v>178.98</v>
      </c>
      <c r="L9" s="40">
        <v>26.7</v>
      </c>
      <c r="M9" s="40">
        <v>91.16</v>
      </c>
      <c r="N9" s="40">
        <v>2.2000000000000002</v>
      </c>
      <c r="O9" s="40">
        <v>0</v>
      </c>
      <c r="P9" s="40">
        <v>0.24</v>
      </c>
      <c r="Q9" s="40">
        <v>10</v>
      </c>
      <c r="R9" s="38"/>
      <c r="S9" s="38"/>
      <c r="T9" s="38"/>
      <c r="U9" s="38"/>
    </row>
    <row r="10" spans="1:21" customFormat="1">
      <c r="A10" s="41" t="s">
        <v>133</v>
      </c>
      <c r="B10" s="40">
        <v>3.58</v>
      </c>
      <c r="C10" s="40">
        <v>5.5</v>
      </c>
      <c r="D10" s="40">
        <v>3.05</v>
      </c>
      <c r="E10" s="40">
        <v>4.88</v>
      </c>
      <c r="F10" s="40">
        <v>2.46</v>
      </c>
      <c r="G10" s="40">
        <v>34.03</v>
      </c>
      <c r="H10" s="40">
        <v>11.91</v>
      </c>
      <c r="I10" s="40">
        <v>6.72</v>
      </c>
      <c r="J10" s="40">
        <v>0.17</v>
      </c>
      <c r="K10" s="40">
        <v>165.66</v>
      </c>
      <c r="L10" s="40">
        <v>26.65</v>
      </c>
      <c r="M10" s="40">
        <v>93.67</v>
      </c>
      <c r="N10" s="40">
        <v>2.2000000000000002</v>
      </c>
      <c r="O10" s="40">
        <v>0</v>
      </c>
      <c r="P10" s="40">
        <v>0.27</v>
      </c>
      <c r="Q10" s="40">
        <v>10</v>
      </c>
      <c r="R10" s="38"/>
      <c r="S10" s="38"/>
      <c r="T10" s="38"/>
      <c r="U10" s="38"/>
    </row>
    <row r="11" spans="1:21" customFormat="1">
      <c r="A11" s="41" t="s">
        <v>134</v>
      </c>
      <c r="B11" s="40">
        <v>3.48</v>
      </c>
      <c r="C11" s="40">
        <v>5.51</v>
      </c>
      <c r="D11" s="40">
        <v>3.23</v>
      </c>
      <c r="E11" s="40">
        <v>5.94</v>
      </c>
      <c r="F11" s="40">
        <v>2.29</v>
      </c>
      <c r="G11" s="40">
        <v>31.57</v>
      </c>
      <c r="H11" s="40">
        <v>12.39</v>
      </c>
      <c r="I11" s="40">
        <v>7.04</v>
      </c>
      <c r="J11" s="40">
        <v>0.18</v>
      </c>
      <c r="K11" s="40">
        <v>208.68</v>
      </c>
      <c r="L11" s="40">
        <v>26.65</v>
      </c>
      <c r="M11" s="40">
        <v>94.04</v>
      </c>
      <c r="N11" s="40">
        <v>1.7</v>
      </c>
      <c r="O11" s="40">
        <v>0</v>
      </c>
      <c r="P11" s="40">
        <v>0.3</v>
      </c>
      <c r="Q11" s="40">
        <v>10</v>
      </c>
      <c r="R11" s="38"/>
      <c r="S11" s="38"/>
      <c r="T11" s="38"/>
      <c r="U11" s="38"/>
    </row>
    <row r="12" spans="1:21" customFormat="1">
      <c r="A12" s="41" t="s">
        <v>135</v>
      </c>
      <c r="B12" s="40">
        <v>3.05</v>
      </c>
      <c r="C12" s="40">
        <v>4.82</v>
      </c>
      <c r="D12" s="40">
        <v>2.57</v>
      </c>
      <c r="E12" s="40">
        <v>6.04</v>
      </c>
      <c r="F12" s="40">
        <v>1.72</v>
      </c>
      <c r="G12" s="40">
        <v>33.049999999999997</v>
      </c>
      <c r="H12" s="40">
        <v>12.83</v>
      </c>
      <c r="I12" s="40">
        <v>6.85</v>
      </c>
      <c r="J12" s="40">
        <v>0.14000000000000001</v>
      </c>
      <c r="K12" s="40">
        <v>174.65</v>
      </c>
      <c r="L12" s="40">
        <v>26.79</v>
      </c>
      <c r="M12" s="40">
        <v>93.29</v>
      </c>
      <c r="N12" s="40">
        <v>2.1</v>
      </c>
      <c r="O12" s="40">
        <v>0</v>
      </c>
      <c r="P12" s="40">
        <v>0.28999999999999998</v>
      </c>
      <c r="Q12" s="40">
        <v>10</v>
      </c>
      <c r="R12" s="38"/>
      <c r="S12" s="38"/>
      <c r="T12" s="38"/>
      <c r="U12" s="38"/>
    </row>
    <row r="13" spans="1:21" customFormat="1">
      <c r="A13" s="41" t="s">
        <v>136</v>
      </c>
      <c r="B13" s="40">
        <v>2.93</v>
      </c>
      <c r="C13" s="40">
        <v>4.96</v>
      </c>
      <c r="D13" s="40">
        <v>3.02</v>
      </c>
      <c r="E13" s="40">
        <v>6</v>
      </c>
      <c r="F13" s="40">
        <v>2.13</v>
      </c>
      <c r="G13" s="40">
        <v>29.99</v>
      </c>
      <c r="H13" s="40">
        <v>11.59</v>
      </c>
      <c r="I13" s="40">
        <v>6.63</v>
      </c>
      <c r="J13" s="40">
        <v>0.15</v>
      </c>
      <c r="K13" s="40">
        <v>199.77</v>
      </c>
      <c r="L13" s="40">
        <v>26.83</v>
      </c>
      <c r="M13" s="40">
        <v>95.64</v>
      </c>
      <c r="N13" s="40">
        <v>2.2000000000000002</v>
      </c>
      <c r="O13" s="40">
        <v>0</v>
      </c>
      <c r="P13" s="40">
        <v>0.27</v>
      </c>
      <c r="Q13" s="40">
        <v>10</v>
      </c>
      <c r="R13" s="38"/>
      <c r="S13" s="38"/>
      <c r="T13" s="38"/>
      <c r="U13" s="38"/>
    </row>
    <row r="14" spans="1:21" customFormat="1">
      <c r="A14" s="41" t="s">
        <v>137</v>
      </c>
      <c r="B14" s="40">
        <v>2.92</v>
      </c>
      <c r="C14" s="40">
        <v>4.78</v>
      </c>
      <c r="D14" s="40">
        <v>2.69</v>
      </c>
      <c r="E14" s="40">
        <v>6.14</v>
      </c>
      <c r="F14" s="40">
        <v>2.2200000000000002</v>
      </c>
      <c r="G14" s="40">
        <v>27.66</v>
      </c>
      <c r="H14" s="40">
        <v>9.75</v>
      </c>
      <c r="I14" s="40">
        <v>6.41</v>
      </c>
      <c r="J14" s="40">
        <v>0.14000000000000001</v>
      </c>
      <c r="K14" s="40">
        <v>160.88999999999999</v>
      </c>
      <c r="L14" s="40">
        <v>26.32</v>
      </c>
      <c r="M14" s="40">
        <v>97.13</v>
      </c>
      <c r="N14" s="40">
        <v>14.5</v>
      </c>
      <c r="O14" s="40">
        <v>0</v>
      </c>
      <c r="P14" s="40">
        <v>0.27</v>
      </c>
      <c r="Q14" s="40">
        <v>10</v>
      </c>
      <c r="R14" s="38"/>
      <c r="S14" s="38"/>
      <c r="T14" s="38"/>
      <c r="U14" s="38"/>
    </row>
    <row r="15" spans="1:21" customFormat="1">
      <c r="A15" s="41" t="s">
        <v>138</v>
      </c>
      <c r="B15" s="40">
        <v>2.7</v>
      </c>
      <c r="C15" s="40">
        <v>4.33</v>
      </c>
      <c r="D15" s="40">
        <v>2.15</v>
      </c>
      <c r="E15" s="40">
        <v>6.18</v>
      </c>
      <c r="F15" s="40">
        <v>2.81</v>
      </c>
      <c r="G15" s="40">
        <v>24.7</v>
      </c>
      <c r="H15" s="40">
        <v>10.46</v>
      </c>
      <c r="I15" s="40">
        <v>6.61</v>
      </c>
      <c r="J15" s="40">
        <v>0.18</v>
      </c>
      <c r="K15" s="40">
        <v>226.75</v>
      </c>
      <c r="L15" s="40">
        <v>27.45</v>
      </c>
      <c r="M15" s="40">
        <v>97.33</v>
      </c>
      <c r="N15" s="40">
        <v>76</v>
      </c>
      <c r="O15" s="40">
        <v>0</v>
      </c>
      <c r="P15" s="40">
        <v>0.27</v>
      </c>
      <c r="Q15" s="40">
        <v>10</v>
      </c>
      <c r="R15" s="38"/>
      <c r="S15" s="38"/>
      <c r="T15" s="38"/>
      <c r="U15" s="38"/>
    </row>
    <row r="16" spans="1:21" customFormat="1">
      <c r="A16" s="41" t="s">
        <v>139</v>
      </c>
      <c r="B16" s="40">
        <v>3.14</v>
      </c>
      <c r="C16" s="40">
        <v>5.18</v>
      </c>
      <c r="D16" s="40">
        <v>3.12</v>
      </c>
      <c r="E16" s="40">
        <v>6.17</v>
      </c>
      <c r="F16" s="40">
        <v>4.6500000000000004</v>
      </c>
      <c r="G16" s="40">
        <v>22.54</v>
      </c>
      <c r="H16" s="40">
        <v>11.78</v>
      </c>
      <c r="I16" s="40">
        <v>6.63</v>
      </c>
      <c r="J16" s="40">
        <v>0.41</v>
      </c>
      <c r="K16" s="40">
        <v>268.64999999999998</v>
      </c>
      <c r="L16" s="40">
        <v>28.84</v>
      </c>
      <c r="M16" s="40">
        <v>91.36</v>
      </c>
      <c r="N16" s="40">
        <v>137.80000000000001</v>
      </c>
      <c r="O16" s="40">
        <v>0</v>
      </c>
      <c r="P16" s="40">
        <v>0.26</v>
      </c>
      <c r="Q16" s="40">
        <v>10</v>
      </c>
      <c r="R16" s="38"/>
      <c r="S16" s="38"/>
      <c r="T16" s="38"/>
      <c r="U16" s="38"/>
    </row>
    <row r="17" spans="1:21" customFormat="1">
      <c r="A17" s="41" t="s">
        <v>140</v>
      </c>
      <c r="B17" s="40">
        <v>2.97</v>
      </c>
      <c r="C17" s="40">
        <v>4.92</v>
      </c>
      <c r="D17" s="40">
        <v>2.87</v>
      </c>
      <c r="E17" s="40">
        <v>5.7</v>
      </c>
      <c r="F17" s="40">
        <v>6.07</v>
      </c>
      <c r="G17" s="40">
        <v>24.5</v>
      </c>
      <c r="H17" s="40">
        <v>12.63</v>
      </c>
      <c r="I17" s="40">
        <v>6.56</v>
      </c>
      <c r="J17" s="40">
        <v>0.31</v>
      </c>
      <c r="K17" s="40">
        <v>283.74</v>
      </c>
      <c r="L17" s="40">
        <v>30.27</v>
      </c>
      <c r="M17" s="40">
        <v>81.27</v>
      </c>
      <c r="N17" s="40">
        <v>232.7</v>
      </c>
      <c r="O17" s="40">
        <v>0</v>
      </c>
      <c r="P17" s="40">
        <v>0.23</v>
      </c>
      <c r="Q17" s="40">
        <v>10</v>
      </c>
      <c r="R17" s="38"/>
      <c r="S17" s="38"/>
      <c r="T17" s="38"/>
      <c r="U17" s="38"/>
    </row>
    <row r="18" spans="1:21" customFormat="1">
      <c r="A18" s="41" t="s">
        <v>141</v>
      </c>
      <c r="B18" s="40">
        <v>2.94</v>
      </c>
      <c r="C18" s="40">
        <v>5.09</v>
      </c>
      <c r="D18" s="40">
        <v>3.25</v>
      </c>
      <c r="E18" s="40">
        <v>5.52</v>
      </c>
      <c r="F18" s="40">
        <v>7.41</v>
      </c>
      <c r="G18" s="40">
        <v>29.66</v>
      </c>
      <c r="H18" s="40">
        <v>14.68</v>
      </c>
      <c r="I18" s="40">
        <v>6.44</v>
      </c>
      <c r="J18" s="40">
        <v>0.47</v>
      </c>
      <c r="K18" s="40">
        <v>268.67</v>
      </c>
      <c r="L18" s="40">
        <v>30.83</v>
      </c>
      <c r="M18" s="40">
        <v>77.62</v>
      </c>
      <c r="N18" s="40">
        <v>324.8</v>
      </c>
      <c r="O18" s="40">
        <v>0</v>
      </c>
      <c r="P18" s="40">
        <v>0.2</v>
      </c>
      <c r="Q18" s="40">
        <v>10</v>
      </c>
      <c r="R18" s="38"/>
      <c r="S18" s="38"/>
      <c r="T18" s="38"/>
      <c r="U18" s="38"/>
    </row>
    <row r="19" spans="1:21" customFormat="1">
      <c r="A19" s="41" t="s">
        <v>142</v>
      </c>
      <c r="B19" s="40">
        <v>2.4300000000000002</v>
      </c>
      <c r="C19" s="40">
        <v>4.26</v>
      </c>
      <c r="D19" s="40">
        <v>2.44</v>
      </c>
      <c r="E19" s="40">
        <v>6.39</v>
      </c>
      <c r="F19" s="40">
        <v>7.08</v>
      </c>
      <c r="G19" s="40">
        <v>33.380000000000003</v>
      </c>
      <c r="H19" s="40">
        <v>17.13</v>
      </c>
      <c r="I19" s="40">
        <v>6.27</v>
      </c>
      <c r="J19" s="40">
        <v>0.61</v>
      </c>
      <c r="K19" s="40">
        <v>289.56</v>
      </c>
      <c r="L19" s="40">
        <v>32.119999999999997</v>
      </c>
      <c r="M19" s="40">
        <v>73.95</v>
      </c>
      <c r="N19" s="40">
        <v>321.2</v>
      </c>
      <c r="O19" s="40">
        <v>0</v>
      </c>
      <c r="P19" s="40">
        <v>0.23</v>
      </c>
      <c r="Q19" s="40">
        <v>10</v>
      </c>
      <c r="R19" s="38"/>
      <c r="S19" s="38"/>
      <c r="T19" s="38"/>
      <c r="U19" s="38"/>
    </row>
    <row r="20" spans="1:21" customFormat="1">
      <c r="A20" s="41" t="s">
        <v>143</v>
      </c>
      <c r="B20" s="40">
        <v>2.42</v>
      </c>
      <c r="C20" s="40">
        <v>4.62</v>
      </c>
      <c r="D20" s="40">
        <v>3.16</v>
      </c>
      <c r="E20" s="40">
        <v>6.54</v>
      </c>
      <c r="F20" s="40">
        <v>9.0399999999999991</v>
      </c>
      <c r="G20" s="40">
        <v>38.46</v>
      </c>
      <c r="H20" s="40">
        <v>18.97</v>
      </c>
      <c r="I20" s="40">
        <v>6.38</v>
      </c>
      <c r="J20" s="40">
        <v>0.52</v>
      </c>
      <c r="K20" s="40">
        <v>316.08999999999997</v>
      </c>
      <c r="L20" s="40">
        <v>33.24</v>
      </c>
      <c r="M20" s="40">
        <v>66.260000000000005</v>
      </c>
      <c r="N20" s="40">
        <v>372.9</v>
      </c>
      <c r="O20" s="40">
        <v>0</v>
      </c>
      <c r="P20" s="40">
        <v>0.24</v>
      </c>
      <c r="Q20" s="40">
        <v>10</v>
      </c>
      <c r="R20" s="38"/>
      <c r="S20" s="38"/>
      <c r="T20" s="38"/>
      <c r="U20" s="38"/>
    </row>
    <row r="21" spans="1:21" customFormat="1">
      <c r="A21" s="41" t="s">
        <v>144</v>
      </c>
      <c r="B21" s="40">
        <v>1.94</v>
      </c>
      <c r="C21" s="40">
        <v>4.0999999999999996</v>
      </c>
      <c r="D21" s="40">
        <v>2.89</v>
      </c>
      <c r="E21" s="40">
        <v>6.18</v>
      </c>
      <c r="F21" s="40">
        <v>4.8899999999999997</v>
      </c>
      <c r="G21" s="40">
        <v>39.39</v>
      </c>
      <c r="H21" s="40">
        <v>19.72</v>
      </c>
      <c r="I21" s="40">
        <v>6.36</v>
      </c>
      <c r="J21" s="40">
        <v>0.5</v>
      </c>
      <c r="K21" s="40">
        <v>264.31</v>
      </c>
      <c r="L21" s="40">
        <v>33.380000000000003</v>
      </c>
      <c r="M21" s="40">
        <v>66.959999999999994</v>
      </c>
      <c r="N21" s="40">
        <v>530.4</v>
      </c>
      <c r="O21" s="40">
        <v>0</v>
      </c>
      <c r="P21" s="40">
        <v>0.26</v>
      </c>
      <c r="Q21" s="40">
        <v>10</v>
      </c>
      <c r="R21" s="38"/>
      <c r="S21" s="38"/>
      <c r="T21" s="38"/>
      <c r="U21" s="38"/>
    </row>
    <row r="22" spans="1:21" customFormat="1">
      <c r="A22" s="41" t="s">
        <v>145</v>
      </c>
      <c r="B22" s="40">
        <v>1.67</v>
      </c>
      <c r="C22" s="40">
        <v>3.5</v>
      </c>
      <c r="D22" s="40">
        <v>2.15</v>
      </c>
      <c r="E22" s="40">
        <v>6.27</v>
      </c>
      <c r="F22" s="40">
        <v>5.56</v>
      </c>
      <c r="G22" s="40">
        <v>45.36</v>
      </c>
      <c r="H22" s="40">
        <v>20.07</v>
      </c>
      <c r="I22" s="40">
        <v>6.4</v>
      </c>
      <c r="J22" s="40">
        <v>1.37</v>
      </c>
      <c r="K22" s="40">
        <v>265.35000000000002</v>
      </c>
      <c r="L22" s="40">
        <v>32.79</v>
      </c>
      <c r="M22" s="40">
        <v>75.150000000000006</v>
      </c>
      <c r="N22" s="40">
        <v>209.9</v>
      </c>
      <c r="O22" s="40">
        <v>2.4</v>
      </c>
      <c r="P22" s="40">
        <v>0.28999999999999998</v>
      </c>
      <c r="Q22" s="40">
        <v>10</v>
      </c>
      <c r="R22" s="38"/>
      <c r="S22" s="38"/>
      <c r="T22" s="38"/>
      <c r="U22" s="38"/>
    </row>
    <row r="23" spans="1:21" customFormat="1">
      <c r="A23" s="41" t="s">
        <v>146</v>
      </c>
      <c r="B23" s="40">
        <v>1.52</v>
      </c>
      <c r="C23" s="40">
        <v>3.22</v>
      </c>
      <c r="D23" s="40">
        <v>1.84</v>
      </c>
      <c r="E23" s="40">
        <v>6.59</v>
      </c>
      <c r="F23" s="40">
        <v>4.79</v>
      </c>
      <c r="G23" s="40">
        <v>45.57</v>
      </c>
      <c r="H23" s="40">
        <v>23.1</v>
      </c>
      <c r="I23" s="40">
        <v>6.68</v>
      </c>
      <c r="J23" s="40">
        <v>1.31</v>
      </c>
      <c r="K23" s="40">
        <v>354.37</v>
      </c>
      <c r="L23" s="40">
        <v>26.45</v>
      </c>
      <c r="M23" s="40">
        <v>98.38</v>
      </c>
      <c r="N23" s="40">
        <v>58.1</v>
      </c>
      <c r="O23" s="40">
        <v>6.6</v>
      </c>
      <c r="P23" s="40">
        <v>0.27</v>
      </c>
      <c r="Q23" s="40">
        <v>10</v>
      </c>
      <c r="R23" s="38"/>
      <c r="S23" s="38"/>
      <c r="T23" s="38"/>
      <c r="U23" s="38"/>
    </row>
    <row r="24" spans="1:21" customFormat="1">
      <c r="A24" s="41" t="s">
        <v>147</v>
      </c>
      <c r="B24" s="40">
        <v>2.2000000000000002</v>
      </c>
      <c r="C24" s="40">
        <v>4.2</v>
      </c>
      <c r="D24" s="40">
        <v>2.68</v>
      </c>
      <c r="E24" s="40">
        <v>6.79</v>
      </c>
      <c r="F24" s="40">
        <v>2.39</v>
      </c>
      <c r="G24" s="40">
        <v>48.21</v>
      </c>
      <c r="H24" s="40">
        <v>23.55</v>
      </c>
      <c r="I24" s="40">
        <v>6.78</v>
      </c>
      <c r="J24" s="40">
        <v>0.95</v>
      </c>
      <c r="K24" s="40">
        <v>41.18</v>
      </c>
      <c r="L24" s="40">
        <v>27.7</v>
      </c>
      <c r="M24" s="40">
        <v>94.59</v>
      </c>
      <c r="N24" s="40">
        <v>112.8</v>
      </c>
      <c r="O24" s="40">
        <v>0</v>
      </c>
      <c r="P24" s="40">
        <v>0.28000000000000003</v>
      </c>
      <c r="Q24" s="40">
        <v>10</v>
      </c>
      <c r="R24" s="38"/>
      <c r="S24" s="38"/>
      <c r="T24" s="38"/>
      <c r="U24" s="38"/>
    </row>
    <row r="25" spans="1:21" customFormat="1">
      <c r="A25" s="41" t="s">
        <v>148</v>
      </c>
      <c r="B25" s="40">
        <v>2.63</v>
      </c>
      <c r="C25" s="40">
        <v>4.51</v>
      </c>
      <c r="D25" s="40">
        <v>2.86</v>
      </c>
      <c r="E25" s="40">
        <v>7.82</v>
      </c>
      <c r="F25" s="40">
        <v>2.11</v>
      </c>
      <c r="G25" s="40">
        <v>77.73</v>
      </c>
      <c r="H25" s="40">
        <v>22.27</v>
      </c>
      <c r="I25" s="40">
        <v>6.75</v>
      </c>
      <c r="J25" s="40">
        <v>0.44</v>
      </c>
      <c r="K25" s="40">
        <v>185.8</v>
      </c>
      <c r="L25" s="40">
        <v>28.01</v>
      </c>
      <c r="M25" s="40">
        <v>88.56</v>
      </c>
      <c r="N25" s="40">
        <v>73.3</v>
      </c>
      <c r="O25" s="40">
        <v>0</v>
      </c>
      <c r="P25" s="40">
        <v>0.32</v>
      </c>
      <c r="Q25" s="40">
        <v>10</v>
      </c>
      <c r="R25" s="38"/>
      <c r="S25" s="38"/>
      <c r="T25" s="38"/>
      <c r="U25" s="38"/>
    </row>
    <row r="26" spans="1:21" customFormat="1">
      <c r="A26" s="41" t="s">
        <v>149</v>
      </c>
      <c r="B26" s="40">
        <v>3.08</v>
      </c>
      <c r="C26" s="40">
        <v>5.4</v>
      </c>
      <c r="D26" s="40">
        <v>3.64</v>
      </c>
      <c r="E26" s="40">
        <v>11.35</v>
      </c>
      <c r="F26" s="40">
        <v>3.61</v>
      </c>
      <c r="G26" s="40">
        <v>166.23</v>
      </c>
      <c r="H26" s="40">
        <v>30.96</v>
      </c>
      <c r="I26" s="40">
        <v>6.66</v>
      </c>
      <c r="J26" s="40">
        <v>0.19</v>
      </c>
      <c r="K26" s="40">
        <v>175.39</v>
      </c>
      <c r="L26" s="40">
        <v>27.93</v>
      </c>
      <c r="M26" s="40">
        <v>93.05</v>
      </c>
      <c r="N26" s="40">
        <v>37.299999999999997</v>
      </c>
      <c r="O26" s="40">
        <v>0</v>
      </c>
      <c r="P26" s="40">
        <v>0.3</v>
      </c>
      <c r="Q26" s="40">
        <v>10</v>
      </c>
      <c r="R26" s="38"/>
      <c r="S26" s="38"/>
      <c r="T26" s="38"/>
      <c r="U26" s="38"/>
    </row>
    <row r="27" spans="1:21" customFormat="1">
      <c r="A27" s="41" t="s">
        <v>150</v>
      </c>
      <c r="B27" s="40">
        <v>3.45</v>
      </c>
      <c r="C27" s="40">
        <v>5.79</v>
      </c>
      <c r="D27" s="40">
        <v>3.82</v>
      </c>
      <c r="E27" s="40">
        <v>9.09</v>
      </c>
      <c r="F27" s="40">
        <v>3.26</v>
      </c>
      <c r="G27" s="40">
        <v>53.03</v>
      </c>
      <c r="H27" s="40">
        <v>30.14</v>
      </c>
      <c r="I27" s="40">
        <v>6.49</v>
      </c>
      <c r="J27" s="40">
        <v>0.18</v>
      </c>
      <c r="K27" s="40">
        <v>177.01</v>
      </c>
      <c r="L27" s="40">
        <v>27.56</v>
      </c>
      <c r="M27" s="40">
        <v>94.43</v>
      </c>
      <c r="N27" s="40">
        <v>10.7</v>
      </c>
      <c r="O27" s="40">
        <v>0</v>
      </c>
      <c r="P27" s="40">
        <v>0.32</v>
      </c>
      <c r="Q27" s="40">
        <v>10</v>
      </c>
      <c r="R27" s="38"/>
      <c r="S27" s="38"/>
      <c r="T27" s="38"/>
      <c r="U27" s="38"/>
    </row>
    <row r="28" spans="1:21" customFormat="1">
      <c r="A28" s="41" t="s">
        <v>151</v>
      </c>
      <c r="B28" s="40">
        <v>3.57</v>
      </c>
      <c r="C28" s="40">
        <v>5.81</v>
      </c>
      <c r="D28" s="40">
        <v>3.68</v>
      </c>
      <c r="E28" s="40">
        <v>7.37</v>
      </c>
      <c r="F28" s="40">
        <v>2.89</v>
      </c>
      <c r="G28" s="40">
        <v>71.430000000000007</v>
      </c>
      <c r="H28" s="40">
        <v>26.56</v>
      </c>
      <c r="I28" s="40">
        <v>6.61</v>
      </c>
      <c r="J28" s="40">
        <v>0.23</v>
      </c>
      <c r="K28" s="40">
        <v>166.15</v>
      </c>
      <c r="L28" s="40">
        <v>27.5</v>
      </c>
      <c r="M28" s="40">
        <v>96.51</v>
      </c>
      <c r="N28" s="40">
        <v>2.2000000000000002</v>
      </c>
      <c r="O28" s="40">
        <v>0</v>
      </c>
      <c r="P28" s="40">
        <v>0.34</v>
      </c>
      <c r="Q28" s="40">
        <v>10</v>
      </c>
      <c r="R28" s="38"/>
      <c r="S28" s="38"/>
      <c r="T28" s="38"/>
      <c r="U28" s="38"/>
    </row>
    <row r="29" spans="1:21" customFormat="1">
      <c r="A29" s="41" t="s">
        <v>152</v>
      </c>
      <c r="B29" s="40">
        <v>4.0599999999999996</v>
      </c>
      <c r="C29" s="40">
        <v>6.47</v>
      </c>
      <c r="D29" s="40">
        <v>4.16</v>
      </c>
      <c r="E29" s="40">
        <v>6.48</v>
      </c>
      <c r="F29" s="40">
        <v>2.21</v>
      </c>
      <c r="G29" s="40">
        <v>68.58</v>
      </c>
      <c r="H29" s="40">
        <v>24.2</v>
      </c>
      <c r="I29" s="40">
        <v>7.47</v>
      </c>
      <c r="J29" s="40">
        <v>0.13</v>
      </c>
      <c r="K29" s="40">
        <v>215.81</v>
      </c>
      <c r="L29" s="40">
        <v>27.61</v>
      </c>
      <c r="M29" s="40">
        <v>96.51</v>
      </c>
      <c r="N29" s="40">
        <v>2.2000000000000002</v>
      </c>
      <c r="O29" s="40">
        <v>0</v>
      </c>
      <c r="P29" s="40">
        <v>0.37</v>
      </c>
      <c r="Q29" s="40">
        <v>10</v>
      </c>
      <c r="R29" s="38"/>
      <c r="S29" s="38"/>
      <c r="T29" s="38"/>
      <c r="U29" s="38"/>
    </row>
    <row r="30" spans="1:21" customFormat="1">
      <c r="A30" s="41" t="s">
        <v>153</v>
      </c>
      <c r="B30" s="40">
        <v>3.78</v>
      </c>
      <c r="C30" s="40">
        <v>5.74</v>
      </c>
      <c r="D30" s="40">
        <v>3.42</v>
      </c>
      <c r="E30" s="40">
        <v>5.94</v>
      </c>
      <c r="F30" s="40">
        <v>2.78</v>
      </c>
      <c r="G30" s="40">
        <v>56.21</v>
      </c>
      <c r="H30" s="40">
        <v>25.86</v>
      </c>
      <c r="I30" s="40">
        <v>7.64</v>
      </c>
      <c r="J30" s="40">
        <v>0.36</v>
      </c>
      <c r="K30" s="40">
        <v>192.72</v>
      </c>
      <c r="L30" s="40">
        <v>27.45</v>
      </c>
      <c r="M30" s="40">
        <v>97.09</v>
      </c>
      <c r="N30" s="40">
        <v>2.1</v>
      </c>
      <c r="O30" s="40">
        <v>0</v>
      </c>
      <c r="P30" s="40">
        <v>0.37</v>
      </c>
      <c r="Q30" s="40">
        <v>10</v>
      </c>
      <c r="R30" s="38"/>
      <c r="S30" s="38"/>
      <c r="T30" s="38"/>
      <c r="U30" s="38"/>
    </row>
    <row r="31" spans="1:21" customFormat="1">
      <c r="A31" s="41" t="s">
        <v>154</v>
      </c>
      <c r="B31" s="40">
        <v>4.07</v>
      </c>
      <c r="C31" s="40">
        <v>6.38</v>
      </c>
      <c r="D31" s="40">
        <v>3.98</v>
      </c>
      <c r="E31" s="40">
        <v>5.93</v>
      </c>
      <c r="F31" s="40">
        <v>2.84</v>
      </c>
      <c r="G31" s="40">
        <v>55.97</v>
      </c>
      <c r="H31" s="40">
        <v>24.2</v>
      </c>
      <c r="I31" s="40">
        <v>7.26</v>
      </c>
      <c r="J31" s="40">
        <v>0.3</v>
      </c>
      <c r="K31" s="40">
        <v>127.37</v>
      </c>
      <c r="L31" s="40">
        <v>28</v>
      </c>
      <c r="M31" s="40">
        <v>91.8</v>
      </c>
      <c r="N31" s="40">
        <v>2.1</v>
      </c>
      <c r="O31" s="40">
        <v>0</v>
      </c>
      <c r="P31" s="40">
        <v>0.37</v>
      </c>
      <c r="Q31" s="40">
        <v>10</v>
      </c>
      <c r="R31" s="38"/>
      <c r="S31" s="38"/>
      <c r="T31" s="38"/>
      <c r="U31" s="38"/>
    </row>
    <row r="32" spans="1:21" customFormat="1">
      <c r="A32" s="41" t="s">
        <v>155</v>
      </c>
      <c r="B32" s="40">
        <v>3.74</v>
      </c>
      <c r="C32" s="40">
        <v>6.04</v>
      </c>
      <c r="D32" s="40">
        <v>3.83</v>
      </c>
      <c r="E32" s="40">
        <v>5.97</v>
      </c>
      <c r="F32" s="40">
        <v>3.25</v>
      </c>
      <c r="G32" s="40">
        <v>63.62</v>
      </c>
      <c r="H32" s="40">
        <v>26.13</v>
      </c>
      <c r="I32" s="40">
        <v>7.16</v>
      </c>
      <c r="J32" s="40">
        <v>0.23</v>
      </c>
      <c r="K32" s="40">
        <v>137.38</v>
      </c>
      <c r="L32" s="40">
        <v>27.81</v>
      </c>
      <c r="M32" s="40">
        <v>92.97</v>
      </c>
      <c r="N32" s="40">
        <v>2.2999999999999998</v>
      </c>
      <c r="O32" s="40">
        <v>0</v>
      </c>
      <c r="P32" s="40">
        <v>0.35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1.52</v>
      </c>
      <c r="C34" s="18">
        <f t="shared" si="0"/>
        <v>3.22</v>
      </c>
      <c r="D34" s="18">
        <f t="shared" si="0"/>
        <v>1.84</v>
      </c>
      <c r="E34" s="18">
        <f t="shared" si="0"/>
        <v>4.6500000000000004</v>
      </c>
      <c r="F34" s="18">
        <f t="shared" si="0"/>
        <v>1.72</v>
      </c>
      <c r="G34" s="18">
        <f t="shared" si="0"/>
        <v>22.54</v>
      </c>
      <c r="H34" s="18">
        <f t="shared" si="0"/>
        <v>9.75</v>
      </c>
      <c r="I34" s="18">
        <f t="shared" si="0"/>
        <v>5.82</v>
      </c>
      <c r="J34" s="18">
        <f t="shared" si="0"/>
        <v>0.13</v>
      </c>
      <c r="K34" s="18">
        <f t="shared" si="0"/>
        <v>41.18</v>
      </c>
      <c r="L34" s="18">
        <f t="shared" si="0"/>
        <v>26.32</v>
      </c>
      <c r="M34" s="18">
        <f t="shared" si="0"/>
        <v>66.260000000000005</v>
      </c>
      <c r="N34" s="18">
        <f t="shared" si="0"/>
        <v>1.7</v>
      </c>
      <c r="O34" s="18">
        <f t="shared" si="0"/>
        <v>0</v>
      </c>
      <c r="P34" s="18">
        <f t="shared" si="0"/>
        <v>0.2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4.07</v>
      </c>
      <c r="C35" s="3">
        <f t="shared" si="1"/>
        <v>6.47</v>
      </c>
      <c r="D35" s="3">
        <f t="shared" si="1"/>
        <v>4.16</v>
      </c>
      <c r="E35" s="3">
        <f t="shared" si="1"/>
        <v>11.35</v>
      </c>
      <c r="F35" s="3">
        <f t="shared" si="1"/>
        <v>9.0399999999999991</v>
      </c>
      <c r="G35" s="3">
        <f t="shared" si="1"/>
        <v>166.23</v>
      </c>
      <c r="H35" s="3">
        <f t="shared" si="1"/>
        <v>30.96</v>
      </c>
      <c r="I35" s="3">
        <f t="shared" si="1"/>
        <v>7.64</v>
      </c>
      <c r="J35" s="3">
        <f t="shared" si="1"/>
        <v>1.37</v>
      </c>
      <c r="K35" s="3">
        <f t="shared" si="1"/>
        <v>354.37</v>
      </c>
      <c r="L35" s="3">
        <f t="shared" si="1"/>
        <v>33.380000000000003</v>
      </c>
      <c r="M35" s="3">
        <f t="shared" si="1"/>
        <v>98.38</v>
      </c>
      <c r="N35" s="3">
        <f t="shared" si="1"/>
        <v>530.4</v>
      </c>
      <c r="O35" s="3">
        <f t="shared" si="1"/>
        <v>6.6</v>
      </c>
      <c r="P35" s="3">
        <f t="shared" si="1"/>
        <v>0.37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2.9745833333333334</v>
      </c>
      <c r="C36" s="18">
        <f t="shared" si="2"/>
        <v>5.0070833333333331</v>
      </c>
      <c r="D36" s="18">
        <f t="shared" si="2"/>
        <v>3.0591666666666666</v>
      </c>
      <c r="E36" s="18">
        <f t="shared" si="2"/>
        <v>6.4970833333333333</v>
      </c>
      <c r="F36" s="18">
        <f t="shared" si="2"/>
        <v>3.8225000000000002</v>
      </c>
      <c r="G36" s="18">
        <f t="shared" si="2"/>
        <v>48.073333333333331</v>
      </c>
      <c r="H36" s="18">
        <f t="shared" si="2"/>
        <v>18.927916666666665</v>
      </c>
      <c r="I36" s="18">
        <f t="shared" si="2"/>
        <v>6.692499999999999</v>
      </c>
      <c r="J36" s="18">
        <f t="shared" si="2"/>
        <v>0.40166666666666678</v>
      </c>
      <c r="K36" s="18">
        <f t="shared" si="2"/>
        <v>210.20541666666665</v>
      </c>
      <c r="L36" s="18">
        <f t="shared" si="2"/>
        <v>28.536666666666662</v>
      </c>
      <c r="M36" s="18">
        <f t="shared" si="2"/>
        <v>89.113333333333344</v>
      </c>
      <c r="N36" s="18">
        <f t="shared" si="2"/>
        <v>105.57083333333334</v>
      </c>
      <c r="O36" s="18">
        <f t="shared" si="2"/>
        <v>0.375</v>
      </c>
      <c r="P36" s="18">
        <f t="shared" si="2"/>
        <v>0.28791666666666665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0.6969809377136732</v>
      </c>
      <c r="C37" s="18">
        <f t="shared" ref="C37:Q37" si="3">STDEV(C9:C32)</f>
        <v>0.83468025206566376</v>
      </c>
      <c r="D37" s="18">
        <f t="shared" si="3"/>
        <v>0.60190217800242085</v>
      </c>
      <c r="E37" s="18">
        <f t="shared" si="3"/>
        <v>1.3621290214273016</v>
      </c>
      <c r="F37" s="18">
        <f t="shared" si="3"/>
        <v>1.9572346285778679</v>
      </c>
      <c r="G37" s="18">
        <f t="shared" si="3"/>
        <v>29.75355173050286</v>
      </c>
      <c r="H37" s="18">
        <f t="shared" si="3"/>
        <v>6.6521790997659176</v>
      </c>
      <c r="I37" s="18">
        <f t="shared" si="3"/>
        <v>0.39882708468490552</v>
      </c>
      <c r="J37" s="18">
        <f t="shared" si="3"/>
        <v>0.3482710921440198</v>
      </c>
      <c r="K37" s="18">
        <f t="shared" si="3"/>
        <v>68.987892698279197</v>
      </c>
      <c r="L37" s="18">
        <f t="shared" si="3"/>
        <v>2.2650495083689277</v>
      </c>
      <c r="M37" s="18">
        <f t="shared" si="3"/>
        <v>9.852678146913334</v>
      </c>
      <c r="N37" s="18">
        <f t="shared" si="3"/>
        <v>148.58233694302049</v>
      </c>
      <c r="O37" s="18">
        <f t="shared" si="3"/>
        <v>1.4133678557446301</v>
      </c>
      <c r="P37" s="18">
        <f t="shared" si="3"/>
        <v>4.7271571258795393E-2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42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156</v>
      </c>
      <c r="B9" s="40">
        <v>4.43</v>
      </c>
      <c r="C9" s="40">
        <v>7.01</v>
      </c>
      <c r="D9" s="40">
        <v>4.6399999999999997</v>
      </c>
      <c r="E9" s="40">
        <v>5.95</v>
      </c>
      <c r="F9" s="40">
        <v>2.17</v>
      </c>
      <c r="G9" s="40">
        <v>38.86</v>
      </c>
      <c r="H9" s="40">
        <v>25.09</v>
      </c>
      <c r="I9" s="40">
        <v>6.81</v>
      </c>
      <c r="J9" s="40">
        <v>0.23</v>
      </c>
      <c r="K9" s="40">
        <v>132.5</v>
      </c>
      <c r="L9" s="40">
        <v>27.5</v>
      </c>
      <c r="M9" s="40">
        <v>92.81</v>
      </c>
      <c r="N9" s="40">
        <v>3.2</v>
      </c>
      <c r="O9" s="40">
        <v>2</v>
      </c>
      <c r="P9" s="40">
        <v>0.32</v>
      </c>
      <c r="Q9" s="40">
        <v>10</v>
      </c>
      <c r="R9" s="38"/>
      <c r="S9" s="38"/>
      <c r="T9" s="38"/>
      <c r="U9" s="38"/>
    </row>
    <row r="10" spans="1:21" customFormat="1">
      <c r="A10" s="41" t="s">
        <v>157</v>
      </c>
      <c r="B10" s="40">
        <v>3.25</v>
      </c>
      <c r="C10" s="40">
        <v>5.35</v>
      </c>
      <c r="D10" s="40">
        <v>3.28</v>
      </c>
      <c r="E10" s="40">
        <v>6.16</v>
      </c>
      <c r="F10" s="40">
        <v>2.1800000000000002</v>
      </c>
      <c r="G10" s="40">
        <v>33.53</v>
      </c>
      <c r="H10" s="40">
        <v>22.33</v>
      </c>
      <c r="I10" s="40">
        <v>6.36</v>
      </c>
      <c r="J10" s="40">
        <v>0.23</v>
      </c>
      <c r="K10" s="40">
        <v>209.6</v>
      </c>
      <c r="L10" s="40">
        <v>26.24</v>
      </c>
      <c r="M10" s="40">
        <v>98.45</v>
      </c>
      <c r="N10" s="40">
        <v>3.9</v>
      </c>
      <c r="O10" s="40">
        <v>5.2</v>
      </c>
      <c r="P10" s="40">
        <v>0.28000000000000003</v>
      </c>
      <c r="Q10" s="40">
        <v>10</v>
      </c>
      <c r="R10" s="38"/>
      <c r="S10" s="38"/>
      <c r="T10" s="38"/>
      <c r="U10" s="38"/>
    </row>
    <row r="11" spans="1:21" customFormat="1">
      <c r="A11" s="41" t="s">
        <v>158</v>
      </c>
      <c r="B11" s="40">
        <v>2.85</v>
      </c>
      <c r="C11" s="40">
        <v>4.63</v>
      </c>
      <c r="D11" s="40">
        <v>2.52</v>
      </c>
      <c r="E11" s="40">
        <v>6.1</v>
      </c>
      <c r="F11" s="40">
        <v>2.0099999999999998</v>
      </c>
      <c r="G11" s="40">
        <v>19.73</v>
      </c>
      <c r="H11" s="40">
        <v>14.52</v>
      </c>
      <c r="I11" s="40">
        <v>5.88</v>
      </c>
      <c r="J11" s="40">
        <v>0.18</v>
      </c>
      <c r="K11" s="40">
        <v>245.27</v>
      </c>
      <c r="L11" s="40">
        <v>24.42</v>
      </c>
      <c r="M11" s="40">
        <v>98.47</v>
      </c>
      <c r="N11" s="40">
        <v>2.6</v>
      </c>
      <c r="O11" s="40">
        <v>1</v>
      </c>
      <c r="P11" s="40">
        <v>0.24</v>
      </c>
      <c r="Q11" s="40">
        <v>10</v>
      </c>
      <c r="R11" s="38"/>
      <c r="S11" s="38"/>
      <c r="T11" s="38"/>
      <c r="U11" s="38"/>
    </row>
    <row r="12" spans="1:21" customFormat="1">
      <c r="A12" s="41" t="s">
        <v>159</v>
      </c>
      <c r="B12" s="40">
        <v>2.92</v>
      </c>
      <c r="C12" s="40">
        <v>4.7699999999999996</v>
      </c>
      <c r="D12" s="40">
        <v>2.68</v>
      </c>
      <c r="E12" s="40">
        <v>5.36</v>
      </c>
      <c r="F12" s="40">
        <v>3.16</v>
      </c>
      <c r="G12" s="40">
        <v>12.13</v>
      </c>
      <c r="H12" s="40">
        <v>13.03</v>
      </c>
      <c r="I12" s="40">
        <v>5.23</v>
      </c>
      <c r="J12" s="40">
        <v>0.17</v>
      </c>
      <c r="K12" s="40">
        <v>248.25</v>
      </c>
      <c r="L12" s="40">
        <v>24.36</v>
      </c>
      <c r="M12" s="40">
        <v>98.48</v>
      </c>
      <c r="N12" s="40">
        <v>2.5</v>
      </c>
      <c r="O12" s="40">
        <v>0.6</v>
      </c>
      <c r="P12" s="40">
        <v>0.18</v>
      </c>
      <c r="Q12" s="40">
        <v>10</v>
      </c>
      <c r="R12" s="38"/>
      <c r="S12" s="38"/>
      <c r="T12" s="38"/>
      <c r="U12" s="38"/>
    </row>
    <row r="13" spans="1:21" customFormat="1">
      <c r="A13" s="41" t="s">
        <v>160</v>
      </c>
      <c r="B13" s="40">
        <v>3.4</v>
      </c>
      <c r="C13" s="40">
        <v>5.58</v>
      </c>
      <c r="D13" s="40">
        <v>3.48</v>
      </c>
      <c r="E13" s="40">
        <v>5.33</v>
      </c>
      <c r="F13" s="40">
        <v>2.5499999999999998</v>
      </c>
      <c r="G13" s="40">
        <v>21.09</v>
      </c>
      <c r="H13" s="40">
        <v>9.75</v>
      </c>
      <c r="I13" s="40">
        <v>5.0999999999999996</v>
      </c>
      <c r="J13" s="40">
        <v>0.17</v>
      </c>
      <c r="K13" s="40">
        <v>215.81</v>
      </c>
      <c r="L13" s="40">
        <v>24.61</v>
      </c>
      <c r="M13" s="40">
        <v>98.49</v>
      </c>
      <c r="N13" s="40">
        <v>2.2000000000000002</v>
      </c>
      <c r="O13" s="40">
        <v>0</v>
      </c>
      <c r="P13" s="40">
        <v>0.18</v>
      </c>
      <c r="Q13" s="40">
        <v>10</v>
      </c>
      <c r="R13" s="38"/>
      <c r="S13" s="38"/>
      <c r="T13" s="38"/>
      <c r="U13" s="38"/>
    </row>
    <row r="14" spans="1:21" customFormat="1">
      <c r="A14" s="41" t="s">
        <v>161</v>
      </c>
      <c r="B14" s="40">
        <v>3.91</v>
      </c>
      <c r="C14" s="40">
        <v>6.16</v>
      </c>
      <c r="D14" s="40">
        <v>3.81</v>
      </c>
      <c r="E14" s="40">
        <v>5.35</v>
      </c>
      <c r="F14" s="40">
        <v>2.7</v>
      </c>
      <c r="G14" s="40">
        <v>9.5500000000000007</v>
      </c>
      <c r="H14" s="40">
        <v>8.35</v>
      </c>
      <c r="I14" s="40">
        <v>4.91</v>
      </c>
      <c r="J14" s="40">
        <v>0.64</v>
      </c>
      <c r="K14" s="40">
        <v>86.13</v>
      </c>
      <c r="L14" s="40">
        <v>24.76</v>
      </c>
      <c r="M14" s="40">
        <v>98.53</v>
      </c>
      <c r="N14" s="40">
        <v>7.3</v>
      </c>
      <c r="O14" s="40">
        <v>0</v>
      </c>
      <c r="P14" s="40">
        <v>0.17</v>
      </c>
      <c r="Q14" s="40">
        <v>10</v>
      </c>
      <c r="R14" s="38"/>
      <c r="S14" s="38"/>
      <c r="T14" s="38"/>
      <c r="U14" s="38"/>
    </row>
    <row r="15" spans="1:21" customFormat="1">
      <c r="A15" s="41" t="s">
        <v>162</v>
      </c>
      <c r="B15" s="40">
        <v>3.73</v>
      </c>
      <c r="C15" s="40">
        <v>5.84</v>
      </c>
      <c r="D15" s="40">
        <v>3.47</v>
      </c>
      <c r="E15" s="40">
        <v>5.34</v>
      </c>
      <c r="F15" s="40">
        <v>2.69</v>
      </c>
      <c r="G15" s="40">
        <v>27.59</v>
      </c>
      <c r="H15" s="40">
        <v>9.56</v>
      </c>
      <c r="I15" s="40">
        <v>4.82</v>
      </c>
      <c r="J15" s="40">
        <v>1.54</v>
      </c>
      <c r="K15" s="40">
        <v>295.25</v>
      </c>
      <c r="L15" s="40">
        <v>25.01</v>
      </c>
      <c r="M15" s="40">
        <v>98.53</v>
      </c>
      <c r="N15" s="40">
        <v>12.3</v>
      </c>
      <c r="O15" s="40">
        <v>0.4</v>
      </c>
      <c r="P15" s="40">
        <v>0.16</v>
      </c>
      <c r="Q15" s="40">
        <v>10</v>
      </c>
      <c r="R15" s="38"/>
      <c r="S15" s="38"/>
      <c r="T15" s="38"/>
      <c r="U15" s="38"/>
    </row>
    <row r="16" spans="1:21" customFormat="1">
      <c r="A16" s="41" t="s">
        <v>163</v>
      </c>
      <c r="B16" s="40">
        <v>3.8</v>
      </c>
      <c r="C16" s="40">
        <v>5.9</v>
      </c>
      <c r="D16" s="40">
        <v>3.49</v>
      </c>
      <c r="E16" s="40">
        <v>5.27</v>
      </c>
      <c r="F16" s="40">
        <v>2.66</v>
      </c>
      <c r="G16" s="40">
        <v>18.59</v>
      </c>
      <c r="H16" s="40">
        <v>9.82</v>
      </c>
      <c r="I16" s="40">
        <v>4.83</v>
      </c>
      <c r="J16" s="40">
        <v>1.6</v>
      </c>
      <c r="K16" s="40">
        <v>316.26</v>
      </c>
      <c r="L16" s="40">
        <v>23.53</v>
      </c>
      <c r="M16" s="40">
        <v>98.55</v>
      </c>
      <c r="N16" s="40">
        <v>24.4</v>
      </c>
      <c r="O16" s="40">
        <v>1.6</v>
      </c>
      <c r="P16" s="40">
        <v>0.18</v>
      </c>
      <c r="Q16" s="40">
        <v>10</v>
      </c>
      <c r="R16" s="38"/>
      <c r="S16" s="38"/>
      <c r="T16" s="38"/>
      <c r="U16" s="38"/>
    </row>
    <row r="17" spans="1:21" customFormat="1">
      <c r="A17" s="41" t="s">
        <v>164</v>
      </c>
      <c r="B17" s="40">
        <v>3.13</v>
      </c>
      <c r="C17" s="40">
        <v>5.08</v>
      </c>
      <c r="D17" s="40">
        <v>3.05</v>
      </c>
      <c r="E17" s="40">
        <v>5.3</v>
      </c>
      <c r="F17" s="40">
        <v>1.98</v>
      </c>
      <c r="G17" s="40">
        <v>15.97</v>
      </c>
      <c r="H17" s="40">
        <v>7.38</v>
      </c>
      <c r="I17" s="40">
        <v>4.6100000000000003</v>
      </c>
      <c r="J17" s="40">
        <v>0.68</v>
      </c>
      <c r="K17" s="40">
        <v>299.31</v>
      </c>
      <c r="L17" s="40">
        <v>24.03</v>
      </c>
      <c r="M17" s="40">
        <v>98.58</v>
      </c>
      <c r="N17" s="40">
        <v>86.8</v>
      </c>
      <c r="O17" s="40">
        <v>0.8</v>
      </c>
      <c r="P17" s="40">
        <v>0.19</v>
      </c>
      <c r="Q17" s="40">
        <v>10</v>
      </c>
      <c r="R17" s="38"/>
      <c r="S17" s="38"/>
      <c r="T17" s="38"/>
      <c r="U17" s="38"/>
    </row>
    <row r="18" spans="1:21" customFormat="1">
      <c r="A18" s="41" t="s">
        <v>165</v>
      </c>
      <c r="B18" s="40">
        <v>3.29</v>
      </c>
      <c r="C18" s="40">
        <v>5.68</v>
      </c>
      <c r="D18" s="40">
        <v>3.84</v>
      </c>
      <c r="E18" s="40">
        <v>5.52</v>
      </c>
      <c r="F18" s="40">
        <v>1.91</v>
      </c>
      <c r="G18" s="40">
        <v>22.51</v>
      </c>
      <c r="H18" s="40">
        <v>8.68</v>
      </c>
      <c r="I18" s="40">
        <v>4.43</v>
      </c>
      <c r="J18" s="40">
        <v>0.63</v>
      </c>
      <c r="K18" s="40">
        <v>308.5</v>
      </c>
      <c r="L18" s="40">
        <v>26.56</v>
      </c>
      <c r="M18" s="40">
        <v>98.57</v>
      </c>
      <c r="N18" s="40">
        <v>264.2</v>
      </c>
      <c r="O18" s="40">
        <v>0</v>
      </c>
      <c r="P18" s="40">
        <v>0.19</v>
      </c>
      <c r="Q18" s="40">
        <v>10</v>
      </c>
      <c r="R18" s="38"/>
      <c r="S18" s="38"/>
      <c r="T18" s="38"/>
      <c r="U18" s="38"/>
    </row>
    <row r="19" spans="1:21" customFormat="1">
      <c r="A19" s="41" t="s">
        <v>166</v>
      </c>
      <c r="B19" s="40">
        <v>3.05</v>
      </c>
      <c r="C19" s="40">
        <v>5.03</v>
      </c>
      <c r="D19" s="40">
        <v>2.97</v>
      </c>
      <c r="E19" s="40">
        <v>4.6399999999999997</v>
      </c>
      <c r="F19" s="40">
        <v>2.1</v>
      </c>
      <c r="G19" s="40">
        <v>33.909999999999997</v>
      </c>
      <c r="H19" s="40">
        <v>11.16</v>
      </c>
      <c r="I19" s="40">
        <v>4.32</v>
      </c>
      <c r="J19" s="40">
        <v>0.46</v>
      </c>
      <c r="K19" s="40">
        <v>308.14999999999998</v>
      </c>
      <c r="L19" s="40">
        <v>27.15</v>
      </c>
      <c r="M19" s="40">
        <v>87.13</v>
      </c>
      <c r="N19" s="40">
        <v>183</v>
      </c>
      <c r="O19" s="40">
        <v>0</v>
      </c>
      <c r="P19" s="40">
        <v>0.21</v>
      </c>
      <c r="Q19" s="40">
        <v>10</v>
      </c>
      <c r="R19" s="38"/>
      <c r="S19" s="38"/>
      <c r="T19" s="38"/>
      <c r="U19" s="38"/>
    </row>
    <row r="20" spans="1:21" customFormat="1">
      <c r="A20" s="41" t="s">
        <v>167</v>
      </c>
      <c r="B20" s="40">
        <v>3.24</v>
      </c>
      <c r="C20" s="40">
        <v>5.44</v>
      </c>
      <c r="D20" s="40">
        <v>3.46</v>
      </c>
      <c r="E20" s="40">
        <v>4.63</v>
      </c>
      <c r="F20" s="40">
        <v>1.99</v>
      </c>
      <c r="G20" s="40">
        <v>50.4</v>
      </c>
      <c r="H20" s="40">
        <v>15.88</v>
      </c>
      <c r="I20" s="40">
        <v>4.63</v>
      </c>
      <c r="J20" s="40">
        <v>0.4</v>
      </c>
      <c r="K20" s="40">
        <v>292.87</v>
      </c>
      <c r="L20" s="40">
        <v>27.38</v>
      </c>
      <c r="M20" s="40">
        <v>86.3</v>
      </c>
      <c r="N20" s="40">
        <v>194.1</v>
      </c>
      <c r="O20" s="40">
        <v>0</v>
      </c>
      <c r="P20" s="40">
        <v>0.23</v>
      </c>
      <c r="Q20" s="40">
        <v>10</v>
      </c>
      <c r="R20" s="38"/>
      <c r="S20" s="38"/>
      <c r="T20" s="38"/>
      <c r="U20" s="38"/>
    </row>
    <row r="21" spans="1:21" customFormat="1">
      <c r="A21" s="41" t="s">
        <v>168</v>
      </c>
      <c r="B21" s="40">
        <v>2.81</v>
      </c>
      <c r="C21" s="40">
        <v>4.96</v>
      </c>
      <c r="D21" s="40">
        <v>3.18</v>
      </c>
      <c r="E21" s="40">
        <v>4.5199999999999996</v>
      </c>
      <c r="F21" s="40">
        <v>2.69</v>
      </c>
      <c r="G21" s="40">
        <v>55.1</v>
      </c>
      <c r="H21" s="40">
        <v>17.78</v>
      </c>
      <c r="I21" s="40">
        <v>4.66</v>
      </c>
      <c r="J21" s="40">
        <v>0.51</v>
      </c>
      <c r="K21" s="40">
        <v>254.86</v>
      </c>
      <c r="L21" s="40">
        <v>28.12</v>
      </c>
      <c r="M21" s="40">
        <v>84.88</v>
      </c>
      <c r="N21" s="40">
        <v>236.9</v>
      </c>
      <c r="O21" s="40">
        <v>0</v>
      </c>
      <c r="P21" s="40">
        <v>0.22</v>
      </c>
      <c r="Q21" s="40">
        <v>10</v>
      </c>
      <c r="R21" s="38"/>
      <c r="S21" s="38"/>
      <c r="T21" s="38"/>
      <c r="U21" s="38"/>
    </row>
    <row r="22" spans="1:21" customFormat="1">
      <c r="A22" s="41" t="s">
        <v>169</v>
      </c>
      <c r="B22" s="40">
        <v>2.4700000000000002</v>
      </c>
      <c r="C22" s="40">
        <v>4.25</v>
      </c>
      <c r="D22" s="40">
        <v>2.37</v>
      </c>
      <c r="E22" s="40">
        <v>3.64</v>
      </c>
      <c r="F22" s="40">
        <v>4.1900000000000004</v>
      </c>
      <c r="G22" s="40">
        <v>34.729999999999997</v>
      </c>
      <c r="H22" s="40">
        <v>15.16</v>
      </c>
      <c r="I22" s="40">
        <v>5.61</v>
      </c>
      <c r="J22" s="40">
        <v>0.43</v>
      </c>
      <c r="K22" s="40">
        <v>263.82</v>
      </c>
      <c r="L22" s="40">
        <v>28.44</v>
      </c>
      <c r="M22" s="40">
        <v>85.04</v>
      </c>
      <c r="N22" s="40">
        <v>259.39999999999998</v>
      </c>
      <c r="O22" s="40">
        <v>0</v>
      </c>
      <c r="P22" s="40">
        <v>0.26</v>
      </c>
      <c r="Q22" s="40">
        <v>10</v>
      </c>
      <c r="R22" s="38"/>
      <c r="S22" s="38"/>
      <c r="T22" s="38"/>
      <c r="U22" s="38"/>
    </row>
    <row r="23" spans="1:21" customFormat="1">
      <c r="A23" s="41" t="s">
        <v>170</v>
      </c>
      <c r="B23" s="40">
        <v>2.78</v>
      </c>
      <c r="C23" s="40">
        <v>4.7300000000000004</v>
      </c>
      <c r="D23" s="40">
        <v>2.81</v>
      </c>
      <c r="E23" s="40">
        <v>3.78</v>
      </c>
      <c r="F23" s="40">
        <v>4.71</v>
      </c>
      <c r="G23" s="40">
        <v>32.700000000000003</v>
      </c>
      <c r="H23" s="40">
        <v>15.92</v>
      </c>
      <c r="I23" s="40">
        <v>6.53</v>
      </c>
      <c r="J23" s="40">
        <v>0.45</v>
      </c>
      <c r="K23" s="40">
        <v>265.2</v>
      </c>
      <c r="L23" s="40">
        <v>28.94</v>
      </c>
      <c r="M23" s="40">
        <v>80.89</v>
      </c>
      <c r="N23" s="40">
        <v>252.3</v>
      </c>
      <c r="O23" s="40">
        <v>0.2</v>
      </c>
      <c r="P23" s="40">
        <v>0.26</v>
      </c>
      <c r="Q23" s="40">
        <v>10</v>
      </c>
      <c r="R23" s="38"/>
      <c r="S23" s="38"/>
      <c r="T23" s="38"/>
      <c r="U23" s="38"/>
    </row>
    <row r="24" spans="1:21" customFormat="1">
      <c r="A24" s="41" t="s">
        <v>171</v>
      </c>
      <c r="B24" s="40">
        <v>2.4500000000000002</v>
      </c>
      <c r="C24" s="40">
        <v>4.1500000000000004</v>
      </c>
      <c r="D24" s="40">
        <v>2.2000000000000002</v>
      </c>
      <c r="E24" s="40">
        <v>3.68</v>
      </c>
      <c r="F24" s="40">
        <v>10.25</v>
      </c>
      <c r="G24" s="40">
        <v>35.549999999999997</v>
      </c>
      <c r="H24" s="40">
        <v>17.54</v>
      </c>
      <c r="I24" s="40">
        <v>6.85</v>
      </c>
      <c r="J24" s="40">
        <v>0.35</v>
      </c>
      <c r="K24" s="40">
        <v>252.03</v>
      </c>
      <c r="L24" s="40">
        <v>29.18</v>
      </c>
      <c r="M24" s="40">
        <v>81.44</v>
      </c>
      <c r="N24" s="40">
        <v>195.9</v>
      </c>
      <c r="O24" s="40">
        <v>0</v>
      </c>
      <c r="P24" s="40">
        <v>0.28999999999999998</v>
      </c>
      <c r="Q24" s="40">
        <v>10</v>
      </c>
      <c r="R24" s="38"/>
      <c r="S24" s="38"/>
      <c r="T24" s="38"/>
      <c r="U24" s="38"/>
    </row>
    <row r="25" spans="1:21" customFormat="1">
      <c r="A25" s="41" t="s">
        <v>172</v>
      </c>
      <c r="B25" s="40">
        <v>2.5</v>
      </c>
      <c r="C25" s="40">
        <v>4.5999999999999996</v>
      </c>
      <c r="D25" s="40">
        <v>2.99</v>
      </c>
      <c r="E25" s="40">
        <v>3.55</v>
      </c>
      <c r="F25" s="40">
        <v>13.61</v>
      </c>
      <c r="G25" s="40">
        <v>26.22</v>
      </c>
      <c r="H25" s="40">
        <v>13</v>
      </c>
      <c r="I25" s="40">
        <v>7.21</v>
      </c>
      <c r="J25" s="40">
        <v>0.33</v>
      </c>
      <c r="K25" s="40">
        <v>306.31</v>
      </c>
      <c r="L25" s="40">
        <v>29.1</v>
      </c>
      <c r="M25" s="40">
        <v>81.790000000000006</v>
      </c>
      <c r="N25" s="40">
        <v>117.3</v>
      </c>
      <c r="O25" s="40">
        <v>0</v>
      </c>
      <c r="P25" s="40">
        <v>0.37</v>
      </c>
      <c r="Q25" s="40">
        <v>10</v>
      </c>
      <c r="R25" s="38"/>
      <c r="S25" s="38"/>
      <c r="T25" s="38"/>
      <c r="U25" s="38"/>
    </row>
    <row r="26" spans="1:21" customFormat="1">
      <c r="A26" s="41" t="s">
        <v>173</v>
      </c>
      <c r="B26" s="40">
        <v>2.12</v>
      </c>
      <c r="C26" s="40">
        <v>3.91</v>
      </c>
      <c r="D26" s="40">
        <v>2.2400000000000002</v>
      </c>
      <c r="E26" s="40">
        <v>4.03</v>
      </c>
      <c r="F26" s="40">
        <v>12.43</v>
      </c>
      <c r="G26" s="40">
        <v>39.5</v>
      </c>
      <c r="H26" s="40">
        <v>15.97</v>
      </c>
      <c r="I26" s="40">
        <v>8</v>
      </c>
      <c r="J26" s="40">
        <v>0.34</v>
      </c>
      <c r="K26" s="40">
        <v>313.7</v>
      </c>
      <c r="L26" s="40">
        <v>29</v>
      </c>
      <c r="M26" s="40">
        <v>83.2</v>
      </c>
      <c r="N26" s="40">
        <v>67.7</v>
      </c>
      <c r="O26" s="40">
        <v>0</v>
      </c>
      <c r="P26" s="40">
        <v>0.44</v>
      </c>
      <c r="Q26" s="40">
        <v>10</v>
      </c>
      <c r="R26" s="38"/>
      <c r="S26" s="38"/>
      <c r="T26" s="38"/>
      <c r="U26" s="38"/>
    </row>
    <row r="27" spans="1:21" customFormat="1">
      <c r="A27" s="41" t="s">
        <v>174</v>
      </c>
      <c r="B27" s="40">
        <v>2.61</v>
      </c>
      <c r="C27" s="40">
        <v>4.95</v>
      </c>
      <c r="D27" s="40">
        <v>3.47</v>
      </c>
      <c r="E27" s="40">
        <v>6.04</v>
      </c>
      <c r="F27" s="40">
        <v>3.31</v>
      </c>
      <c r="G27" s="40">
        <v>47.79</v>
      </c>
      <c r="H27" s="40">
        <v>20.05</v>
      </c>
      <c r="I27" s="40">
        <v>8.36</v>
      </c>
      <c r="J27" s="40">
        <v>0.81</v>
      </c>
      <c r="K27" s="40">
        <v>359.41</v>
      </c>
      <c r="L27" s="40">
        <v>28.65</v>
      </c>
      <c r="M27" s="40">
        <v>85.33</v>
      </c>
      <c r="N27" s="40">
        <v>9.5</v>
      </c>
      <c r="O27" s="40">
        <v>0</v>
      </c>
      <c r="P27" s="40">
        <v>0.43</v>
      </c>
      <c r="Q27" s="40">
        <v>10</v>
      </c>
      <c r="R27" s="38"/>
      <c r="S27" s="38"/>
      <c r="T27" s="38"/>
      <c r="U27" s="38"/>
    </row>
    <row r="28" spans="1:21" customFormat="1">
      <c r="A28" s="41" t="s">
        <v>175</v>
      </c>
      <c r="B28" s="40">
        <v>2.76</v>
      </c>
      <c r="C28" s="40">
        <v>4.8</v>
      </c>
      <c r="D28" s="40">
        <v>2.96</v>
      </c>
      <c r="E28" s="40">
        <v>6.4</v>
      </c>
      <c r="F28" s="40">
        <v>2.4500000000000002</v>
      </c>
      <c r="G28" s="40">
        <v>49.61</v>
      </c>
      <c r="H28" s="40">
        <v>16.43</v>
      </c>
      <c r="I28" s="40">
        <v>7.77</v>
      </c>
      <c r="J28" s="40">
        <v>0.36</v>
      </c>
      <c r="K28" s="40">
        <v>166.07</v>
      </c>
      <c r="L28" s="40">
        <v>27.83</v>
      </c>
      <c r="M28" s="40">
        <v>87.08</v>
      </c>
      <c r="N28" s="40">
        <v>2.4</v>
      </c>
      <c r="O28" s="40">
        <v>0</v>
      </c>
      <c r="P28" s="40">
        <v>0.41</v>
      </c>
      <c r="Q28" s="40">
        <v>10</v>
      </c>
      <c r="R28" s="38"/>
      <c r="S28" s="38"/>
      <c r="T28" s="38"/>
      <c r="U28" s="38"/>
    </row>
    <row r="29" spans="1:21" customFormat="1">
      <c r="A29" s="41" t="s">
        <v>176</v>
      </c>
      <c r="B29" s="40">
        <v>2.48</v>
      </c>
      <c r="C29" s="40">
        <v>4.07</v>
      </c>
      <c r="D29" s="40">
        <v>2</v>
      </c>
      <c r="E29" s="40">
        <v>6.37</v>
      </c>
      <c r="F29" s="40">
        <v>2.61</v>
      </c>
      <c r="G29" s="40">
        <v>53.05</v>
      </c>
      <c r="H29" s="40">
        <v>16.440000000000001</v>
      </c>
      <c r="I29" s="40">
        <v>7.59</v>
      </c>
      <c r="J29" s="40">
        <v>0.2</v>
      </c>
      <c r="K29" s="40">
        <v>168.91</v>
      </c>
      <c r="L29" s="40">
        <v>27.19</v>
      </c>
      <c r="M29" s="40">
        <v>89.04</v>
      </c>
      <c r="N29" s="40">
        <v>2.4</v>
      </c>
      <c r="O29" s="40">
        <v>0</v>
      </c>
      <c r="P29" s="40">
        <v>0.39</v>
      </c>
      <c r="Q29" s="40">
        <v>10</v>
      </c>
      <c r="R29" s="38"/>
      <c r="S29" s="38"/>
      <c r="T29" s="38"/>
      <c r="U29" s="38"/>
    </row>
    <row r="30" spans="1:21" customFormat="1">
      <c r="A30" s="41" t="s">
        <v>177</v>
      </c>
      <c r="B30" s="40">
        <v>3.02</v>
      </c>
      <c r="C30" s="40">
        <v>5</v>
      </c>
      <c r="D30" s="40">
        <v>2.95</v>
      </c>
      <c r="E30" s="40">
        <v>6.59</v>
      </c>
      <c r="F30" s="40">
        <v>2.54</v>
      </c>
      <c r="G30" s="40">
        <v>53.44</v>
      </c>
      <c r="H30" s="40">
        <v>13.85</v>
      </c>
      <c r="I30" s="40">
        <v>7.12</v>
      </c>
      <c r="J30" s="40">
        <v>0.2</v>
      </c>
      <c r="K30" s="40">
        <v>197.46</v>
      </c>
      <c r="L30" s="40">
        <v>26.68</v>
      </c>
      <c r="M30" s="40">
        <v>91.35</v>
      </c>
      <c r="N30" s="40">
        <v>2.4</v>
      </c>
      <c r="O30" s="40">
        <v>0</v>
      </c>
      <c r="P30" s="40">
        <v>0.37</v>
      </c>
      <c r="Q30" s="40">
        <v>10</v>
      </c>
      <c r="R30" s="38"/>
      <c r="S30" s="38"/>
      <c r="T30" s="38"/>
      <c r="U30" s="38"/>
    </row>
    <row r="31" spans="1:21" customFormat="1">
      <c r="A31" s="41" t="s">
        <v>178</v>
      </c>
      <c r="B31" s="40">
        <v>3.14</v>
      </c>
      <c r="C31" s="40">
        <v>5.21</v>
      </c>
      <c r="D31" s="40">
        <v>3.17</v>
      </c>
      <c r="E31" s="40">
        <v>6.35</v>
      </c>
      <c r="F31" s="40">
        <v>2.13</v>
      </c>
      <c r="G31" s="40">
        <v>47.33</v>
      </c>
      <c r="H31" s="40">
        <v>15.72</v>
      </c>
      <c r="I31" s="40">
        <v>6.78</v>
      </c>
      <c r="J31" s="40">
        <v>0.25</v>
      </c>
      <c r="K31" s="40">
        <v>159.93</v>
      </c>
      <c r="L31" s="40">
        <v>26.75</v>
      </c>
      <c r="M31" s="40">
        <v>93.68</v>
      </c>
      <c r="N31" s="40">
        <v>2.1</v>
      </c>
      <c r="O31" s="40">
        <v>0</v>
      </c>
      <c r="P31" s="40">
        <v>0.34</v>
      </c>
      <c r="Q31" s="40">
        <v>10</v>
      </c>
      <c r="R31" s="38"/>
      <c r="S31" s="38"/>
      <c r="T31" s="38"/>
      <c r="U31" s="38"/>
    </row>
    <row r="32" spans="1:21" customFormat="1">
      <c r="A32" s="41" t="s">
        <v>179</v>
      </c>
      <c r="B32" s="40">
        <v>3.26</v>
      </c>
      <c r="C32" s="40">
        <v>5.0199999999999996</v>
      </c>
      <c r="D32" s="40">
        <v>2.63</v>
      </c>
      <c r="E32" s="40">
        <v>6.15</v>
      </c>
      <c r="F32" s="40">
        <v>1.92</v>
      </c>
      <c r="G32" s="40">
        <v>48.55</v>
      </c>
      <c r="H32" s="40">
        <v>16.190000000000001</v>
      </c>
      <c r="I32" s="40">
        <v>7.17</v>
      </c>
      <c r="J32" s="40">
        <v>0.23</v>
      </c>
      <c r="K32" s="40">
        <v>182.45</v>
      </c>
      <c r="L32" s="40">
        <v>26.83</v>
      </c>
      <c r="M32" s="40">
        <v>94.83</v>
      </c>
      <c r="N32" s="40">
        <v>2.4</v>
      </c>
      <c r="O32" s="40">
        <v>0</v>
      </c>
      <c r="P32" s="40">
        <v>0.3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2.12</v>
      </c>
      <c r="C34" s="18">
        <f t="shared" si="0"/>
        <v>3.91</v>
      </c>
      <c r="D34" s="18">
        <f t="shared" si="0"/>
        <v>2</v>
      </c>
      <c r="E34" s="18">
        <f t="shared" si="0"/>
        <v>3.55</v>
      </c>
      <c r="F34" s="18">
        <f t="shared" si="0"/>
        <v>1.91</v>
      </c>
      <c r="G34" s="18">
        <f t="shared" si="0"/>
        <v>9.5500000000000007</v>
      </c>
      <c r="H34" s="18">
        <f t="shared" si="0"/>
        <v>7.38</v>
      </c>
      <c r="I34" s="18">
        <f t="shared" si="0"/>
        <v>4.32</v>
      </c>
      <c r="J34" s="18">
        <f t="shared" si="0"/>
        <v>0.17</v>
      </c>
      <c r="K34" s="18">
        <f t="shared" si="0"/>
        <v>86.13</v>
      </c>
      <c r="L34" s="18">
        <f t="shared" si="0"/>
        <v>23.53</v>
      </c>
      <c r="M34" s="18">
        <f t="shared" si="0"/>
        <v>80.89</v>
      </c>
      <c r="N34" s="18">
        <f t="shared" si="0"/>
        <v>2.1</v>
      </c>
      <c r="O34" s="18">
        <f t="shared" si="0"/>
        <v>0</v>
      </c>
      <c r="P34" s="18">
        <f t="shared" si="0"/>
        <v>0.16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4.43</v>
      </c>
      <c r="C35" s="3">
        <f t="shared" si="1"/>
        <v>7.01</v>
      </c>
      <c r="D35" s="3">
        <f t="shared" si="1"/>
        <v>4.6399999999999997</v>
      </c>
      <c r="E35" s="3">
        <f t="shared" si="1"/>
        <v>6.59</v>
      </c>
      <c r="F35" s="3">
        <f t="shared" si="1"/>
        <v>13.61</v>
      </c>
      <c r="G35" s="3">
        <f t="shared" si="1"/>
        <v>55.1</v>
      </c>
      <c r="H35" s="3">
        <f t="shared" si="1"/>
        <v>25.09</v>
      </c>
      <c r="I35" s="3">
        <f t="shared" si="1"/>
        <v>8.36</v>
      </c>
      <c r="J35" s="3">
        <f t="shared" si="1"/>
        <v>1.6</v>
      </c>
      <c r="K35" s="3">
        <f t="shared" si="1"/>
        <v>359.41</v>
      </c>
      <c r="L35" s="3">
        <f t="shared" si="1"/>
        <v>29.18</v>
      </c>
      <c r="M35" s="3">
        <f t="shared" si="1"/>
        <v>98.58</v>
      </c>
      <c r="N35" s="3">
        <f t="shared" si="1"/>
        <v>264.2</v>
      </c>
      <c r="O35" s="3">
        <f t="shared" si="1"/>
        <v>5.2</v>
      </c>
      <c r="P35" s="3">
        <f t="shared" si="1"/>
        <v>0.44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3.0583333333333336</v>
      </c>
      <c r="C36" s="18">
        <f t="shared" si="2"/>
        <v>5.088333333333332</v>
      </c>
      <c r="D36" s="18">
        <f t="shared" si="2"/>
        <v>3.0691666666666664</v>
      </c>
      <c r="E36" s="18">
        <f t="shared" si="2"/>
        <v>5.2520833333333341</v>
      </c>
      <c r="F36" s="18">
        <f t="shared" si="2"/>
        <v>3.789166666666667</v>
      </c>
      <c r="G36" s="18">
        <f t="shared" si="2"/>
        <v>34.47625</v>
      </c>
      <c r="H36" s="18">
        <f t="shared" si="2"/>
        <v>14.566666666666668</v>
      </c>
      <c r="I36" s="18">
        <f t="shared" si="2"/>
        <v>6.065833333333333</v>
      </c>
      <c r="J36" s="18">
        <f t="shared" si="2"/>
        <v>0.47458333333333319</v>
      </c>
      <c r="K36" s="18">
        <f t="shared" si="2"/>
        <v>243.66875000000002</v>
      </c>
      <c r="L36" s="18">
        <f t="shared" si="2"/>
        <v>26.760833333333334</v>
      </c>
      <c r="M36" s="18">
        <f t="shared" si="2"/>
        <v>91.309999999999988</v>
      </c>
      <c r="N36" s="18">
        <f t="shared" si="2"/>
        <v>80.716666666666683</v>
      </c>
      <c r="O36" s="18">
        <f t="shared" si="2"/>
        <v>0.49166666666666664</v>
      </c>
      <c r="P36" s="18">
        <f t="shared" si="2"/>
        <v>0.27541666666666664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0.53717187490448803</v>
      </c>
      <c r="C37" s="18">
        <f t="shared" ref="C37:Q37" si="3">STDEV(C9:C32)</f>
        <v>0.71278795350838742</v>
      </c>
      <c r="D37" s="18">
        <f t="shared" si="3"/>
        <v>0.60173601511298747</v>
      </c>
      <c r="E37" s="18">
        <f t="shared" si="3"/>
        <v>0.97924540232313984</v>
      </c>
      <c r="F37" s="18">
        <f t="shared" si="3"/>
        <v>3.3177020814788776</v>
      </c>
      <c r="G37" s="18">
        <f t="shared" si="3"/>
        <v>14.102235657635218</v>
      </c>
      <c r="H37" s="18">
        <f t="shared" si="3"/>
        <v>4.4220314696800411</v>
      </c>
      <c r="I37" s="18">
        <f t="shared" si="3"/>
        <v>1.2857443003167885</v>
      </c>
      <c r="J37" s="18">
        <f t="shared" si="3"/>
        <v>0.38097106094211708</v>
      </c>
      <c r="K37" s="18">
        <f t="shared" si="3"/>
        <v>68.759125769823683</v>
      </c>
      <c r="L37" s="18">
        <f t="shared" si="3"/>
        <v>1.7801829819643151</v>
      </c>
      <c r="M37" s="18">
        <f t="shared" si="3"/>
        <v>6.6989051668748534</v>
      </c>
      <c r="N37" s="18">
        <f t="shared" si="3"/>
        <v>101.48483573449762</v>
      </c>
      <c r="O37" s="18">
        <f t="shared" si="3"/>
        <v>1.142048756541874</v>
      </c>
      <c r="P37" s="18">
        <f t="shared" si="3"/>
        <v>8.9587419859606721E-2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180</v>
      </c>
      <c r="B9" s="40">
        <v>3.06</v>
      </c>
      <c r="C9" s="40">
        <v>5.0199999999999996</v>
      </c>
      <c r="D9" s="40">
        <v>2.93</v>
      </c>
      <c r="E9" s="40">
        <v>6.26</v>
      </c>
      <c r="F9" s="40">
        <v>2.85</v>
      </c>
      <c r="G9" s="40">
        <v>42.64</v>
      </c>
      <c r="H9" s="40">
        <v>14.87</v>
      </c>
      <c r="I9" s="40">
        <v>6.75</v>
      </c>
      <c r="J9" s="40">
        <v>0.12</v>
      </c>
      <c r="K9" s="40">
        <v>268.67</v>
      </c>
      <c r="L9" s="40">
        <v>26.43</v>
      </c>
      <c r="M9" s="40">
        <v>96.2</v>
      </c>
      <c r="N9" s="40">
        <v>2.2000000000000002</v>
      </c>
      <c r="O9" s="40">
        <v>0</v>
      </c>
      <c r="P9" s="40">
        <v>0.3</v>
      </c>
      <c r="Q9" s="40">
        <v>10</v>
      </c>
      <c r="R9" s="38"/>
      <c r="S9" s="38"/>
      <c r="T9" s="38"/>
      <c r="U9" s="38"/>
    </row>
    <row r="10" spans="1:21" customFormat="1">
      <c r="A10" s="41" t="s">
        <v>181</v>
      </c>
      <c r="B10" s="40">
        <v>2.44</v>
      </c>
      <c r="C10" s="40">
        <v>4.0199999999999996</v>
      </c>
      <c r="D10" s="40">
        <v>1.96</v>
      </c>
      <c r="E10" s="40">
        <v>5.8</v>
      </c>
      <c r="F10" s="40">
        <v>2.96</v>
      </c>
      <c r="G10" s="40">
        <v>36.82</v>
      </c>
      <c r="H10" s="40">
        <v>13.38</v>
      </c>
      <c r="I10" s="40">
        <v>6.64</v>
      </c>
      <c r="J10" s="40">
        <v>0.12</v>
      </c>
      <c r="K10" s="40">
        <v>228.03</v>
      </c>
      <c r="L10" s="40">
        <v>26.38</v>
      </c>
      <c r="M10" s="40">
        <v>96.48</v>
      </c>
      <c r="N10" s="40">
        <v>2.1</v>
      </c>
      <c r="O10" s="40">
        <v>0</v>
      </c>
      <c r="P10" s="40">
        <v>0.28999999999999998</v>
      </c>
      <c r="Q10" s="40">
        <v>10</v>
      </c>
      <c r="R10" s="38"/>
      <c r="S10" s="38"/>
      <c r="T10" s="38"/>
      <c r="U10" s="38"/>
    </row>
    <row r="11" spans="1:21" customFormat="1">
      <c r="A11" s="41" t="s">
        <v>182</v>
      </c>
      <c r="B11" s="40">
        <v>3.73</v>
      </c>
      <c r="C11" s="40">
        <v>5.85</v>
      </c>
      <c r="D11" s="40">
        <v>3.67</v>
      </c>
      <c r="E11" s="40">
        <v>5.07</v>
      </c>
      <c r="F11" s="40">
        <v>2.1800000000000002</v>
      </c>
      <c r="G11" s="40">
        <v>37.74</v>
      </c>
      <c r="H11" s="40">
        <v>14.44</v>
      </c>
      <c r="I11" s="40">
        <v>6.52</v>
      </c>
      <c r="J11" s="40">
        <v>0.25</v>
      </c>
      <c r="K11" s="40">
        <v>306.39</v>
      </c>
      <c r="L11" s="40">
        <v>26.42</v>
      </c>
      <c r="M11" s="40">
        <v>95.21</v>
      </c>
      <c r="N11" s="40">
        <v>2.1</v>
      </c>
      <c r="O11" s="40">
        <v>0</v>
      </c>
      <c r="P11" s="40">
        <v>0.28000000000000003</v>
      </c>
      <c r="Q11" s="40">
        <v>10</v>
      </c>
      <c r="R11" s="38"/>
      <c r="S11" s="38"/>
      <c r="T11" s="38"/>
      <c r="U11" s="38"/>
    </row>
    <row r="12" spans="1:21" customFormat="1">
      <c r="A12" s="41" t="s">
        <v>183</v>
      </c>
      <c r="B12" s="40">
        <v>3.59</v>
      </c>
      <c r="C12" s="40">
        <v>5.89</v>
      </c>
      <c r="D12" s="40">
        <v>3.79</v>
      </c>
      <c r="E12" s="40">
        <v>5.28</v>
      </c>
      <c r="F12" s="40">
        <v>2.41</v>
      </c>
      <c r="G12" s="40">
        <v>38.54</v>
      </c>
      <c r="H12" s="40">
        <v>15.04</v>
      </c>
      <c r="I12" s="40">
        <v>6.6</v>
      </c>
      <c r="J12" s="40">
        <v>0.32</v>
      </c>
      <c r="K12" s="40">
        <v>315.75</v>
      </c>
      <c r="L12" s="40">
        <v>26.47</v>
      </c>
      <c r="M12" s="40">
        <v>94.82</v>
      </c>
      <c r="N12" s="40">
        <v>2.1</v>
      </c>
      <c r="O12" s="40">
        <v>0</v>
      </c>
      <c r="P12" s="40">
        <v>0.3</v>
      </c>
      <c r="Q12" s="40">
        <v>10</v>
      </c>
      <c r="R12" s="38"/>
      <c r="S12" s="38"/>
      <c r="T12" s="38"/>
      <c r="U12" s="38"/>
    </row>
    <row r="13" spans="1:21" customFormat="1">
      <c r="A13" s="41" t="s">
        <v>184</v>
      </c>
      <c r="B13" s="40">
        <v>3.16</v>
      </c>
      <c r="C13" s="40">
        <v>5.07</v>
      </c>
      <c r="D13" s="40">
        <v>2.88</v>
      </c>
      <c r="E13" s="40">
        <v>5.36</v>
      </c>
      <c r="F13" s="40">
        <v>1.77</v>
      </c>
      <c r="G13" s="40">
        <v>40.39</v>
      </c>
      <c r="H13" s="40">
        <v>16.440000000000001</v>
      </c>
      <c r="I13" s="40">
        <v>6.46</v>
      </c>
      <c r="J13" s="40">
        <v>0.14000000000000001</v>
      </c>
      <c r="K13" s="40">
        <v>205.33</v>
      </c>
      <c r="L13" s="40">
        <v>26.49</v>
      </c>
      <c r="M13" s="40">
        <v>95.14</v>
      </c>
      <c r="N13" s="40">
        <v>2.2000000000000002</v>
      </c>
      <c r="O13" s="40">
        <v>0</v>
      </c>
      <c r="P13" s="40">
        <v>0.28999999999999998</v>
      </c>
      <c r="Q13" s="40">
        <v>10</v>
      </c>
      <c r="R13" s="38"/>
      <c r="S13" s="38"/>
      <c r="T13" s="38"/>
      <c r="U13" s="38"/>
    </row>
    <row r="14" spans="1:21" customFormat="1">
      <c r="A14" s="41" t="s">
        <v>185</v>
      </c>
      <c r="B14" s="40">
        <v>3.13</v>
      </c>
      <c r="C14" s="40">
        <v>5.22</v>
      </c>
      <c r="D14" s="40">
        <v>3.21</v>
      </c>
      <c r="E14" s="40">
        <v>5.71</v>
      </c>
      <c r="F14" s="40">
        <v>1.87</v>
      </c>
      <c r="G14" s="40">
        <v>49.41</v>
      </c>
      <c r="H14" s="40">
        <v>20.92</v>
      </c>
      <c r="I14" s="40">
        <v>6.3</v>
      </c>
      <c r="J14" s="40">
        <v>0.17</v>
      </c>
      <c r="K14" s="40">
        <v>310.02</v>
      </c>
      <c r="L14" s="40">
        <v>26.43</v>
      </c>
      <c r="M14" s="40">
        <v>94.65</v>
      </c>
      <c r="N14" s="40">
        <v>5.7</v>
      </c>
      <c r="O14" s="40">
        <v>0</v>
      </c>
      <c r="P14" s="40">
        <v>0.28000000000000003</v>
      </c>
      <c r="Q14" s="40">
        <v>10</v>
      </c>
      <c r="R14" s="38"/>
      <c r="S14" s="38"/>
      <c r="T14" s="38"/>
      <c r="U14" s="38"/>
    </row>
    <row r="15" spans="1:21" customFormat="1">
      <c r="A15" s="41" t="s">
        <v>186</v>
      </c>
      <c r="B15" s="40">
        <v>3.59</v>
      </c>
      <c r="C15" s="40">
        <v>5.61</v>
      </c>
      <c r="D15" s="40">
        <v>3.51</v>
      </c>
      <c r="E15" s="40">
        <v>5.97</v>
      </c>
      <c r="F15" s="40">
        <v>2.63</v>
      </c>
      <c r="G15" s="40">
        <v>47.23</v>
      </c>
      <c r="H15" s="40">
        <v>20.23</v>
      </c>
      <c r="I15" s="40">
        <v>6.32</v>
      </c>
      <c r="J15" s="40">
        <v>0.23</v>
      </c>
      <c r="K15" s="40">
        <v>137.15</v>
      </c>
      <c r="L15" s="40">
        <v>26.62</v>
      </c>
      <c r="M15" s="40">
        <v>94.94</v>
      </c>
      <c r="N15" s="40">
        <v>14.7</v>
      </c>
      <c r="O15" s="40">
        <v>0.4</v>
      </c>
      <c r="P15" s="40">
        <v>0.28000000000000003</v>
      </c>
      <c r="Q15" s="40">
        <v>10</v>
      </c>
      <c r="R15" s="38"/>
      <c r="S15" s="38"/>
      <c r="T15" s="38"/>
      <c r="U15" s="38"/>
    </row>
    <row r="16" spans="1:21" customFormat="1">
      <c r="A16" s="41" t="s">
        <v>187</v>
      </c>
      <c r="B16" s="40">
        <v>3.86</v>
      </c>
      <c r="C16" s="40">
        <v>5.69</v>
      </c>
      <c r="D16" s="40">
        <v>3.14</v>
      </c>
      <c r="E16" s="40">
        <v>5.87</v>
      </c>
      <c r="F16" s="40">
        <v>1.71</v>
      </c>
      <c r="G16" s="40">
        <v>49.29</v>
      </c>
      <c r="H16" s="40">
        <v>20.39</v>
      </c>
      <c r="I16" s="40">
        <v>6.71</v>
      </c>
      <c r="J16" s="40">
        <v>0.49</v>
      </c>
      <c r="K16" s="40">
        <v>57.5</v>
      </c>
      <c r="L16" s="40">
        <v>26.54</v>
      </c>
      <c r="M16" s="40">
        <v>98.85</v>
      </c>
      <c r="N16" s="40">
        <v>94.5</v>
      </c>
      <c r="O16" s="40">
        <v>0.6</v>
      </c>
      <c r="P16" s="40">
        <v>0.28999999999999998</v>
      </c>
      <c r="Q16" s="40">
        <v>10</v>
      </c>
      <c r="R16" s="38"/>
      <c r="S16" s="38"/>
      <c r="T16" s="38"/>
      <c r="U16" s="38"/>
    </row>
    <row r="17" spans="1:21" customFormat="1">
      <c r="A17" s="41" t="s">
        <v>188</v>
      </c>
      <c r="B17" s="40">
        <v>4.54</v>
      </c>
      <c r="C17" s="40">
        <v>6.67</v>
      </c>
      <c r="D17" s="40">
        <v>3.81</v>
      </c>
      <c r="E17" s="40">
        <v>6.49</v>
      </c>
      <c r="F17" s="40">
        <v>4.55</v>
      </c>
      <c r="G17" s="40">
        <v>42.83</v>
      </c>
      <c r="H17" s="40">
        <v>20.239999999999998</v>
      </c>
      <c r="I17" s="40">
        <v>6.79</v>
      </c>
      <c r="J17" s="40">
        <v>0.56999999999999995</v>
      </c>
      <c r="K17" s="40">
        <v>358.46</v>
      </c>
      <c r="L17" s="40">
        <v>28.36</v>
      </c>
      <c r="M17" s="40">
        <v>97.49</v>
      </c>
      <c r="N17" s="40">
        <v>207.9</v>
      </c>
      <c r="O17" s="40">
        <v>0</v>
      </c>
      <c r="P17" s="40">
        <v>0.28999999999999998</v>
      </c>
      <c r="Q17" s="40">
        <v>10</v>
      </c>
      <c r="R17" s="38"/>
      <c r="S17" s="38"/>
      <c r="T17" s="38"/>
      <c r="U17" s="38"/>
    </row>
    <row r="18" spans="1:21" customFormat="1">
      <c r="A18" s="41" t="s">
        <v>189</v>
      </c>
      <c r="B18" s="40">
        <v>4.0999999999999996</v>
      </c>
      <c r="C18" s="40">
        <v>6.16</v>
      </c>
      <c r="D18" s="40">
        <v>3.52</v>
      </c>
      <c r="E18" s="40">
        <v>9.35</v>
      </c>
      <c r="F18" s="40">
        <v>5.33</v>
      </c>
      <c r="G18" s="40">
        <v>42.86</v>
      </c>
      <c r="H18" s="40">
        <v>17.71</v>
      </c>
      <c r="I18" s="40">
        <v>6.58</v>
      </c>
      <c r="J18" s="40">
        <v>0.52</v>
      </c>
      <c r="K18" s="40">
        <v>50.23</v>
      </c>
      <c r="L18" s="40">
        <v>28.89</v>
      </c>
      <c r="M18" s="40">
        <v>86.4</v>
      </c>
      <c r="N18" s="40">
        <v>270.7</v>
      </c>
      <c r="O18" s="40">
        <v>0</v>
      </c>
      <c r="P18" s="40">
        <v>0.26</v>
      </c>
      <c r="Q18" s="40">
        <v>10</v>
      </c>
      <c r="R18" s="38"/>
      <c r="S18" s="38"/>
      <c r="T18" s="38"/>
      <c r="U18" s="38"/>
    </row>
    <row r="19" spans="1:21" customFormat="1">
      <c r="A19" s="41" t="s">
        <v>190</v>
      </c>
      <c r="B19" s="40">
        <v>4.76</v>
      </c>
      <c r="C19" s="40">
        <v>7.08</v>
      </c>
      <c r="D19" s="40">
        <v>4.26</v>
      </c>
      <c r="E19" s="40">
        <v>8.6999999999999993</v>
      </c>
      <c r="F19" s="40">
        <v>8</v>
      </c>
      <c r="G19" s="40">
        <v>46.94</v>
      </c>
      <c r="H19" s="40">
        <v>19.07</v>
      </c>
      <c r="I19" s="40">
        <v>6.42</v>
      </c>
      <c r="J19" s="40">
        <v>0.95</v>
      </c>
      <c r="K19" s="40">
        <v>31.16</v>
      </c>
      <c r="L19" s="40">
        <v>30.75</v>
      </c>
      <c r="M19" s="40">
        <v>81.31</v>
      </c>
      <c r="N19" s="40">
        <v>279.10000000000002</v>
      </c>
      <c r="O19" s="40">
        <v>0</v>
      </c>
      <c r="P19" s="40">
        <v>0.26</v>
      </c>
      <c r="Q19" s="40">
        <v>10</v>
      </c>
      <c r="R19" s="38"/>
      <c r="S19" s="38"/>
      <c r="T19" s="38"/>
      <c r="U19" s="38"/>
    </row>
    <row r="20" spans="1:21" customFormat="1">
      <c r="A20" s="41" t="s">
        <v>191</v>
      </c>
      <c r="B20" s="40">
        <v>3.54</v>
      </c>
      <c r="C20" s="40">
        <v>5.63</v>
      </c>
      <c r="D20" s="40">
        <v>3.54</v>
      </c>
      <c r="E20" s="40">
        <v>6.95</v>
      </c>
      <c r="F20" s="40">
        <v>8.44</v>
      </c>
      <c r="G20" s="40">
        <v>45.48</v>
      </c>
      <c r="H20" s="40">
        <v>20.21</v>
      </c>
      <c r="I20" s="40">
        <v>6.37</v>
      </c>
      <c r="J20" s="40">
        <v>0.71</v>
      </c>
      <c r="K20" s="40">
        <v>42.94</v>
      </c>
      <c r="L20" s="40">
        <v>31.26</v>
      </c>
      <c r="M20" s="40">
        <v>74.12</v>
      </c>
      <c r="N20" s="40">
        <v>290.10000000000002</v>
      </c>
      <c r="O20" s="40">
        <v>0</v>
      </c>
      <c r="P20" s="40">
        <v>0.25</v>
      </c>
      <c r="Q20" s="40">
        <v>10</v>
      </c>
      <c r="R20" s="38"/>
      <c r="S20" s="38"/>
      <c r="T20" s="38"/>
      <c r="U20" s="38"/>
    </row>
    <row r="21" spans="1:21" customFormat="1">
      <c r="A21" s="41" t="s">
        <v>192</v>
      </c>
      <c r="B21" s="40">
        <v>3.31</v>
      </c>
      <c r="C21" s="40">
        <v>5.64</v>
      </c>
      <c r="D21" s="40">
        <v>3.73</v>
      </c>
      <c r="E21" s="40">
        <v>7.82</v>
      </c>
      <c r="F21" s="40">
        <v>9.74</v>
      </c>
      <c r="G21" s="40">
        <v>44.83</v>
      </c>
      <c r="H21" s="40">
        <v>21.33</v>
      </c>
      <c r="I21" s="40">
        <v>6.12</v>
      </c>
      <c r="J21" s="40">
        <v>0.61</v>
      </c>
      <c r="K21" s="40">
        <v>59.48</v>
      </c>
      <c r="L21" s="40">
        <v>30.86</v>
      </c>
      <c r="M21" s="40">
        <v>79.3</v>
      </c>
      <c r="N21" s="40">
        <v>341.6</v>
      </c>
      <c r="O21" s="40">
        <v>0.2</v>
      </c>
      <c r="P21" s="40">
        <v>0.24</v>
      </c>
      <c r="Q21" s="40">
        <v>10</v>
      </c>
      <c r="R21" s="38"/>
      <c r="S21" s="38"/>
      <c r="T21" s="38"/>
      <c r="U21" s="38"/>
    </row>
    <row r="22" spans="1:21" customFormat="1">
      <c r="A22" s="41" t="s">
        <v>193</v>
      </c>
      <c r="B22" s="40">
        <v>2.35</v>
      </c>
      <c r="C22" s="40">
        <v>4.59</v>
      </c>
      <c r="D22" s="40">
        <v>3.19</v>
      </c>
      <c r="E22" s="40">
        <v>6.46</v>
      </c>
      <c r="F22" s="40">
        <v>7.53</v>
      </c>
      <c r="G22" s="40">
        <v>47.93</v>
      </c>
      <c r="H22" s="40">
        <v>23.48</v>
      </c>
      <c r="I22" s="40">
        <v>5.95</v>
      </c>
      <c r="J22" s="40">
        <v>0.79</v>
      </c>
      <c r="K22" s="40">
        <v>44.1</v>
      </c>
      <c r="L22" s="40">
        <v>31.45</v>
      </c>
      <c r="M22" s="40">
        <v>74.099999999999994</v>
      </c>
      <c r="N22" s="40">
        <v>346</v>
      </c>
      <c r="O22" s="40">
        <v>0</v>
      </c>
      <c r="P22" s="40">
        <v>0.27</v>
      </c>
      <c r="Q22" s="40">
        <v>10</v>
      </c>
      <c r="R22" s="38"/>
      <c r="S22" s="38"/>
      <c r="T22" s="38"/>
      <c r="U22" s="38"/>
    </row>
    <row r="23" spans="1:21" customFormat="1">
      <c r="A23" s="41" t="s">
        <v>194</v>
      </c>
      <c r="B23" s="40">
        <v>2.17</v>
      </c>
      <c r="C23" s="40">
        <v>4.54</v>
      </c>
      <c r="D23" s="40">
        <v>3.39</v>
      </c>
      <c r="E23" s="40">
        <v>7.48</v>
      </c>
      <c r="F23" s="40">
        <v>5.64</v>
      </c>
      <c r="G23" s="40">
        <v>58.96</v>
      </c>
      <c r="H23" s="40">
        <v>25.7</v>
      </c>
      <c r="I23" s="40">
        <v>5.75</v>
      </c>
      <c r="J23" s="40">
        <v>0.74</v>
      </c>
      <c r="K23" s="40">
        <v>40.950000000000003</v>
      </c>
      <c r="L23" s="40">
        <v>30.68</v>
      </c>
      <c r="M23" s="40">
        <v>75.34</v>
      </c>
      <c r="N23" s="40">
        <v>136.6</v>
      </c>
      <c r="O23" s="40">
        <v>0</v>
      </c>
      <c r="P23" s="40">
        <v>0.28999999999999998</v>
      </c>
      <c r="Q23" s="40">
        <v>10</v>
      </c>
      <c r="R23" s="38"/>
      <c r="S23" s="38"/>
      <c r="T23" s="38"/>
      <c r="U23" s="38"/>
    </row>
    <row r="24" spans="1:21" customFormat="1">
      <c r="A24" s="41" t="s">
        <v>195</v>
      </c>
      <c r="B24" s="40">
        <v>2</v>
      </c>
      <c r="C24" s="40">
        <v>4.3499999999999996</v>
      </c>
      <c r="D24" s="40">
        <v>3.27</v>
      </c>
      <c r="E24" s="40">
        <v>6.37</v>
      </c>
      <c r="F24" s="40">
        <v>5.1100000000000003</v>
      </c>
      <c r="G24" s="40">
        <v>59.05</v>
      </c>
      <c r="H24" s="40">
        <v>28.05</v>
      </c>
      <c r="I24" s="40">
        <v>5.64</v>
      </c>
      <c r="J24" s="40">
        <v>0.44</v>
      </c>
      <c r="K24" s="40">
        <v>154.38</v>
      </c>
      <c r="L24" s="40">
        <v>30.51</v>
      </c>
      <c r="M24" s="40">
        <v>86.11</v>
      </c>
      <c r="N24" s="40">
        <v>81.599999999999994</v>
      </c>
      <c r="O24" s="40">
        <v>0.4</v>
      </c>
      <c r="P24" s="40">
        <v>0.3</v>
      </c>
      <c r="Q24" s="40">
        <v>10</v>
      </c>
      <c r="R24" s="38"/>
      <c r="S24" s="38"/>
      <c r="T24" s="38"/>
      <c r="U24" s="38"/>
    </row>
    <row r="25" spans="1:21" customFormat="1">
      <c r="A25" s="41" t="s">
        <v>196</v>
      </c>
      <c r="B25" s="40">
        <v>1.46</v>
      </c>
      <c r="C25" s="40">
        <v>3.24</v>
      </c>
      <c r="D25" s="40">
        <v>1.99</v>
      </c>
      <c r="E25" s="40">
        <v>5.57</v>
      </c>
      <c r="F25" s="40">
        <v>3.16</v>
      </c>
      <c r="G25" s="40">
        <v>58.18</v>
      </c>
      <c r="H25" s="40">
        <v>27.99</v>
      </c>
      <c r="I25" s="40">
        <v>5.42</v>
      </c>
      <c r="J25" s="40">
        <v>0.2</v>
      </c>
      <c r="K25" s="40">
        <v>171.49</v>
      </c>
      <c r="L25" s="40">
        <v>28.91</v>
      </c>
      <c r="M25" s="40">
        <v>93.79</v>
      </c>
      <c r="N25" s="40">
        <v>81.3</v>
      </c>
      <c r="O25" s="40">
        <v>0.2</v>
      </c>
      <c r="P25" s="40">
        <v>0.28000000000000003</v>
      </c>
      <c r="Q25" s="40">
        <v>10</v>
      </c>
      <c r="R25" s="38"/>
      <c r="S25" s="38"/>
      <c r="T25" s="38"/>
      <c r="U25" s="38"/>
    </row>
    <row r="26" spans="1:21" customFormat="1">
      <c r="A26" s="41" t="s">
        <v>197</v>
      </c>
      <c r="B26" s="40">
        <v>2.08</v>
      </c>
      <c r="C26" s="40">
        <v>4.78</v>
      </c>
      <c r="D26" s="40">
        <v>3.99</v>
      </c>
      <c r="E26" s="40">
        <v>5.33</v>
      </c>
      <c r="F26" s="40">
        <v>3.41</v>
      </c>
      <c r="G26" s="40">
        <v>58.98</v>
      </c>
      <c r="H26" s="40">
        <v>29.43</v>
      </c>
      <c r="I26" s="40">
        <v>5.34</v>
      </c>
      <c r="J26" s="40">
        <v>0.4</v>
      </c>
      <c r="K26" s="40">
        <v>323.8</v>
      </c>
      <c r="L26" s="40">
        <v>28.43</v>
      </c>
      <c r="M26" s="40">
        <v>88.79</v>
      </c>
      <c r="N26" s="40">
        <v>44.2</v>
      </c>
      <c r="O26" s="40">
        <v>0</v>
      </c>
      <c r="P26" s="40">
        <v>0.28999999999999998</v>
      </c>
      <c r="Q26" s="40">
        <v>10</v>
      </c>
      <c r="R26" s="38"/>
      <c r="S26" s="38"/>
      <c r="T26" s="38"/>
      <c r="U26" s="38"/>
    </row>
    <row r="27" spans="1:21" customFormat="1">
      <c r="A27" s="41" t="s">
        <v>198</v>
      </c>
      <c r="B27" s="40">
        <v>1.94</v>
      </c>
      <c r="C27" s="40">
        <v>4.21</v>
      </c>
      <c r="D27" s="40">
        <v>3.09</v>
      </c>
      <c r="E27" s="40">
        <v>8.42</v>
      </c>
      <c r="F27" s="40">
        <v>10.28</v>
      </c>
      <c r="G27" s="40">
        <v>69.55</v>
      </c>
      <c r="H27" s="40">
        <v>31.92</v>
      </c>
      <c r="I27" s="40">
        <v>5.68</v>
      </c>
      <c r="J27" s="40">
        <v>0.74</v>
      </c>
      <c r="K27" s="40">
        <v>317.99</v>
      </c>
      <c r="L27" s="40">
        <v>27.82</v>
      </c>
      <c r="M27" s="40">
        <v>89.98</v>
      </c>
      <c r="N27" s="40">
        <v>6.6</v>
      </c>
      <c r="O27" s="40">
        <v>1</v>
      </c>
      <c r="P27" s="40">
        <v>0.31</v>
      </c>
      <c r="Q27" s="40">
        <v>10</v>
      </c>
      <c r="R27" s="38"/>
      <c r="S27" s="38"/>
      <c r="T27" s="38"/>
      <c r="U27" s="38"/>
    </row>
    <row r="28" spans="1:21" customFormat="1">
      <c r="A28" s="41" t="s">
        <v>199</v>
      </c>
      <c r="B28" s="40">
        <v>2.41</v>
      </c>
      <c r="C28" s="40">
        <v>4.63</v>
      </c>
      <c r="D28" s="40">
        <v>3.31</v>
      </c>
      <c r="E28" s="40">
        <v>4.6500000000000004</v>
      </c>
      <c r="F28" s="40">
        <v>3.12</v>
      </c>
      <c r="G28" s="40">
        <v>69.569999999999993</v>
      </c>
      <c r="H28" s="40">
        <v>27.29</v>
      </c>
      <c r="I28" s="40">
        <v>5.69</v>
      </c>
      <c r="J28" s="40">
        <v>0.14000000000000001</v>
      </c>
      <c r="K28" s="40">
        <v>205</v>
      </c>
      <c r="L28" s="40">
        <v>25.66</v>
      </c>
      <c r="M28" s="40">
        <v>97.98</v>
      </c>
      <c r="N28" s="40">
        <v>2.2999999999999998</v>
      </c>
      <c r="O28" s="40">
        <v>0</v>
      </c>
      <c r="P28" s="40">
        <v>0.27</v>
      </c>
      <c r="Q28" s="40">
        <v>10</v>
      </c>
      <c r="R28" s="38"/>
      <c r="S28" s="38"/>
      <c r="T28" s="38"/>
      <c r="U28" s="38"/>
    </row>
    <row r="29" spans="1:21" customFormat="1">
      <c r="A29" s="41" t="s">
        <v>200</v>
      </c>
      <c r="B29" s="40">
        <v>2.54</v>
      </c>
      <c r="C29" s="40">
        <v>4.6399999999999997</v>
      </c>
      <c r="D29" s="40">
        <v>3</v>
      </c>
      <c r="E29" s="40">
        <v>4.2699999999999996</v>
      </c>
      <c r="F29" s="40">
        <v>2.57</v>
      </c>
      <c r="G29" s="40">
        <v>55.69</v>
      </c>
      <c r="H29" s="40">
        <v>24.01</v>
      </c>
      <c r="I29" s="40">
        <v>6.18</v>
      </c>
      <c r="J29" s="40">
        <v>0.15</v>
      </c>
      <c r="K29" s="40">
        <v>344.62</v>
      </c>
      <c r="L29" s="40">
        <v>25.98</v>
      </c>
      <c r="M29" s="40">
        <v>98.71</v>
      </c>
      <c r="N29" s="40">
        <v>2.2000000000000002</v>
      </c>
      <c r="O29" s="40">
        <v>0</v>
      </c>
      <c r="P29" s="40">
        <v>0.31</v>
      </c>
      <c r="Q29" s="40">
        <v>10</v>
      </c>
      <c r="R29" s="38"/>
      <c r="S29" s="38"/>
      <c r="T29" s="38"/>
      <c r="U29" s="38"/>
    </row>
    <row r="30" spans="1:21" customFormat="1">
      <c r="A30" s="41" t="s">
        <v>201</v>
      </c>
      <c r="B30" s="40">
        <v>3.45</v>
      </c>
      <c r="C30" s="40">
        <v>5.56</v>
      </c>
      <c r="D30" s="40">
        <v>3.36</v>
      </c>
      <c r="E30" s="40">
        <v>4.55</v>
      </c>
      <c r="F30" s="40">
        <v>2.25</v>
      </c>
      <c r="G30" s="40">
        <v>61.93</v>
      </c>
      <c r="H30" s="40">
        <v>24.06</v>
      </c>
      <c r="I30" s="40">
        <v>6.52</v>
      </c>
      <c r="J30" s="40">
        <v>0.14000000000000001</v>
      </c>
      <c r="K30" s="40">
        <v>174.24</v>
      </c>
      <c r="L30" s="40">
        <v>25.98</v>
      </c>
      <c r="M30" s="40">
        <v>99.05</v>
      </c>
      <c r="N30" s="40">
        <v>2.1</v>
      </c>
      <c r="O30" s="40">
        <v>0</v>
      </c>
      <c r="P30" s="40">
        <v>0.37</v>
      </c>
      <c r="Q30" s="40">
        <v>10</v>
      </c>
      <c r="R30" s="38"/>
      <c r="S30" s="38"/>
      <c r="T30" s="38"/>
      <c r="U30" s="38"/>
    </row>
    <row r="31" spans="1:21" customFormat="1">
      <c r="A31" s="41" t="s">
        <v>202</v>
      </c>
      <c r="B31" s="40">
        <v>3.72</v>
      </c>
      <c r="C31" s="40">
        <v>6.25</v>
      </c>
      <c r="D31" s="40">
        <v>4.28</v>
      </c>
      <c r="E31" s="40">
        <v>4.7</v>
      </c>
      <c r="F31" s="40">
        <v>2.19</v>
      </c>
      <c r="G31" s="40">
        <v>66.25</v>
      </c>
      <c r="H31" s="40">
        <v>24.19</v>
      </c>
      <c r="I31" s="40">
        <v>7.1</v>
      </c>
      <c r="J31" s="40">
        <v>0.21</v>
      </c>
      <c r="K31" s="40">
        <v>187.23</v>
      </c>
      <c r="L31" s="40">
        <v>25.99</v>
      </c>
      <c r="M31" s="40">
        <v>99.14</v>
      </c>
      <c r="N31" s="40">
        <v>2.2999999999999998</v>
      </c>
      <c r="O31" s="40">
        <v>0</v>
      </c>
      <c r="P31" s="40">
        <v>0.35</v>
      </c>
      <c r="Q31" s="40">
        <v>10</v>
      </c>
      <c r="R31" s="38"/>
      <c r="S31" s="38"/>
      <c r="T31" s="38"/>
      <c r="U31" s="38"/>
    </row>
    <row r="32" spans="1:21" customFormat="1">
      <c r="A32" s="41" t="s">
        <v>203</v>
      </c>
      <c r="B32" s="40">
        <v>3.48</v>
      </c>
      <c r="C32" s="40">
        <v>5.81</v>
      </c>
      <c r="D32" s="40">
        <v>3.79</v>
      </c>
      <c r="E32" s="40">
        <v>4.68</v>
      </c>
      <c r="F32" s="40">
        <v>2.08</v>
      </c>
      <c r="G32" s="40">
        <v>54.34</v>
      </c>
      <c r="H32" s="40">
        <v>23.57</v>
      </c>
      <c r="I32" s="40">
        <v>6.91</v>
      </c>
      <c r="J32" s="40">
        <v>0.19</v>
      </c>
      <c r="K32" s="40">
        <v>236.26</v>
      </c>
      <c r="L32" s="40">
        <v>26.23</v>
      </c>
      <c r="M32" s="40">
        <v>99.1</v>
      </c>
      <c r="N32" s="40">
        <v>2.2999999999999998</v>
      </c>
      <c r="O32" s="40">
        <v>0</v>
      </c>
      <c r="P32" s="40">
        <v>0.37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1.46</v>
      </c>
      <c r="C34" s="18">
        <f t="shared" si="0"/>
        <v>3.24</v>
      </c>
      <c r="D34" s="18">
        <f t="shared" si="0"/>
        <v>1.96</v>
      </c>
      <c r="E34" s="18">
        <f t="shared" si="0"/>
        <v>4.2699999999999996</v>
      </c>
      <c r="F34" s="18">
        <f t="shared" si="0"/>
        <v>1.71</v>
      </c>
      <c r="G34" s="18">
        <f t="shared" si="0"/>
        <v>36.82</v>
      </c>
      <c r="H34" s="18">
        <f t="shared" si="0"/>
        <v>13.38</v>
      </c>
      <c r="I34" s="18">
        <f t="shared" si="0"/>
        <v>5.34</v>
      </c>
      <c r="J34" s="18">
        <f t="shared" si="0"/>
        <v>0.12</v>
      </c>
      <c r="K34" s="18">
        <f t="shared" si="0"/>
        <v>31.16</v>
      </c>
      <c r="L34" s="18">
        <f t="shared" si="0"/>
        <v>25.66</v>
      </c>
      <c r="M34" s="18">
        <f t="shared" si="0"/>
        <v>74.099999999999994</v>
      </c>
      <c r="N34" s="18">
        <f t="shared" si="0"/>
        <v>2.1</v>
      </c>
      <c r="O34" s="18">
        <f t="shared" si="0"/>
        <v>0</v>
      </c>
      <c r="P34" s="18">
        <f t="shared" si="0"/>
        <v>0.24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4.76</v>
      </c>
      <c r="C35" s="3">
        <f t="shared" si="1"/>
        <v>7.08</v>
      </c>
      <c r="D35" s="3">
        <f t="shared" si="1"/>
        <v>4.28</v>
      </c>
      <c r="E35" s="3">
        <f t="shared" si="1"/>
        <v>9.35</v>
      </c>
      <c r="F35" s="3">
        <f t="shared" si="1"/>
        <v>10.28</v>
      </c>
      <c r="G35" s="3">
        <f t="shared" si="1"/>
        <v>69.569999999999993</v>
      </c>
      <c r="H35" s="3">
        <f t="shared" si="1"/>
        <v>31.92</v>
      </c>
      <c r="I35" s="3">
        <f t="shared" si="1"/>
        <v>7.1</v>
      </c>
      <c r="J35" s="3">
        <f t="shared" si="1"/>
        <v>0.95</v>
      </c>
      <c r="K35" s="3">
        <f t="shared" si="1"/>
        <v>358.46</v>
      </c>
      <c r="L35" s="3">
        <f t="shared" si="1"/>
        <v>31.45</v>
      </c>
      <c r="M35" s="3">
        <f t="shared" si="1"/>
        <v>99.14</v>
      </c>
      <c r="N35" s="3">
        <f t="shared" si="1"/>
        <v>346</v>
      </c>
      <c r="O35" s="3">
        <f t="shared" si="1"/>
        <v>1</v>
      </c>
      <c r="P35" s="3">
        <f t="shared" si="1"/>
        <v>0.37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3.1004166666666664</v>
      </c>
      <c r="C36" s="18">
        <f t="shared" si="2"/>
        <v>5.2562499999999996</v>
      </c>
      <c r="D36" s="18">
        <f t="shared" si="2"/>
        <v>3.3587500000000006</v>
      </c>
      <c r="E36" s="18">
        <f t="shared" si="2"/>
        <v>6.1295833333333336</v>
      </c>
      <c r="F36" s="18">
        <f t="shared" si="2"/>
        <v>4.2408333333333328</v>
      </c>
      <c r="G36" s="18">
        <f t="shared" si="2"/>
        <v>51.059583333333329</v>
      </c>
      <c r="H36" s="18">
        <f t="shared" si="2"/>
        <v>21.831666666666674</v>
      </c>
      <c r="I36" s="18">
        <f t="shared" si="2"/>
        <v>6.2816666666666672</v>
      </c>
      <c r="J36" s="18">
        <f t="shared" si="2"/>
        <v>0.38916666666666683</v>
      </c>
      <c r="K36" s="18">
        <f t="shared" si="2"/>
        <v>190.46541666666664</v>
      </c>
      <c r="L36" s="18">
        <f t="shared" si="2"/>
        <v>27.897500000000004</v>
      </c>
      <c r="M36" s="18">
        <f t="shared" si="2"/>
        <v>91.124999999999986</v>
      </c>
      <c r="N36" s="18">
        <f t="shared" si="2"/>
        <v>92.604166666666671</v>
      </c>
      <c r="O36" s="18">
        <f t="shared" si="2"/>
        <v>0.11666666666666665</v>
      </c>
      <c r="P36" s="18">
        <f t="shared" si="2"/>
        <v>0.29249999999999993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0.86268780773996689</v>
      </c>
      <c r="C37" s="18">
        <f t="shared" ref="C37:Q37" si="3">STDEV(C9:C32)</f>
        <v>0.89538338885835878</v>
      </c>
      <c r="D37" s="18">
        <f t="shared" si="3"/>
        <v>0.57123293428984745</v>
      </c>
      <c r="E37" s="18">
        <f t="shared" si="3"/>
        <v>1.3822838038886043</v>
      </c>
      <c r="F37" s="18">
        <f t="shared" si="3"/>
        <v>2.6697580360426869</v>
      </c>
      <c r="G37" s="18">
        <f t="shared" si="3"/>
        <v>9.9546207226535941</v>
      </c>
      <c r="H37" s="18">
        <f t="shared" si="3"/>
        <v>5.0523525873266593</v>
      </c>
      <c r="I37" s="18">
        <f t="shared" si="3"/>
        <v>0.48457661185164846</v>
      </c>
      <c r="J37" s="18">
        <f t="shared" si="3"/>
        <v>0.25784924255087088</v>
      </c>
      <c r="K37" s="18">
        <f t="shared" si="3"/>
        <v>112.23267585803003</v>
      </c>
      <c r="L37" s="18">
        <f t="shared" si="3"/>
        <v>2.0106958561868464</v>
      </c>
      <c r="M37" s="18">
        <f t="shared" si="3"/>
        <v>8.4671323619500942</v>
      </c>
      <c r="N37" s="18">
        <f t="shared" si="3"/>
        <v>123.763693064705</v>
      </c>
      <c r="O37" s="18">
        <f t="shared" si="3"/>
        <v>0.24963741822833801</v>
      </c>
      <c r="P37" s="18">
        <f t="shared" si="3"/>
        <v>3.2604347536194025E-2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204</v>
      </c>
      <c r="B9" s="40">
        <v>3.91</v>
      </c>
      <c r="C9" s="40">
        <v>5.73</v>
      </c>
      <c r="D9" s="40">
        <v>3.26</v>
      </c>
      <c r="E9" s="40">
        <v>4.9400000000000004</v>
      </c>
      <c r="F9" s="40">
        <v>1.96</v>
      </c>
      <c r="G9" s="40">
        <v>57.52</v>
      </c>
      <c r="H9" s="40">
        <v>26.48</v>
      </c>
      <c r="I9" s="40">
        <v>6.76</v>
      </c>
      <c r="J9" s="40">
        <v>0.09</v>
      </c>
      <c r="K9" s="40">
        <v>253.68</v>
      </c>
      <c r="L9" s="40">
        <v>26.14</v>
      </c>
      <c r="M9" s="40">
        <v>99.48</v>
      </c>
      <c r="N9" s="40">
        <v>2.2000000000000002</v>
      </c>
      <c r="O9" s="40">
        <v>0</v>
      </c>
      <c r="P9" s="40">
        <v>0.39</v>
      </c>
      <c r="Q9" s="40">
        <v>10</v>
      </c>
      <c r="R9" s="38"/>
      <c r="S9" s="38"/>
      <c r="T9" s="38"/>
      <c r="U9" s="38"/>
    </row>
    <row r="10" spans="1:21" customFormat="1">
      <c r="A10" s="41" t="s">
        <v>205</v>
      </c>
      <c r="B10" s="40">
        <v>4.97</v>
      </c>
      <c r="C10" s="40">
        <v>7</v>
      </c>
      <c r="D10" s="40">
        <v>4.25</v>
      </c>
      <c r="E10" s="40">
        <v>5.16</v>
      </c>
      <c r="F10" s="40">
        <v>1.75</v>
      </c>
      <c r="G10" s="40">
        <v>59.31</v>
      </c>
      <c r="H10" s="40">
        <v>25.98</v>
      </c>
      <c r="I10" s="40">
        <v>7</v>
      </c>
      <c r="J10" s="40">
        <v>0.15</v>
      </c>
      <c r="K10" s="40">
        <v>170.2</v>
      </c>
      <c r="L10" s="40">
        <v>26.35</v>
      </c>
      <c r="M10" s="40">
        <v>99.15</v>
      </c>
      <c r="N10" s="40">
        <v>2.2999999999999998</v>
      </c>
      <c r="O10" s="40">
        <v>0</v>
      </c>
      <c r="P10" s="40">
        <v>0.43</v>
      </c>
      <c r="Q10" s="40">
        <v>10</v>
      </c>
      <c r="R10" s="38"/>
      <c r="S10" s="38"/>
      <c r="T10" s="38"/>
      <c r="U10" s="38"/>
    </row>
    <row r="11" spans="1:21" customFormat="1">
      <c r="A11" s="41" t="s">
        <v>206</v>
      </c>
      <c r="B11" s="40">
        <v>5.5</v>
      </c>
      <c r="C11" s="40">
        <v>7.44</v>
      </c>
      <c r="D11" s="40">
        <v>3.81</v>
      </c>
      <c r="E11" s="40">
        <v>5.43</v>
      </c>
      <c r="F11" s="40">
        <v>2.38</v>
      </c>
      <c r="G11" s="40">
        <v>70.2</v>
      </c>
      <c r="H11" s="40">
        <v>28.65</v>
      </c>
      <c r="I11" s="40">
        <v>8.34</v>
      </c>
      <c r="J11" s="40">
        <v>0.15</v>
      </c>
      <c r="K11" s="40">
        <v>197.06</v>
      </c>
      <c r="L11" s="40">
        <v>26.24</v>
      </c>
      <c r="M11" s="40">
        <v>98.29</v>
      </c>
      <c r="N11" s="40">
        <v>2.2000000000000002</v>
      </c>
      <c r="O11" s="40">
        <v>0</v>
      </c>
      <c r="P11" s="40">
        <v>0.51</v>
      </c>
      <c r="Q11" s="40">
        <v>10</v>
      </c>
      <c r="R11" s="38"/>
      <c r="S11" s="38"/>
      <c r="T11" s="38"/>
      <c r="U11" s="38"/>
    </row>
    <row r="12" spans="1:21" customFormat="1">
      <c r="A12" s="41" t="s">
        <v>207</v>
      </c>
      <c r="B12" s="40">
        <v>5.12</v>
      </c>
      <c r="C12" s="40">
        <v>6.77</v>
      </c>
      <c r="D12" s="40">
        <v>3.12</v>
      </c>
      <c r="E12" s="40">
        <v>5.63</v>
      </c>
      <c r="F12" s="40">
        <v>1.56</v>
      </c>
      <c r="G12" s="40">
        <v>67.150000000000006</v>
      </c>
      <c r="H12" s="40">
        <v>31.1</v>
      </c>
      <c r="I12" s="40">
        <v>9.32</v>
      </c>
      <c r="J12" s="40">
        <v>0.28999999999999998</v>
      </c>
      <c r="K12" s="40">
        <v>162.38</v>
      </c>
      <c r="L12" s="40">
        <v>26.15</v>
      </c>
      <c r="M12" s="40">
        <v>98.37</v>
      </c>
      <c r="N12" s="40">
        <v>2.2000000000000002</v>
      </c>
      <c r="O12" s="40">
        <v>0</v>
      </c>
      <c r="P12" s="40">
        <v>0.53</v>
      </c>
      <c r="Q12" s="40">
        <v>10</v>
      </c>
      <c r="R12" s="38"/>
      <c r="S12" s="38"/>
      <c r="T12" s="38"/>
      <c r="U12" s="38"/>
    </row>
    <row r="13" spans="1:21" customFormat="1">
      <c r="A13" s="41" t="s">
        <v>208</v>
      </c>
      <c r="B13" s="40">
        <v>5.62</v>
      </c>
      <c r="C13" s="40">
        <v>7.24</v>
      </c>
      <c r="D13" s="40">
        <v>3.24</v>
      </c>
      <c r="E13" s="40">
        <v>5.22</v>
      </c>
      <c r="F13" s="40">
        <v>2.2000000000000002</v>
      </c>
      <c r="G13" s="40">
        <v>71.13</v>
      </c>
      <c r="H13" s="40">
        <v>28.22</v>
      </c>
      <c r="I13" s="40">
        <v>9.89</v>
      </c>
      <c r="J13" s="40">
        <v>0.17</v>
      </c>
      <c r="K13" s="40">
        <v>197.73</v>
      </c>
      <c r="L13" s="40">
        <v>25.84</v>
      </c>
      <c r="M13" s="40">
        <v>98.54</v>
      </c>
      <c r="N13" s="40">
        <v>2.1</v>
      </c>
      <c r="O13" s="40">
        <v>0</v>
      </c>
      <c r="P13" s="40">
        <v>0.51</v>
      </c>
      <c r="Q13" s="40">
        <v>10</v>
      </c>
      <c r="R13" s="38"/>
      <c r="S13" s="38"/>
      <c r="T13" s="38"/>
      <c r="U13" s="38"/>
    </row>
    <row r="14" spans="1:21" customFormat="1">
      <c r="A14" s="41" t="s">
        <v>209</v>
      </c>
      <c r="B14" s="40">
        <v>5.49</v>
      </c>
      <c r="C14" s="40">
        <v>7.09</v>
      </c>
      <c r="D14" s="40">
        <v>3.17</v>
      </c>
      <c r="E14" s="40">
        <v>5.01</v>
      </c>
      <c r="F14" s="40">
        <v>2.14</v>
      </c>
      <c r="G14" s="40">
        <v>63.66</v>
      </c>
      <c r="H14" s="40">
        <v>27.29</v>
      </c>
      <c r="I14" s="40">
        <v>9.9</v>
      </c>
      <c r="J14" s="40">
        <v>0.1</v>
      </c>
      <c r="K14" s="40">
        <v>213.96</v>
      </c>
      <c r="L14" s="40">
        <v>25.76</v>
      </c>
      <c r="M14" s="40">
        <v>98.71</v>
      </c>
      <c r="N14" s="40">
        <v>8.5</v>
      </c>
      <c r="O14" s="40">
        <v>0</v>
      </c>
      <c r="P14" s="40">
        <v>0.5</v>
      </c>
      <c r="Q14" s="40">
        <v>10</v>
      </c>
      <c r="R14" s="38"/>
      <c r="S14" s="38"/>
      <c r="T14" s="38"/>
      <c r="U14" s="38"/>
    </row>
    <row r="15" spans="1:21" customFormat="1">
      <c r="A15" s="41" t="s">
        <v>210</v>
      </c>
      <c r="B15" s="40">
        <v>5.84</v>
      </c>
      <c r="C15" s="40">
        <v>7.67</v>
      </c>
      <c r="D15" s="40">
        <v>3.95</v>
      </c>
      <c r="E15" s="40">
        <v>5.45</v>
      </c>
      <c r="F15" s="40">
        <v>1.96</v>
      </c>
      <c r="G15" s="40">
        <v>53.19</v>
      </c>
      <c r="H15" s="40">
        <v>26.55</v>
      </c>
      <c r="I15" s="40">
        <v>9.9499999999999993</v>
      </c>
      <c r="J15" s="40">
        <v>0.16</v>
      </c>
      <c r="K15" s="40">
        <v>355.85</v>
      </c>
      <c r="L15" s="40">
        <v>26.71</v>
      </c>
      <c r="M15" s="40">
        <v>98.87</v>
      </c>
      <c r="N15" s="40">
        <v>69.8</v>
      </c>
      <c r="O15" s="40">
        <v>0</v>
      </c>
      <c r="P15" s="40">
        <v>0.51</v>
      </c>
      <c r="Q15" s="40">
        <v>10</v>
      </c>
      <c r="R15" s="38"/>
      <c r="S15" s="38"/>
      <c r="T15" s="38"/>
      <c r="U15" s="38"/>
    </row>
    <row r="16" spans="1:21" customFormat="1">
      <c r="A16" s="41" t="s">
        <v>211</v>
      </c>
      <c r="B16" s="40">
        <v>4.8</v>
      </c>
      <c r="C16" s="40">
        <v>6.21</v>
      </c>
      <c r="D16" s="40">
        <v>2.54</v>
      </c>
      <c r="E16" s="40">
        <v>5.65</v>
      </c>
      <c r="F16" s="40">
        <v>4.53</v>
      </c>
      <c r="G16" s="40">
        <v>56.7</v>
      </c>
      <c r="H16" s="40">
        <v>30.06</v>
      </c>
      <c r="I16" s="40">
        <v>10.35</v>
      </c>
      <c r="J16" s="40">
        <v>0.28000000000000003</v>
      </c>
      <c r="K16" s="40">
        <v>331.45</v>
      </c>
      <c r="L16" s="40">
        <v>28.77</v>
      </c>
      <c r="M16" s="40">
        <v>97.86</v>
      </c>
      <c r="N16" s="40">
        <v>128.69999999999999</v>
      </c>
      <c r="O16" s="40">
        <v>0</v>
      </c>
      <c r="P16" s="40">
        <v>0.52</v>
      </c>
      <c r="Q16" s="40">
        <v>10</v>
      </c>
      <c r="R16" s="38"/>
      <c r="S16" s="38"/>
      <c r="T16" s="38"/>
      <c r="U16" s="38"/>
    </row>
    <row r="17" spans="1:21" customFormat="1">
      <c r="A17" s="41" t="s">
        <v>212</v>
      </c>
      <c r="B17" s="40">
        <v>5.33</v>
      </c>
      <c r="C17" s="40">
        <v>7.17</v>
      </c>
      <c r="D17" s="40">
        <v>3.57</v>
      </c>
      <c r="E17" s="40">
        <v>6</v>
      </c>
      <c r="F17" s="40">
        <v>5.17</v>
      </c>
      <c r="G17" s="40">
        <v>61.95</v>
      </c>
      <c r="H17" s="40">
        <v>30.51</v>
      </c>
      <c r="I17" s="40">
        <v>10.199999999999999</v>
      </c>
      <c r="J17" s="40">
        <v>0.2</v>
      </c>
      <c r="K17" s="40">
        <v>143.18</v>
      </c>
      <c r="L17" s="40">
        <v>30</v>
      </c>
      <c r="M17" s="40">
        <v>83.14</v>
      </c>
      <c r="N17" s="40">
        <v>202.7</v>
      </c>
      <c r="O17" s="40">
        <v>0</v>
      </c>
      <c r="P17" s="40">
        <v>0.48</v>
      </c>
      <c r="Q17" s="40">
        <v>10</v>
      </c>
      <c r="R17" s="38"/>
      <c r="S17" s="38"/>
      <c r="T17" s="38"/>
      <c r="U17" s="38"/>
    </row>
    <row r="18" spans="1:21" customFormat="1">
      <c r="A18" s="41" t="s">
        <v>213</v>
      </c>
      <c r="B18" s="40">
        <v>4.51</v>
      </c>
      <c r="C18" s="40">
        <v>6.82</v>
      </c>
      <c r="D18" s="40">
        <v>4.53</v>
      </c>
      <c r="E18" s="40">
        <v>5.49</v>
      </c>
      <c r="F18" s="40">
        <v>2.79</v>
      </c>
      <c r="G18" s="40">
        <v>63.44</v>
      </c>
      <c r="H18" s="40">
        <v>30.67</v>
      </c>
      <c r="I18" s="40">
        <v>9.5</v>
      </c>
      <c r="J18" s="40">
        <v>0.32</v>
      </c>
      <c r="K18" s="40">
        <v>342.29</v>
      </c>
      <c r="L18" s="40">
        <v>31.1</v>
      </c>
      <c r="M18" s="40">
        <v>78.88</v>
      </c>
      <c r="N18" s="40">
        <v>270.89999999999998</v>
      </c>
      <c r="O18" s="40">
        <v>0</v>
      </c>
      <c r="P18" s="40">
        <v>0.47</v>
      </c>
      <c r="Q18" s="40">
        <v>10</v>
      </c>
      <c r="R18" s="38"/>
      <c r="S18" s="38"/>
      <c r="T18" s="38"/>
      <c r="U18" s="38"/>
    </row>
    <row r="19" spans="1:21" customFormat="1">
      <c r="A19" s="41" t="s">
        <v>214</v>
      </c>
      <c r="B19" s="40">
        <v>3.67</v>
      </c>
      <c r="C19" s="40">
        <v>6.17</v>
      </c>
      <c r="D19" s="40">
        <v>4.1900000000000004</v>
      </c>
      <c r="E19" s="40">
        <v>5.01</v>
      </c>
      <c r="F19" s="40">
        <v>2.4</v>
      </c>
      <c r="G19" s="40">
        <v>58.75</v>
      </c>
      <c r="H19" s="40">
        <v>31.1</v>
      </c>
      <c r="I19" s="40">
        <v>8.6999999999999993</v>
      </c>
      <c r="J19" s="40">
        <v>0.72</v>
      </c>
      <c r="K19" s="40">
        <v>283.19</v>
      </c>
      <c r="L19" s="40">
        <v>31.21</v>
      </c>
      <c r="M19" s="40">
        <v>82.61</v>
      </c>
      <c r="N19" s="40">
        <v>171.9</v>
      </c>
      <c r="O19" s="40">
        <v>0</v>
      </c>
      <c r="P19" s="40">
        <v>0.43</v>
      </c>
      <c r="Q19" s="40">
        <v>10</v>
      </c>
      <c r="R19" s="38"/>
      <c r="S19" s="38"/>
      <c r="T19" s="38"/>
      <c r="U19" s="38"/>
    </row>
    <row r="20" spans="1:21" customFormat="1">
      <c r="A20" s="41" t="s">
        <v>215</v>
      </c>
      <c r="B20" s="40">
        <v>2.59</v>
      </c>
      <c r="C20" s="40">
        <v>4.6399999999999997</v>
      </c>
      <c r="D20" s="40">
        <v>2.93</v>
      </c>
      <c r="E20" s="40">
        <v>5.07</v>
      </c>
      <c r="F20" s="40">
        <v>1.87</v>
      </c>
      <c r="G20" s="40">
        <v>59.31</v>
      </c>
      <c r="H20" s="40">
        <v>32.4</v>
      </c>
      <c r="I20" s="40">
        <v>8.15</v>
      </c>
      <c r="J20" s="40">
        <v>0.65</v>
      </c>
      <c r="K20" s="40">
        <v>281.08999999999997</v>
      </c>
      <c r="L20" s="40">
        <v>29.34</v>
      </c>
      <c r="M20" s="40">
        <v>81.78</v>
      </c>
      <c r="N20" s="40">
        <v>287.60000000000002</v>
      </c>
      <c r="O20" s="40">
        <v>0</v>
      </c>
      <c r="P20" s="40">
        <v>0.4</v>
      </c>
      <c r="Q20" s="40">
        <v>10</v>
      </c>
      <c r="R20" s="38"/>
      <c r="S20" s="38"/>
      <c r="T20" s="38"/>
      <c r="U20" s="38"/>
    </row>
    <row r="21" spans="1:21" customFormat="1">
      <c r="A21" s="41" t="s">
        <v>216</v>
      </c>
      <c r="B21" s="40">
        <v>2.15</v>
      </c>
      <c r="C21" s="40">
        <v>4.21</v>
      </c>
      <c r="D21" s="40">
        <v>2.79</v>
      </c>
      <c r="E21" s="40">
        <v>4.7699999999999996</v>
      </c>
      <c r="F21" s="40">
        <v>2.61</v>
      </c>
      <c r="G21" s="40">
        <v>48.54</v>
      </c>
      <c r="H21" s="40">
        <v>22.82</v>
      </c>
      <c r="I21" s="40">
        <v>7.48</v>
      </c>
      <c r="J21" s="40">
        <v>0.7</v>
      </c>
      <c r="K21" s="40">
        <v>286.73</v>
      </c>
      <c r="L21" s="40">
        <v>30.17</v>
      </c>
      <c r="M21" s="40">
        <v>80.69</v>
      </c>
      <c r="N21" s="40">
        <v>585.6</v>
      </c>
      <c r="O21" s="40">
        <v>0</v>
      </c>
      <c r="P21" s="40">
        <v>0.36</v>
      </c>
      <c r="Q21" s="40">
        <v>10</v>
      </c>
      <c r="R21" s="38"/>
      <c r="S21" s="38"/>
      <c r="T21" s="38"/>
      <c r="U21" s="38"/>
    </row>
    <row r="22" spans="1:21" customFormat="1">
      <c r="A22" s="41" t="s">
        <v>217</v>
      </c>
      <c r="B22" s="40">
        <v>1.87</v>
      </c>
      <c r="C22" s="40">
        <v>4.1100000000000003</v>
      </c>
      <c r="D22" s="40">
        <v>3.03</v>
      </c>
      <c r="E22" s="40">
        <v>4.92</v>
      </c>
      <c r="F22" s="40">
        <v>3.74</v>
      </c>
      <c r="G22" s="40">
        <v>40.54</v>
      </c>
      <c r="H22" s="40">
        <v>22.23</v>
      </c>
      <c r="I22" s="40">
        <v>6.65</v>
      </c>
      <c r="J22" s="40">
        <v>0.57999999999999996</v>
      </c>
      <c r="K22" s="40">
        <v>251.21</v>
      </c>
      <c r="L22" s="40">
        <v>31.47</v>
      </c>
      <c r="M22" s="40">
        <v>76.61</v>
      </c>
      <c r="N22" s="40">
        <v>545.1</v>
      </c>
      <c r="O22" s="40">
        <v>0</v>
      </c>
      <c r="P22" s="40">
        <v>0.31</v>
      </c>
      <c r="Q22" s="40">
        <v>10</v>
      </c>
      <c r="R22" s="38"/>
      <c r="S22" s="38"/>
      <c r="T22" s="38"/>
      <c r="U22" s="38"/>
    </row>
    <row r="23" spans="1:21" customFormat="1">
      <c r="A23" s="41" t="s">
        <v>218</v>
      </c>
      <c r="B23" s="40">
        <v>1.56</v>
      </c>
      <c r="C23" s="40">
        <v>3.18</v>
      </c>
      <c r="D23" s="40">
        <v>1.72</v>
      </c>
      <c r="E23" s="40">
        <v>4.68</v>
      </c>
      <c r="F23" s="40">
        <v>8.41</v>
      </c>
      <c r="G23" s="40">
        <v>34.590000000000003</v>
      </c>
      <c r="H23" s="40">
        <v>22.73</v>
      </c>
      <c r="I23" s="40">
        <v>6.08</v>
      </c>
      <c r="J23" s="40">
        <v>0.5</v>
      </c>
      <c r="K23" s="40">
        <v>267.02</v>
      </c>
      <c r="L23" s="40">
        <v>31.83</v>
      </c>
      <c r="M23" s="40">
        <v>69.55</v>
      </c>
      <c r="N23" s="40">
        <v>361.5</v>
      </c>
      <c r="O23" s="40">
        <v>0</v>
      </c>
      <c r="P23" s="40">
        <v>0.25</v>
      </c>
      <c r="Q23" s="40">
        <v>10</v>
      </c>
      <c r="R23" s="38"/>
      <c r="S23" s="38"/>
      <c r="T23" s="38"/>
      <c r="U23" s="38"/>
    </row>
    <row r="24" spans="1:21" customFormat="1">
      <c r="A24" s="41" t="s">
        <v>219</v>
      </c>
      <c r="B24" s="40">
        <v>1.56</v>
      </c>
      <c r="C24" s="40">
        <v>2.88</v>
      </c>
      <c r="D24" s="40">
        <v>1.1299999999999999</v>
      </c>
      <c r="E24" s="40">
        <v>4.34</v>
      </c>
      <c r="F24" s="40">
        <v>17.75</v>
      </c>
      <c r="G24" s="40">
        <v>31.83</v>
      </c>
      <c r="H24" s="40">
        <v>21.74</v>
      </c>
      <c r="I24" s="40">
        <v>5.89</v>
      </c>
      <c r="J24" s="40">
        <v>0.51</v>
      </c>
      <c r="K24" s="40">
        <v>341.9</v>
      </c>
      <c r="L24" s="40">
        <v>32.409999999999997</v>
      </c>
      <c r="M24" s="40">
        <v>65.62</v>
      </c>
      <c r="N24" s="40">
        <v>330.4</v>
      </c>
      <c r="O24" s="40">
        <v>0</v>
      </c>
      <c r="P24" s="40">
        <v>0.24</v>
      </c>
      <c r="Q24" s="40">
        <v>10</v>
      </c>
      <c r="R24" s="38"/>
      <c r="S24" s="38"/>
      <c r="T24" s="38"/>
      <c r="U24" s="38"/>
    </row>
    <row r="25" spans="1:21" customFormat="1">
      <c r="A25" s="41" t="s">
        <v>220</v>
      </c>
      <c r="B25" s="40">
        <v>1.46</v>
      </c>
      <c r="C25" s="40">
        <v>3.21</v>
      </c>
      <c r="D25" s="40">
        <v>1.92</v>
      </c>
      <c r="E25" s="40">
        <v>7.05</v>
      </c>
      <c r="F25" s="40">
        <v>24.56</v>
      </c>
      <c r="G25" s="40">
        <v>37.44</v>
      </c>
      <c r="H25" s="40">
        <v>23.59</v>
      </c>
      <c r="I25" s="40">
        <v>5.63</v>
      </c>
      <c r="J25" s="40">
        <v>0.53</v>
      </c>
      <c r="K25" s="40">
        <v>352.58</v>
      </c>
      <c r="L25" s="40">
        <v>31.6</v>
      </c>
      <c r="M25" s="40">
        <v>72.88</v>
      </c>
      <c r="N25" s="40">
        <v>58.7</v>
      </c>
      <c r="O25" s="40">
        <v>0</v>
      </c>
      <c r="P25" s="40">
        <v>0.28000000000000003</v>
      </c>
      <c r="Q25" s="40">
        <v>10</v>
      </c>
      <c r="R25" s="38"/>
      <c r="S25" s="38"/>
      <c r="T25" s="38"/>
      <c r="U25" s="38"/>
    </row>
    <row r="26" spans="1:21" customFormat="1">
      <c r="A26" s="41" t="s">
        <v>221</v>
      </c>
      <c r="B26" s="40">
        <v>1.62</v>
      </c>
      <c r="C26" s="40">
        <v>3.36</v>
      </c>
      <c r="D26" s="40">
        <v>1.98</v>
      </c>
      <c r="E26" s="40">
        <v>5.99</v>
      </c>
      <c r="F26" s="40">
        <v>23.21</v>
      </c>
      <c r="G26" s="40">
        <v>50.66</v>
      </c>
      <c r="H26" s="40">
        <v>25.95</v>
      </c>
      <c r="I26" s="40">
        <v>6.76</v>
      </c>
      <c r="J26" s="40">
        <v>0.53</v>
      </c>
      <c r="K26" s="40">
        <v>25.48</v>
      </c>
      <c r="L26" s="40">
        <v>30.72</v>
      </c>
      <c r="M26" s="40">
        <v>78.66</v>
      </c>
      <c r="N26" s="40">
        <v>41.8</v>
      </c>
      <c r="O26" s="40">
        <v>0</v>
      </c>
      <c r="P26" s="40">
        <v>0.31</v>
      </c>
      <c r="Q26" s="40">
        <v>10</v>
      </c>
      <c r="R26" s="38"/>
      <c r="S26" s="38"/>
      <c r="T26" s="38"/>
      <c r="U26" s="38"/>
    </row>
    <row r="27" spans="1:21" customFormat="1">
      <c r="A27" s="41" t="s">
        <v>222</v>
      </c>
      <c r="B27" s="40">
        <v>1.91</v>
      </c>
      <c r="C27" s="40">
        <v>3.96</v>
      </c>
      <c r="D27" s="40">
        <v>2.68</v>
      </c>
      <c r="E27" s="40">
        <v>6.24</v>
      </c>
      <c r="F27" s="40">
        <v>9.99</v>
      </c>
      <c r="G27" s="40">
        <v>55.74</v>
      </c>
      <c r="H27" s="40">
        <v>26.24</v>
      </c>
      <c r="I27" s="40">
        <v>7.12</v>
      </c>
      <c r="J27" s="40">
        <v>0.75</v>
      </c>
      <c r="K27" s="40">
        <v>309.87</v>
      </c>
      <c r="L27" s="40">
        <v>29.46</v>
      </c>
      <c r="M27" s="40">
        <v>78.489999999999995</v>
      </c>
      <c r="N27" s="40">
        <v>19.7</v>
      </c>
      <c r="O27" s="40">
        <v>0</v>
      </c>
      <c r="P27" s="40">
        <v>0.34</v>
      </c>
      <c r="Q27" s="40">
        <v>10</v>
      </c>
      <c r="R27" s="38"/>
      <c r="S27" s="38"/>
      <c r="T27" s="38"/>
      <c r="U27" s="38"/>
    </row>
    <row r="28" spans="1:21" customFormat="1">
      <c r="A28" s="41" t="s">
        <v>223</v>
      </c>
      <c r="B28" s="40">
        <v>2.2599999999999998</v>
      </c>
      <c r="C28" s="40">
        <v>4.66</v>
      </c>
      <c r="D28" s="40">
        <v>3.48</v>
      </c>
      <c r="E28" s="40">
        <v>6.52</v>
      </c>
      <c r="F28" s="40">
        <v>3.62</v>
      </c>
      <c r="G28" s="40">
        <v>53.72</v>
      </c>
      <c r="H28" s="40">
        <v>26.66</v>
      </c>
      <c r="I28" s="40">
        <v>6.3</v>
      </c>
      <c r="J28" s="40">
        <v>0.2</v>
      </c>
      <c r="K28" s="40">
        <v>312.37</v>
      </c>
      <c r="L28" s="40">
        <v>28.93</v>
      </c>
      <c r="M28" s="40">
        <v>84.11</v>
      </c>
      <c r="N28" s="40">
        <v>2.5</v>
      </c>
      <c r="O28" s="40">
        <v>0</v>
      </c>
      <c r="P28" s="40">
        <v>0.34</v>
      </c>
      <c r="Q28" s="40">
        <v>10</v>
      </c>
      <c r="R28" s="38"/>
      <c r="S28" s="38"/>
      <c r="T28" s="38"/>
      <c r="U28" s="38"/>
    </row>
    <row r="29" spans="1:21" customFormat="1">
      <c r="A29" s="41" t="s">
        <v>224</v>
      </c>
      <c r="B29" s="40">
        <v>1.63</v>
      </c>
      <c r="C29" s="40">
        <v>3.06</v>
      </c>
      <c r="D29" s="40">
        <v>1.42</v>
      </c>
      <c r="E29" s="40">
        <v>6.48</v>
      </c>
      <c r="F29" s="40">
        <v>2.93</v>
      </c>
      <c r="G29" s="40">
        <v>54.35</v>
      </c>
      <c r="H29" s="40">
        <v>25.8</v>
      </c>
      <c r="I29" s="40">
        <v>6.38</v>
      </c>
      <c r="J29" s="40">
        <v>0.2</v>
      </c>
      <c r="K29" s="40">
        <v>230.14</v>
      </c>
      <c r="L29" s="40">
        <v>28.14</v>
      </c>
      <c r="M29" s="40">
        <v>89.42</v>
      </c>
      <c r="N29" s="40">
        <v>2.2999999999999998</v>
      </c>
      <c r="O29" s="40">
        <v>0</v>
      </c>
      <c r="P29" s="40">
        <v>0.35</v>
      </c>
      <c r="Q29" s="40">
        <v>10</v>
      </c>
      <c r="R29" s="38"/>
      <c r="S29" s="38"/>
      <c r="T29" s="38"/>
      <c r="U29" s="38"/>
    </row>
    <row r="30" spans="1:21" customFormat="1">
      <c r="A30" s="41" t="s">
        <v>225</v>
      </c>
      <c r="B30" s="40">
        <v>1.59</v>
      </c>
      <c r="C30" s="40">
        <v>3.05</v>
      </c>
      <c r="D30" s="40">
        <v>1.41</v>
      </c>
      <c r="E30" s="40">
        <v>6.68</v>
      </c>
      <c r="F30" s="40">
        <v>2.2200000000000002</v>
      </c>
      <c r="G30" s="40">
        <v>50.69</v>
      </c>
      <c r="H30" s="40">
        <v>26.26</v>
      </c>
      <c r="I30" s="40">
        <v>6.52</v>
      </c>
      <c r="J30" s="40">
        <v>0.39</v>
      </c>
      <c r="K30" s="40">
        <v>247.44</v>
      </c>
      <c r="L30" s="40">
        <v>27.8</v>
      </c>
      <c r="M30" s="40">
        <v>90.98</v>
      </c>
      <c r="N30" s="40">
        <v>2.1</v>
      </c>
      <c r="O30" s="40">
        <v>0</v>
      </c>
      <c r="P30" s="40">
        <v>0.34</v>
      </c>
      <c r="Q30" s="40">
        <v>10</v>
      </c>
      <c r="R30" s="38"/>
      <c r="S30" s="38"/>
      <c r="T30" s="38"/>
      <c r="U30" s="38"/>
    </row>
    <row r="31" spans="1:21" customFormat="1">
      <c r="A31" s="41" t="s">
        <v>226</v>
      </c>
      <c r="B31" s="40">
        <v>1.64</v>
      </c>
      <c r="C31" s="40">
        <v>3.12</v>
      </c>
      <c r="D31" s="40">
        <v>1.47</v>
      </c>
      <c r="E31" s="40">
        <v>6.77</v>
      </c>
      <c r="F31" s="40">
        <v>2.17</v>
      </c>
      <c r="G31" s="40">
        <v>43.33</v>
      </c>
      <c r="H31" s="40">
        <v>21.53</v>
      </c>
      <c r="I31" s="40">
        <v>6.39</v>
      </c>
      <c r="J31" s="40">
        <v>0.25</v>
      </c>
      <c r="K31" s="40">
        <v>232.68</v>
      </c>
      <c r="L31" s="40">
        <v>27.65</v>
      </c>
      <c r="M31" s="40">
        <v>89.21</v>
      </c>
      <c r="N31" s="40">
        <v>2.2000000000000002</v>
      </c>
      <c r="O31" s="40">
        <v>0</v>
      </c>
      <c r="P31" s="40">
        <v>0.32</v>
      </c>
      <c r="Q31" s="40">
        <v>10</v>
      </c>
      <c r="R31" s="38"/>
      <c r="S31" s="38"/>
      <c r="T31" s="38"/>
      <c r="U31" s="38"/>
    </row>
    <row r="32" spans="1:21" customFormat="1">
      <c r="A32" s="41" t="s">
        <v>227</v>
      </c>
      <c r="B32" s="40">
        <v>1.62</v>
      </c>
      <c r="C32" s="40">
        <v>3.03</v>
      </c>
      <c r="D32" s="40">
        <v>1.33</v>
      </c>
      <c r="E32" s="40">
        <v>6.75</v>
      </c>
      <c r="F32" s="40">
        <v>4.79</v>
      </c>
      <c r="G32" s="40">
        <v>41.53</v>
      </c>
      <c r="H32" s="40">
        <v>21.28</v>
      </c>
      <c r="I32" s="40">
        <v>6.88</v>
      </c>
      <c r="J32" s="40">
        <v>0.13</v>
      </c>
      <c r="K32" s="40">
        <v>228.5</v>
      </c>
      <c r="L32" s="40">
        <v>27.18</v>
      </c>
      <c r="M32" s="40">
        <v>94.7</v>
      </c>
      <c r="N32" s="40">
        <v>2.1</v>
      </c>
      <c r="O32" s="40">
        <v>0</v>
      </c>
      <c r="P32" s="40">
        <v>0.33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1.46</v>
      </c>
      <c r="C34" s="18">
        <f t="shared" si="0"/>
        <v>2.88</v>
      </c>
      <c r="D34" s="18">
        <f t="shared" si="0"/>
        <v>1.1299999999999999</v>
      </c>
      <c r="E34" s="18">
        <f t="shared" si="0"/>
        <v>4.34</v>
      </c>
      <c r="F34" s="18">
        <f t="shared" si="0"/>
        <v>1.56</v>
      </c>
      <c r="G34" s="18">
        <f t="shared" si="0"/>
        <v>31.83</v>
      </c>
      <c r="H34" s="18">
        <f t="shared" si="0"/>
        <v>21.28</v>
      </c>
      <c r="I34" s="18">
        <f t="shared" si="0"/>
        <v>5.63</v>
      </c>
      <c r="J34" s="18">
        <f t="shared" si="0"/>
        <v>0.09</v>
      </c>
      <c r="K34" s="18">
        <f t="shared" si="0"/>
        <v>25.48</v>
      </c>
      <c r="L34" s="18">
        <f t="shared" si="0"/>
        <v>25.76</v>
      </c>
      <c r="M34" s="18">
        <f t="shared" si="0"/>
        <v>65.62</v>
      </c>
      <c r="N34" s="18">
        <f t="shared" si="0"/>
        <v>2.1</v>
      </c>
      <c r="O34" s="18">
        <f t="shared" si="0"/>
        <v>0</v>
      </c>
      <c r="P34" s="18">
        <f t="shared" si="0"/>
        <v>0.24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5.84</v>
      </c>
      <c r="C35" s="3">
        <f t="shared" si="1"/>
        <v>7.67</v>
      </c>
      <c r="D35" s="3">
        <f t="shared" si="1"/>
        <v>4.53</v>
      </c>
      <c r="E35" s="3">
        <f t="shared" si="1"/>
        <v>7.05</v>
      </c>
      <c r="F35" s="3">
        <f t="shared" si="1"/>
        <v>24.56</v>
      </c>
      <c r="G35" s="3">
        <f t="shared" si="1"/>
        <v>71.13</v>
      </c>
      <c r="H35" s="3">
        <f t="shared" si="1"/>
        <v>32.4</v>
      </c>
      <c r="I35" s="3">
        <f t="shared" si="1"/>
        <v>10.35</v>
      </c>
      <c r="J35" s="3">
        <f t="shared" si="1"/>
        <v>0.75</v>
      </c>
      <c r="K35" s="3">
        <f t="shared" si="1"/>
        <v>355.85</v>
      </c>
      <c r="L35" s="3">
        <f t="shared" si="1"/>
        <v>32.409999999999997</v>
      </c>
      <c r="M35" s="3">
        <f t="shared" si="1"/>
        <v>99.48</v>
      </c>
      <c r="N35" s="3">
        <f t="shared" si="1"/>
        <v>585.6</v>
      </c>
      <c r="O35" s="3">
        <f t="shared" si="1"/>
        <v>0</v>
      </c>
      <c r="P35" s="3">
        <f t="shared" si="1"/>
        <v>0.53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3.2591666666666668</v>
      </c>
      <c r="C36" s="18">
        <f t="shared" si="2"/>
        <v>5.0741666666666658</v>
      </c>
      <c r="D36" s="18">
        <f t="shared" si="2"/>
        <v>2.7883333333333327</v>
      </c>
      <c r="E36" s="18">
        <f t="shared" si="2"/>
        <v>5.635416666666667</v>
      </c>
      <c r="F36" s="18">
        <f t="shared" si="2"/>
        <v>5.69625</v>
      </c>
      <c r="G36" s="18">
        <f t="shared" si="2"/>
        <v>53.552916666666654</v>
      </c>
      <c r="H36" s="18">
        <f t="shared" si="2"/>
        <v>26.493333333333325</v>
      </c>
      <c r="I36" s="18">
        <f t="shared" si="2"/>
        <v>7.7558333333333325</v>
      </c>
      <c r="J36" s="18">
        <f t="shared" si="2"/>
        <v>0.35625000000000001</v>
      </c>
      <c r="K36" s="18">
        <f t="shared" si="2"/>
        <v>250.7491666666667</v>
      </c>
      <c r="L36" s="18">
        <f t="shared" si="2"/>
        <v>28.790416666666662</v>
      </c>
      <c r="M36" s="18">
        <f t="shared" si="2"/>
        <v>86.941666666666677</v>
      </c>
      <c r="N36" s="18">
        <f t="shared" si="2"/>
        <v>129.37916666666663</v>
      </c>
      <c r="O36" s="18">
        <f t="shared" si="2"/>
        <v>0</v>
      </c>
      <c r="P36" s="18">
        <f t="shared" si="2"/>
        <v>0.39374999999999999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1.6980139720495122</v>
      </c>
      <c r="C37" s="18">
        <f t="shared" ref="C37:Q37" si="3">STDEV(C9:C32)</f>
        <v>1.7727549590757146</v>
      </c>
      <c r="D37" s="18">
        <f t="shared" si="3"/>
        <v>1.0297094004015737</v>
      </c>
      <c r="E37" s="18">
        <f t="shared" si="3"/>
        <v>0.77109735000738078</v>
      </c>
      <c r="F37" s="18">
        <f t="shared" si="3"/>
        <v>6.6475839432540225</v>
      </c>
      <c r="G37" s="18">
        <f t="shared" si="3"/>
        <v>10.868960383534484</v>
      </c>
      <c r="H37" s="18">
        <f t="shared" si="3"/>
        <v>3.3735308128025019</v>
      </c>
      <c r="I37" s="18">
        <f t="shared" si="3"/>
        <v>1.5712911242355612</v>
      </c>
      <c r="J37" s="18">
        <f t="shared" si="3"/>
        <v>0.21767172131645751</v>
      </c>
      <c r="K37" s="18">
        <f t="shared" si="3"/>
        <v>78.121664918959141</v>
      </c>
      <c r="L37" s="18">
        <f t="shared" si="3"/>
        <v>2.1912285201539867</v>
      </c>
      <c r="M37" s="18">
        <f t="shared" si="3"/>
        <v>10.553110263419081</v>
      </c>
      <c r="N37" s="18">
        <f t="shared" si="3"/>
        <v>178.40457436903657</v>
      </c>
      <c r="O37" s="18">
        <f t="shared" si="3"/>
        <v>0</v>
      </c>
      <c r="P37" s="18">
        <f t="shared" si="3"/>
        <v>9.2021382203315724E-2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228</v>
      </c>
      <c r="B9" s="40">
        <v>2.12</v>
      </c>
      <c r="C9" s="40">
        <v>3.83</v>
      </c>
      <c r="D9" s="40">
        <v>2.11</v>
      </c>
      <c r="E9" s="40">
        <v>6.12</v>
      </c>
      <c r="F9" s="40">
        <v>7.36</v>
      </c>
      <c r="G9" s="40">
        <v>37.090000000000003</v>
      </c>
      <c r="H9" s="40">
        <v>19.55</v>
      </c>
      <c r="I9" s="40">
        <v>6.93</v>
      </c>
      <c r="J9" s="40">
        <v>0.18</v>
      </c>
      <c r="K9" s="40">
        <v>240.23</v>
      </c>
      <c r="L9" s="40">
        <v>26.98</v>
      </c>
      <c r="M9" s="40">
        <v>93.52</v>
      </c>
      <c r="N9" s="40">
        <v>2.2000000000000002</v>
      </c>
      <c r="O9" s="40">
        <v>0</v>
      </c>
      <c r="P9" s="40">
        <v>0.28000000000000003</v>
      </c>
      <c r="Q9" s="40">
        <v>10</v>
      </c>
      <c r="R9" s="38"/>
      <c r="S9" s="38"/>
      <c r="T9" s="38"/>
      <c r="U9" s="38"/>
    </row>
    <row r="10" spans="1:21" customFormat="1">
      <c r="A10" s="41" t="s">
        <v>229</v>
      </c>
      <c r="B10" s="40">
        <v>1.99</v>
      </c>
      <c r="C10" s="40">
        <v>3.39</v>
      </c>
      <c r="D10" s="40">
        <v>1.46</v>
      </c>
      <c r="E10" s="40">
        <v>6.15</v>
      </c>
      <c r="F10" s="40">
        <v>4.51</v>
      </c>
      <c r="G10" s="40">
        <v>30.81</v>
      </c>
      <c r="H10" s="40">
        <v>18.23</v>
      </c>
      <c r="I10" s="40">
        <v>6.46</v>
      </c>
      <c r="J10" s="40">
        <v>0.4</v>
      </c>
      <c r="K10" s="40">
        <v>254.04</v>
      </c>
      <c r="L10" s="40">
        <v>26.69</v>
      </c>
      <c r="M10" s="40">
        <v>92.55</v>
      </c>
      <c r="N10" s="40">
        <v>2.1</v>
      </c>
      <c r="O10" s="40">
        <v>0</v>
      </c>
      <c r="P10" s="40">
        <v>0.27</v>
      </c>
      <c r="Q10" s="40">
        <v>10</v>
      </c>
      <c r="R10" s="38"/>
      <c r="S10" s="38"/>
      <c r="T10" s="38"/>
      <c r="U10" s="38"/>
    </row>
    <row r="11" spans="1:21" customFormat="1">
      <c r="A11" s="41" t="s">
        <v>230</v>
      </c>
      <c r="B11" s="40">
        <v>2.0499999999999998</v>
      </c>
      <c r="C11" s="40">
        <v>3.49</v>
      </c>
      <c r="D11" s="40">
        <v>1.58</v>
      </c>
      <c r="E11" s="40">
        <v>6.36</v>
      </c>
      <c r="F11" s="40">
        <v>5.61</v>
      </c>
      <c r="G11" s="40">
        <v>26.96</v>
      </c>
      <c r="H11" s="40">
        <v>15.8</v>
      </c>
      <c r="I11" s="40">
        <v>6.26</v>
      </c>
      <c r="J11" s="40">
        <v>0.45</v>
      </c>
      <c r="K11" s="40">
        <v>258.45999999999998</v>
      </c>
      <c r="L11" s="40">
        <v>26.56</v>
      </c>
      <c r="M11" s="40">
        <v>93.57</v>
      </c>
      <c r="N11" s="40">
        <v>2.1</v>
      </c>
      <c r="O11" s="40">
        <v>0</v>
      </c>
      <c r="P11" s="40">
        <v>0.26</v>
      </c>
      <c r="Q11" s="40">
        <v>10</v>
      </c>
      <c r="R11" s="38"/>
      <c r="S11" s="38"/>
      <c r="T11" s="38"/>
      <c r="U11" s="38"/>
    </row>
    <row r="12" spans="1:21" customFormat="1">
      <c r="A12" s="41" t="s">
        <v>231</v>
      </c>
      <c r="B12" s="40">
        <v>2</v>
      </c>
      <c r="C12" s="40">
        <v>3.58</v>
      </c>
      <c r="D12" s="40">
        <v>1.79</v>
      </c>
      <c r="E12" s="40">
        <v>6.58</v>
      </c>
      <c r="F12" s="40">
        <v>3.82</v>
      </c>
      <c r="G12" s="40">
        <v>24.67</v>
      </c>
      <c r="H12" s="40">
        <v>11.97</v>
      </c>
      <c r="I12" s="40">
        <v>5.9</v>
      </c>
      <c r="J12" s="40">
        <v>0.46</v>
      </c>
      <c r="K12" s="40">
        <v>264.06</v>
      </c>
      <c r="L12" s="40">
        <v>26.19</v>
      </c>
      <c r="M12" s="40">
        <v>95.01</v>
      </c>
      <c r="N12" s="40">
        <v>2.1</v>
      </c>
      <c r="O12" s="40">
        <v>0</v>
      </c>
      <c r="P12" s="40">
        <v>0.24</v>
      </c>
      <c r="Q12" s="40">
        <v>10</v>
      </c>
      <c r="R12" s="38"/>
      <c r="S12" s="38"/>
      <c r="T12" s="38"/>
      <c r="U12" s="38"/>
    </row>
    <row r="13" spans="1:21" customFormat="1">
      <c r="A13" s="41" t="s">
        <v>232</v>
      </c>
      <c r="B13" s="40">
        <v>1.81</v>
      </c>
      <c r="C13" s="40">
        <v>3.43</v>
      </c>
      <c r="D13" s="40">
        <v>1.95</v>
      </c>
      <c r="E13" s="40">
        <v>6.88</v>
      </c>
      <c r="F13" s="40">
        <v>3.08</v>
      </c>
      <c r="G13" s="40">
        <v>17.59</v>
      </c>
      <c r="H13" s="40">
        <v>11.18</v>
      </c>
      <c r="I13" s="40">
        <v>5.62</v>
      </c>
      <c r="J13" s="40">
        <v>0.51</v>
      </c>
      <c r="K13" s="40">
        <v>252.72</v>
      </c>
      <c r="L13" s="40">
        <v>26.16</v>
      </c>
      <c r="M13" s="40">
        <v>94.73</v>
      </c>
      <c r="N13" s="40">
        <v>2.1</v>
      </c>
      <c r="O13" s="40">
        <v>0</v>
      </c>
      <c r="P13" s="40">
        <v>0.24</v>
      </c>
      <c r="Q13" s="40">
        <v>10</v>
      </c>
      <c r="R13" s="38"/>
      <c r="S13" s="38"/>
      <c r="T13" s="38"/>
      <c r="U13" s="38"/>
    </row>
    <row r="14" spans="1:21" customFormat="1">
      <c r="A14" s="41" t="s">
        <v>233</v>
      </c>
      <c r="B14" s="40">
        <v>1.64</v>
      </c>
      <c r="C14" s="40">
        <v>2.95</v>
      </c>
      <c r="D14" s="40">
        <v>1.1399999999999999</v>
      </c>
      <c r="E14" s="40">
        <v>6.82</v>
      </c>
      <c r="F14" s="40">
        <v>2.35</v>
      </c>
      <c r="G14" s="40">
        <v>17.03</v>
      </c>
      <c r="H14" s="40">
        <v>10.35</v>
      </c>
      <c r="I14" s="40">
        <v>5.4</v>
      </c>
      <c r="J14" s="40">
        <v>0.55000000000000004</v>
      </c>
      <c r="K14" s="40">
        <v>262.89999999999998</v>
      </c>
      <c r="L14" s="40">
        <v>26.13</v>
      </c>
      <c r="M14" s="40">
        <v>94.33</v>
      </c>
      <c r="N14" s="40">
        <v>9.3000000000000007</v>
      </c>
      <c r="O14" s="40">
        <v>0</v>
      </c>
      <c r="P14" s="40">
        <v>0.23</v>
      </c>
      <c r="Q14" s="40">
        <v>10</v>
      </c>
      <c r="R14" s="38"/>
      <c r="S14" s="38"/>
      <c r="T14" s="38"/>
      <c r="U14" s="38"/>
    </row>
    <row r="15" spans="1:21" customFormat="1">
      <c r="A15" s="41" t="s">
        <v>234</v>
      </c>
      <c r="B15" s="40">
        <v>1.84</v>
      </c>
      <c r="C15" s="40">
        <v>3.47</v>
      </c>
      <c r="D15" s="40">
        <v>1.85</v>
      </c>
      <c r="E15" s="40">
        <v>7.06</v>
      </c>
      <c r="F15" s="40">
        <v>1.79</v>
      </c>
      <c r="G15" s="40">
        <v>12.79</v>
      </c>
      <c r="H15" s="40">
        <v>9.9499999999999993</v>
      </c>
      <c r="I15" s="40">
        <v>4.96</v>
      </c>
      <c r="J15" s="40">
        <v>0.4</v>
      </c>
      <c r="K15" s="40">
        <v>261.52999999999997</v>
      </c>
      <c r="L15" s="40">
        <v>26.65</v>
      </c>
      <c r="M15" s="40">
        <v>93.99</v>
      </c>
      <c r="N15" s="40">
        <v>63.9</v>
      </c>
      <c r="O15" s="40">
        <v>0</v>
      </c>
      <c r="P15" s="40">
        <v>0.24</v>
      </c>
      <c r="Q15" s="40">
        <v>10</v>
      </c>
      <c r="R15" s="38"/>
      <c r="S15" s="38"/>
      <c r="T15" s="38"/>
      <c r="U15" s="38"/>
    </row>
    <row r="16" spans="1:21" customFormat="1">
      <c r="A16" s="41" t="s">
        <v>235</v>
      </c>
      <c r="B16" s="40">
        <v>1.62</v>
      </c>
      <c r="C16" s="40">
        <v>2.96</v>
      </c>
      <c r="D16" s="40">
        <v>1.18</v>
      </c>
      <c r="E16" s="40">
        <v>7.25</v>
      </c>
      <c r="F16" s="40">
        <v>2.5299999999999998</v>
      </c>
      <c r="G16" s="40">
        <v>15.65</v>
      </c>
      <c r="H16" s="40">
        <v>9.25</v>
      </c>
      <c r="I16" s="40">
        <v>6.18</v>
      </c>
      <c r="J16" s="40">
        <v>0.41</v>
      </c>
      <c r="K16" s="40">
        <v>264.55</v>
      </c>
      <c r="L16" s="40">
        <v>27.67</v>
      </c>
      <c r="M16" s="40">
        <v>90.37</v>
      </c>
      <c r="N16" s="40">
        <v>104.5</v>
      </c>
      <c r="O16" s="40">
        <v>0</v>
      </c>
      <c r="P16" s="40">
        <v>0.28000000000000003</v>
      </c>
      <c r="Q16" s="40">
        <v>10</v>
      </c>
      <c r="R16" s="38"/>
      <c r="S16" s="38"/>
      <c r="T16" s="38"/>
      <c r="U16" s="38"/>
    </row>
    <row r="17" spans="1:21" customFormat="1">
      <c r="A17" s="41" t="s">
        <v>236</v>
      </c>
      <c r="B17" s="40">
        <v>1.57</v>
      </c>
      <c r="C17" s="40">
        <v>2.88</v>
      </c>
      <c r="D17" s="40">
        <v>1.1200000000000001</v>
      </c>
      <c r="E17" s="40">
        <v>7.27</v>
      </c>
      <c r="F17" s="40">
        <v>2.35</v>
      </c>
      <c r="G17" s="40">
        <v>19.170000000000002</v>
      </c>
      <c r="H17" s="40">
        <v>9.99</v>
      </c>
      <c r="I17" s="40">
        <v>7.38</v>
      </c>
      <c r="J17" s="40">
        <v>0.6</v>
      </c>
      <c r="K17" s="40">
        <v>289.7</v>
      </c>
      <c r="L17" s="40">
        <v>28.81</v>
      </c>
      <c r="M17" s="40">
        <v>86.89</v>
      </c>
      <c r="N17" s="40">
        <v>211.4</v>
      </c>
      <c r="O17" s="40">
        <v>0</v>
      </c>
      <c r="P17" s="40">
        <v>0.3</v>
      </c>
      <c r="Q17" s="40">
        <v>10</v>
      </c>
      <c r="R17" s="38"/>
      <c r="S17" s="38"/>
      <c r="T17" s="38"/>
      <c r="U17" s="38"/>
    </row>
    <row r="18" spans="1:21" customFormat="1">
      <c r="A18" s="41" t="s">
        <v>237</v>
      </c>
      <c r="B18" s="40">
        <v>1.9</v>
      </c>
      <c r="C18" s="40">
        <v>3.74</v>
      </c>
      <c r="D18" s="40">
        <v>2.2599999999999998</v>
      </c>
      <c r="E18" s="40">
        <v>7.17</v>
      </c>
      <c r="F18" s="40">
        <v>5.87</v>
      </c>
      <c r="G18" s="40">
        <v>25.8</v>
      </c>
      <c r="H18" s="40">
        <v>11.91</v>
      </c>
      <c r="I18" s="40">
        <v>7.57</v>
      </c>
      <c r="J18" s="40">
        <v>0.74</v>
      </c>
      <c r="K18" s="40">
        <v>319.61</v>
      </c>
      <c r="L18" s="40">
        <v>30.52</v>
      </c>
      <c r="M18" s="40">
        <v>79.97</v>
      </c>
      <c r="N18" s="40">
        <v>256</v>
      </c>
      <c r="O18" s="40">
        <v>0</v>
      </c>
      <c r="P18" s="40">
        <v>0.3</v>
      </c>
      <c r="Q18" s="40">
        <v>10</v>
      </c>
      <c r="R18" s="38"/>
      <c r="S18" s="38"/>
      <c r="T18" s="38"/>
      <c r="U18" s="38"/>
    </row>
    <row r="19" spans="1:21" customFormat="1">
      <c r="A19" s="41" t="s">
        <v>238</v>
      </c>
      <c r="B19" s="40">
        <v>1.99</v>
      </c>
      <c r="C19" s="40">
        <v>3.39</v>
      </c>
      <c r="D19" s="40">
        <v>1.61</v>
      </c>
      <c r="E19" s="40">
        <v>6.04</v>
      </c>
      <c r="F19" s="40">
        <v>13.42</v>
      </c>
      <c r="G19" s="40">
        <v>37.53</v>
      </c>
      <c r="H19" s="40">
        <v>13.05</v>
      </c>
      <c r="I19" s="40">
        <v>7.32</v>
      </c>
      <c r="J19" s="40">
        <v>0.56000000000000005</v>
      </c>
      <c r="K19" s="40">
        <v>319.52999999999997</v>
      </c>
      <c r="L19" s="40">
        <v>30.7</v>
      </c>
      <c r="M19" s="40">
        <v>76.010000000000005</v>
      </c>
      <c r="N19" s="40">
        <v>292.39999999999998</v>
      </c>
      <c r="O19" s="40">
        <v>0</v>
      </c>
      <c r="P19" s="40">
        <v>0.27</v>
      </c>
      <c r="Q19" s="40">
        <v>10</v>
      </c>
      <c r="R19" s="38"/>
      <c r="S19" s="38"/>
      <c r="T19" s="38"/>
      <c r="U19" s="38"/>
    </row>
    <row r="20" spans="1:21" customFormat="1">
      <c r="A20" s="41" t="s">
        <v>239</v>
      </c>
      <c r="B20" s="40">
        <v>2.39</v>
      </c>
      <c r="C20" s="40">
        <v>4.3099999999999996</v>
      </c>
      <c r="D20" s="40">
        <v>2.6</v>
      </c>
      <c r="E20" s="40">
        <v>6.72</v>
      </c>
      <c r="F20" s="40">
        <v>9.06</v>
      </c>
      <c r="G20" s="40">
        <v>40.64</v>
      </c>
      <c r="H20" s="40">
        <v>18.149999999999999</v>
      </c>
      <c r="I20" s="40">
        <v>6.95</v>
      </c>
      <c r="J20" s="40">
        <v>0.88</v>
      </c>
      <c r="K20" s="40">
        <v>317.51</v>
      </c>
      <c r="L20" s="40">
        <v>32.4</v>
      </c>
      <c r="M20" s="40">
        <v>70.59</v>
      </c>
      <c r="N20" s="40">
        <v>374.8</v>
      </c>
      <c r="O20" s="40">
        <v>0</v>
      </c>
      <c r="P20" s="40">
        <v>0.25</v>
      </c>
      <c r="Q20" s="40">
        <v>10</v>
      </c>
      <c r="R20" s="38"/>
      <c r="S20" s="38"/>
      <c r="T20" s="38"/>
      <c r="U20" s="38"/>
    </row>
    <row r="21" spans="1:21" customFormat="1">
      <c r="A21" s="41" t="s">
        <v>240</v>
      </c>
      <c r="B21" s="40">
        <v>1.85</v>
      </c>
      <c r="C21" s="40">
        <v>3.48</v>
      </c>
      <c r="D21" s="40">
        <v>1.84</v>
      </c>
      <c r="E21" s="40">
        <v>4.83</v>
      </c>
      <c r="F21" s="40">
        <v>10.11</v>
      </c>
      <c r="G21" s="40">
        <v>44.06</v>
      </c>
      <c r="H21" s="40">
        <v>18.829999999999998</v>
      </c>
      <c r="I21" s="40">
        <v>6.72</v>
      </c>
      <c r="J21" s="40">
        <v>0.37</v>
      </c>
      <c r="K21" s="40">
        <v>278.57</v>
      </c>
      <c r="L21" s="40">
        <v>32.68</v>
      </c>
      <c r="M21" s="40">
        <v>72.14</v>
      </c>
      <c r="N21" s="40">
        <v>521.6</v>
      </c>
      <c r="O21" s="40">
        <v>0</v>
      </c>
      <c r="P21" s="40">
        <v>0.26</v>
      </c>
      <c r="Q21" s="40">
        <v>10</v>
      </c>
      <c r="R21" s="38"/>
      <c r="S21" s="38"/>
      <c r="T21" s="38"/>
      <c r="U21" s="38"/>
    </row>
    <row r="22" spans="1:21" customFormat="1">
      <c r="A22" s="41" t="s">
        <v>241</v>
      </c>
      <c r="B22" s="40">
        <v>1.64</v>
      </c>
      <c r="C22" s="40">
        <v>3.08</v>
      </c>
      <c r="D22" s="40">
        <v>1.4</v>
      </c>
      <c r="E22" s="40">
        <v>4.51</v>
      </c>
      <c r="F22" s="40">
        <v>8.76</v>
      </c>
      <c r="G22" s="40">
        <v>39.020000000000003</v>
      </c>
      <c r="H22" s="40">
        <v>17.55</v>
      </c>
      <c r="I22" s="40">
        <v>6.38</v>
      </c>
      <c r="J22" s="40">
        <v>0.75</v>
      </c>
      <c r="K22" s="40">
        <v>286.32</v>
      </c>
      <c r="L22" s="40">
        <v>31.07</v>
      </c>
      <c r="M22" s="40">
        <v>90.71</v>
      </c>
      <c r="N22" s="40">
        <v>97.1</v>
      </c>
      <c r="O22" s="40">
        <v>0.4</v>
      </c>
      <c r="P22" s="40">
        <v>0.24</v>
      </c>
      <c r="Q22" s="40">
        <v>10</v>
      </c>
      <c r="R22" s="38"/>
      <c r="S22" s="38"/>
      <c r="T22" s="38"/>
      <c r="U22" s="38"/>
    </row>
    <row r="23" spans="1:21" customFormat="1">
      <c r="A23" s="41" t="s">
        <v>242</v>
      </c>
      <c r="B23" s="40">
        <v>1.64</v>
      </c>
      <c r="C23" s="40">
        <v>3.29</v>
      </c>
      <c r="D23" s="40">
        <v>1.8</v>
      </c>
      <c r="E23" s="40">
        <v>4.7</v>
      </c>
      <c r="F23" s="40">
        <v>4.62</v>
      </c>
      <c r="G23" s="40">
        <v>35.78</v>
      </c>
      <c r="H23" s="40">
        <v>15.51</v>
      </c>
      <c r="I23" s="40">
        <v>6.15</v>
      </c>
      <c r="J23" s="40">
        <v>0.82</v>
      </c>
      <c r="K23" s="40">
        <v>277.13</v>
      </c>
      <c r="L23" s="40">
        <v>30.68</v>
      </c>
      <c r="M23" s="40">
        <v>88.45</v>
      </c>
      <c r="N23" s="40">
        <v>388</v>
      </c>
      <c r="O23" s="40">
        <v>0</v>
      </c>
      <c r="P23" s="40">
        <v>0.25</v>
      </c>
      <c r="Q23" s="40">
        <v>10</v>
      </c>
      <c r="R23" s="38"/>
      <c r="S23" s="38"/>
      <c r="T23" s="38"/>
      <c r="U23" s="38"/>
    </row>
    <row r="24" spans="1:21" customFormat="1">
      <c r="A24" s="41" t="s">
        <v>243</v>
      </c>
      <c r="B24" s="40">
        <v>1.42</v>
      </c>
      <c r="C24" s="40">
        <v>2.66</v>
      </c>
      <c r="D24" s="40">
        <v>0.97</v>
      </c>
      <c r="E24" s="40">
        <v>5.0199999999999996</v>
      </c>
      <c r="F24" s="40">
        <v>4.22</v>
      </c>
      <c r="G24" s="40">
        <v>31.37</v>
      </c>
      <c r="H24" s="40">
        <v>17.14</v>
      </c>
      <c r="I24" s="40">
        <v>5.69</v>
      </c>
      <c r="J24" s="40">
        <v>0.55000000000000004</v>
      </c>
      <c r="K24" s="40">
        <v>242.65</v>
      </c>
      <c r="L24" s="40">
        <v>31.8</v>
      </c>
      <c r="M24" s="40">
        <v>74.38</v>
      </c>
      <c r="N24" s="40">
        <v>378.6</v>
      </c>
      <c r="O24" s="40">
        <v>0</v>
      </c>
      <c r="P24" s="40">
        <v>0.24</v>
      </c>
      <c r="Q24" s="40">
        <v>10</v>
      </c>
      <c r="R24" s="38"/>
      <c r="S24" s="38"/>
      <c r="T24" s="38"/>
      <c r="U24" s="38"/>
    </row>
    <row r="25" spans="1:21" customFormat="1">
      <c r="A25" s="41" t="s">
        <v>244</v>
      </c>
      <c r="B25" s="40">
        <v>1.42</v>
      </c>
      <c r="C25" s="40">
        <v>2.88</v>
      </c>
      <c r="D25" s="40">
        <v>1.39</v>
      </c>
      <c r="E25" s="40">
        <v>5.15</v>
      </c>
      <c r="F25" s="40">
        <v>5.55</v>
      </c>
      <c r="G25" s="40">
        <v>26.03</v>
      </c>
      <c r="H25" s="40">
        <v>14.25</v>
      </c>
      <c r="I25" s="40">
        <v>5.1100000000000003</v>
      </c>
      <c r="J25" s="40">
        <v>0.46</v>
      </c>
      <c r="K25" s="40">
        <v>242.62</v>
      </c>
      <c r="L25" s="40">
        <v>31.41</v>
      </c>
      <c r="M25" s="40">
        <v>74.680000000000007</v>
      </c>
      <c r="N25" s="40">
        <v>156.1</v>
      </c>
      <c r="O25" s="40">
        <v>0</v>
      </c>
      <c r="P25" s="40">
        <v>0.23</v>
      </c>
      <c r="Q25" s="40">
        <v>10</v>
      </c>
      <c r="R25" s="38"/>
      <c r="S25" s="38"/>
      <c r="T25" s="38"/>
      <c r="U25" s="38"/>
    </row>
    <row r="26" spans="1:21" customFormat="1">
      <c r="A26" s="41" t="s">
        <v>245</v>
      </c>
      <c r="B26" s="40">
        <v>1.49</v>
      </c>
      <c r="C26" s="40">
        <v>2.96</v>
      </c>
      <c r="D26" s="40">
        <v>1.39</v>
      </c>
      <c r="E26" s="40">
        <v>5.51</v>
      </c>
      <c r="F26" s="40">
        <v>5.03</v>
      </c>
      <c r="G26" s="40">
        <v>28.09</v>
      </c>
      <c r="H26" s="40">
        <v>16.03</v>
      </c>
      <c r="I26" s="40">
        <v>4.99</v>
      </c>
      <c r="J26" s="40">
        <v>0.51</v>
      </c>
      <c r="K26" s="40">
        <v>304.3</v>
      </c>
      <c r="L26" s="40">
        <v>30.53</v>
      </c>
      <c r="M26" s="40">
        <v>76.62</v>
      </c>
      <c r="N26" s="40">
        <v>33.9</v>
      </c>
      <c r="O26" s="40">
        <v>0</v>
      </c>
      <c r="P26" s="40">
        <v>0.25</v>
      </c>
      <c r="Q26" s="40">
        <v>10</v>
      </c>
      <c r="R26" s="38"/>
      <c r="S26" s="38"/>
      <c r="T26" s="38"/>
      <c r="U26" s="38"/>
    </row>
    <row r="27" spans="1:21" customFormat="1">
      <c r="A27" s="41" t="s">
        <v>246</v>
      </c>
      <c r="B27" s="40">
        <v>1.56</v>
      </c>
      <c r="C27" s="40">
        <v>2.92</v>
      </c>
      <c r="D27" s="40">
        <v>1.27</v>
      </c>
      <c r="E27" s="40">
        <v>5.1100000000000003</v>
      </c>
      <c r="F27" s="40">
        <v>4.37</v>
      </c>
      <c r="G27" s="40">
        <v>28.44</v>
      </c>
      <c r="H27" s="40">
        <v>16.23</v>
      </c>
      <c r="I27" s="40">
        <v>5.07</v>
      </c>
      <c r="J27" s="40">
        <v>0.93</v>
      </c>
      <c r="K27" s="40">
        <v>77.37</v>
      </c>
      <c r="L27" s="40">
        <v>29.07</v>
      </c>
      <c r="M27" s="40">
        <v>88.72</v>
      </c>
      <c r="N27" s="40">
        <v>11.2</v>
      </c>
      <c r="O27" s="40">
        <v>0.2</v>
      </c>
      <c r="P27" s="40">
        <v>0.26</v>
      </c>
      <c r="Q27" s="40">
        <v>10</v>
      </c>
      <c r="R27" s="38"/>
      <c r="S27" s="38"/>
      <c r="T27" s="38"/>
      <c r="U27" s="38"/>
    </row>
    <row r="28" spans="1:21" customFormat="1">
      <c r="A28" s="41" t="s">
        <v>247</v>
      </c>
      <c r="B28" s="40">
        <v>1.95</v>
      </c>
      <c r="C28" s="40">
        <v>3.44</v>
      </c>
      <c r="D28" s="40">
        <v>1.64</v>
      </c>
      <c r="E28" s="40">
        <v>5.92</v>
      </c>
      <c r="F28" s="40">
        <v>6.54</v>
      </c>
      <c r="G28" s="40">
        <v>40.479999999999997</v>
      </c>
      <c r="H28" s="40">
        <v>16.190000000000001</v>
      </c>
      <c r="I28" s="40">
        <v>5.14</v>
      </c>
      <c r="J28" s="40">
        <v>0.32</v>
      </c>
      <c r="K28" s="40">
        <v>202.86</v>
      </c>
      <c r="L28" s="40">
        <v>27.46</v>
      </c>
      <c r="M28" s="40">
        <v>93.09</v>
      </c>
      <c r="N28" s="40">
        <v>2.2000000000000002</v>
      </c>
      <c r="O28" s="40">
        <v>0</v>
      </c>
      <c r="P28" s="40">
        <v>0.28000000000000003</v>
      </c>
      <c r="Q28" s="40">
        <v>10</v>
      </c>
      <c r="R28" s="38"/>
      <c r="S28" s="38"/>
      <c r="T28" s="38"/>
      <c r="U28" s="38"/>
    </row>
    <row r="29" spans="1:21" customFormat="1">
      <c r="A29" s="41" t="s">
        <v>248</v>
      </c>
      <c r="B29" s="40">
        <v>1.91</v>
      </c>
      <c r="C29" s="40">
        <v>3.44</v>
      </c>
      <c r="D29" s="40">
        <v>1.67</v>
      </c>
      <c r="E29" s="40">
        <v>7.47</v>
      </c>
      <c r="F29" s="40">
        <v>6.91</v>
      </c>
      <c r="G29" s="40">
        <v>48.92</v>
      </c>
      <c r="H29" s="40">
        <v>18.43</v>
      </c>
      <c r="I29" s="40">
        <v>5.47</v>
      </c>
      <c r="J29" s="40">
        <v>1.17</v>
      </c>
      <c r="K29" s="40">
        <v>113.55</v>
      </c>
      <c r="L29" s="40">
        <v>27.62</v>
      </c>
      <c r="M29" s="40">
        <v>93.98</v>
      </c>
      <c r="N29" s="40">
        <v>4.5</v>
      </c>
      <c r="O29" s="40">
        <v>1.2</v>
      </c>
      <c r="P29" s="40">
        <v>0.25</v>
      </c>
      <c r="Q29" s="40">
        <v>10</v>
      </c>
      <c r="R29" s="38"/>
      <c r="S29" s="38"/>
      <c r="T29" s="38"/>
      <c r="U29" s="38"/>
    </row>
    <row r="30" spans="1:21" customFormat="1">
      <c r="A30" s="41" t="s">
        <v>249</v>
      </c>
      <c r="B30" s="40">
        <v>2.0699999999999998</v>
      </c>
      <c r="C30" s="40">
        <v>3.71</v>
      </c>
      <c r="D30" s="40">
        <v>1.95</v>
      </c>
      <c r="E30" s="40">
        <v>4.93</v>
      </c>
      <c r="F30" s="40">
        <v>5.46</v>
      </c>
      <c r="G30" s="40">
        <v>31.14</v>
      </c>
      <c r="H30" s="40">
        <v>18.010000000000002</v>
      </c>
      <c r="I30" s="40">
        <v>5.18</v>
      </c>
      <c r="J30" s="40">
        <v>0.62</v>
      </c>
      <c r="K30" s="40">
        <v>255.24</v>
      </c>
      <c r="L30" s="40">
        <v>26.33</v>
      </c>
      <c r="M30" s="40">
        <v>97.43</v>
      </c>
      <c r="N30" s="40">
        <v>2.7</v>
      </c>
      <c r="O30" s="40">
        <v>0.6</v>
      </c>
      <c r="P30" s="40">
        <v>0.24</v>
      </c>
      <c r="Q30" s="40">
        <v>10</v>
      </c>
      <c r="R30" s="38"/>
      <c r="S30" s="38"/>
      <c r="T30" s="38"/>
      <c r="U30" s="38"/>
    </row>
    <row r="31" spans="1:21" customFormat="1">
      <c r="A31" s="41" t="s">
        <v>250</v>
      </c>
      <c r="B31" s="40">
        <v>1.89</v>
      </c>
      <c r="C31" s="40">
        <v>3.3</v>
      </c>
      <c r="D31" s="40">
        <v>1.49</v>
      </c>
      <c r="E31" s="40">
        <v>4.82</v>
      </c>
      <c r="F31" s="40">
        <v>5</v>
      </c>
      <c r="G31" s="40">
        <v>30.62</v>
      </c>
      <c r="H31" s="40">
        <v>17.95</v>
      </c>
      <c r="I31" s="40">
        <v>5.0199999999999996</v>
      </c>
      <c r="J31" s="40">
        <v>0.89</v>
      </c>
      <c r="K31" s="40">
        <v>257.17</v>
      </c>
      <c r="L31" s="40">
        <v>26.07</v>
      </c>
      <c r="M31" s="40">
        <v>97.37</v>
      </c>
      <c r="N31" s="40">
        <v>4.2</v>
      </c>
      <c r="O31" s="40">
        <v>1.8</v>
      </c>
      <c r="P31" s="40">
        <v>0.22</v>
      </c>
      <c r="Q31" s="40">
        <v>10</v>
      </c>
      <c r="R31" s="38"/>
      <c r="S31" s="38"/>
      <c r="T31" s="38"/>
      <c r="U31" s="38"/>
    </row>
    <row r="32" spans="1:21" customFormat="1">
      <c r="A32" s="41" t="s">
        <v>251</v>
      </c>
      <c r="B32" s="40">
        <v>1.49</v>
      </c>
      <c r="C32" s="40">
        <v>2.69</v>
      </c>
      <c r="D32" s="40">
        <v>0.91</v>
      </c>
      <c r="E32" s="40">
        <v>4.78</v>
      </c>
      <c r="F32" s="40">
        <v>4.7300000000000004</v>
      </c>
      <c r="G32" s="40">
        <v>18.88</v>
      </c>
      <c r="H32" s="40">
        <v>12.81</v>
      </c>
      <c r="I32" s="40">
        <v>4.83</v>
      </c>
      <c r="J32" s="40">
        <v>0.6</v>
      </c>
      <c r="K32" s="40">
        <v>254.26</v>
      </c>
      <c r="L32" s="40">
        <v>25.35</v>
      </c>
      <c r="M32" s="40">
        <v>98.73</v>
      </c>
      <c r="N32" s="40">
        <v>2.4</v>
      </c>
      <c r="O32" s="40">
        <v>0.8</v>
      </c>
      <c r="P32" s="40">
        <v>0.2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1.42</v>
      </c>
      <c r="C34" s="18">
        <f t="shared" si="0"/>
        <v>2.66</v>
      </c>
      <c r="D34" s="18">
        <f t="shared" si="0"/>
        <v>0.91</v>
      </c>
      <c r="E34" s="18">
        <f t="shared" si="0"/>
        <v>4.51</v>
      </c>
      <c r="F34" s="18">
        <f t="shared" si="0"/>
        <v>1.79</v>
      </c>
      <c r="G34" s="18">
        <f t="shared" si="0"/>
        <v>12.79</v>
      </c>
      <c r="H34" s="18">
        <f t="shared" si="0"/>
        <v>9.25</v>
      </c>
      <c r="I34" s="18">
        <f t="shared" si="0"/>
        <v>4.83</v>
      </c>
      <c r="J34" s="18">
        <f t="shared" si="0"/>
        <v>0.18</v>
      </c>
      <c r="K34" s="18">
        <f t="shared" si="0"/>
        <v>77.37</v>
      </c>
      <c r="L34" s="18">
        <f t="shared" si="0"/>
        <v>25.35</v>
      </c>
      <c r="M34" s="18">
        <f t="shared" si="0"/>
        <v>70.59</v>
      </c>
      <c r="N34" s="18">
        <f t="shared" si="0"/>
        <v>2.1</v>
      </c>
      <c r="O34" s="18">
        <f t="shared" si="0"/>
        <v>0</v>
      </c>
      <c r="P34" s="18">
        <f t="shared" si="0"/>
        <v>0.2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2.39</v>
      </c>
      <c r="C35" s="3">
        <f t="shared" si="1"/>
        <v>4.3099999999999996</v>
      </c>
      <c r="D35" s="3">
        <f t="shared" si="1"/>
        <v>2.6</v>
      </c>
      <c r="E35" s="3">
        <f t="shared" si="1"/>
        <v>7.47</v>
      </c>
      <c r="F35" s="3">
        <f t="shared" si="1"/>
        <v>13.42</v>
      </c>
      <c r="G35" s="3">
        <f t="shared" si="1"/>
        <v>48.92</v>
      </c>
      <c r="H35" s="3">
        <f t="shared" si="1"/>
        <v>19.55</v>
      </c>
      <c r="I35" s="3">
        <f t="shared" si="1"/>
        <v>7.57</v>
      </c>
      <c r="J35" s="3">
        <f t="shared" si="1"/>
        <v>1.17</v>
      </c>
      <c r="K35" s="3">
        <f t="shared" si="1"/>
        <v>319.61</v>
      </c>
      <c r="L35" s="3">
        <f t="shared" si="1"/>
        <v>32.68</v>
      </c>
      <c r="M35" s="3">
        <f t="shared" si="1"/>
        <v>98.73</v>
      </c>
      <c r="N35" s="3">
        <f t="shared" si="1"/>
        <v>521.6</v>
      </c>
      <c r="O35" s="3">
        <f t="shared" si="1"/>
        <v>1.8</v>
      </c>
      <c r="P35" s="3">
        <f t="shared" si="1"/>
        <v>0.3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1.8020833333333337</v>
      </c>
      <c r="C36" s="18">
        <f t="shared" si="2"/>
        <v>3.3029166666666661</v>
      </c>
      <c r="D36" s="18">
        <f t="shared" si="2"/>
        <v>1.5987499999999999</v>
      </c>
      <c r="E36" s="18">
        <f t="shared" si="2"/>
        <v>5.9654166666666688</v>
      </c>
      <c r="F36" s="18">
        <f t="shared" si="2"/>
        <v>5.5437500000000002</v>
      </c>
      <c r="G36" s="18">
        <f t="shared" si="2"/>
        <v>29.52333333333333</v>
      </c>
      <c r="H36" s="18">
        <f t="shared" si="2"/>
        <v>14.929583333333332</v>
      </c>
      <c r="I36" s="18">
        <f t="shared" si="2"/>
        <v>5.9450000000000003</v>
      </c>
      <c r="J36" s="18">
        <f t="shared" si="2"/>
        <v>0.58875</v>
      </c>
      <c r="K36" s="18">
        <f t="shared" si="2"/>
        <v>254.03666666666666</v>
      </c>
      <c r="L36" s="18">
        <f t="shared" si="2"/>
        <v>28.56375000000001</v>
      </c>
      <c r="M36" s="18">
        <f t="shared" si="2"/>
        <v>87.826250000000016</v>
      </c>
      <c r="N36" s="18">
        <f t="shared" si="2"/>
        <v>121.89166666666664</v>
      </c>
      <c r="O36" s="18">
        <f t="shared" si="2"/>
        <v>0.20833333333333334</v>
      </c>
      <c r="P36" s="18">
        <f t="shared" si="2"/>
        <v>0.25333333333333335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0.25156862952744524</v>
      </c>
      <c r="C37" s="18">
        <f t="shared" ref="C37:Q37" si="3">STDEV(C9:C32)</f>
        <v>0.39517172014935503</v>
      </c>
      <c r="D37" s="18">
        <f t="shared" si="3"/>
        <v>0.41199738813017694</v>
      </c>
      <c r="E37" s="18">
        <f t="shared" si="3"/>
        <v>0.98457662128875534</v>
      </c>
      <c r="F37" s="18">
        <f t="shared" si="3"/>
        <v>2.7247541771849719</v>
      </c>
      <c r="G37" s="18">
        <f t="shared" si="3"/>
        <v>9.6495184230665938</v>
      </c>
      <c r="H37" s="18">
        <f t="shared" si="3"/>
        <v>3.2894924666893277</v>
      </c>
      <c r="I37" s="18">
        <f t="shared" si="3"/>
        <v>0.86463865284868258</v>
      </c>
      <c r="J37" s="18">
        <f t="shared" si="3"/>
        <v>0.22769759693983116</v>
      </c>
      <c r="K37" s="18">
        <f t="shared" si="3"/>
        <v>56.333396741238516</v>
      </c>
      <c r="L37" s="18">
        <f t="shared" si="3"/>
        <v>2.3686811823202927</v>
      </c>
      <c r="M37" s="18">
        <f t="shared" si="3"/>
        <v>9.0304132567094353</v>
      </c>
      <c r="N37" s="18">
        <f t="shared" si="3"/>
        <v>160.94880070778837</v>
      </c>
      <c r="O37" s="18">
        <f t="shared" si="3"/>
        <v>0.4586527213923185</v>
      </c>
      <c r="P37" s="18">
        <f t="shared" si="3"/>
        <v>2.4077170617153844E-2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252</v>
      </c>
      <c r="B9" s="40">
        <v>1.68</v>
      </c>
      <c r="C9" s="40">
        <v>3.14</v>
      </c>
      <c r="D9" s="40">
        <v>1.45</v>
      </c>
      <c r="E9" s="40">
        <v>4.92</v>
      </c>
      <c r="F9" s="40">
        <v>2.5499999999999998</v>
      </c>
      <c r="G9" s="40">
        <v>12.12</v>
      </c>
      <c r="H9" s="40">
        <v>8.99</v>
      </c>
      <c r="I9" s="40">
        <v>4.96</v>
      </c>
      <c r="J9" s="40">
        <v>0.69</v>
      </c>
      <c r="K9" s="40">
        <v>258.14</v>
      </c>
      <c r="L9" s="40">
        <v>25.42</v>
      </c>
      <c r="M9" s="40">
        <v>98.72</v>
      </c>
      <c r="N9" s="40">
        <v>2.6</v>
      </c>
      <c r="O9" s="40">
        <v>0.2</v>
      </c>
      <c r="P9" s="40">
        <v>0.26</v>
      </c>
      <c r="Q9" s="40">
        <v>10</v>
      </c>
      <c r="R9" s="38"/>
      <c r="S9" s="38"/>
      <c r="T9" s="38"/>
      <c r="U9" s="38"/>
    </row>
    <row r="10" spans="1:21" customFormat="1">
      <c r="A10" s="41" t="s">
        <v>253</v>
      </c>
      <c r="B10" s="40">
        <v>1.66</v>
      </c>
      <c r="C10" s="40">
        <v>3.15</v>
      </c>
      <c r="D10" s="40">
        <v>1.51</v>
      </c>
      <c r="E10" s="40">
        <v>5.27</v>
      </c>
      <c r="F10" s="40">
        <v>2.44</v>
      </c>
      <c r="G10" s="40">
        <v>12.31</v>
      </c>
      <c r="H10" s="40">
        <v>7.84</v>
      </c>
      <c r="I10" s="40">
        <v>5.59</v>
      </c>
      <c r="J10" s="40">
        <v>0.7</v>
      </c>
      <c r="K10" s="40">
        <v>253.67</v>
      </c>
      <c r="L10" s="40">
        <v>25.21</v>
      </c>
      <c r="M10" s="40">
        <v>97.97</v>
      </c>
      <c r="N10" s="40">
        <v>2.5</v>
      </c>
      <c r="O10" s="40">
        <v>0.2</v>
      </c>
      <c r="P10" s="40">
        <v>0.26</v>
      </c>
      <c r="Q10" s="40">
        <v>10</v>
      </c>
      <c r="R10" s="38"/>
      <c r="S10" s="38"/>
      <c r="T10" s="38"/>
      <c r="U10" s="38"/>
    </row>
    <row r="11" spans="1:21" customFormat="1">
      <c r="A11" s="41" t="s">
        <v>254</v>
      </c>
      <c r="B11" s="40">
        <v>1.41</v>
      </c>
      <c r="C11" s="40">
        <v>2.5499999999999998</v>
      </c>
      <c r="D11" s="40">
        <v>0.74</v>
      </c>
      <c r="E11" s="40">
        <v>5.13</v>
      </c>
      <c r="F11" s="40">
        <v>2.37</v>
      </c>
      <c r="G11" s="40">
        <v>8.18</v>
      </c>
      <c r="H11" s="40">
        <v>7.19</v>
      </c>
      <c r="I11" s="40">
        <v>5.63</v>
      </c>
      <c r="J11" s="40">
        <v>0.73</v>
      </c>
      <c r="K11" s="40">
        <v>305.17</v>
      </c>
      <c r="L11" s="40">
        <v>25.05</v>
      </c>
      <c r="M11" s="40">
        <v>97.66</v>
      </c>
      <c r="N11" s="40">
        <v>2.8</v>
      </c>
      <c r="O11" s="40">
        <v>0.2</v>
      </c>
      <c r="P11" s="40">
        <v>0.25</v>
      </c>
      <c r="Q11" s="40">
        <v>10</v>
      </c>
      <c r="R11" s="38"/>
      <c r="S11" s="38"/>
      <c r="T11" s="38"/>
      <c r="U11" s="38"/>
    </row>
    <row r="12" spans="1:21" customFormat="1">
      <c r="A12" s="41" t="s">
        <v>255</v>
      </c>
      <c r="B12" s="40">
        <v>1.67</v>
      </c>
      <c r="C12" s="40">
        <v>3.04</v>
      </c>
      <c r="D12" s="40">
        <v>1.35</v>
      </c>
      <c r="E12" s="40">
        <v>5.28</v>
      </c>
      <c r="F12" s="40">
        <v>3</v>
      </c>
      <c r="G12" s="40">
        <v>8.02</v>
      </c>
      <c r="H12" s="40">
        <v>6.05</v>
      </c>
      <c r="I12" s="40">
        <v>5.56</v>
      </c>
      <c r="J12" s="40">
        <v>1.43</v>
      </c>
      <c r="K12" s="40">
        <v>312.19</v>
      </c>
      <c r="L12" s="40">
        <v>24.75</v>
      </c>
      <c r="M12" s="40">
        <v>98.24</v>
      </c>
      <c r="N12" s="40">
        <v>2.5</v>
      </c>
      <c r="O12" s="40">
        <v>0.6</v>
      </c>
      <c r="P12" s="40">
        <v>0.25</v>
      </c>
      <c r="Q12" s="40">
        <v>10</v>
      </c>
      <c r="R12" s="38"/>
      <c r="S12" s="38"/>
      <c r="T12" s="38"/>
      <c r="U12" s="38"/>
    </row>
    <row r="13" spans="1:21" customFormat="1">
      <c r="A13" s="41" t="s">
        <v>256</v>
      </c>
      <c r="B13" s="40">
        <v>1.85</v>
      </c>
      <c r="C13" s="40">
        <v>3.23</v>
      </c>
      <c r="D13" s="40">
        <v>1.37</v>
      </c>
      <c r="E13" s="40">
        <v>5.47</v>
      </c>
      <c r="F13" s="40">
        <v>2.25</v>
      </c>
      <c r="G13" s="40">
        <v>9.7100000000000009</v>
      </c>
      <c r="H13" s="40">
        <v>4.5</v>
      </c>
      <c r="I13" s="40">
        <v>5.2</v>
      </c>
      <c r="J13" s="40">
        <v>0.92</v>
      </c>
      <c r="K13" s="40">
        <v>320.81</v>
      </c>
      <c r="L13" s="40">
        <v>24.79</v>
      </c>
      <c r="M13" s="40">
        <v>98.51</v>
      </c>
      <c r="N13" s="40">
        <v>2.4</v>
      </c>
      <c r="O13" s="40">
        <v>0.4</v>
      </c>
      <c r="P13" s="40">
        <v>0.24</v>
      </c>
      <c r="Q13" s="40">
        <v>10</v>
      </c>
      <c r="R13" s="38"/>
      <c r="S13" s="38"/>
      <c r="T13" s="38"/>
      <c r="U13" s="38"/>
    </row>
    <row r="14" spans="1:21" customFormat="1">
      <c r="A14" s="41" t="s">
        <v>257</v>
      </c>
      <c r="B14" s="40">
        <v>1.83</v>
      </c>
      <c r="C14" s="40">
        <v>3.32</v>
      </c>
      <c r="D14" s="40">
        <v>1.59</v>
      </c>
      <c r="E14" s="40">
        <v>5.3</v>
      </c>
      <c r="F14" s="40">
        <v>3.66</v>
      </c>
      <c r="G14" s="40">
        <v>11.31</v>
      </c>
      <c r="H14" s="40">
        <v>4.59</v>
      </c>
      <c r="I14" s="40">
        <v>4.95</v>
      </c>
      <c r="J14" s="40">
        <v>0.63</v>
      </c>
      <c r="K14" s="40">
        <v>351.49</v>
      </c>
      <c r="L14" s="40">
        <v>24.84</v>
      </c>
      <c r="M14" s="40">
        <v>98.64</v>
      </c>
      <c r="N14" s="40">
        <v>3.4</v>
      </c>
      <c r="O14" s="40">
        <v>0.4</v>
      </c>
      <c r="P14" s="40">
        <v>0.21</v>
      </c>
      <c r="Q14" s="40">
        <v>10</v>
      </c>
      <c r="R14" s="38"/>
      <c r="S14" s="38"/>
      <c r="T14" s="38"/>
      <c r="U14" s="38"/>
    </row>
    <row r="15" spans="1:21" customFormat="1">
      <c r="A15" s="41" t="s">
        <v>258</v>
      </c>
      <c r="B15" s="40">
        <v>2</v>
      </c>
      <c r="C15" s="40">
        <v>3.44</v>
      </c>
      <c r="D15" s="40">
        <v>1.66</v>
      </c>
      <c r="E15" s="40">
        <v>5.07</v>
      </c>
      <c r="F15" s="40">
        <v>3.76</v>
      </c>
      <c r="G15" s="40">
        <v>8.24</v>
      </c>
      <c r="H15" s="40">
        <v>5.69</v>
      </c>
      <c r="I15" s="40">
        <v>4.6100000000000003</v>
      </c>
      <c r="J15" s="40">
        <v>0.6</v>
      </c>
      <c r="K15" s="40">
        <v>352.41</v>
      </c>
      <c r="L15" s="40">
        <v>25.04</v>
      </c>
      <c r="M15" s="40">
        <v>98.59</v>
      </c>
      <c r="N15" s="40">
        <v>10.6</v>
      </c>
      <c r="O15" s="40">
        <v>0</v>
      </c>
      <c r="P15" s="40">
        <v>0.18</v>
      </c>
      <c r="Q15" s="40">
        <v>10</v>
      </c>
      <c r="R15" s="38"/>
      <c r="S15" s="38"/>
      <c r="T15" s="38"/>
      <c r="U15" s="38"/>
    </row>
    <row r="16" spans="1:21" customFormat="1">
      <c r="A16" s="41" t="s">
        <v>259</v>
      </c>
      <c r="B16" s="40">
        <v>2.36</v>
      </c>
      <c r="C16" s="40">
        <v>3.97</v>
      </c>
      <c r="D16" s="40">
        <v>1.99</v>
      </c>
      <c r="E16" s="40">
        <v>5.18</v>
      </c>
      <c r="F16" s="40">
        <v>3.62</v>
      </c>
      <c r="G16" s="40">
        <v>7.94</v>
      </c>
      <c r="H16" s="40">
        <v>4.91</v>
      </c>
      <c r="I16" s="40">
        <v>4.54</v>
      </c>
      <c r="J16" s="40">
        <v>0.84</v>
      </c>
      <c r="K16" s="40">
        <v>37.19</v>
      </c>
      <c r="L16" s="40">
        <v>24.9</v>
      </c>
      <c r="M16" s="40">
        <v>97.71</v>
      </c>
      <c r="N16" s="40">
        <v>64.099999999999994</v>
      </c>
      <c r="O16" s="40">
        <v>0</v>
      </c>
      <c r="P16" s="40">
        <v>0.18</v>
      </c>
      <c r="Q16" s="40">
        <v>10</v>
      </c>
      <c r="R16" s="38"/>
      <c r="S16" s="38"/>
      <c r="T16" s="38"/>
      <c r="U16" s="38"/>
    </row>
    <row r="17" spans="1:21" customFormat="1">
      <c r="A17" s="41" t="s">
        <v>260</v>
      </c>
      <c r="B17" s="40">
        <v>2.27</v>
      </c>
      <c r="C17" s="40">
        <v>3.85</v>
      </c>
      <c r="D17" s="40">
        <v>1.89</v>
      </c>
      <c r="E17" s="40">
        <v>6.24</v>
      </c>
      <c r="F17" s="40">
        <v>2.66</v>
      </c>
      <c r="G17" s="40">
        <v>11.08</v>
      </c>
      <c r="H17" s="40">
        <v>4.59</v>
      </c>
      <c r="I17" s="40">
        <v>4.6399999999999997</v>
      </c>
      <c r="J17" s="40">
        <v>0.65</v>
      </c>
      <c r="K17" s="40">
        <v>317.27</v>
      </c>
      <c r="L17" s="40">
        <v>26.08</v>
      </c>
      <c r="M17" s="40">
        <v>95.86</v>
      </c>
      <c r="N17" s="40">
        <v>150.19999999999999</v>
      </c>
      <c r="O17" s="40">
        <v>0</v>
      </c>
      <c r="P17" s="40">
        <v>0.21</v>
      </c>
      <c r="Q17" s="40">
        <v>10</v>
      </c>
      <c r="R17" s="38"/>
      <c r="S17" s="38"/>
      <c r="T17" s="38"/>
      <c r="U17" s="38"/>
    </row>
    <row r="18" spans="1:21" customFormat="1">
      <c r="A18" s="41" t="s">
        <v>261</v>
      </c>
      <c r="B18" s="40">
        <v>2.65</v>
      </c>
      <c r="C18" s="40">
        <v>4.58</v>
      </c>
      <c r="D18" s="40">
        <v>2.74</v>
      </c>
      <c r="E18" s="40">
        <v>4.95</v>
      </c>
      <c r="F18" s="40">
        <v>2.79</v>
      </c>
      <c r="G18" s="40">
        <v>26.84</v>
      </c>
      <c r="H18" s="40">
        <v>7.51</v>
      </c>
      <c r="I18" s="40">
        <v>4.7300000000000004</v>
      </c>
      <c r="J18" s="40">
        <v>0.89</v>
      </c>
      <c r="K18" s="40">
        <v>321.99</v>
      </c>
      <c r="L18" s="40">
        <v>28.07</v>
      </c>
      <c r="M18" s="40">
        <v>90.11</v>
      </c>
      <c r="N18" s="40">
        <v>246.8</v>
      </c>
      <c r="O18" s="40">
        <v>0</v>
      </c>
      <c r="P18" s="40">
        <v>0.24</v>
      </c>
      <c r="Q18" s="40">
        <v>10</v>
      </c>
      <c r="R18" s="38"/>
      <c r="S18" s="38"/>
      <c r="T18" s="38"/>
      <c r="U18" s="38"/>
    </row>
    <row r="19" spans="1:21" customFormat="1">
      <c r="A19" s="41" t="s">
        <v>262</v>
      </c>
      <c r="B19" s="40">
        <v>2.2200000000000002</v>
      </c>
      <c r="C19" s="40">
        <v>3.62</v>
      </c>
      <c r="D19" s="40">
        <v>1.76</v>
      </c>
      <c r="E19" s="40">
        <v>5.99</v>
      </c>
      <c r="F19" s="40">
        <v>2.4700000000000002</v>
      </c>
      <c r="G19" s="40">
        <v>31.07</v>
      </c>
      <c r="H19" s="40">
        <v>7.68</v>
      </c>
      <c r="I19" s="40">
        <v>4.9800000000000004</v>
      </c>
      <c r="J19" s="40">
        <v>0.75</v>
      </c>
      <c r="K19" s="40">
        <v>349.52</v>
      </c>
      <c r="L19" s="40">
        <v>29.2</v>
      </c>
      <c r="M19" s="40">
        <v>78.510000000000005</v>
      </c>
      <c r="N19" s="40">
        <v>255.3</v>
      </c>
      <c r="O19" s="40">
        <v>0</v>
      </c>
      <c r="P19" s="40">
        <v>0.26</v>
      </c>
      <c r="Q19" s="40">
        <v>10</v>
      </c>
      <c r="R19" s="38"/>
      <c r="S19" s="38"/>
      <c r="T19" s="38"/>
      <c r="U19" s="38"/>
    </row>
    <row r="20" spans="1:21" customFormat="1">
      <c r="A20" s="41" t="s">
        <v>263</v>
      </c>
      <c r="B20" s="40">
        <v>3.44</v>
      </c>
      <c r="C20" s="40">
        <v>4.54</v>
      </c>
      <c r="D20" s="40">
        <v>0.47</v>
      </c>
      <c r="E20" s="40">
        <v>5.95</v>
      </c>
      <c r="F20" s="40">
        <v>22.22</v>
      </c>
      <c r="G20" s="40">
        <v>32.31</v>
      </c>
      <c r="H20" s="40">
        <v>8.0500000000000007</v>
      </c>
      <c r="I20" s="40">
        <v>5.0999999999999996</v>
      </c>
      <c r="J20" s="40">
        <v>0.46</v>
      </c>
      <c r="K20" s="40">
        <v>355.36</v>
      </c>
      <c r="L20" s="40">
        <v>30.75</v>
      </c>
      <c r="M20" s="40">
        <v>72.03</v>
      </c>
      <c r="N20" s="40">
        <v>322.7</v>
      </c>
      <c r="O20" s="40">
        <v>0.2</v>
      </c>
      <c r="P20" s="40">
        <v>0.26</v>
      </c>
      <c r="Q20" s="40">
        <v>10</v>
      </c>
      <c r="R20" s="38"/>
      <c r="S20" s="38"/>
      <c r="T20" s="38"/>
      <c r="U20" s="38"/>
    </row>
    <row r="21" spans="1:21" customFormat="1">
      <c r="A21" s="41" t="s">
        <v>264</v>
      </c>
      <c r="B21" s="40">
        <v>1.42</v>
      </c>
      <c r="C21" s="40">
        <v>1.8</v>
      </c>
      <c r="D21" s="40">
        <v>2.16</v>
      </c>
      <c r="E21" s="40">
        <v>4.4400000000000004</v>
      </c>
      <c r="F21" s="40">
        <v>33.18</v>
      </c>
      <c r="G21" s="10" t="s">
        <v>12</v>
      </c>
      <c r="H21" s="10" t="s">
        <v>12</v>
      </c>
      <c r="I21" s="40">
        <v>10.27</v>
      </c>
      <c r="J21" s="40">
        <v>0.99</v>
      </c>
      <c r="K21" s="40">
        <v>327.24</v>
      </c>
      <c r="L21" s="40">
        <v>30.77</v>
      </c>
      <c r="M21" s="40">
        <v>71.13</v>
      </c>
      <c r="N21" s="40">
        <v>491.4</v>
      </c>
      <c r="O21" s="40">
        <v>0</v>
      </c>
      <c r="P21" s="40">
        <v>0.24</v>
      </c>
      <c r="Q21" s="40">
        <v>10</v>
      </c>
      <c r="R21" s="38"/>
      <c r="S21" s="38"/>
      <c r="T21" s="38"/>
      <c r="U21" s="38"/>
    </row>
    <row r="22" spans="1:21" customFormat="1">
      <c r="A22" s="41" t="s">
        <v>265</v>
      </c>
      <c r="B22" s="10" t="s">
        <v>12</v>
      </c>
      <c r="C22" s="10" t="s">
        <v>12</v>
      </c>
      <c r="D22" s="10" t="s">
        <v>12</v>
      </c>
      <c r="E22" s="40">
        <v>10.6</v>
      </c>
      <c r="F22" s="40">
        <v>26.14</v>
      </c>
      <c r="G22" s="40">
        <v>15.77</v>
      </c>
      <c r="H22" s="10" t="s">
        <v>12</v>
      </c>
      <c r="I22" s="40">
        <v>8.8800000000000008</v>
      </c>
      <c r="J22" s="40">
        <v>0.93</v>
      </c>
      <c r="K22" s="40">
        <v>302.95999999999998</v>
      </c>
      <c r="L22" s="40">
        <v>30.53</v>
      </c>
      <c r="M22" s="40">
        <v>72.16</v>
      </c>
      <c r="N22" s="40">
        <v>280.2</v>
      </c>
      <c r="O22" s="40">
        <v>0</v>
      </c>
      <c r="P22" s="40">
        <v>0.23</v>
      </c>
      <c r="Q22" s="40">
        <v>10</v>
      </c>
      <c r="R22" s="38"/>
      <c r="S22" s="38"/>
      <c r="T22" s="38"/>
      <c r="U22" s="38"/>
    </row>
    <row r="23" spans="1:21" customFormat="1">
      <c r="A23" s="41" t="s">
        <v>266</v>
      </c>
      <c r="B23" s="40">
        <v>1.48</v>
      </c>
      <c r="C23" s="40">
        <v>2.11</v>
      </c>
      <c r="D23" s="40">
        <v>2.29</v>
      </c>
      <c r="E23" s="40">
        <v>3.57</v>
      </c>
      <c r="F23" s="40">
        <v>28.98</v>
      </c>
      <c r="G23" s="40">
        <v>39.42</v>
      </c>
      <c r="H23" s="40">
        <v>0.28999999999999998</v>
      </c>
      <c r="I23" s="40">
        <v>6.41</v>
      </c>
      <c r="J23" s="40">
        <v>0.76</v>
      </c>
      <c r="K23" s="40">
        <v>305.41000000000003</v>
      </c>
      <c r="L23" s="40">
        <v>30.5</v>
      </c>
      <c r="M23" s="40">
        <v>72.42</v>
      </c>
      <c r="N23" s="40">
        <v>220.3</v>
      </c>
      <c r="O23" s="40">
        <v>0</v>
      </c>
      <c r="P23" s="40">
        <v>0.18</v>
      </c>
      <c r="Q23" s="40">
        <v>10</v>
      </c>
      <c r="R23" s="38"/>
      <c r="S23" s="38"/>
      <c r="T23" s="38"/>
      <c r="U23" s="38"/>
    </row>
    <row r="24" spans="1:21" customFormat="1">
      <c r="A24" s="41" t="s">
        <v>267</v>
      </c>
      <c r="B24" s="40">
        <v>2.77</v>
      </c>
      <c r="C24" s="40">
        <v>14.25</v>
      </c>
      <c r="D24" s="40">
        <v>9.4600000000000009</v>
      </c>
      <c r="E24" s="40">
        <v>3.49</v>
      </c>
      <c r="F24" s="40">
        <v>28.9</v>
      </c>
      <c r="G24" s="40">
        <v>30.1</v>
      </c>
      <c r="H24" s="40">
        <v>1.43</v>
      </c>
      <c r="I24" s="40">
        <v>5.37</v>
      </c>
      <c r="J24" s="40">
        <v>0.4</v>
      </c>
      <c r="K24" s="40">
        <v>275.60000000000002</v>
      </c>
      <c r="L24" s="40">
        <v>29.91</v>
      </c>
      <c r="M24" s="40">
        <v>75.900000000000006</v>
      </c>
      <c r="N24" s="40">
        <v>121.6</v>
      </c>
      <c r="O24" s="40">
        <v>0</v>
      </c>
      <c r="P24" s="40">
        <v>0.19</v>
      </c>
      <c r="Q24" s="40">
        <v>10</v>
      </c>
      <c r="R24" s="38"/>
      <c r="S24" s="38"/>
      <c r="T24" s="38"/>
      <c r="U24" s="38"/>
    </row>
    <row r="25" spans="1:21" customFormat="1">
      <c r="A25" s="41" t="s">
        <v>268</v>
      </c>
      <c r="B25" s="40">
        <v>0.35</v>
      </c>
      <c r="C25" s="40">
        <v>15.91</v>
      </c>
      <c r="D25" s="40">
        <v>8.59</v>
      </c>
      <c r="E25" s="40">
        <v>3.22</v>
      </c>
      <c r="F25" s="40">
        <v>9.49</v>
      </c>
      <c r="G25" s="40">
        <v>24.11</v>
      </c>
      <c r="H25" s="40">
        <v>2.77</v>
      </c>
      <c r="I25" s="40">
        <v>3.77</v>
      </c>
      <c r="J25" s="40">
        <v>0.75</v>
      </c>
      <c r="K25" s="40">
        <v>285.27999999999997</v>
      </c>
      <c r="L25" s="40">
        <v>29.65</v>
      </c>
      <c r="M25" s="40">
        <v>75.41</v>
      </c>
      <c r="N25" s="40">
        <v>101.6</v>
      </c>
      <c r="O25" s="40">
        <v>0</v>
      </c>
      <c r="P25" s="40">
        <v>0.12</v>
      </c>
      <c r="Q25" s="40">
        <v>10</v>
      </c>
      <c r="R25" s="38"/>
      <c r="S25" s="38"/>
      <c r="T25" s="38"/>
      <c r="U25" s="38"/>
    </row>
    <row r="26" spans="1:21" customFormat="1">
      <c r="A26" s="41" t="s">
        <v>269</v>
      </c>
      <c r="B26" s="40">
        <v>0.83</v>
      </c>
      <c r="C26" s="40">
        <v>16.37</v>
      </c>
      <c r="D26" s="40">
        <v>9.06</v>
      </c>
      <c r="E26" s="40">
        <v>4.1500000000000004</v>
      </c>
      <c r="F26" s="40">
        <v>11.28</v>
      </c>
      <c r="G26" s="40">
        <v>22.95</v>
      </c>
      <c r="H26" s="40">
        <v>4.3600000000000003</v>
      </c>
      <c r="I26" s="40">
        <v>3.74</v>
      </c>
      <c r="J26" s="40">
        <v>0.56000000000000005</v>
      </c>
      <c r="K26" s="40">
        <v>276.5</v>
      </c>
      <c r="L26" s="40">
        <v>29.43</v>
      </c>
      <c r="M26" s="40">
        <v>77.87</v>
      </c>
      <c r="N26" s="40">
        <v>45.2</v>
      </c>
      <c r="O26" s="40">
        <v>0</v>
      </c>
      <c r="P26" s="40">
        <v>0.15</v>
      </c>
      <c r="Q26" s="40">
        <v>10</v>
      </c>
      <c r="R26" s="38"/>
      <c r="S26" s="38"/>
      <c r="T26" s="38"/>
      <c r="U26" s="38"/>
    </row>
    <row r="27" spans="1:21" customFormat="1">
      <c r="A27" s="41" t="s">
        <v>270</v>
      </c>
      <c r="B27" s="40">
        <v>1.5</v>
      </c>
      <c r="C27" s="40">
        <v>16.45</v>
      </c>
      <c r="D27" s="40">
        <v>9.7799999999999994</v>
      </c>
      <c r="E27" s="40">
        <v>5.73</v>
      </c>
      <c r="F27" s="40">
        <v>10.1</v>
      </c>
      <c r="G27" s="40">
        <v>19.07</v>
      </c>
      <c r="H27" s="40">
        <v>4.4000000000000004</v>
      </c>
      <c r="I27" s="40">
        <v>4.2699999999999996</v>
      </c>
      <c r="J27" s="40">
        <v>0.69</v>
      </c>
      <c r="K27" s="40">
        <v>270</v>
      </c>
      <c r="L27" s="40">
        <v>28.97</v>
      </c>
      <c r="M27" s="40">
        <v>83.82</v>
      </c>
      <c r="N27" s="40">
        <v>16.3</v>
      </c>
      <c r="O27" s="40">
        <v>0</v>
      </c>
      <c r="P27" s="40">
        <v>0.27</v>
      </c>
      <c r="Q27" s="40">
        <v>10</v>
      </c>
      <c r="R27" s="38"/>
      <c r="S27" s="38"/>
      <c r="T27" s="38"/>
      <c r="U27" s="38"/>
    </row>
    <row r="28" spans="1:21" customFormat="1">
      <c r="A28" s="41" t="s">
        <v>271</v>
      </c>
      <c r="B28" s="40">
        <v>2.29</v>
      </c>
      <c r="C28" s="40">
        <v>16.57</v>
      </c>
      <c r="D28" s="40">
        <v>10.27</v>
      </c>
      <c r="E28" s="40">
        <v>5.04</v>
      </c>
      <c r="F28" s="40">
        <v>3.97</v>
      </c>
      <c r="G28" s="40">
        <v>19.59</v>
      </c>
      <c r="H28" s="40">
        <v>4.16</v>
      </c>
      <c r="I28" s="40">
        <v>5.26</v>
      </c>
      <c r="J28" s="40">
        <v>0.59</v>
      </c>
      <c r="K28" s="40">
        <v>258.02999999999997</v>
      </c>
      <c r="L28" s="40">
        <v>27.89</v>
      </c>
      <c r="M28" s="40">
        <v>86.84</v>
      </c>
      <c r="N28" s="40">
        <v>2.4</v>
      </c>
      <c r="O28" s="40">
        <v>0</v>
      </c>
      <c r="P28" s="40">
        <v>0.28999999999999998</v>
      </c>
      <c r="Q28" s="40">
        <v>10</v>
      </c>
      <c r="R28" s="38"/>
      <c r="S28" s="38"/>
      <c r="T28" s="38"/>
      <c r="U28" s="38"/>
    </row>
    <row r="29" spans="1:21" customFormat="1">
      <c r="A29" s="41" t="s">
        <v>272</v>
      </c>
      <c r="B29" s="40">
        <v>2.36</v>
      </c>
      <c r="C29" s="40">
        <v>15.94</v>
      </c>
      <c r="D29" s="40">
        <v>10.19</v>
      </c>
      <c r="E29" s="40">
        <v>5.27</v>
      </c>
      <c r="F29" s="40">
        <v>1.73</v>
      </c>
      <c r="G29" s="40">
        <v>17.54</v>
      </c>
      <c r="H29" s="40">
        <v>5.36</v>
      </c>
      <c r="I29" s="40">
        <v>5.67</v>
      </c>
      <c r="J29" s="40">
        <v>0.6</v>
      </c>
      <c r="K29" s="40">
        <v>262.79000000000002</v>
      </c>
      <c r="L29" s="40">
        <v>27.83</v>
      </c>
      <c r="M29" s="40">
        <v>87</v>
      </c>
      <c r="N29" s="40">
        <v>2.2000000000000002</v>
      </c>
      <c r="O29" s="40">
        <v>0</v>
      </c>
      <c r="P29" s="40">
        <v>0.31</v>
      </c>
      <c r="Q29" s="40">
        <v>10</v>
      </c>
      <c r="R29" s="38"/>
      <c r="S29" s="38"/>
      <c r="T29" s="38"/>
      <c r="U29" s="38"/>
    </row>
    <row r="30" spans="1:21" customFormat="1">
      <c r="A30" s="41" t="s">
        <v>273</v>
      </c>
      <c r="B30" s="40">
        <v>2.46</v>
      </c>
      <c r="C30" s="40">
        <v>15.49</v>
      </c>
      <c r="D30" s="40">
        <v>10.06</v>
      </c>
      <c r="E30" s="40">
        <v>5.48</v>
      </c>
      <c r="F30" s="40">
        <v>2.39</v>
      </c>
      <c r="G30" s="40">
        <v>17.989999999999998</v>
      </c>
      <c r="H30" s="40">
        <v>6.24</v>
      </c>
      <c r="I30" s="40">
        <v>6.7</v>
      </c>
      <c r="J30" s="40">
        <v>0.68</v>
      </c>
      <c r="K30" s="40">
        <v>259.8</v>
      </c>
      <c r="L30" s="40">
        <v>27.61</v>
      </c>
      <c r="M30" s="40">
        <v>84.52</v>
      </c>
      <c r="N30" s="40">
        <v>2.2999999999999998</v>
      </c>
      <c r="O30" s="40">
        <v>0</v>
      </c>
      <c r="P30" s="40">
        <v>0.34</v>
      </c>
      <c r="Q30" s="40">
        <v>10</v>
      </c>
      <c r="R30" s="38"/>
      <c r="S30" s="38"/>
      <c r="T30" s="38"/>
      <c r="U30" s="38"/>
    </row>
    <row r="31" spans="1:21" customFormat="1">
      <c r="A31" s="41" t="s">
        <v>274</v>
      </c>
      <c r="B31" s="40">
        <v>2.4300000000000002</v>
      </c>
      <c r="C31" s="40">
        <v>15.26</v>
      </c>
      <c r="D31" s="40">
        <v>9.92</v>
      </c>
      <c r="E31" s="40">
        <v>5.79</v>
      </c>
      <c r="F31" s="40">
        <v>2.02</v>
      </c>
      <c r="G31" s="40">
        <v>19.52</v>
      </c>
      <c r="H31" s="40">
        <v>6.01</v>
      </c>
      <c r="I31" s="40">
        <v>6.84</v>
      </c>
      <c r="J31" s="40">
        <v>0.78</v>
      </c>
      <c r="K31" s="40">
        <v>259.19</v>
      </c>
      <c r="L31" s="40">
        <v>27.31</v>
      </c>
      <c r="M31" s="40">
        <v>83.34</v>
      </c>
      <c r="N31" s="40">
        <v>2.2999999999999998</v>
      </c>
      <c r="O31" s="40">
        <v>0</v>
      </c>
      <c r="P31" s="40">
        <v>0.35</v>
      </c>
      <c r="Q31" s="40">
        <v>11.15</v>
      </c>
      <c r="R31" s="38"/>
      <c r="S31" s="38"/>
      <c r="T31" s="38"/>
      <c r="U31" s="38"/>
    </row>
    <row r="32" spans="1:21" customFormat="1">
      <c r="A32" s="41" t="s">
        <v>275</v>
      </c>
      <c r="B32" s="40">
        <v>2.36</v>
      </c>
      <c r="C32" s="40">
        <v>15.33</v>
      </c>
      <c r="D32" s="40">
        <v>9.9</v>
      </c>
      <c r="E32" s="40">
        <v>5.79</v>
      </c>
      <c r="F32" s="40">
        <v>2.79</v>
      </c>
      <c r="G32" s="40">
        <v>20.73</v>
      </c>
      <c r="H32" s="40">
        <v>7.43</v>
      </c>
      <c r="I32" s="40">
        <v>7.13</v>
      </c>
      <c r="J32" s="40">
        <v>0.7</v>
      </c>
      <c r="K32" s="40">
        <v>259.52999999999997</v>
      </c>
      <c r="L32" s="40">
        <v>26.91</v>
      </c>
      <c r="M32" s="40">
        <v>84.4</v>
      </c>
      <c r="N32" s="40">
        <v>2.4</v>
      </c>
      <c r="O32" s="40">
        <v>0</v>
      </c>
      <c r="P32" s="40">
        <v>0.34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0.35</v>
      </c>
      <c r="C34" s="18">
        <f t="shared" si="0"/>
        <v>1.8</v>
      </c>
      <c r="D34" s="18">
        <f t="shared" si="0"/>
        <v>0.47</v>
      </c>
      <c r="E34" s="18">
        <f t="shared" si="0"/>
        <v>3.22</v>
      </c>
      <c r="F34" s="18">
        <f t="shared" si="0"/>
        <v>1.73</v>
      </c>
      <c r="G34" s="18">
        <f t="shared" si="0"/>
        <v>7.94</v>
      </c>
      <c r="H34" s="18">
        <f t="shared" si="0"/>
        <v>0.28999999999999998</v>
      </c>
      <c r="I34" s="18">
        <f t="shared" si="0"/>
        <v>3.74</v>
      </c>
      <c r="J34" s="18">
        <f t="shared" si="0"/>
        <v>0.4</v>
      </c>
      <c r="K34" s="18">
        <f t="shared" si="0"/>
        <v>37.19</v>
      </c>
      <c r="L34" s="18">
        <f t="shared" si="0"/>
        <v>24.75</v>
      </c>
      <c r="M34" s="18">
        <f t="shared" si="0"/>
        <v>71.13</v>
      </c>
      <c r="N34" s="18">
        <f t="shared" si="0"/>
        <v>2.2000000000000002</v>
      </c>
      <c r="O34" s="18">
        <f t="shared" si="0"/>
        <v>0</v>
      </c>
      <c r="P34" s="18">
        <f t="shared" si="0"/>
        <v>0.12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3.44</v>
      </c>
      <c r="C35" s="3">
        <f t="shared" si="1"/>
        <v>16.57</v>
      </c>
      <c r="D35" s="3">
        <f t="shared" si="1"/>
        <v>10.27</v>
      </c>
      <c r="E35" s="3">
        <f t="shared" si="1"/>
        <v>10.6</v>
      </c>
      <c r="F35" s="3">
        <f t="shared" si="1"/>
        <v>33.18</v>
      </c>
      <c r="G35" s="3">
        <f t="shared" si="1"/>
        <v>39.42</v>
      </c>
      <c r="H35" s="3">
        <f t="shared" si="1"/>
        <v>8.99</v>
      </c>
      <c r="I35" s="3">
        <f t="shared" si="1"/>
        <v>10.27</v>
      </c>
      <c r="J35" s="3">
        <f t="shared" si="1"/>
        <v>1.43</v>
      </c>
      <c r="K35" s="3">
        <f t="shared" si="1"/>
        <v>355.36</v>
      </c>
      <c r="L35" s="3">
        <f t="shared" si="1"/>
        <v>30.77</v>
      </c>
      <c r="M35" s="3">
        <f t="shared" si="1"/>
        <v>98.72</v>
      </c>
      <c r="N35" s="3">
        <f t="shared" si="1"/>
        <v>491.4</v>
      </c>
      <c r="O35" s="3">
        <f t="shared" si="1"/>
        <v>0.6</v>
      </c>
      <c r="P35" s="3">
        <f t="shared" si="1"/>
        <v>0.35</v>
      </c>
      <c r="Q35" s="3">
        <f t="shared" si="1"/>
        <v>11.15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1.9691304347826086</v>
      </c>
      <c r="C36" s="18">
        <f t="shared" si="2"/>
        <v>8.1700000000000017</v>
      </c>
      <c r="D36" s="18">
        <f t="shared" si="2"/>
        <v>4.7913043478260873</v>
      </c>
      <c r="E36" s="18">
        <f t="shared" si="2"/>
        <v>5.3050000000000006</v>
      </c>
      <c r="F36" s="18">
        <f t="shared" si="2"/>
        <v>8.9483333333333324</v>
      </c>
      <c r="G36" s="18">
        <f t="shared" si="2"/>
        <v>18.518260869565218</v>
      </c>
      <c r="H36" s="18">
        <f t="shared" si="2"/>
        <v>5.4563636363636361</v>
      </c>
      <c r="I36" s="18">
        <f t="shared" si="2"/>
        <v>5.6166666666666671</v>
      </c>
      <c r="J36" s="18">
        <f t="shared" si="2"/>
        <v>0.7383333333333334</v>
      </c>
      <c r="K36" s="18">
        <f t="shared" si="2"/>
        <v>286.56416666666661</v>
      </c>
      <c r="L36" s="18">
        <f t="shared" si="2"/>
        <v>27.55875</v>
      </c>
      <c r="M36" s="18">
        <f t="shared" si="2"/>
        <v>86.556666666666672</v>
      </c>
      <c r="N36" s="18">
        <f t="shared" si="2"/>
        <v>98.08750000000002</v>
      </c>
      <c r="O36" s="18">
        <f t="shared" si="2"/>
        <v>9.1666666666666674E-2</v>
      </c>
      <c r="P36" s="18">
        <f t="shared" si="2"/>
        <v>0.24208333333333329</v>
      </c>
      <c r="Q36" s="18">
        <f t="shared" si="2"/>
        <v>10.047916666666667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0.66511730369009636</v>
      </c>
      <c r="C37" s="18">
        <f t="shared" ref="C37:Q37" si="3">STDEV(C9:C32)</f>
        <v>6.2442460786638652</v>
      </c>
      <c r="D37" s="18">
        <f t="shared" si="3"/>
        <v>4.0570940163752063</v>
      </c>
      <c r="E37" s="18">
        <f t="shared" si="3"/>
        <v>1.3782219168820049</v>
      </c>
      <c r="F37" s="18">
        <f t="shared" si="3"/>
        <v>10.385230594105924</v>
      </c>
      <c r="G37" s="18">
        <f t="shared" si="3"/>
        <v>8.9291706080148074</v>
      </c>
      <c r="H37" s="18">
        <f t="shared" si="3"/>
        <v>2.1726340069460686</v>
      </c>
      <c r="I37" s="18">
        <f t="shared" si="3"/>
        <v>1.5103603562716728</v>
      </c>
      <c r="J37" s="18">
        <f t="shared" si="3"/>
        <v>0.20450718424005812</v>
      </c>
      <c r="K37" s="18">
        <f t="shared" si="3"/>
        <v>63.262807874334591</v>
      </c>
      <c r="L37" s="18">
        <f t="shared" si="3"/>
        <v>2.2059727470822401</v>
      </c>
      <c r="M37" s="18">
        <f t="shared" si="3"/>
        <v>10.334214875908406</v>
      </c>
      <c r="N37" s="18">
        <f t="shared" si="3"/>
        <v>135.47089311152703</v>
      </c>
      <c r="O37" s="18">
        <f t="shared" si="3"/>
        <v>0.1665941871387048</v>
      </c>
      <c r="P37" s="18">
        <f t="shared" si="3"/>
        <v>5.8901477553377483E-2</v>
      </c>
      <c r="Q37" s="18">
        <f t="shared" si="3"/>
        <v>0.23474276701672131</v>
      </c>
      <c r="R37" s="18"/>
      <c r="S37" s="18"/>
      <c r="T37" s="18"/>
      <c r="U37" s="18"/>
    </row>
    <row r="38" spans="1:21">
      <c r="A38" s="34" t="s">
        <v>52</v>
      </c>
      <c r="B38" s="34">
        <f>COUNT(B9:B32)+1</f>
        <v>24</v>
      </c>
      <c r="C38" s="34">
        <f t="shared" ref="C38:G38" si="4">COUNT(C9:C32)+1</f>
        <v>24</v>
      </c>
      <c r="D38" s="34">
        <f t="shared" si="4"/>
        <v>24</v>
      </c>
      <c r="E38" s="34">
        <f>COUNT(E9:E32)+1</f>
        <v>25</v>
      </c>
      <c r="F38" s="34">
        <f t="shared" si="4"/>
        <v>25</v>
      </c>
      <c r="G38" s="34">
        <f t="shared" si="4"/>
        <v>24</v>
      </c>
      <c r="H38" s="34">
        <f>COUNT(H9:H32)+2</f>
        <v>24</v>
      </c>
      <c r="I38" s="34">
        <f t="shared" ref="I38:Q38" si="5">COUNT(I9:I32)</f>
        <v>24</v>
      </c>
      <c r="J38" s="34">
        <f t="shared" si="5"/>
        <v>24</v>
      </c>
      <c r="K38" s="34">
        <f t="shared" si="5"/>
        <v>24</v>
      </c>
      <c r="L38" s="34">
        <f t="shared" si="5"/>
        <v>24</v>
      </c>
      <c r="M38" s="34">
        <f t="shared" si="5"/>
        <v>24</v>
      </c>
      <c r="N38" s="34">
        <f t="shared" si="5"/>
        <v>24</v>
      </c>
      <c r="O38" s="34">
        <f t="shared" si="5"/>
        <v>24</v>
      </c>
      <c r="P38" s="34">
        <f t="shared" si="5"/>
        <v>24</v>
      </c>
      <c r="Q38" s="34">
        <f t="shared" si="5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276</v>
      </c>
      <c r="B9" s="40">
        <v>4.5999999999999996</v>
      </c>
      <c r="C9" s="40">
        <v>15.09</v>
      </c>
      <c r="D9" s="40">
        <v>11.53</v>
      </c>
      <c r="E9" s="40">
        <v>6.03</v>
      </c>
      <c r="F9" s="40">
        <v>2.11</v>
      </c>
      <c r="G9" s="40">
        <v>18.27</v>
      </c>
      <c r="H9" s="40">
        <v>5.58</v>
      </c>
      <c r="I9" s="40">
        <v>7.26</v>
      </c>
      <c r="J9" s="40">
        <v>0.61</v>
      </c>
      <c r="K9" s="40">
        <v>256.20999999999998</v>
      </c>
      <c r="L9" s="40">
        <v>26.54</v>
      </c>
      <c r="M9" s="40">
        <v>90.07</v>
      </c>
      <c r="N9" s="40">
        <v>2.4</v>
      </c>
      <c r="O9" s="40">
        <v>0</v>
      </c>
      <c r="P9" s="40">
        <v>0.33</v>
      </c>
      <c r="Q9" s="40">
        <v>10</v>
      </c>
      <c r="R9" s="38"/>
      <c r="S9" s="38"/>
      <c r="T9" s="38"/>
      <c r="U9" s="38"/>
    </row>
    <row r="10" spans="1:21" customFormat="1">
      <c r="A10" s="41" t="s">
        <v>277</v>
      </c>
      <c r="B10" s="40">
        <v>5.05</v>
      </c>
      <c r="C10" s="40">
        <v>15.18</v>
      </c>
      <c r="D10" s="40">
        <v>11.93</v>
      </c>
      <c r="E10" s="40">
        <v>5.76</v>
      </c>
      <c r="F10" s="40">
        <v>2.97</v>
      </c>
      <c r="G10" s="40">
        <v>16.2</v>
      </c>
      <c r="H10" s="40">
        <v>4.13</v>
      </c>
      <c r="I10" s="40">
        <v>7.26</v>
      </c>
      <c r="J10" s="40">
        <v>0.75</v>
      </c>
      <c r="K10" s="40">
        <v>253.44</v>
      </c>
      <c r="L10" s="40">
        <v>25.83</v>
      </c>
      <c r="M10" s="40">
        <v>90.55</v>
      </c>
      <c r="N10" s="40">
        <v>2.4</v>
      </c>
      <c r="O10" s="40">
        <v>0</v>
      </c>
      <c r="P10" s="40">
        <v>0.28000000000000003</v>
      </c>
      <c r="Q10" s="40">
        <v>10</v>
      </c>
      <c r="R10" s="38"/>
      <c r="S10" s="38"/>
      <c r="T10" s="38"/>
      <c r="U10" s="38"/>
    </row>
    <row r="11" spans="1:21" customFormat="1">
      <c r="A11" s="41" t="s">
        <v>278</v>
      </c>
      <c r="B11" s="40">
        <v>5.46</v>
      </c>
      <c r="C11" s="40">
        <v>14.77</v>
      </c>
      <c r="D11" s="40">
        <v>12.1</v>
      </c>
      <c r="E11" s="40">
        <v>5.04</v>
      </c>
      <c r="F11" s="40">
        <v>3.16</v>
      </c>
      <c r="G11" s="40">
        <v>11.93</v>
      </c>
      <c r="H11" s="40">
        <v>3.12</v>
      </c>
      <c r="I11" s="40">
        <v>6.91</v>
      </c>
      <c r="J11" s="40">
        <v>0.61</v>
      </c>
      <c r="K11" s="40">
        <v>256.83999999999997</v>
      </c>
      <c r="L11" s="40">
        <v>25.68</v>
      </c>
      <c r="M11" s="40">
        <v>90.57</v>
      </c>
      <c r="N11" s="40">
        <v>2.2999999999999998</v>
      </c>
      <c r="O11" s="40">
        <v>0</v>
      </c>
      <c r="P11" s="40">
        <v>0.28000000000000003</v>
      </c>
      <c r="Q11" s="40">
        <v>10</v>
      </c>
      <c r="R11" s="38"/>
      <c r="S11" s="38"/>
      <c r="T11" s="38"/>
      <c r="U11" s="38"/>
    </row>
    <row r="12" spans="1:21" customFormat="1">
      <c r="A12" s="41" t="s">
        <v>279</v>
      </c>
      <c r="B12" s="40">
        <v>5.71</v>
      </c>
      <c r="C12" s="40">
        <v>14.79</v>
      </c>
      <c r="D12" s="40">
        <v>12.29</v>
      </c>
      <c r="E12" s="40">
        <v>4.8099999999999996</v>
      </c>
      <c r="F12" s="40">
        <v>2.98</v>
      </c>
      <c r="G12" s="40">
        <v>11.15</v>
      </c>
      <c r="H12" s="40">
        <v>2.2200000000000002</v>
      </c>
      <c r="I12" s="40">
        <v>6.74</v>
      </c>
      <c r="J12" s="40">
        <v>0.67</v>
      </c>
      <c r="K12" s="40">
        <v>256.52</v>
      </c>
      <c r="L12" s="40">
        <v>25.64</v>
      </c>
      <c r="M12" s="40">
        <v>90.54</v>
      </c>
      <c r="N12" s="40">
        <v>2.2999999999999998</v>
      </c>
      <c r="O12" s="40">
        <v>0</v>
      </c>
      <c r="P12" s="40">
        <v>0.28999999999999998</v>
      </c>
      <c r="Q12" s="40">
        <v>10</v>
      </c>
      <c r="R12" s="38"/>
      <c r="S12" s="38"/>
      <c r="T12" s="38"/>
      <c r="U12" s="38"/>
    </row>
    <row r="13" spans="1:21" customFormat="1">
      <c r="A13" s="41" t="s">
        <v>280</v>
      </c>
      <c r="B13" s="40">
        <v>6.18</v>
      </c>
      <c r="C13" s="40">
        <v>15.04</v>
      </c>
      <c r="D13" s="40">
        <v>12.8</v>
      </c>
      <c r="E13" s="40">
        <v>4.71</v>
      </c>
      <c r="F13" s="40">
        <v>2.91</v>
      </c>
      <c r="G13" s="40">
        <v>10.89</v>
      </c>
      <c r="H13" s="40">
        <v>1.95</v>
      </c>
      <c r="I13" s="40">
        <v>6.56</v>
      </c>
      <c r="J13" s="40">
        <v>0.68</v>
      </c>
      <c r="K13" s="40">
        <v>261.98</v>
      </c>
      <c r="L13" s="40">
        <v>25.65</v>
      </c>
      <c r="M13" s="40">
        <v>90.34</v>
      </c>
      <c r="N13" s="40">
        <v>2.2000000000000002</v>
      </c>
      <c r="O13" s="40">
        <v>0</v>
      </c>
      <c r="P13" s="40">
        <v>0.31</v>
      </c>
      <c r="Q13" s="40">
        <v>10</v>
      </c>
      <c r="R13" s="38"/>
      <c r="S13" s="38"/>
      <c r="T13" s="38"/>
      <c r="U13" s="38"/>
    </row>
    <row r="14" spans="1:21" customFormat="1">
      <c r="A14" s="41" t="s">
        <v>281</v>
      </c>
      <c r="B14" s="40">
        <v>6.6</v>
      </c>
      <c r="C14" s="40">
        <v>16</v>
      </c>
      <c r="D14" s="40">
        <v>13.65</v>
      </c>
      <c r="E14" s="40">
        <v>4.99</v>
      </c>
      <c r="F14" s="40">
        <v>2.34</v>
      </c>
      <c r="G14" s="40">
        <v>16.21</v>
      </c>
      <c r="H14" s="40">
        <v>2.33</v>
      </c>
      <c r="I14" s="40">
        <v>7.09</v>
      </c>
      <c r="J14" s="40">
        <v>0.64</v>
      </c>
      <c r="K14" s="40">
        <v>258.94</v>
      </c>
      <c r="L14" s="40">
        <v>25.73</v>
      </c>
      <c r="M14" s="40">
        <v>90.89</v>
      </c>
      <c r="N14" s="40">
        <v>4.2</v>
      </c>
      <c r="O14" s="40">
        <v>0</v>
      </c>
      <c r="P14" s="40">
        <v>0.42</v>
      </c>
      <c r="Q14" s="40">
        <v>10</v>
      </c>
      <c r="R14" s="38"/>
      <c r="S14" s="38"/>
      <c r="T14" s="38"/>
      <c r="U14" s="38"/>
    </row>
    <row r="15" spans="1:21" customFormat="1">
      <c r="A15" s="41" t="s">
        <v>282</v>
      </c>
      <c r="B15" s="40">
        <v>6.62</v>
      </c>
      <c r="C15" s="40">
        <v>16.010000000000002</v>
      </c>
      <c r="D15" s="40">
        <v>13.68</v>
      </c>
      <c r="E15" s="40">
        <v>5.03</v>
      </c>
      <c r="F15" s="40">
        <v>1.88</v>
      </c>
      <c r="G15" s="40">
        <v>22.08</v>
      </c>
      <c r="H15" s="40">
        <v>3.87</v>
      </c>
      <c r="I15" s="40">
        <v>7.65</v>
      </c>
      <c r="J15" s="40">
        <v>0.51</v>
      </c>
      <c r="K15" s="40">
        <v>256.39999999999998</v>
      </c>
      <c r="L15" s="40">
        <v>25.93</v>
      </c>
      <c r="M15" s="40">
        <v>90.42</v>
      </c>
      <c r="N15" s="40">
        <v>13.7</v>
      </c>
      <c r="O15" s="40">
        <v>0</v>
      </c>
      <c r="P15" s="40">
        <v>0.43</v>
      </c>
      <c r="Q15" s="40">
        <v>10</v>
      </c>
      <c r="R15" s="38"/>
      <c r="S15" s="38"/>
      <c r="T15" s="38"/>
      <c r="U15" s="38"/>
    </row>
    <row r="16" spans="1:21" customFormat="1">
      <c r="A16" s="41" t="s">
        <v>283</v>
      </c>
      <c r="B16" s="40">
        <v>7</v>
      </c>
      <c r="C16" s="40">
        <v>15.8</v>
      </c>
      <c r="D16" s="40">
        <v>13.75</v>
      </c>
      <c r="E16" s="40">
        <v>5.34</v>
      </c>
      <c r="F16" s="40">
        <v>2.04</v>
      </c>
      <c r="G16" s="40">
        <v>22.9</v>
      </c>
      <c r="H16" s="40">
        <v>6.32</v>
      </c>
      <c r="I16" s="40">
        <v>8.2100000000000009</v>
      </c>
      <c r="J16" s="40">
        <v>0.74</v>
      </c>
      <c r="K16" s="40">
        <v>271.13</v>
      </c>
      <c r="L16" s="40">
        <v>26.46</v>
      </c>
      <c r="M16" s="40">
        <v>89.31</v>
      </c>
      <c r="N16" s="40">
        <v>56.9</v>
      </c>
      <c r="O16" s="40">
        <v>0</v>
      </c>
      <c r="P16" s="40">
        <v>0.44</v>
      </c>
      <c r="Q16" s="40">
        <v>10</v>
      </c>
      <c r="R16" s="38"/>
      <c r="S16" s="38"/>
      <c r="T16" s="38"/>
      <c r="U16" s="38"/>
    </row>
    <row r="17" spans="1:21" customFormat="1">
      <c r="A17" s="41" t="s">
        <v>284</v>
      </c>
      <c r="B17" s="40">
        <v>7.4</v>
      </c>
      <c r="C17" s="40">
        <v>15.51</v>
      </c>
      <c r="D17" s="40">
        <v>13.96</v>
      </c>
      <c r="E17" s="40">
        <v>5.25</v>
      </c>
      <c r="F17" s="40">
        <v>2.59</v>
      </c>
      <c r="G17" s="40">
        <v>24.53</v>
      </c>
      <c r="H17" s="40">
        <v>7.43</v>
      </c>
      <c r="I17" s="40">
        <v>8.43</v>
      </c>
      <c r="J17" s="40">
        <v>1.01</v>
      </c>
      <c r="K17" s="40">
        <v>265.60000000000002</v>
      </c>
      <c r="L17" s="40">
        <v>27.13</v>
      </c>
      <c r="M17" s="40">
        <v>86.57</v>
      </c>
      <c r="N17" s="40">
        <v>125.6</v>
      </c>
      <c r="O17" s="40">
        <v>0</v>
      </c>
      <c r="P17" s="40">
        <v>0.43</v>
      </c>
      <c r="Q17" s="40">
        <v>10</v>
      </c>
      <c r="R17" s="38"/>
      <c r="S17" s="38"/>
      <c r="T17" s="38"/>
      <c r="U17" s="38"/>
    </row>
    <row r="18" spans="1:21" customFormat="1">
      <c r="A18" s="41" t="s">
        <v>285</v>
      </c>
      <c r="B18" s="40">
        <v>7.5</v>
      </c>
      <c r="C18" s="40">
        <v>15.32</v>
      </c>
      <c r="D18" s="40">
        <v>13.98</v>
      </c>
      <c r="E18" s="40">
        <v>5.41</v>
      </c>
      <c r="F18" s="40">
        <v>1.88</v>
      </c>
      <c r="G18" s="40">
        <v>25.36</v>
      </c>
      <c r="H18" s="40">
        <v>9.1</v>
      </c>
      <c r="I18" s="40">
        <v>8.82</v>
      </c>
      <c r="J18" s="40">
        <v>0.77</v>
      </c>
      <c r="K18" s="40">
        <v>264.32</v>
      </c>
      <c r="L18" s="40">
        <v>27.17</v>
      </c>
      <c r="M18" s="40">
        <v>90.97</v>
      </c>
      <c r="N18" s="40">
        <v>89.6</v>
      </c>
      <c r="O18" s="40">
        <v>0</v>
      </c>
      <c r="P18" s="40">
        <v>0.46</v>
      </c>
      <c r="Q18" s="40">
        <v>10</v>
      </c>
      <c r="R18" s="38"/>
      <c r="S18" s="38"/>
      <c r="T18" s="38"/>
      <c r="U18" s="38"/>
    </row>
    <row r="19" spans="1:21" customFormat="1">
      <c r="A19" s="41" t="s">
        <v>286</v>
      </c>
      <c r="B19" s="40">
        <v>7.36</v>
      </c>
      <c r="C19" s="40">
        <v>15.11</v>
      </c>
      <c r="D19" s="40">
        <v>13.78</v>
      </c>
      <c r="E19" s="40">
        <v>5.46</v>
      </c>
      <c r="F19" s="40">
        <v>1.97</v>
      </c>
      <c r="G19" s="40">
        <v>24.51</v>
      </c>
      <c r="H19" s="40">
        <v>6.37</v>
      </c>
      <c r="I19" s="40">
        <v>8.98</v>
      </c>
      <c r="J19" s="40">
        <v>0.75</v>
      </c>
      <c r="K19" s="40">
        <v>267.45</v>
      </c>
      <c r="L19" s="40">
        <v>26.13</v>
      </c>
      <c r="M19" s="40">
        <v>93.96</v>
      </c>
      <c r="N19" s="40">
        <v>42.5</v>
      </c>
      <c r="O19" s="40">
        <v>0.2</v>
      </c>
      <c r="P19" s="40">
        <v>0.45</v>
      </c>
      <c r="Q19" s="40">
        <v>10</v>
      </c>
      <c r="R19" s="38"/>
      <c r="S19" s="38"/>
      <c r="T19" s="38"/>
      <c r="U19" s="38"/>
    </row>
    <row r="20" spans="1:21" customFormat="1">
      <c r="A20" s="41" t="s">
        <v>287</v>
      </c>
      <c r="B20" s="40">
        <v>8.11</v>
      </c>
      <c r="C20" s="40">
        <v>15.29</v>
      </c>
      <c r="D20" s="40">
        <v>14.42</v>
      </c>
      <c r="E20" s="40">
        <v>4.6500000000000004</v>
      </c>
      <c r="F20" s="40">
        <v>2.21</v>
      </c>
      <c r="G20" s="40">
        <v>25.98</v>
      </c>
      <c r="H20" s="40">
        <v>6.17</v>
      </c>
      <c r="I20" s="40">
        <v>8.56</v>
      </c>
      <c r="J20" s="40">
        <v>0.71</v>
      </c>
      <c r="K20" s="40">
        <v>258</v>
      </c>
      <c r="L20" s="40">
        <v>25.86</v>
      </c>
      <c r="M20" s="40">
        <v>94.24</v>
      </c>
      <c r="N20" s="40">
        <v>124.9</v>
      </c>
      <c r="O20" s="40">
        <v>0.2</v>
      </c>
      <c r="P20" s="40">
        <v>0.4</v>
      </c>
      <c r="Q20" s="40">
        <v>10</v>
      </c>
      <c r="R20" s="38"/>
      <c r="S20" s="38"/>
      <c r="T20" s="38"/>
      <c r="U20" s="38"/>
    </row>
    <row r="21" spans="1:21" customFormat="1">
      <c r="A21" s="41" t="s">
        <v>288</v>
      </c>
      <c r="B21" s="40">
        <v>8.7799999999999994</v>
      </c>
      <c r="C21" s="40">
        <v>15.02</v>
      </c>
      <c r="D21" s="40">
        <v>14.82</v>
      </c>
      <c r="E21" s="40">
        <v>4.8099999999999996</v>
      </c>
      <c r="F21" s="40">
        <v>2.59</v>
      </c>
      <c r="G21" s="40">
        <v>23.93</v>
      </c>
      <c r="H21" s="40">
        <v>7.91</v>
      </c>
      <c r="I21" s="40">
        <v>8.48</v>
      </c>
      <c r="J21" s="40">
        <v>0.88</v>
      </c>
      <c r="K21" s="40">
        <v>263.36</v>
      </c>
      <c r="L21" s="40">
        <v>25.61</v>
      </c>
      <c r="M21" s="40">
        <v>98.66</v>
      </c>
      <c r="N21" s="40">
        <v>133.9</v>
      </c>
      <c r="O21" s="40">
        <v>1.2</v>
      </c>
      <c r="P21" s="40">
        <v>0.41</v>
      </c>
      <c r="Q21" s="40">
        <v>10</v>
      </c>
      <c r="R21" s="38"/>
      <c r="S21" s="38"/>
      <c r="T21" s="38"/>
      <c r="U21" s="38"/>
    </row>
    <row r="22" spans="1:21" customFormat="1">
      <c r="A22" s="41" t="s">
        <v>289</v>
      </c>
      <c r="B22" s="40">
        <v>9.08</v>
      </c>
      <c r="C22" s="40">
        <v>15.18</v>
      </c>
      <c r="D22" s="40">
        <v>15.16</v>
      </c>
      <c r="E22" s="40">
        <v>4.75</v>
      </c>
      <c r="F22" s="40">
        <v>2.68</v>
      </c>
      <c r="G22" s="40">
        <v>24.61</v>
      </c>
      <c r="H22" s="40">
        <v>9.58</v>
      </c>
      <c r="I22" s="40">
        <v>8.8000000000000007</v>
      </c>
      <c r="J22" s="40">
        <v>0.87</v>
      </c>
      <c r="K22" s="40">
        <v>258.08999999999997</v>
      </c>
      <c r="L22" s="40">
        <v>25.62</v>
      </c>
      <c r="M22" s="40">
        <v>98.66</v>
      </c>
      <c r="N22" s="40">
        <v>77.2</v>
      </c>
      <c r="O22" s="40">
        <v>1.2</v>
      </c>
      <c r="P22" s="40">
        <v>0.42</v>
      </c>
      <c r="Q22" s="40">
        <v>10</v>
      </c>
      <c r="R22" s="38"/>
      <c r="S22" s="38"/>
      <c r="T22" s="38"/>
      <c r="U22" s="38"/>
    </row>
    <row r="23" spans="1:21" customFormat="1">
      <c r="A23" s="41" t="s">
        <v>290</v>
      </c>
      <c r="B23" s="40">
        <v>9.39</v>
      </c>
      <c r="C23" s="40">
        <v>15.41</v>
      </c>
      <c r="D23" s="40">
        <v>15.58</v>
      </c>
      <c r="E23" s="40">
        <v>4.57</v>
      </c>
      <c r="F23" s="40">
        <v>2.5</v>
      </c>
      <c r="G23" s="40">
        <v>23.45</v>
      </c>
      <c r="H23" s="40">
        <v>8.6300000000000008</v>
      </c>
      <c r="I23" s="40">
        <v>8.9700000000000006</v>
      </c>
      <c r="J23" s="40">
        <v>0.73</v>
      </c>
      <c r="K23" s="40">
        <v>257.94</v>
      </c>
      <c r="L23" s="40">
        <v>25.31</v>
      </c>
      <c r="M23" s="40">
        <v>98.7</v>
      </c>
      <c r="N23" s="40">
        <v>25.9</v>
      </c>
      <c r="O23" s="40">
        <v>1.6</v>
      </c>
      <c r="P23" s="40">
        <v>0.4</v>
      </c>
      <c r="Q23" s="40">
        <v>10</v>
      </c>
      <c r="R23" s="38"/>
      <c r="S23" s="38"/>
      <c r="T23" s="38"/>
      <c r="U23" s="38"/>
    </row>
    <row r="24" spans="1:21" customFormat="1">
      <c r="A24" s="41" t="s">
        <v>291</v>
      </c>
      <c r="B24" s="40">
        <v>9.57</v>
      </c>
      <c r="C24" s="40">
        <v>16.77</v>
      </c>
      <c r="D24" s="40">
        <v>16.440000000000001</v>
      </c>
      <c r="E24" s="40">
        <v>4.54</v>
      </c>
      <c r="F24" s="40">
        <v>2.15</v>
      </c>
      <c r="G24" s="40">
        <v>20.85</v>
      </c>
      <c r="H24" s="40">
        <v>11.08</v>
      </c>
      <c r="I24" s="40">
        <v>9.2799999999999994</v>
      </c>
      <c r="J24" s="40">
        <v>0.62</v>
      </c>
      <c r="K24" s="40">
        <v>259.83</v>
      </c>
      <c r="L24" s="40">
        <v>25.47</v>
      </c>
      <c r="M24" s="40">
        <v>98.7</v>
      </c>
      <c r="N24" s="40">
        <v>38.6</v>
      </c>
      <c r="O24" s="40">
        <v>0.8</v>
      </c>
      <c r="P24" s="40">
        <v>0.47</v>
      </c>
      <c r="Q24" s="40">
        <v>10</v>
      </c>
      <c r="R24" s="38"/>
      <c r="S24" s="38"/>
      <c r="T24" s="38"/>
      <c r="U24" s="38"/>
    </row>
    <row r="25" spans="1:21" customFormat="1">
      <c r="A25" s="41" t="s">
        <v>292</v>
      </c>
      <c r="B25" s="40">
        <v>9.5299999999999994</v>
      </c>
      <c r="C25" s="40">
        <v>16.84</v>
      </c>
      <c r="D25" s="40">
        <v>16.41</v>
      </c>
      <c r="E25" s="40">
        <v>4.79</v>
      </c>
      <c r="F25" s="40">
        <v>2.21</v>
      </c>
      <c r="G25" s="40">
        <v>20.8</v>
      </c>
      <c r="H25" s="40">
        <v>11.89</v>
      </c>
      <c r="I25" s="40">
        <v>10.63</v>
      </c>
      <c r="J25" s="40">
        <v>0.76</v>
      </c>
      <c r="K25" s="40">
        <v>262.06</v>
      </c>
      <c r="L25" s="40">
        <v>25.49</v>
      </c>
      <c r="M25" s="40">
        <v>98.68</v>
      </c>
      <c r="N25" s="40">
        <v>34</v>
      </c>
      <c r="O25" s="40">
        <v>0.2</v>
      </c>
      <c r="P25" s="40">
        <v>0.49</v>
      </c>
      <c r="Q25" s="40">
        <v>10</v>
      </c>
      <c r="R25" s="38"/>
      <c r="S25" s="38"/>
      <c r="T25" s="38"/>
      <c r="U25" s="38"/>
    </row>
    <row r="26" spans="1:21" customFormat="1">
      <c r="A26" s="41" t="s">
        <v>293</v>
      </c>
      <c r="B26" s="40">
        <v>8.25</v>
      </c>
      <c r="C26" s="40">
        <v>16.87</v>
      </c>
      <c r="D26" s="40">
        <v>15.43</v>
      </c>
      <c r="E26" s="40">
        <v>5.08</v>
      </c>
      <c r="F26" s="40">
        <v>2.0699999999999998</v>
      </c>
      <c r="G26" s="40">
        <v>19.8</v>
      </c>
      <c r="H26" s="40">
        <v>10.09</v>
      </c>
      <c r="I26" s="40">
        <v>10.44</v>
      </c>
      <c r="J26" s="40">
        <v>0.86</v>
      </c>
      <c r="K26" s="40">
        <v>258.2</v>
      </c>
      <c r="L26" s="40">
        <v>25.68</v>
      </c>
      <c r="M26" s="40">
        <v>98.18</v>
      </c>
      <c r="N26" s="40">
        <v>37.299999999999997</v>
      </c>
      <c r="O26" s="40">
        <v>0</v>
      </c>
      <c r="P26" s="40">
        <v>0.48</v>
      </c>
      <c r="Q26" s="40">
        <v>10</v>
      </c>
      <c r="R26" s="38"/>
      <c r="S26" s="38"/>
      <c r="T26" s="38"/>
      <c r="U26" s="38"/>
    </row>
    <row r="27" spans="1:21" customFormat="1">
      <c r="A27" s="41" t="s">
        <v>294</v>
      </c>
      <c r="B27" s="40">
        <v>7.24</v>
      </c>
      <c r="C27" s="40">
        <v>16.25</v>
      </c>
      <c r="D27" s="40">
        <v>14.29</v>
      </c>
      <c r="E27" s="40">
        <v>4.25</v>
      </c>
      <c r="F27" s="40">
        <v>1.79</v>
      </c>
      <c r="G27" s="40">
        <v>18.61</v>
      </c>
      <c r="H27" s="40">
        <v>10.06</v>
      </c>
      <c r="I27" s="40">
        <v>10.210000000000001</v>
      </c>
      <c r="J27" s="40">
        <v>0.79</v>
      </c>
      <c r="K27" s="40">
        <v>258.8</v>
      </c>
      <c r="L27" s="40">
        <v>25.7</v>
      </c>
      <c r="M27" s="40">
        <v>97.1</v>
      </c>
      <c r="N27" s="40">
        <v>13.7</v>
      </c>
      <c r="O27" s="40">
        <v>0</v>
      </c>
      <c r="P27" s="40">
        <v>0.44</v>
      </c>
      <c r="Q27" s="40">
        <v>10</v>
      </c>
      <c r="R27" s="38"/>
      <c r="S27" s="38"/>
      <c r="T27" s="38"/>
      <c r="U27" s="38"/>
    </row>
    <row r="28" spans="1:21" customFormat="1">
      <c r="A28" s="41" t="s">
        <v>295</v>
      </c>
      <c r="B28" s="40">
        <v>6.23</v>
      </c>
      <c r="C28" s="40">
        <v>15.62</v>
      </c>
      <c r="D28" s="40">
        <v>13.16</v>
      </c>
      <c r="E28" s="40">
        <v>4.3</v>
      </c>
      <c r="F28" s="40">
        <v>2.42</v>
      </c>
      <c r="G28" s="40">
        <v>15.07</v>
      </c>
      <c r="H28" s="40">
        <v>8.9600000000000009</v>
      </c>
      <c r="I28" s="40">
        <v>9</v>
      </c>
      <c r="J28" s="40">
        <v>0.71</v>
      </c>
      <c r="K28" s="40">
        <v>254.85</v>
      </c>
      <c r="L28" s="40">
        <v>25.62</v>
      </c>
      <c r="M28" s="40">
        <v>96.75</v>
      </c>
      <c r="N28" s="40">
        <v>3.1</v>
      </c>
      <c r="O28" s="40">
        <v>0</v>
      </c>
      <c r="P28" s="40">
        <v>0.37</v>
      </c>
      <c r="Q28" s="40">
        <v>10</v>
      </c>
      <c r="R28" s="38"/>
      <c r="S28" s="38"/>
      <c r="T28" s="38"/>
      <c r="U28" s="38"/>
    </row>
    <row r="29" spans="1:21" customFormat="1">
      <c r="A29" s="41" t="s">
        <v>296</v>
      </c>
      <c r="B29" s="40">
        <v>5.73</v>
      </c>
      <c r="C29" s="40">
        <v>15.4</v>
      </c>
      <c r="D29" s="40">
        <v>12.59</v>
      </c>
      <c r="E29" s="40">
        <v>4.63</v>
      </c>
      <c r="F29" s="40">
        <v>3.52</v>
      </c>
      <c r="G29" s="40">
        <v>14.93</v>
      </c>
      <c r="H29" s="40">
        <v>9.08</v>
      </c>
      <c r="I29" s="40">
        <v>8.15</v>
      </c>
      <c r="J29" s="40">
        <v>0.88</v>
      </c>
      <c r="K29" s="40">
        <v>258.08</v>
      </c>
      <c r="L29" s="40">
        <v>25.56</v>
      </c>
      <c r="M29" s="40">
        <v>95.56</v>
      </c>
      <c r="N29" s="40">
        <v>3.2</v>
      </c>
      <c r="O29" s="40">
        <v>0</v>
      </c>
      <c r="P29" s="40">
        <v>0.36</v>
      </c>
      <c r="Q29" s="40">
        <v>10</v>
      </c>
      <c r="R29" s="38"/>
      <c r="S29" s="38"/>
      <c r="T29" s="38"/>
      <c r="U29" s="38"/>
    </row>
    <row r="30" spans="1:21" customFormat="1">
      <c r="A30" s="41" t="s">
        <v>297</v>
      </c>
      <c r="B30" s="40">
        <v>6.15</v>
      </c>
      <c r="C30" s="40">
        <v>15.06</v>
      </c>
      <c r="D30" s="40">
        <v>12.8</v>
      </c>
      <c r="E30" s="40">
        <v>3.78</v>
      </c>
      <c r="F30" s="40">
        <v>3.34</v>
      </c>
      <c r="G30" s="40">
        <v>11.59</v>
      </c>
      <c r="H30" s="40">
        <v>9.8000000000000007</v>
      </c>
      <c r="I30" s="40">
        <v>8.18</v>
      </c>
      <c r="J30" s="40">
        <v>0.68</v>
      </c>
      <c r="K30" s="40">
        <v>255.94</v>
      </c>
      <c r="L30" s="40">
        <v>25.49</v>
      </c>
      <c r="M30" s="40">
        <v>96.56</v>
      </c>
      <c r="N30" s="40">
        <v>2.7</v>
      </c>
      <c r="O30" s="40">
        <v>0.4</v>
      </c>
      <c r="P30" s="40">
        <v>0.31</v>
      </c>
      <c r="Q30" s="40">
        <v>10</v>
      </c>
      <c r="R30" s="38"/>
      <c r="S30" s="38"/>
      <c r="T30" s="38"/>
      <c r="U30" s="38"/>
    </row>
    <row r="31" spans="1:21" customFormat="1">
      <c r="A31" s="41" t="s">
        <v>298</v>
      </c>
      <c r="B31" s="40">
        <v>6.5</v>
      </c>
      <c r="C31" s="40">
        <v>14.83</v>
      </c>
      <c r="D31" s="40">
        <v>12.8</v>
      </c>
      <c r="E31" s="40">
        <v>3.64</v>
      </c>
      <c r="F31" s="40">
        <v>2.83</v>
      </c>
      <c r="G31" s="40">
        <v>12.56</v>
      </c>
      <c r="H31" s="40">
        <v>7.26</v>
      </c>
      <c r="I31" s="40">
        <v>7.79</v>
      </c>
      <c r="J31" s="40">
        <v>0.71</v>
      </c>
      <c r="K31" s="40">
        <v>254.06</v>
      </c>
      <c r="L31" s="40">
        <v>25.16</v>
      </c>
      <c r="M31" s="40">
        <v>98.67</v>
      </c>
      <c r="N31" s="40">
        <v>2.5</v>
      </c>
      <c r="O31" s="40">
        <v>1</v>
      </c>
      <c r="P31" s="40">
        <v>0.28999999999999998</v>
      </c>
      <c r="Q31" s="40">
        <v>10</v>
      </c>
      <c r="R31" s="38"/>
      <c r="S31" s="38"/>
      <c r="T31" s="38"/>
      <c r="U31" s="38"/>
    </row>
    <row r="32" spans="1:21" customFormat="1">
      <c r="A32" s="41" t="s">
        <v>299</v>
      </c>
      <c r="B32" s="40">
        <v>6.88</v>
      </c>
      <c r="C32" s="40">
        <v>14.63</v>
      </c>
      <c r="D32" s="40">
        <v>13.16</v>
      </c>
      <c r="E32" s="40">
        <v>3.68</v>
      </c>
      <c r="F32" s="40">
        <v>2.59</v>
      </c>
      <c r="G32" s="40">
        <v>11.53</v>
      </c>
      <c r="H32" s="40">
        <v>5.57</v>
      </c>
      <c r="I32" s="40">
        <v>7.2</v>
      </c>
      <c r="J32" s="40">
        <v>0.68</v>
      </c>
      <c r="K32" s="40">
        <v>254.84</v>
      </c>
      <c r="L32" s="40">
        <v>25</v>
      </c>
      <c r="M32" s="40">
        <v>98.68</v>
      </c>
      <c r="N32" s="40">
        <v>2.5</v>
      </c>
      <c r="O32" s="40">
        <v>0.8</v>
      </c>
      <c r="P32" s="40">
        <v>0.26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4.5999999999999996</v>
      </c>
      <c r="C34" s="18">
        <f t="shared" si="0"/>
        <v>14.63</v>
      </c>
      <c r="D34" s="18">
        <f t="shared" si="0"/>
        <v>11.53</v>
      </c>
      <c r="E34" s="18">
        <f t="shared" si="0"/>
        <v>3.64</v>
      </c>
      <c r="F34" s="18">
        <f t="shared" si="0"/>
        <v>1.79</v>
      </c>
      <c r="G34" s="18">
        <f t="shared" si="0"/>
        <v>10.89</v>
      </c>
      <c r="H34" s="18">
        <f t="shared" si="0"/>
        <v>1.95</v>
      </c>
      <c r="I34" s="18">
        <f t="shared" si="0"/>
        <v>6.56</v>
      </c>
      <c r="J34" s="18">
        <f t="shared" si="0"/>
        <v>0.51</v>
      </c>
      <c r="K34" s="18">
        <f t="shared" si="0"/>
        <v>253.44</v>
      </c>
      <c r="L34" s="18">
        <f t="shared" si="0"/>
        <v>25</v>
      </c>
      <c r="M34" s="18">
        <f t="shared" si="0"/>
        <v>86.57</v>
      </c>
      <c r="N34" s="18">
        <f t="shared" si="0"/>
        <v>2.2000000000000002</v>
      </c>
      <c r="O34" s="18">
        <f t="shared" si="0"/>
        <v>0</v>
      </c>
      <c r="P34" s="18">
        <f t="shared" si="0"/>
        <v>0.26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9.57</v>
      </c>
      <c r="C35" s="3">
        <f t="shared" si="1"/>
        <v>16.87</v>
      </c>
      <c r="D35" s="3">
        <f t="shared" si="1"/>
        <v>16.440000000000001</v>
      </c>
      <c r="E35" s="3">
        <f t="shared" si="1"/>
        <v>6.03</v>
      </c>
      <c r="F35" s="3">
        <f t="shared" si="1"/>
        <v>3.52</v>
      </c>
      <c r="G35" s="3">
        <f t="shared" si="1"/>
        <v>25.98</v>
      </c>
      <c r="H35" s="3">
        <f t="shared" si="1"/>
        <v>11.89</v>
      </c>
      <c r="I35" s="3">
        <f t="shared" si="1"/>
        <v>10.63</v>
      </c>
      <c r="J35" s="3">
        <f t="shared" si="1"/>
        <v>1.01</v>
      </c>
      <c r="K35" s="3">
        <f t="shared" si="1"/>
        <v>271.13</v>
      </c>
      <c r="L35" s="3">
        <f t="shared" si="1"/>
        <v>27.17</v>
      </c>
      <c r="M35" s="3">
        <f t="shared" si="1"/>
        <v>98.7</v>
      </c>
      <c r="N35" s="3">
        <f t="shared" si="1"/>
        <v>133.9</v>
      </c>
      <c r="O35" s="3">
        <f t="shared" si="1"/>
        <v>1.6</v>
      </c>
      <c r="P35" s="3">
        <f t="shared" si="1"/>
        <v>0.49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7.1216666666666661</v>
      </c>
      <c r="C36" s="18">
        <f t="shared" si="2"/>
        <v>15.491249999999999</v>
      </c>
      <c r="D36" s="18">
        <f t="shared" si="2"/>
        <v>13.771250000000002</v>
      </c>
      <c r="E36" s="18">
        <f t="shared" si="2"/>
        <v>4.8041666666666663</v>
      </c>
      <c r="F36" s="18">
        <f t="shared" si="2"/>
        <v>2.48875</v>
      </c>
      <c r="G36" s="18">
        <f t="shared" si="2"/>
        <v>18.65583333333333</v>
      </c>
      <c r="H36" s="18">
        <f t="shared" si="2"/>
        <v>7.020833333333333</v>
      </c>
      <c r="I36" s="18">
        <f t="shared" si="2"/>
        <v>8.3166666666666664</v>
      </c>
      <c r="J36" s="18">
        <f t="shared" si="2"/>
        <v>0.73416666666666675</v>
      </c>
      <c r="K36" s="18">
        <f t="shared" si="2"/>
        <v>259.28666666666669</v>
      </c>
      <c r="L36" s="18">
        <f t="shared" si="2"/>
        <v>25.810833333333331</v>
      </c>
      <c r="M36" s="18">
        <f t="shared" si="2"/>
        <v>94.305416666666687</v>
      </c>
      <c r="N36" s="18">
        <f t="shared" si="2"/>
        <v>35.150000000000006</v>
      </c>
      <c r="O36" s="18">
        <f t="shared" si="2"/>
        <v>0.31666666666666671</v>
      </c>
      <c r="P36" s="18">
        <f t="shared" si="2"/>
        <v>0.38416666666666671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1.4297602920607471</v>
      </c>
      <c r="C37" s="18">
        <f t="shared" ref="C37:Q37" si="3">STDEV(C9:C32)</f>
        <v>0.65801620503370339</v>
      </c>
      <c r="D37" s="18">
        <f t="shared" si="3"/>
        <v>1.3561881121924697</v>
      </c>
      <c r="E37" s="18">
        <f t="shared" si="3"/>
        <v>0.60204663019365623</v>
      </c>
      <c r="F37" s="18">
        <f t="shared" si="3"/>
        <v>0.48403478585019477</v>
      </c>
      <c r="G37" s="18">
        <f t="shared" si="3"/>
        <v>5.2449876003224558</v>
      </c>
      <c r="H37" s="18">
        <f t="shared" si="3"/>
        <v>2.9424123741770356</v>
      </c>
      <c r="I37" s="18">
        <f t="shared" si="3"/>
        <v>1.1345777481806525</v>
      </c>
      <c r="J37" s="18">
        <f t="shared" si="3"/>
        <v>0.1095808879982851</v>
      </c>
      <c r="K37" s="18">
        <f t="shared" si="3"/>
        <v>4.4498301547134513</v>
      </c>
      <c r="L37" s="18">
        <f t="shared" si="3"/>
        <v>0.53558514661570156</v>
      </c>
      <c r="M37" s="18">
        <f t="shared" si="3"/>
        <v>4.0001488876276117</v>
      </c>
      <c r="N37" s="18">
        <f t="shared" si="3"/>
        <v>43.664511507829687</v>
      </c>
      <c r="O37" s="18">
        <f t="shared" si="3"/>
        <v>0.49314136492196786</v>
      </c>
      <c r="P37" s="18">
        <f t="shared" si="3"/>
        <v>7.2706477593526317E-2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300</v>
      </c>
      <c r="B9" s="40">
        <v>6.65</v>
      </c>
      <c r="C9" s="40">
        <v>14.53</v>
      </c>
      <c r="D9" s="40">
        <v>12.92</v>
      </c>
      <c r="E9" s="40">
        <v>3.79</v>
      </c>
      <c r="F9" s="40">
        <v>2.2799999999999998</v>
      </c>
      <c r="G9" s="40">
        <v>8.3000000000000007</v>
      </c>
      <c r="H9" s="40">
        <v>5.99</v>
      </c>
      <c r="I9" s="40">
        <v>6.64</v>
      </c>
      <c r="J9" s="40">
        <v>0.71</v>
      </c>
      <c r="K9" s="40">
        <v>255.58</v>
      </c>
      <c r="L9" s="40">
        <v>24.88</v>
      </c>
      <c r="M9" s="40">
        <v>98.68</v>
      </c>
      <c r="N9" s="40">
        <v>2.7</v>
      </c>
      <c r="O9" s="40">
        <v>1</v>
      </c>
      <c r="P9" s="40">
        <v>0.22</v>
      </c>
      <c r="Q9" s="40">
        <v>10</v>
      </c>
      <c r="R9" s="38"/>
      <c r="S9" s="38"/>
      <c r="T9" s="38"/>
      <c r="U9" s="38"/>
    </row>
    <row r="10" spans="1:21" customFormat="1">
      <c r="A10" s="41" t="s">
        <v>301</v>
      </c>
      <c r="B10" s="40">
        <v>6.66</v>
      </c>
      <c r="C10" s="40">
        <v>15.07</v>
      </c>
      <c r="D10" s="40">
        <v>12.98</v>
      </c>
      <c r="E10" s="40">
        <v>3.84</v>
      </c>
      <c r="F10" s="40">
        <v>2.59</v>
      </c>
      <c r="G10" s="40">
        <v>8</v>
      </c>
      <c r="H10" s="40">
        <v>4.5199999999999996</v>
      </c>
      <c r="I10" s="40">
        <v>6.12</v>
      </c>
      <c r="J10" s="40">
        <v>1.21</v>
      </c>
      <c r="K10" s="40">
        <v>263.19</v>
      </c>
      <c r="L10" s="40">
        <v>24.58</v>
      </c>
      <c r="M10" s="40">
        <v>98.68</v>
      </c>
      <c r="N10" s="40">
        <v>2.9</v>
      </c>
      <c r="O10" s="40">
        <v>13.2</v>
      </c>
      <c r="P10" s="40">
        <v>0.22</v>
      </c>
      <c r="Q10" s="40">
        <v>10</v>
      </c>
      <c r="R10" s="38"/>
      <c r="S10" s="38"/>
      <c r="T10" s="38"/>
      <c r="U10" s="38"/>
    </row>
    <row r="11" spans="1:21" customFormat="1">
      <c r="A11" s="41" t="s">
        <v>302</v>
      </c>
      <c r="B11" s="40">
        <v>5.4</v>
      </c>
      <c r="C11" s="40">
        <v>15.18</v>
      </c>
      <c r="D11" s="40">
        <v>12.25</v>
      </c>
      <c r="E11" s="40">
        <v>5.56</v>
      </c>
      <c r="F11" s="40">
        <v>2.06</v>
      </c>
      <c r="G11" s="40">
        <v>5.77</v>
      </c>
      <c r="H11" s="40">
        <v>3.16</v>
      </c>
      <c r="I11" s="40">
        <v>5.4</v>
      </c>
      <c r="J11" s="40">
        <v>1.07</v>
      </c>
      <c r="K11" s="40">
        <v>273.66000000000003</v>
      </c>
      <c r="L11" s="40">
        <v>24.61</v>
      </c>
      <c r="M11" s="40">
        <v>98.7</v>
      </c>
      <c r="N11" s="40">
        <v>2.5</v>
      </c>
      <c r="O11" s="40">
        <v>14</v>
      </c>
      <c r="P11" s="40">
        <v>0.2</v>
      </c>
      <c r="Q11" s="40">
        <v>10</v>
      </c>
      <c r="R11" s="38"/>
      <c r="S11" s="38"/>
      <c r="T11" s="38"/>
      <c r="U11" s="38"/>
    </row>
    <row r="12" spans="1:21" customFormat="1">
      <c r="A12" s="41" t="s">
        <v>303</v>
      </c>
      <c r="B12" s="40">
        <v>5.0999999999999996</v>
      </c>
      <c r="C12" s="40">
        <v>15</v>
      </c>
      <c r="D12" s="40">
        <v>11.93</v>
      </c>
      <c r="E12" s="40">
        <v>5.62</v>
      </c>
      <c r="F12" s="40">
        <v>2.13</v>
      </c>
      <c r="G12" s="40">
        <v>4.16</v>
      </c>
      <c r="H12" s="40">
        <v>2.21</v>
      </c>
      <c r="I12" s="40">
        <v>4.88</v>
      </c>
      <c r="J12" s="40">
        <v>0.87</v>
      </c>
      <c r="K12" s="40">
        <v>255.45</v>
      </c>
      <c r="L12" s="40">
        <v>24.67</v>
      </c>
      <c r="M12" s="40">
        <v>98.7</v>
      </c>
      <c r="N12" s="40">
        <v>2.7</v>
      </c>
      <c r="O12" s="40">
        <v>1.4</v>
      </c>
      <c r="P12" s="40">
        <v>0.17</v>
      </c>
      <c r="Q12" s="40">
        <v>10</v>
      </c>
      <c r="R12" s="38"/>
      <c r="S12" s="38"/>
      <c r="T12" s="38"/>
      <c r="U12" s="38"/>
    </row>
    <row r="13" spans="1:21" customFormat="1">
      <c r="A13" s="41" t="s">
        <v>304</v>
      </c>
      <c r="B13" s="40">
        <v>4.7699999999999996</v>
      </c>
      <c r="C13" s="40">
        <v>14.72</v>
      </c>
      <c r="D13" s="40">
        <v>11.52</v>
      </c>
      <c r="E13" s="40">
        <v>6.13</v>
      </c>
      <c r="F13" s="40">
        <v>2.4900000000000002</v>
      </c>
      <c r="G13" s="40">
        <v>3.45</v>
      </c>
      <c r="H13" s="40">
        <v>1.82</v>
      </c>
      <c r="I13" s="40">
        <v>4.38</v>
      </c>
      <c r="J13" s="40">
        <v>0.91</v>
      </c>
      <c r="K13" s="40">
        <v>255.81</v>
      </c>
      <c r="L13" s="40">
        <v>24.7</v>
      </c>
      <c r="M13" s="40">
        <v>98.73</v>
      </c>
      <c r="N13" s="40">
        <v>2.5</v>
      </c>
      <c r="O13" s="40">
        <v>1.4</v>
      </c>
      <c r="P13" s="40">
        <v>0.17</v>
      </c>
      <c r="Q13" s="40">
        <v>10</v>
      </c>
      <c r="R13" s="38"/>
      <c r="S13" s="38"/>
      <c r="T13" s="38"/>
      <c r="U13" s="38"/>
    </row>
    <row r="14" spans="1:21" customFormat="1">
      <c r="A14" s="41" t="s">
        <v>305</v>
      </c>
      <c r="B14" s="40">
        <v>4.7</v>
      </c>
      <c r="C14" s="40">
        <v>14.57</v>
      </c>
      <c r="D14" s="40">
        <v>11.38</v>
      </c>
      <c r="E14" s="40">
        <v>6.05</v>
      </c>
      <c r="F14" s="40">
        <v>3.41</v>
      </c>
      <c r="G14" s="40">
        <v>3.92</v>
      </c>
      <c r="H14" s="40">
        <v>1.63</v>
      </c>
      <c r="I14" s="40">
        <v>4.47</v>
      </c>
      <c r="J14" s="40">
        <v>0.86</v>
      </c>
      <c r="K14" s="40">
        <v>256.43</v>
      </c>
      <c r="L14" s="40">
        <v>24.74</v>
      </c>
      <c r="M14" s="40">
        <v>98.73</v>
      </c>
      <c r="N14" s="40">
        <v>4.5999999999999996</v>
      </c>
      <c r="O14" s="40">
        <v>1.2</v>
      </c>
      <c r="P14" s="40">
        <v>0.16</v>
      </c>
      <c r="Q14" s="40">
        <v>10</v>
      </c>
      <c r="R14" s="38"/>
      <c r="S14" s="38"/>
      <c r="T14" s="38"/>
      <c r="U14" s="38"/>
    </row>
    <row r="15" spans="1:21" customFormat="1">
      <c r="A15" s="41" t="s">
        <v>306</v>
      </c>
      <c r="B15" s="40">
        <v>4.6900000000000004</v>
      </c>
      <c r="C15" s="40">
        <v>14</v>
      </c>
      <c r="D15" s="40">
        <v>10.99</v>
      </c>
      <c r="E15" s="40">
        <v>5.9</v>
      </c>
      <c r="F15" s="40">
        <v>2.64</v>
      </c>
      <c r="G15" s="40">
        <v>5.12</v>
      </c>
      <c r="H15" s="40">
        <v>1.29</v>
      </c>
      <c r="I15" s="40">
        <v>4.17</v>
      </c>
      <c r="J15" s="40">
        <v>0.83</v>
      </c>
      <c r="K15" s="40">
        <v>257.64999999999998</v>
      </c>
      <c r="L15" s="40">
        <v>24.71</v>
      </c>
      <c r="M15" s="40">
        <v>98.73</v>
      </c>
      <c r="N15" s="40">
        <v>12.9</v>
      </c>
      <c r="O15" s="40">
        <v>0.2</v>
      </c>
      <c r="P15" s="40">
        <v>0.14000000000000001</v>
      </c>
      <c r="Q15" s="40">
        <v>10</v>
      </c>
      <c r="R15" s="38"/>
      <c r="S15" s="38"/>
      <c r="T15" s="38"/>
      <c r="U15" s="38"/>
    </row>
    <row r="16" spans="1:21" customFormat="1">
      <c r="A16" s="41" t="s">
        <v>307</v>
      </c>
      <c r="B16" s="40">
        <v>5.17</v>
      </c>
      <c r="C16" s="40">
        <v>14.23</v>
      </c>
      <c r="D16" s="40">
        <v>11.45</v>
      </c>
      <c r="E16" s="40">
        <v>5.31</v>
      </c>
      <c r="F16" s="40">
        <v>2.69</v>
      </c>
      <c r="G16" s="40">
        <v>3.63</v>
      </c>
      <c r="H16" s="40">
        <v>1.21</v>
      </c>
      <c r="I16" s="40">
        <v>3.87</v>
      </c>
      <c r="J16" s="40">
        <v>1.06</v>
      </c>
      <c r="K16" s="40">
        <v>257.64999999999998</v>
      </c>
      <c r="L16" s="40">
        <v>24.66</v>
      </c>
      <c r="M16" s="40">
        <v>98.73</v>
      </c>
      <c r="N16" s="40">
        <v>40.1</v>
      </c>
      <c r="O16" s="40">
        <v>0</v>
      </c>
      <c r="P16" s="40">
        <v>0.1</v>
      </c>
      <c r="Q16" s="40">
        <v>10</v>
      </c>
      <c r="R16" s="38"/>
      <c r="S16" s="38"/>
      <c r="T16" s="38"/>
      <c r="U16" s="38"/>
    </row>
    <row r="17" spans="1:21" customFormat="1">
      <c r="A17" s="41" t="s">
        <v>308</v>
      </c>
      <c r="B17" s="40">
        <v>5.45</v>
      </c>
      <c r="C17" s="40">
        <v>13.92</v>
      </c>
      <c r="D17" s="40">
        <v>11.65</v>
      </c>
      <c r="E17" s="40">
        <v>5.47</v>
      </c>
      <c r="F17" s="40">
        <v>2.87</v>
      </c>
      <c r="G17" s="40">
        <v>2.93</v>
      </c>
      <c r="H17" s="40">
        <v>1.06</v>
      </c>
      <c r="I17" s="40">
        <v>3.77</v>
      </c>
      <c r="J17" s="40">
        <v>0.92</v>
      </c>
      <c r="K17" s="40">
        <v>254.46</v>
      </c>
      <c r="L17" s="40">
        <v>24.92</v>
      </c>
      <c r="M17" s="40">
        <v>98.73</v>
      </c>
      <c r="N17" s="40">
        <v>55.8</v>
      </c>
      <c r="O17" s="40">
        <v>0</v>
      </c>
      <c r="P17" s="40">
        <v>0.09</v>
      </c>
      <c r="Q17" s="40">
        <v>10</v>
      </c>
      <c r="R17" s="38"/>
      <c r="S17" s="38"/>
      <c r="T17" s="38"/>
      <c r="U17" s="38"/>
    </row>
    <row r="18" spans="1:21" customFormat="1">
      <c r="A18" s="41" t="s">
        <v>309</v>
      </c>
      <c r="B18" s="40">
        <v>5.65</v>
      </c>
      <c r="C18" s="40">
        <v>13.97</v>
      </c>
      <c r="D18" s="40">
        <v>11.76</v>
      </c>
      <c r="E18" s="40">
        <v>5.0599999999999996</v>
      </c>
      <c r="F18" s="40">
        <v>2.65</v>
      </c>
      <c r="G18" s="40">
        <v>2.6</v>
      </c>
      <c r="H18" s="40">
        <v>0.85</v>
      </c>
      <c r="I18" s="40">
        <v>3.77</v>
      </c>
      <c r="J18" s="40">
        <v>0.87</v>
      </c>
      <c r="K18" s="40">
        <v>257.36</v>
      </c>
      <c r="L18" s="40">
        <v>25.11</v>
      </c>
      <c r="M18" s="40">
        <v>98.7</v>
      </c>
      <c r="N18" s="40">
        <v>47.1</v>
      </c>
      <c r="O18" s="40">
        <v>0</v>
      </c>
      <c r="P18" s="40">
        <v>0.08</v>
      </c>
      <c r="Q18" s="40">
        <v>10</v>
      </c>
      <c r="R18" s="38"/>
      <c r="S18" s="38"/>
      <c r="T18" s="38"/>
      <c r="U18" s="38"/>
    </row>
    <row r="19" spans="1:21" customFormat="1">
      <c r="A19" s="41" t="s">
        <v>310</v>
      </c>
      <c r="B19" s="40">
        <v>5.95</v>
      </c>
      <c r="C19" s="40">
        <v>14.15</v>
      </c>
      <c r="D19" s="40">
        <v>12.07</v>
      </c>
      <c r="E19" s="40">
        <v>5.71</v>
      </c>
      <c r="F19" s="40">
        <v>2.99</v>
      </c>
      <c r="G19" s="40">
        <v>2.0299999999999998</v>
      </c>
      <c r="H19" s="40">
        <v>0.77</v>
      </c>
      <c r="I19" s="40">
        <v>3.67</v>
      </c>
      <c r="J19" s="40">
        <v>0.91</v>
      </c>
      <c r="K19" s="40">
        <v>256.07</v>
      </c>
      <c r="L19" s="40">
        <v>25.67</v>
      </c>
      <c r="M19" s="40">
        <v>95.74</v>
      </c>
      <c r="N19" s="40">
        <v>99.6</v>
      </c>
      <c r="O19" s="40">
        <v>0</v>
      </c>
      <c r="P19" s="40">
        <v>0.09</v>
      </c>
      <c r="Q19" s="40">
        <v>10</v>
      </c>
      <c r="R19" s="38"/>
      <c r="S19" s="38"/>
      <c r="T19" s="38"/>
      <c r="U19" s="38"/>
    </row>
    <row r="20" spans="1:21" customFormat="1">
      <c r="A20" s="41" t="s">
        <v>311</v>
      </c>
      <c r="B20" s="40">
        <v>6.05</v>
      </c>
      <c r="C20" s="40">
        <v>14.22</v>
      </c>
      <c r="D20" s="40">
        <v>12.28</v>
      </c>
      <c r="E20" s="40">
        <v>6.13</v>
      </c>
      <c r="F20" s="40">
        <v>2.12</v>
      </c>
      <c r="G20" s="40">
        <v>1.65</v>
      </c>
      <c r="H20" s="40">
        <v>0.79</v>
      </c>
      <c r="I20" s="40">
        <v>3.55</v>
      </c>
      <c r="J20" s="40">
        <v>1.1200000000000001</v>
      </c>
      <c r="K20" s="40">
        <v>252.64</v>
      </c>
      <c r="L20" s="40">
        <v>25.87</v>
      </c>
      <c r="M20" s="40">
        <v>91.79</v>
      </c>
      <c r="N20" s="40">
        <v>99.3</v>
      </c>
      <c r="O20" s="40">
        <v>0</v>
      </c>
      <c r="P20" s="40">
        <v>0.11</v>
      </c>
      <c r="Q20" s="40">
        <v>10</v>
      </c>
      <c r="R20" s="38"/>
      <c r="S20" s="38"/>
      <c r="T20" s="38"/>
      <c r="U20" s="38"/>
    </row>
    <row r="21" spans="1:21" customFormat="1">
      <c r="A21" s="41" t="s">
        <v>312</v>
      </c>
      <c r="B21" s="40">
        <v>5.26</v>
      </c>
      <c r="C21" s="40">
        <v>14.29</v>
      </c>
      <c r="D21" s="40">
        <v>11.68</v>
      </c>
      <c r="E21" s="40">
        <v>6.2</v>
      </c>
      <c r="F21" s="40">
        <v>2.5499999999999998</v>
      </c>
      <c r="G21" s="40">
        <v>1.47</v>
      </c>
      <c r="H21" s="40">
        <v>0.7</v>
      </c>
      <c r="I21" s="40">
        <v>3.33</v>
      </c>
      <c r="J21" s="40">
        <v>1.17</v>
      </c>
      <c r="K21" s="40">
        <v>255.87</v>
      </c>
      <c r="L21" s="40">
        <v>26.03</v>
      </c>
      <c r="M21" s="40">
        <v>91.65</v>
      </c>
      <c r="N21" s="40">
        <v>103.2</v>
      </c>
      <c r="O21" s="40">
        <v>0</v>
      </c>
      <c r="P21" s="40">
        <v>0.11</v>
      </c>
      <c r="Q21" s="40">
        <v>10</v>
      </c>
      <c r="R21" s="38"/>
      <c r="S21" s="38"/>
      <c r="T21" s="38"/>
      <c r="U21" s="38"/>
    </row>
    <row r="22" spans="1:21" customFormat="1">
      <c r="A22" s="41" t="s">
        <v>313</v>
      </c>
      <c r="B22" s="40">
        <v>4.6900000000000004</v>
      </c>
      <c r="C22" s="40">
        <v>14.24</v>
      </c>
      <c r="D22" s="40">
        <v>11.2</v>
      </c>
      <c r="E22" s="40">
        <v>6.51</v>
      </c>
      <c r="F22" s="40">
        <v>2.11</v>
      </c>
      <c r="G22" s="40">
        <v>1.57</v>
      </c>
      <c r="H22" s="40">
        <v>0.66</v>
      </c>
      <c r="I22" s="40">
        <v>3.11</v>
      </c>
      <c r="J22" s="40">
        <v>1.22</v>
      </c>
      <c r="K22" s="40">
        <v>258.24</v>
      </c>
      <c r="L22" s="40">
        <v>26.33</v>
      </c>
      <c r="M22" s="40">
        <v>90.47</v>
      </c>
      <c r="N22" s="40">
        <v>200.4</v>
      </c>
      <c r="O22" s="40">
        <v>0</v>
      </c>
      <c r="P22" s="40">
        <v>0.1</v>
      </c>
      <c r="Q22" s="40">
        <v>10</v>
      </c>
      <c r="R22" s="38"/>
      <c r="S22" s="38"/>
      <c r="T22" s="38"/>
      <c r="U22" s="38"/>
    </row>
    <row r="23" spans="1:21" customFormat="1">
      <c r="A23" s="41" t="s">
        <v>314</v>
      </c>
      <c r="B23" s="40">
        <v>4.25</v>
      </c>
      <c r="C23" s="40">
        <v>13.94</v>
      </c>
      <c r="D23" s="40">
        <v>10.69</v>
      </c>
      <c r="E23" s="40">
        <v>6.6</v>
      </c>
      <c r="F23" s="40">
        <v>2.25</v>
      </c>
      <c r="G23" s="40">
        <v>1.62</v>
      </c>
      <c r="H23" s="40">
        <v>0.69</v>
      </c>
      <c r="I23" s="40">
        <v>3.07</v>
      </c>
      <c r="J23" s="40">
        <v>1.23</v>
      </c>
      <c r="K23" s="40">
        <v>255.58</v>
      </c>
      <c r="L23" s="40">
        <v>26.69</v>
      </c>
      <c r="M23" s="40">
        <v>88.6</v>
      </c>
      <c r="N23" s="40">
        <v>145.30000000000001</v>
      </c>
      <c r="O23" s="40">
        <v>0</v>
      </c>
      <c r="P23" s="40">
        <v>0.14000000000000001</v>
      </c>
      <c r="Q23" s="40">
        <v>10</v>
      </c>
      <c r="R23" s="38"/>
      <c r="S23" s="38"/>
      <c r="T23" s="38"/>
      <c r="U23" s="38"/>
    </row>
    <row r="24" spans="1:21" customFormat="1">
      <c r="A24" s="41" t="s">
        <v>315</v>
      </c>
      <c r="B24" s="40">
        <v>3.87</v>
      </c>
      <c r="C24" s="40">
        <v>13.68</v>
      </c>
      <c r="D24" s="40">
        <v>10.25</v>
      </c>
      <c r="E24" s="40">
        <v>6.61</v>
      </c>
      <c r="F24" s="40">
        <v>2.15</v>
      </c>
      <c r="G24" s="40">
        <v>1.35</v>
      </c>
      <c r="H24" s="40">
        <v>0.65</v>
      </c>
      <c r="I24" s="40">
        <v>2.96</v>
      </c>
      <c r="J24" s="40">
        <v>1.1399999999999999</v>
      </c>
      <c r="K24" s="40">
        <v>255.51</v>
      </c>
      <c r="L24" s="40">
        <v>26.5</v>
      </c>
      <c r="M24" s="40">
        <v>88.4</v>
      </c>
      <c r="N24" s="40">
        <v>72.3</v>
      </c>
      <c r="O24" s="40">
        <v>0</v>
      </c>
      <c r="P24" s="40">
        <v>0.13</v>
      </c>
      <c r="Q24" s="40">
        <v>10</v>
      </c>
      <c r="R24" s="38"/>
      <c r="S24" s="38"/>
      <c r="T24" s="38"/>
      <c r="U24" s="38"/>
    </row>
    <row r="25" spans="1:21" customFormat="1">
      <c r="A25" s="41" t="s">
        <v>316</v>
      </c>
      <c r="B25" s="40">
        <v>3.75</v>
      </c>
      <c r="C25" s="40">
        <v>13.58</v>
      </c>
      <c r="D25" s="40">
        <v>10.1</v>
      </c>
      <c r="E25" s="40">
        <v>6.62</v>
      </c>
      <c r="F25" s="40">
        <v>3.25</v>
      </c>
      <c r="G25" s="40">
        <v>1.21</v>
      </c>
      <c r="H25" s="40">
        <v>0.66</v>
      </c>
      <c r="I25" s="40">
        <v>2.83</v>
      </c>
      <c r="J25" s="40">
        <v>1.03</v>
      </c>
      <c r="K25" s="40">
        <v>256.31</v>
      </c>
      <c r="L25" s="40">
        <v>26.18</v>
      </c>
      <c r="M25" s="40">
        <v>89.15</v>
      </c>
      <c r="N25" s="40">
        <v>52.4</v>
      </c>
      <c r="O25" s="40">
        <v>0</v>
      </c>
      <c r="P25" s="40">
        <v>0.12</v>
      </c>
      <c r="Q25" s="40">
        <v>10</v>
      </c>
      <c r="R25" s="38"/>
      <c r="S25" s="38"/>
      <c r="T25" s="38"/>
      <c r="U25" s="38"/>
    </row>
    <row r="26" spans="1:21" customFormat="1">
      <c r="A26" s="41" t="s">
        <v>317</v>
      </c>
      <c r="B26" s="40">
        <v>4.3</v>
      </c>
      <c r="C26" s="40">
        <v>14.02</v>
      </c>
      <c r="D26" s="40">
        <v>10.63</v>
      </c>
      <c r="E26" s="40">
        <v>5.73</v>
      </c>
      <c r="F26" s="40">
        <v>2.73</v>
      </c>
      <c r="G26" s="40">
        <v>1.1399999999999999</v>
      </c>
      <c r="H26" s="40">
        <v>0.66</v>
      </c>
      <c r="I26" s="40">
        <v>2.9</v>
      </c>
      <c r="J26" s="40">
        <v>0.95</v>
      </c>
      <c r="K26" s="40">
        <v>256.39999999999998</v>
      </c>
      <c r="L26" s="40">
        <v>26.08</v>
      </c>
      <c r="M26" s="40">
        <v>96.08</v>
      </c>
      <c r="N26" s="40">
        <v>20.6</v>
      </c>
      <c r="O26" s="40">
        <v>0</v>
      </c>
      <c r="P26" s="40">
        <v>0.1</v>
      </c>
      <c r="Q26" s="40">
        <v>10</v>
      </c>
      <c r="R26" s="38"/>
      <c r="S26" s="38"/>
      <c r="T26" s="38"/>
      <c r="U26" s="38"/>
    </row>
    <row r="27" spans="1:21" customFormat="1">
      <c r="A27" s="41" t="s">
        <v>318</v>
      </c>
      <c r="B27" s="40">
        <v>4.54</v>
      </c>
      <c r="C27" s="40">
        <v>13.83</v>
      </c>
      <c r="D27" s="40">
        <v>10.86</v>
      </c>
      <c r="E27" s="40">
        <v>5.47</v>
      </c>
      <c r="F27" s="40">
        <v>2.88</v>
      </c>
      <c r="G27" s="40">
        <v>1.27</v>
      </c>
      <c r="H27" s="40">
        <v>0.64</v>
      </c>
      <c r="I27" s="40">
        <v>2.96</v>
      </c>
      <c r="J27" s="40">
        <v>0.98</v>
      </c>
      <c r="K27" s="40">
        <v>255.45</v>
      </c>
      <c r="L27" s="40">
        <v>25.18</v>
      </c>
      <c r="M27" s="40">
        <v>97.08</v>
      </c>
      <c r="N27" s="40">
        <v>4.5999999999999996</v>
      </c>
      <c r="O27" s="40">
        <v>0.2</v>
      </c>
      <c r="P27" s="40">
        <v>0.1</v>
      </c>
      <c r="Q27" s="40">
        <v>10</v>
      </c>
      <c r="R27" s="38"/>
      <c r="S27" s="38"/>
      <c r="T27" s="38"/>
      <c r="U27" s="38"/>
    </row>
    <row r="28" spans="1:21" customFormat="1">
      <c r="A28" s="41" t="s">
        <v>319</v>
      </c>
      <c r="B28" s="40">
        <v>4.53</v>
      </c>
      <c r="C28" s="40">
        <v>13.91</v>
      </c>
      <c r="D28" s="40">
        <v>10.9</v>
      </c>
      <c r="E28" s="40">
        <v>5.57</v>
      </c>
      <c r="F28" s="40">
        <v>3.27</v>
      </c>
      <c r="G28" s="40">
        <v>1.52</v>
      </c>
      <c r="H28" s="40">
        <v>0.65</v>
      </c>
      <c r="I28" s="40">
        <v>3.06</v>
      </c>
      <c r="J28" s="40">
        <v>1.1499999999999999</v>
      </c>
      <c r="K28" s="40">
        <v>254.01</v>
      </c>
      <c r="L28" s="40">
        <v>25.18</v>
      </c>
      <c r="M28" s="40">
        <v>96.05</v>
      </c>
      <c r="N28" s="40">
        <v>2.1</v>
      </c>
      <c r="O28" s="40">
        <v>0</v>
      </c>
      <c r="P28" s="40">
        <v>0.1</v>
      </c>
      <c r="Q28" s="40">
        <v>10</v>
      </c>
      <c r="R28" s="38"/>
      <c r="S28" s="38"/>
      <c r="T28" s="38"/>
      <c r="U28" s="38"/>
    </row>
    <row r="29" spans="1:21" customFormat="1">
      <c r="A29" s="41" t="s">
        <v>320</v>
      </c>
      <c r="B29" s="40">
        <v>4.51</v>
      </c>
      <c r="C29" s="40">
        <v>14.3</v>
      </c>
      <c r="D29" s="40">
        <v>11.07</v>
      </c>
      <c r="E29" s="40">
        <v>5.57</v>
      </c>
      <c r="F29" s="40">
        <v>3.1</v>
      </c>
      <c r="G29" s="40">
        <v>1.55</v>
      </c>
      <c r="H29" s="40">
        <v>0.65</v>
      </c>
      <c r="I29" s="40">
        <v>3.05</v>
      </c>
      <c r="J29" s="40">
        <v>0.92</v>
      </c>
      <c r="K29" s="40">
        <v>255.81</v>
      </c>
      <c r="L29" s="40">
        <v>25.21</v>
      </c>
      <c r="M29" s="40">
        <v>94.85</v>
      </c>
      <c r="N29" s="40">
        <v>1.9</v>
      </c>
      <c r="O29" s="40">
        <v>0</v>
      </c>
      <c r="P29" s="40">
        <v>0.12</v>
      </c>
      <c r="Q29" s="40">
        <v>10</v>
      </c>
      <c r="R29" s="38"/>
      <c r="S29" s="38"/>
      <c r="T29" s="38"/>
      <c r="U29" s="38"/>
    </row>
    <row r="30" spans="1:21" customFormat="1">
      <c r="A30" s="41" t="s">
        <v>321</v>
      </c>
      <c r="B30" s="40">
        <v>4.37</v>
      </c>
      <c r="C30" s="40">
        <v>13.95</v>
      </c>
      <c r="D30" s="40">
        <v>10.8</v>
      </c>
      <c r="E30" s="40">
        <v>6.22</v>
      </c>
      <c r="F30" s="40">
        <v>2.97</v>
      </c>
      <c r="G30" s="40">
        <v>1.63</v>
      </c>
      <c r="H30" s="40">
        <v>0.72</v>
      </c>
      <c r="I30" s="40">
        <v>3.06</v>
      </c>
      <c r="J30" s="40">
        <v>1.06</v>
      </c>
      <c r="K30" s="40">
        <v>253.86</v>
      </c>
      <c r="L30" s="40">
        <v>25.3</v>
      </c>
      <c r="M30" s="40">
        <v>89.7</v>
      </c>
      <c r="N30" s="40">
        <v>2.2999999999999998</v>
      </c>
      <c r="O30" s="40">
        <v>0</v>
      </c>
      <c r="P30" s="40">
        <v>0.14000000000000001</v>
      </c>
      <c r="Q30" s="40">
        <v>10</v>
      </c>
      <c r="R30" s="38"/>
      <c r="S30" s="38"/>
      <c r="T30" s="38"/>
      <c r="U30" s="38"/>
    </row>
    <row r="31" spans="1:21" customFormat="1">
      <c r="A31" s="41" t="s">
        <v>322</v>
      </c>
      <c r="B31" s="40">
        <v>3.61</v>
      </c>
      <c r="C31" s="40">
        <v>13.8</v>
      </c>
      <c r="D31" s="40">
        <v>10.1</v>
      </c>
      <c r="E31" s="40">
        <v>6.17</v>
      </c>
      <c r="F31" s="40">
        <v>2.58</v>
      </c>
      <c r="G31" s="40">
        <v>1.69</v>
      </c>
      <c r="H31" s="40">
        <v>0.8</v>
      </c>
      <c r="I31" s="40">
        <v>2.78</v>
      </c>
      <c r="J31" s="40">
        <v>0.99</v>
      </c>
      <c r="K31" s="40">
        <v>254.49</v>
      </c>
      <c r="L31" s="40">
        <v>25.33</v>
      </c>
      <c r="M31" s="40">
        <v>90.9</v>
      </c>
      <c r="N31" s="40">
        <v>2.4</v>
      </c>
      <c r="O31" s="40">
        <v>0</v>
      </c>
      <c r="P31" s="40">
        <v>0.14000000000000001</v>
      </c>
      <c r="Q31" s="40">
        <v>10</v>
      </c>
      <c r="R31" s="38"/>
      <c r="S31" s="38"/>
      <c r="T31" s="38"/>
      <c r="U31" s="38"/>
    </row>
    <row r="32" spans="1:21" customFormat="1">
      <c r="A32" s="41" t="s">
        <v>323</v>
      </c>
      <c r="B32" s="40">
        <v>3.64</v>
      </c>
      <c r="C32" s="40">
        <v>13.53</v>
      </c>
      <c r="D32" s="40">
        <v>9.8699999999999992</v>
      </c>
      <c r="E32" s="40">
        <v>6.46</v>
      </c>
      <c r="F32" s="40">
        <v>2.19</v>
      </c>
      <c r="G32" s="40">
        <v>1.68</v>
      </c>
      <c r="H32" s="40">
        <v>0.79</v>
      </c>
      <c r="I32" s="40">
        <v>2.67</v>
      </c>
      <c r="J32" s="40">
        <v>0.87</v>
      </c>
      <c r="K32" s="40">
        <v>253.59</v>
      </c>
      <c r="L32" s="40">
        <v>25.53</v>
      </c>
      <c r="M32" s="40">
        <v>90.53</v>
      </c>
      <c r="N32" s="40">
        <v>2.4</v>
      </c>
      <c r="O32" s="40">
        <v>0</v>
      </c>
      <c r="P32" s="40">
        <v>0.13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3.61</v>
      </c>
      <c r="C34" s="18">
        <f t="shared" si="0"/>
        <v>13.53</v>
      </c>
      <c r="D34" s="18">
        <f t="shared" si="0"/>
        <v>9.8699999999999992</v>
      </c>
      <c r="E34" s="18">
        <f t="shared" si="0"/>
        <v>3.79</v>
      </c>
      <c r="F34" s="18">
        <f t="shared" si="0"/>
        <v>2.06</v>
      </c>
      <c r="G34" s="18">
        <f t="shared" si="0"/>
        <v>1.1399999999999999</v>
      </c>
      <c r="H34" s="18">
        <f t="shared" si="0"/>
        <v>0.64</v>
      </c>
      <c r="I34" s="18">
        <f t="shared" si="0"/>
        <v>2.67</v>
      </c>
      <c r="J34" s="18">
        <f t="shared" si="0"/>
        <v>0.71</v>
      </c>
      <c r="K34" s="18">
        <f t="shared" si="0"/>
        <v>252.64</v>
      </c>
      <c r="L34" s="18">
        <f t="shared" si="0"/>
        <v>24.58</v>
      </c>
      <c r="M34" s="18">
        <f t="shared" si="0"/>
        <v>88.4</v>
      </c>
      <c r="N34" s="18">
        <f t="shared" si="0"/>
        <v>1.9</v>
      </c>
      <c r="O34" s="18">
        <f t="shared" si="0"/>
        <v>0</v>
      </c>
      <c r="P34" s="18">
        <f t="shared" si="0"/>
        <v>0.08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6.66</v>
      </c>
      <c r="C35" s="3">
        <f t="shared" si="1"/>
        <v>15.18</v>
      </c>
      <c r="D35" s="3">
        <f t="shared" si="1"/>
        <v>12.98</v>
      </c>
      <c r="E35" s="3">
        <f t="shared" si="1"/>
        <v>6.62</v>
      </c>
      <c r="F35" s="3">
        <f t="shared" si="1"/>
        <v>3.41</v>
      </c>
      <c r="G35" s="3">
        <f t="shared" si="1"/>
        <v>8.3000000000000007</v>
      </c>
      <c r="H35" s="3">
        <f t="shared" si="1"/>
        <v>5.99</v>
      </c>
      <c r="I35" s="3">
        <f t="shared" si="1"/>
        <v>6.64</v>
      </c>
      <c r="J35" s="3">
        <f t="shared" si="1"/>
        <v>1.23</v>
      </c>
      <c r="K35" s="3">
        <f t="shared" si="1"/>
        <v>273.66000000000003</v>
      </c>
      <c r="L35" s="3">
        <f t="shared" si="1"/>
        <v>26.69</v>
      </c>
      <c r="M35" s="3">
        <f t="shared" si="1"/>
        <v>98.73</v>
      </c>
      <c r="N35" s="3">
        <f t="shared" si="1"/>
        <v>200.4</v>
      </c>
      <c r="O35" s="3">
        <f t="shared" si="1"/>
        <v>14</v>
      </c>
      <c r="P35" s="3">
        <f t="shared" si="1"/>
        <v>0.22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4.8983333333333343</v>
      </c>
      <c r="C36" s="18">
        <f t="shared" si="2"/>
        <v>14.192916666666667</v>
      </c>
      <c r="D36" s="18">
        <f t="shared" si="2"/>
        <v>11.305416666666666</v>
      </c>
      <c r="E36" s="18">
        <f t="shared" si="2"/>
        <v>5.7625000000000002</v>
      </c>
      <c r="F36" s="18">
        <f t="shared" si="2"/>
        <v>2.6229166666666663</v>
      </c>
      <c r="G36" s="18">
        <f t="shared" si="2"/>
        <v>2.8858333333333337</v>
      </c>
      <c r="H36" s="18">
        <f t="shared" si="2"/>
        <v>1.3987499999999997</v>
      </c>
      <c r="I36" s="18">
        <f t="shared" si="2"/>
        <v>3.7695833333333328</v>
      </c>
      <c r="J36" s="18">
        <f t="shared" si="2"/>
        <v>1.0020833333333334</v>
      </c>
      <c r="K36" s="18">
        <f t="shared" si="2"/>
        <v>256.71125000000001</v>
      </c>
      <c r="L36" s="18">
        <f t="shared" si="2"/>
        <v>25.360833333333336</v>
      </c>
      <c r="M36" s="18">
        <f t="shared" si="2"/>
        <v>94.920833333333348</v>
      </c>
      <c r="N36" s="18">
        <f t="shared" si="2"/>
        <v>40.941666666666656</v>
      </c>
      <c r="O36" s="18">
        <f t="shared" si="2"/>
        <v>1.3583333333333334</v>
      </c>
      <c r="P36" s="18">
        <f t="shared" si="2"/>
        <v>0.13250000000000006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0.86488836508416655</v>
      </c>
      <c r="C37" s="18">
        <f t="shared" ref="C37:Q37" si="3">STDEV(C9:C32)</f>
        <v>0.4527354459924372</v>
      </c>
      <c r="D37" s="18">
        <f t="shared" si="3"/>
        <v>0.84610606369089025</v>
      </c>
      <c r="E37" s="18">
        <f t="shared" si="3"/>
        <v>0.74407953057860565</v>
      </c>
      <c r="F37" s="18">
        <f t="shared" si="3"/>
        <v>0.40795864204988974</v>
      </c>
      <c r="G37" s="18">
        <f t="shared" si="3"/>
        <v>2.0742917422301184</v>
      </c>
      <c r="H37" s="18">
        <f t="shared" si="3"/>
        <v>1.3532129640551618</v>
      </c>
      <c r="I37" s="18">
        <f t="shared" si="3"/>
        <v>1.0739503638706855</v>
      </c>
      <c r="J37" s="18">
        <f t="shared" si="3"/>
        <v>0.14126691254398577</v>
      </c>
      <c r="K37" s="18">
        <f t="shared" si="3"/>
        <v>4.1481523519252086</v>
      </c>
      <c r="L37" s="18">
        <f t="shared" si="3"/>
        <v>0.65911611873099774</v>
      </c>
      <c r="M37" s="18">
        <f t="shared" si="3"/>
        <v>4.0130503595651277</v>
      </c>
      <c r="N37" s="18">
        <f t="shared" si="3"/>
        <v>54.004982996069884</v>
      </c>
      <c r="O37" s="18">
        <f t="shared" si="3"/>
        <v>3.8015919624908934</v>
      </c>
      <c r="P37" s="18">
        <f t="shared" si="3"/>
        <v>3.9918395018707337E-2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324</v>
      </c>
      <c r="B9" s="40">
        <v>3.75</v>
      </c>
      <c r="C9" s="40">
        <v>13.28</v>
      </c>
      <c r="D9" s="40">
        <v>9.89</v>
      </c>
      <c r="E9" s="40">
        <v>6.38</v>
      </c>
      <c r="F9" s="40">
        <v>2.56</v>
      </c>
      <c r="G9" s="40">
        <v>1.65</v>
      </c>
      <c r="H9" s="40">
        <v>0.77</v>
      </c>
      <c r="I9" s="40">
        <v>2.58</v>
      </c>
      <c r="J9" s="40">
        <v>0.89</v>
      </c>
      <c r="K9" s="40">
        <v>254.38</v>
      </c>
      <c r="L9" s="40">
        <v>25.57</v>
      </c>
      <c r="M9" s="40">
        <v>91.22</v>
      </c>
      <c r="N9" s="40">
        <v>2.5</v>
      </c>
      <c r="O9" s="40">
        <v>0</v>
      </c>
      <c r="P9" s="40">
        <v>0.13</v>
      </c>
      <c r="Q9" s="40">
        <v>10</v>
      </c>
      <c r="R9" s="38"/>
      <c r="S9" s="38"/>
      <c r="T9" s="38"/>
      <c r="U9" s="38"/>
    </row>
    <row r="10" spans="1:21" customFormat="1">
      <c r="A10" s="41" t="s">
        <v>325</v>
      </c>
      <c r="B10" s="40">
        <v>3.88</v>
      </c>
      <c r="C10" s="40">
        <v>13.12</v>
      </c>
      <c r="D10" s="40">
        <v>9.92</v>
      </c>
      <c r="E10" s="40">
        <v>6.62</v>
      </c>
      <c r="F10" s="40">
        <v>2.19</v>
      </c>
      <c r="G10" s="40">
        <v>1.72</v>
      </c>
      <c r="H10" s="40">
        <v>0.79</v>
      </c>
      <c r="I10" s="40">
        <v>2.5099999999999998</v>
      </c>
      <c r="J10" s="40">
        <v>0.79</v>
      </c>
      <c r="K10" s="40">
        <v>254.05</v>
      </c>
      <c r="L10" s="40">
        <v>25.44</v>
      </c>
      <c r="M10" s="40">
        <v>91.49</v>
      </c>
      <c r="N10" s="40">
        <v>2.4</v>
      </c>
      <c r="O10" s="40">
        <v>0</v>
      </c>
      <c r="P10" s="40">
        <v>0.12</v>
      </c>
      <c r="Q10" s="40">
        <v>10</v>
      </c>
      <c r="R10" s="38"/>
      <c r="S10" s="38"/>
      <c r="T10" s="38"/>
      <c r="U10" s="38"/>
    </row>
    <row r="11" spans="1:21" customFormat="1">
      <c r="A11" s="41" t="s">
        <v>326</v>
      </c>
      <c r="B11" s="40">
        <v>4.4000000000000004</v>
      </c>
      <c r="C11" s="40">
        <v>13.21</v>
      </c>
      <c r="D11" s="40">
        <v>10.43</v>
      </c>
      <c r="E11" s="40">
        <v>4.03</v>
      </c>
      <c r="F11" s="40">
        <v>3.23</v>
      </c>
      <c r="G11" s="40">
        <v>2.02</v>
      </c>
      <c r="H11" s="40">
        <v>0.8</v>
      </c>
      <c r="I11" s="40">
        <v>2.5099999999999998</v>
      </c>
      <c r="J11" s="40">
        <v>0.76</v>
      </c>
      <c r="K11" s="40">
        <v>254.29</v>
      </c>
      <c r="L11" s="40">
        <v>25.41</v>
      </c>
      <c r="M11" s="40">
        <v>95.73</v>
      </c>
      <c r="N11" s="40">
        <v>2.6</v>
      </c>
      <c r="O11" s="40">
        <v>0.2</v>
      </c>
      <c r="P11" s="40">
        <v>0.09</v>
      </c>
      <c r="Q11" s="40">
        <v>10</v>
      </c>
      <c r="R11" s="38"/>
      <c r="S11" s="38"/>
      <c r="T11" s="38"/>
      <c r="U11" s="38"/>
    </row>
    <row r="12" spans="1:21" customFormat="1">
      <c r="A12" s="41" t="s">
        <v>327</v>
      </c>
      <c r="B12" s="40">
        <v>4.96</v>
      </c>
      <c r="C12" s="40">
        <v>13.3</v>
      </c>
      <c r="D12" s="40">
        <v>10.9</v>
      </c>
      <c r="E12" s="40">
        <v>4.0599999999999996</v>
      </c>
      <c r="F12" s="40">
        <v>2.68</v>
      </c>
      <c r="G12" s="40">
        <v>2.44</v>
      </c>
      <c r="H12" s="40">
        <v>0.81</v>
      </c>
      <c r="I12" s="40">
        <v>2.6</v>
      </c>
      <c r="J12" s="40">
        <v>0.65</v>
      </c>
      <c r="K12" s="40">
        <v>254.83</v>
      </c>
      <c r="L12" s="40">
        <v>24.63</v>
      </c>
      <c r="M12" s="40">
        <v>97.69</v>
      </c>
      <c r="N12" s="40">
        <v>2.2000000000000002</v>
      </c>
      <c r="O12" s="40">
        <v>0</v>
      </c>
      <c r="P12" s="40">
        <v>0.09</v>
      </c>
      <c r="Q12" s="40">
        <v>10</v>
      </c>
      <c r="R12" s="38"/>
      <c r="S12" s="38"/>
      <c r="T12" s="38"/>
      <c r="U12" s="38"/>
    </row>
    <row r="13" spans="1:21" customFormat="1">
      <c r="A13" s="41" t="s">
        <v>328</v>
      </c>
      <c r="B13" s="40">
        <v>5.46</v>
      </c>
      <c r="C13" s="40">
        <v>13.25</v>
      </c>
      <c r="D13" s="40">
        <v>11.21</v>
      </c>
      <c r="E13" s="40">
        <v>4.28</v>
      </c>
      <c r="F13" s="40">
        <v>2.68</v>
      </c>
      <c r="G13" s="40">
        <v>2.92</v>
      </c>
      <c r="H13" s="40">
        <v>0.82</v>
      </c>
      <c r="I13" s="40">
        <v>2.74</v>
      </c>
      <c r="J13" s="40">
        <v>0.65</v>
      </c>
      <c r="K13" s="40">
        <v>275.70999999999998</v>
      </c>
      <c r="L13" s="40">
        <v>24.59</v>
      </c>
      <c r="M13" s="40">
        <v>96.95</v>
      </c>
      <c r="N13" s="40">
        <v>2.4</v>
      </c>
      <c r="O13" s="40">
        <v>0.4</v>
      </c>
      <c r="P13" s="40">
        <v>0.09</v>
      </c>
      <c r="Q13" s="40">
        <v>10</v>
      </c>
      <c r="R13" s="38"/>
      <c r="S13" s="38"/>
      <c r="T13" s="38"/>
      <c r="U13" s="38"/>
    </row>
    <row r="14" spans="1:21" customFormat="1">
      <c r="A14" s="41" t="s">
        <v>329</v>
      </c>
      <c r="B14" s="40">
        <v>6.07</v>
      </c>
      <c r="C14" s="40">
        <v>13.59</v>
      </c>
      <c r="D14" s="40">
        <v>11.92</v>
      </c>
      <c r="E14" s="40">
        <v>4.05</v>
      </c>
      <c r="F14" s="40">
        <v>2.2799999999999998</v>
      </c>
      <c r="G14" s="40">
        <v>4.4400000000000004</v>
      </c>
      <c r="H14" s="40">
        <v>0.91</v>
      </c>
      <c r="I14" s="40">
        <v>2.83</v>
      </c>
      <c r="J14" s="40">
        <v>0.69</v>
      </c>
      <c r="K14" s="40">
        <v>256.77999999999997</v>
      </c>
      <c r="L14" s="40">
        <v>24.58</v>
      </c>
      <c r="M14" s="40">
        <v>97.27</v>
      </c>
      <c r="N14" s="40">
        <v>5</v>
      </c>
      <c r="O14" s="40">
        <v>0.2</v>
      </c>
      <c r="P14" s="40">
        <v>0.09</v>
      </c>
      <c r="Q14" s="40">
        <v>10</v>
      </c>
      <c r="R14" s="38"/>
      <c r="S14" s="38"/>
      <c r="T14" s="38"/>
      <c r="U14" s="38"/>
    </row>
    <row r="15" spans="1:21" customFormat="1">
      <c r="A15" s="41" t="s">
        <v>330</v>
      </c>
      <c r="B15" s="40">
        <v>6.22</v>
      </c>
      <c r="C15" s="40">
        <v>13.82</v>
      </c>
      <c r="D15" s="40">
        <v>12.13</v>
      </c>
      <c r="E15" s="40">
        <v>3.95</v>
      </c>
      <c r="F15" s="40">
        <v>2.68</v>
      </c>
      <c r="G15" s="40">
        <v>6.15</v>
      </c>
      <c r="H15" s="40">
        <v>0.9</v>
      </c>
      <c r="I15" s="40">
        <v>2.89</v>
      </c>
      <c r="J15" s="40">
        <v>0.86</v>
      </c>
      <c r="K15" s="40">
        <v>254.79</v>
      </c>
      <c r="L15" s="40">
        <v>24.61</v>
      </c>
      <c r="M15" s="40">
        <v>94.84</v>
      </c>
      <c r="N15" s="40">
        <v>15.4</v>
      </c>
      <c r="O15" s="40">
        <v>0</v>
      </c>
      <c r="P15" s="40">
        <v>0.11</v>
      </c>
      <c r="Q15" s="40">
        <v>10</v>
      </c>
      <c r="R15" s="38"/>
      <c r="S15" s="38"/>
      <c r="T15" s="38"/>
      <c r="U15" s="38"/>
    </row>
    <row r="16" spans="1:21" customFormat="1">
      <c r="A16" s="41" t="s">
        <v>331</v>
      </c>
      <c r="B16" s="40">
        <v>5.98</v>
      </c>
      <c r="C16" s="40">
        <v>14.3</v>
      </c>
      <c r="D16" s="40">
        <v>12.16</v>
      </c>
      <c r="E16" s="40">
        <v>4.32</v>
      </c>
      <c r="F16" s="40">
        <v>2.04</v>
      </c>
      <c r="G16" s="40">
        <v>4.5</v>
      </c>
      <c r="H16" s="40">
        <v>0.99</v>
      </c>
      <c r="I16" s="40">
        <v>2.88</v>
      </c>
      <c r="J16" s="40">
        <v>0.87</v>
      </c>
      <c r="K16" s="40">
        <v>255.93</v>
      </c>
      <c r="L16" s="40">
        <v>24.73</v>
      </c>
      <c r="M16" s="40">
        <v>96.06</v>
      </c>
      <c r="N16" s="40">
        <v>59.9</v>
      </c>
      <c r="O16" s="40">
        <v>0.2</v>
      </c>
      <c r="P16" s="40">
        <v>0.13</v>
      </c>
      <c r="Q16" s="40">
        <v>10</v>
      </c>
      <c r="R16" s="38"/>
      <c r="S16" s="38"/>
      <c r="T16" s="38"/>
      <c r="U16" s="38"/>
    </row>
    <row r="17" spans="1:21" customFormat="1">
      <c r="A17" s="41" t="s">
        <v>332</v>
      </c>
      <c r="B17" s="40">
        <v>5.42</v>
      </c>
      <c r="C17" s="40">
        <v>14.35</v>
      </c>
      <c r="D17" s="40">
        <v>11.84</v>
      </c>
      <c r="E17" s="40">
        <v>4.58</v>
      </c>
      <c r="F17" s="40">
        <v>2.06</v>
      </c>
      <c r="G17" s="40">
        <v>3.49</v>
      </c>
      <c r="H17" s="40">
        <v>1.08</v>
      </c>
      <c r="I17" s="40">
        <v>2.73</v>
      </c>
      <c r="J17" s="40">
        <v>1.02</v>
      </c>
      <c r="K17" s="40">
        <v>253.78</v>
      </c>
      <c r="L17" s="40">
        <v>25.26</v>
      </c>
      <c r="M17" s="40">
        <v>94.52</v>
      </c>
      <c r="N17" s="40">
        <v>96.7</v>
      </c>
      <c r="O17" s="40">
        <v>0</v>
      </c>
      <c r="P17" s="40">
        <v>0.13</v>
      </c>
      <c r="Q17" s="40">
        <v>10</v>
      </c>
      <c r="R17" s="38"/>
      <c r="S17" s="38"/>
      <c r="T17" s="38"/>
      <c r="U17" s="38"/>
    </row>
    <row r="18" spans="1:21" customFormat="1">
      <c r="A18" s="41" t="s">
        <v>333</v>
      </c>
      <c r="B18" s="40">
        <v>4.92</v>
      </c>
      <c r="C18" s="40">
        <v>14.12</v>
      </c>
      <c r="D18" s="40">
        <v>11.32</v>
      </c>
      <c r="E18" s="40">
        <v>4.8</v>
      </c>
      <c r="F18" s="40">
        <v>2.2400000000000002</v>
      </c>
      <c r="G18" s="40">
        <v>3.71</v>
      </c>
      <c r="H18" s="40">
        <v>1.08</v>
      </c>
      <c r="I18" s="40">
        <v>2.68</v>
      </c>
      <c r="J18" s="40">
        <v>0.87</v>
      </c>
      <c r="K18" s="40">
        <v>254.58</v>
      </c>
      <c r="L18" s="40">
        <v>25.7</v>
      </c>
      <c r="M18" s="40">
        <v>90.52</v>
      </c>
      <c r="N18" s="40">
        <v>107.2</v>
      </c>
      <c r="O18" s="40">
        <v>0</v>
      </c>
      <c r="P18" s="40">
        <v>0.13</v>
      </c>
      <c r="Q18" s="40">
        <v>10</v>
      </c>
      <c r="R18" s="38"/>
      <c r="S18" s="38"/>
      <c r="T18" s="38"/>
      <c r="U18" s="38"/>
    </row>
    <row r="19" spans="1:21" customFormat="1">
      <c r="A19" s="41" t="s">
        <v>334</v>
      </c>
      <c r="B19" s="40">
        <v>4.6100000000000003</v>
      </c>
      <c r="C19" s="40">
        <v>13.67</v>
      </c>
      <c r="D19" s="40">
        <v>10.83</v>
      </c>
      <c r="E19" s="40">
        <v>5.05</v>
      </c>
      <c r="F19" s="40">
        <v>2.19</v>
      </c>
      <c r="G19" s="40">
        <v>4.4000000000000004</v>
      </c>
      <c r="H19" s="40">
        <v>1.24</v>
      </c>
      <c r="I19" s="40">
        <v>2.68</v>
      </c>
      <c r="J19" s="40">
        <v>1.0900000000000001</v>
      </c>
      <c r="K19" s="40">
        <v>255.21</v>
      </c>
      <c r="L19" s="40">
        <v>26.52</v>
      </c>
      <c r="M19" s="40">
        <v>86.33</v>
      </c>
      <c r="N19" s="40">
        <v>148.19999999999999</v>
      </c>
      <c r="O19" s="40">
        <v>0</v>
      </c>
      <c r="P19" s="40">
        <v>0.13</v>
      </c>
      <c r="Q19" s="40">
        <v>10</v>
      </c>
      <c r="R19" s="38"/>
      <c r="S19" s="38"/>
      <c r="T19" s="38"/>
      <c r="U19" s="38"/>
    </row>
    <row r="20" spans="1:21" customFormat="1">
      <c r="A20" s="41" t="s">
        <v>335</v>
      </c>
      <c r="B20" s="40">
        <v>4.0599999999999996</v>
      </c>
      <c r="C20" s="40">
        <v>13.48</v>
      </c>
      <c r="D20" s="40">
        <v>10.3</v>
      </c>
      <c r="E20" s="40">
        <v>5.07</v>
      </c>
      <c r="F20" s="40">
        <v>1.94</v>
      </c>
      <c r="G20" s="40">
        <v>7.01</v>
      </c>
      <c r="H20" s="40">
        <v>1.95</v>
      </c>
      <c r="I20" s="40">
        <v>2.57</v>
      </c>
      <c r="J20" s="40">
        <v>1.08</v>
      </c>
      <c r="K20" s="40">
        <v>256.43</v>
      </c>
      <c r="L20" s="40">
        <v>27.08</v>
      </c>
      <c r="M20" s="40">
        <v>83.51</v>
      </c>
      <c r="N20" s="40">
        <v>206.2</v>
      </c>
      <c r="O20" s="40">
        <v>0</v>
      </c>
      <c r="P20" s="40">
        <v>0.13</v>
      </c>
      <c r="Q20" s="40">
        <v>10</v>
      </c>
      <c r="R20" s="38"/>
      <c r="S20" s="38"/>
      <c r="T20" s="38"/>
      <c r="U20" s="38"/>
    </row>
    <row r="21" spans="1:21" customFormat="1">
      <c r="A21" s="41" t="s">
        <v>336</v>
      </c>
      <c r="B21" s="40">
        <v>4.05</v>
      </c>
      <c r="C21" s="40">
        <v>13.3</v>
      </c>
      <c r="D21" s="40">
        <v>10.199999999999999</v>
      </c>
      <c r="E21" s="40">
        <v>4.55</v>
      </c>
      <c r="F21" s="40">
        <v>3.36</v>
      </c>
      <c r="G21" s="40">
        <v>10.6</v>
      </c>
      <c r="H21" s="40">
        <v>2.44</v>
      </c>
      <c r="I21" s="40">
        <v>2.61</v>
      </c>
      <c r="J21" s="40">
        <v>1.1399999999999999</v>
      </c>
      <c r="K21" s="40">
        <v>259.51</v>
      </c>
      <c r="L21" s="40">
        <v>27.65</v>
      </c>
      <c r="M21" s="40">
        <v>83.75</v>
      </c>
      <c r="N21" s="40">
        <v>261.10000000000002</v>
      </c>
      <c r="O21" s="40">
        <v>0</v>
      </c>
      <c r="P21" s="40">
        <v>0.08</v>
      </c>
      <c r="Q21" s="40">
        <v>10</v>
      </c>
      <c r="R21" s="38"/>
      <c r="S21" s="38"/>
      <c r="T21" s="38"/>
      <c r="U21" s="38"/>
    </row>
    <row r="22" spans="1:21" customFormat="1">
      <c r="A22" s="41" t="s">
        <v>337</v>
      </c>
      <c r="B22" s="40">
        <v>4.18</v>
      </c>
      <c r="C22" s="40">
        <v>13.39</v>
      </c>
      <c r="D22" s="40">
        <v>10.34</v>
      </c>
      <c r="E22" s="40">
        <v>3.88</v>
      </c>
      <c r="F22" s="40">
        <v>3.46</v>
      </c>
      <c r="G22" s="40">
        <v>8.33</v>
      </c>
      <c r="H22" s="40">
        <v>2.4500000000000002</v>
      </c>
      <c r="I22" s="40">
        <v>2.68</v>
      </c>
      <c r="J22" s="40">
        <v>1.42</v>
      </c>
      <c r="K22" s="40">
        <v>257.45</v>
      </c>
      <c r="L22" s="40">
        <v>28.08</v>
      </c>
      <c r="M22" s="40">
        <v>79.97</v>
      </c>
      <c r="N22" s="40">
        <v>383.1</v>
      </c>
      <c r="O22" s="40">
        <v>0</v>
      </c>
      <c r="P22" s="40">
        <v>0.09</v>
      </c>
      <c r="Q22" s="40">
        <v>10</v>
      </c>
      <c r="R22" s="38"/>
      <c r="S22" s="38"/>
      <c r="T22" s="38"/>
      <c r="U22" s="38"/>
    </row>
    <row r="23" spans="1:21" customFormat="1">
      <c r="A23" s="41" t="s">
        <v>338</v>
      </c>
      <c r="B23" s="40">
        <v>4.1100000000000003</v>
      </c>
      <c r="C23" s="40">
        <v>13.45</v>
      </c>
      <c r="D23" s="40">
        <v>10.31</v>
      </c>
      <c r="E23" s="40">
        <v>3.74</v>
      </c>
      <c r="F23" s="40">
        <v>3.41</v>
      </c>
      <c r="G23" s="40">
        <v>8.0299999999999994</v>
      </c>
      <c r="H23" s="40">
        <v>2.66</v>
      </c>
      <c r="I23" s="40">
        <v>2.75</v>
      </c>
      <c r="J23" s="40">
        <v>1.06</v>
      </c>
      <c r="K23" s="40">
        <v>261.27</v>
      </c>
      <c r="L23" s="40">
        <v>28.51</v>
      </c>
      <c r="M23" s="40">
        <v>78.39</v>
      </c>
      <c r="N23" s="40">
        <v>229.1</v>
      </c>
      <c r="O23" s="40">
        <v>0</v>
      </c>
      <c r="P23" s="40">
        <v>0.09</v>
      </c>
      <c r="Q23" s="40">
        <v>10</v>
      </c>
      <c r="R23" s="38"/>
      <c r="S23" s="38"/>
      <c r="T23" s="38"/>
      <c r="U23" s="38"/>
    </row>
    <row r="24" spans="1:21" customFormat="1">
      <c r="A24" s="41" t="s">
        <v>339</v>
      </c>
      <c r="B24" s="40">
        <v>4.1500000000000004</v>
      </c>
      <c r="C24" s="40">
        <v>13.47</v>
      </c>
      <c r="D24" s="40">
        <v>10.37</v>
      </c>
      <c r="E24" s="40">
        <v>3.56</v>
      </c>
      <c r="F24" s="40">
        <v>4.43</v>
      </c>
      <c r="G24" s="40">
        <v>9.57</v>
      </c>
      <c r="H24" s="40">
        <v>3.25</v>
      </c>
      <c r="I24" s="40">
        <v>2.77</v>
      </c>
      <c r="J24" s="40">
        <v>1.03</v>
      </c>
      <c r="K24" s="40">
        <v>262.76</v>
      </c>
      <c r="L24" s="40">
        <v>28.43</v>
      </c>
      <c r="M24" s="40">
        <v>79.540000000000006</v>
      </c>
      <c r="N24" s="40">
        <v>152.30000000000001</v>
      </c>
      <c r="O24" s="40">
        <v>0</v>
      </c>
      <c r="P24" s="40">
        <v>0.09</v>
      </c>
      <c r="Q24" s="40">
        <v>10</v>
      </c>
      <c r="R24" s="38"/>
      <c r="S24" s="38"/>
      <c r="T24" s="38"/>
      <c r="U24" s="38"/>
    </row>
    <row r="25" spans="1:21" customFormat="1">
      <c r="A25" s="41" t="s">
        <v>340</v>
      </c>
      <c r="B25" s="40">
        <v>4.3899999999999997</v>
      </c>
      <c r="C25" s="40">
        <v>14.18</v>
      </c>
      <c r="D25" s="40">
        <v>10.81</v>
      </c>
      <c r="E25" s="40">
        <v>3.8</v>
      </c>
      <c r="F25" s="40">
        <v>3.08</v>
      </c>
      <c r="G25" s="40">
        <v>12.03</v>
      </c>
      <c r="H25" s="40">
        <v>4.53</v>
      </c>
      <c r="I25" s="40">
        <v>2.83</v>
      </c>
      <c r="J25" s="40">
        <v>0.85</v>
      </c>
      <c r="K25" s="40">
        <v>259.92</v>
      </c>
      <c r="L25" s="40">
        <v>28.16</v>
      </c>
      <c r="M25" s="40">
        <v>80.19</v>
      </c>
      <c r="N25" s="40">
        <v>109.3</v>
      </c>
      <c r="O25" s="40">
        <v>0</v>
      </c>
      <c r="P25" s="40">
        <v>0.13</v>
      </c>
      <c r="Q25" s="40">
        <v>10</v>
      </c>
      <c r="R25" s="38"/>
      <c r="S25" s="38"/>
      <c r="T25" s="38"/>
      <c r="U25" s="38"/>
    </row>
    <row r="26" spans="1:21" customFormat="1">
      <c r="A26" s="41" t="s">
        <v>341</v>
      </c>
      <c r="B26" s="40">
        <v>4.05</v>
      </c>
      <c r="C26" s="40">
        <v>14.37</v>
      </c>
      <c r="D26" s="40">
        <v>10.72</v>
      </c>
      <c r="E26" s="40">
        <v>4.01</v>
      </c>
      <c r="F26" s="40">
        <v>2.7</v>
      </c>
      <c r="G26" s="40">
        <v>15.33</v>
      </c>
      <c r="H26" s="40">
        <v>5.76</v>
      </c>
      <c r="I26" s="40">
        <v>2.81</v>
      </c>
      <c r="J26" s="40">
        <v>0.78</v>
      </c>
      <c r="K26" s="40">
        <v>255.35</v>
      </c>
      <c r="L26" s="40">
        <v>27.92</v>
      </c>
      <c r="M26" s="40">
        <v>80.14</v>
      </c>
      <c r="N26" s="40">
        <v>54.1</v>
      </c>
      <c r="O26" s="40">
        <v>0</v>
      </c>
      <c r="P26" s="40">
        <v>0.14000000000000001</v>
      </c>
      <c r="Q26" s="40">
        <v>10</v>
      </c>
      <c r="R26" s="38"/>
      <c r="S26" s="38"/>
      <c r="T26" s="38"/>
      <c r="U26" s="38"/>
    </row>
    <row r="27" spans="1:21" customFormat="1">
      <c r="A27" s="41" t="s">
        <v>342</v>
      </c>
      <c r="B27" s="40">
        <v>3.58</v>
      </c>
      <c r="C27" s="40">
        <v>14.33</v>
      </c>
      <c r="D27" s="40">
        <v>10.36</v>
      </c>
      <c r="E27" s="40">
        <v>5.5</v>
      </c>
      <c r="F27" s="40">
        <v>2.46</v>
      </c>
      <c r="G27" s="40">
        <v>16.78</v>
      </c>
      <c r="H27" s="40">
        <v>6.89</v>
      </c>
      <c r="I27" s="40">
        <v>2.68</v>
      </c>
      <c r="J27" s="40">
        <v>0.57999999999999996</v>
      </c>
      <c r="K27" s="40">
        <v>253.29</v>
      </c>
      <c r="L27" s="40">
        <v>27.62</v>
      </c>
      <c r="M27" s="40">
        <v>83.24</v>
      </c>
      <c r="N27" s="40">
        <v>19.399999999999999</v>
      </c>
      <c r="O27" s="40">
        <v>0</v>
      </c>
      <c r="P27" s="40">
        <v>0.14000000000000001</v>
      </c>
      <c r="Q27" s="40">
        <v>10</v>
      </c>
      <c r="R27" s="38"/>
      <c r="S27" s="38"/>
      <c r="T27" s="38"/>
      <c r="U27" s="38"/>
    </row>
    <row r="28" spans="1:21" customFormat="1">
      <c r="A28" s="41" t="s">
        <v>343</v>
      </c>
      <c r="B28" s="40">
        <v>3.53</v>
      </c>
      <c r="C28" s="40">
        <v>13.93</v>
      </c>
      <c r="D28" s="40">
        <v>10.09</v>
      </c>
      <c r="E28" s="40">
        <v>5.87</v>
      </c>
      <c r="F28" s="40">
        <v>2.08</v>
      </c>
      <c r="G28" s="40">
        <v>12.1</v>
      </c>
      <c r="H28" s="40">
        <v>7.99</v>
      </c>
      <c r="I28" s="40">
        <v>2.73</v>
      </c>
      <c r="J28" s="40">
        <v>0.83</v>
      </c>
      <c r="K28" s="40">
        <v>255.02</v>
      </c>
      <c r="L28" s="40">
        <v>26.97</v>
      </c>
      <c r="M28" s="40">
        <v>85.09</v>
      </c>
      <c r="N28" s="40">
        <v>2.4</v>
      </c>
      <c r="O28" s="40">
        <v>0</v>
      </c>
      <c r="P28" s="40">
        <v>0.14000000000000001</v>
      </c>
      <c r="Q28" s="40">
        <v>10</v>
      </c>
      <c r="R28" s="38"/>
      <c r="S28" s="38"/>
      <c r="T28" s="38"/>
      <c r="U28" s="38"/>
    </row>
    <row r="29" spans="1:21" customFormat="1">
      <c r="A29" s="41" t="s">
        <v>344</v>
      </c>
      <c r="B29" s="40">
        <v>3.51</v>
      </c>
      <c r="C29" s="40">
        <v>13.55</v>
      </c>
      <c r="D29" s="40">
        <v>9.9</v>
      </c>
      <c r="E29" s="40">
        <v>5.86</v>
      </c>
      <c r="F29" s="40">
        <v>2.5299999999999998</v>
      </c>
      <c r="G29" s="40">
        <v>8.49</v>
      </c>
      <c r="H29" s="40">
        <v>8.18</v>
      </c>
      <c r="I29" s="40">
        <v>2.84</v>
      </c>
      <c r="J29" s="40">
        <v>0.87</v>
      </c>
      <c r="K29" s="40">
        <v>254.37</v>
      </c>
      <c r="L29" s="40">
        <v>26.85</v>
      </c>
      <c r="M29" s="40">
        <v>85.59</v>
      </c>
      <c r="N29" s="40">
        <v>2.5</v>
      </c>
      <c r="O29" s="40">
        <v>0</v>
      </c>
      <c r="P29" s="40">
        <v>0.14000000000000001</v>
      </c>
      <c r="Q29" s="40">
        <v>10</v>
      </c>
      <c r="R29" s="38"/>
      <c r="S29" s="38"/>
      <c r="T29" s="38"/>
      <c r="U29" s="38"/>
    </row>
    <row r="30" spans="1:21" customFormat="1">
      <c r="A30" s="41" t="s">
        <v>345</v>
      </c>
      <c r="B30" s="40">
        <v>3.56</v>
      </c>
      <c r="C30" s="40">
        <v>13.12</v>
      </c>
      <c r="D30" s="40">
        <v>9.69</v>
      </c>
      <c r="E30" s="40">
        <v>6.14</v>
      </c>
      <c r="F30" s="40">
        <v>2.5499999999999998</v>
      </c>
      <c r="G30" s="40">
        <v>8.1199999999999992</v>
      </c>
      <c r="H30" s="40">
        <v>6.91</v>
      </c>
      <c r="I30" s="40">
        <v>2.78</v>
      </c>
      <c r="J30" s="40">
        <v>0.85</v>
      </c>
      <c r="K30" s="40">
        <v>255.86</v>
      </c>
      <c r="L30" s="40">
        <v>26.42</v>
      </c>
      <c r="M30" s="40">
        <v>85.78</v>
      </c>
      <c r="N30" s="40">
        <v>2.2999999999999998</v>
      </c>
      <c r="O30" s="40">
        <v>0</v>
      </c>
      <c r="P30" s="40">
        <v>0.14000000000000001</v>
      </c>
      <c r="Q30" s="40">
        <v>10</v>
      </c>
      <c r="R30" s="38"/>
      <c r="S30" s="38"/>
      <c r="T30" s="38"/>
      <c r="U30" s="38"/>
    </row>
    <row r="31" spans="1:21" customFormat="1">
      <c r="A31" s="41" t="s">
        <v>346</v>
      </c>
      <c r="B31" s="40">
        <v>4.0199999999999996</v>
      </c>
      <c r="C31" s="40">
        <v>12.96</v>
      </c>
      <c r="D31" s="40">
        <v>10</v>
      </c>
      <c r="E31" s="40">
        <v>5.47</v>
      </c>
      <c r="F31" s="40">
        <v>3.76</v>
      </c>
      <c r="G31" s="40">
        <v>8.9</v>
      </c>
      <c r="H31" s="40">
        <v>5.01</v>
      </c>
      <c r="I31" s="40">
        <v>2.75</v>
      </c>
      <c r="J31" s="40">
        <v>0.81</v>
      </c>
      <c r="K31" s="40">
        <v>253.7</v>
      </c>
      <c r="L31" s="40">
        <v>26.23</v>
      </c>
      <c r="M31" s="40">
        <v>88.66</v>
      </c>
      <c r="N31" s="40">
        <v>2.4</v>
      </c>
      <c r="O31" s="40">
        <v>0</v>
      </c>
      <c r="P31" s="40">
        <v>0.09</v>
      </c>
      <c r="Q31" s="40">
        <v>10</v>
      </c>
      <c r="R31" s="38"/>
      <c r="S31" s="38"/>
      <c r="T31" s="38"/>
      <c r="U31" s="38"/>
    </row>
    <row r="32" spans="1:21" customFormat="1">
      <c r="A32" s="41" t="s">
        <v>347</v>
      </c>
      <c r="B32" s="40">
        <v>4.4800000000000004</v>
      </c>
      <c r="C32" s="40">
        <v>12.95</v>
      </c>
      <c r="D32" s="40">
        <v>10.3</v>
      </c>
      <c r="E32" s="40">
        <v>5.0999999999999996</v>
      </c>
      <c r="F32" s="40">
        <v>3.73</v>
      </c>
      <c r="G32" s="40">
        <v>6.51</v>
      </c>
      <c r="H32" s="40">
        <v>3.62</v>
      </c>
      <c r="I32" s="40">
        <v>2.81</v>
      </c>
      <c r="J32" s="40">
        <v>0.61</v>
      </c>
      <c r="K32" s="40">
        <v>256.12</v>
      </c>
      <c r="L32" s="40">
        <v>25.89</v>
      </c>
      <c r="M32" s="40">
        <v>90.47</v>
      </c>
      <c r="N32" s="40">
        <v>2.4</v>
      </c>
      <c r="O32" s="40">
        <v>0</v>
      </c>
      <c r="P32" s="40">
        <v>0.1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3.51</v>
      </c>
      <c r="C34" s="18">
        <f t="shared" si="0"/>
        <v>12.95</v>
      </c>
      <c r="D34" s="18">
        <f t="shared" si="0"/>
        <v>9.69</v>
      </c>
      <c r="E34" s="18">
        <f t="shared" si="0"/>
        <v>3.56</v>
      </c>
      <c r="F34" s="18">
        <f t="shared" si="0"/>
        <v>1.94</v>
      </c>
      <c r="G34" s="18">
        <f t="shared" si="0"/>
        <v>1.65</v>
      </c>
      <c r="H34" s="18">
        <f t="shared" si="0"/>
        <v>0.77</v>
      </c>
      <c r="I34" s="18">
        <f t="shared" si="0"/>
        <v>2.5099999999999998</v>
      </c>
      <c r="J34" s="18">
        <f t="shared" si="0"/>
        <v>0.57999999999999996</v>
      </c>
      <c r="K34" s="18">
        <f t="shared" si="0"/>
        <v>253.29</v>
      </c>
      <c r="L34" s="18">
        <f t="shared" si="0"/>
        <v>24.58</v>
      </c>
      <c r="M34" s="18">
        <f t="shared" si="0"/>
        <v>78.39</v>
      </c>
      <c r="N34" s="18">
        <f t="shared" si="0"/>
        <v>2.2000000000000002</v>
      </c>
      <c r="O34" s="18">
        <f t="shared" si="0"/>
        <v>0</v>
      </c>
      <c r="P34" s="18">
        <f t="shared" si="0"/>
        <v>0.08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6.22</v>
      </c>
      <c r="C35" s="3">
        <f t="shared" si="1"/>
        <v>14.37</v>
      </c>
      <c r="D35" s="3">
        <f t="shared" si="1"/>
        <v>12.16</v>
      </c>
      <c r="E35" s="3">
        <f t="shared" si="1"/>
        <v>6.62</v>
      </c>
      <c r="F35" s="3">
        <f t="shared" si="1"/>
        <v>4.43</v>
      </c>
      <c r="G35" s="3">
        <f t="shared" si="1"/>
        <v>16.78</v>
      </c>
      <c r="H35" s="3">
        <f t="shared" si="1"/>
        <v>8.18</v>
      </c>
      <c r="I35" s="3">
        <f t="shared" si="1"/>
        <v>2.89</v>
      </c>
      <c r="J35" s="3">
        <f t="shared" si="1"/>
        <v>1.42</v>
      </c>
      <c r="K35" s="3">
        <f t="shared" si="1"/>
        <v>275.70999999999998</v>
      </c>
      <c r="L35" s="3">
        <f t="shared" si="1"/>
        <v>28.51</v>
      </c>
      <c r="M35" s="3">
        <f t="shared" si="1"/>
        <v>97.69</v>
      </c>
      <c r="N35" s="3">
        <f t="shared" si="1"/>
        <v>383.1</v>
      </c>
      <c r="O35" s="3">
        <f t="shared" si="1"/>
        <v>0.4</v>
      </c>
      <c r="P35" s="3">
        <f t="shared" si="1"/>
        <v>0.14000000000000001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4.472500000000001</v>
      </c>
      <c r="C36" s="18">
        <f t="shared" si="2"/>
        <v>13.603749999999998</v>
      </c>
      <c r="D36" s="18">
        <f t="shared" si="2"/>
        <v>10.664166666666667</v>
      </c>
      <c r="E36" s="18">
        <f t="shared" si="2"/>
        <v>4.7779166666666661</v>
      </c>
      <c r="F36" s="18">
        <f t="shared" si="2"/>
        <v>2.7633333333333332</v>
      </c>
      <c r="G36" s="18">
        <f t="shared" si="2"/>
        <v>7.0516666666666667</v>
      </c>
      <c r="H36" s="18">
        <f t="shared" si="2"/>
        <v>2.9929166666666673</v>
      </c>
      <c r="I36" s="18">
        <f t="shared" si="2"/>
        <v>2.7183333333333333</v>
      </c>
      <c r="J36" s="18">
        <f t="shared" si="2"/>
        <v>0.87708333333333321</v>
      </c>
      <c r="K36" s="18">
        <f t="shared" si="2"/>
        <v>256.89083333333332</v>
      </c>
      <c r="L36" s="18">
        <f t="shared" si="2"/>
        <v>26.368749999999995</v>
      </c>
      <c r="M36" s="18">
        <f t="shared" si="2"/>
        <v>88.205833333333331</v>
      </c>
      <c r="N36" s="18">
        <f t="shared" si="2"/>
        <v>77.962500000000006</v>
      </c>
      <c r="O36" s="18">
        <f t="shared" si="2"/>
        <v>4.1666666666666664E-2</v>
      </c>
      <c r="P36" s="18">
        <f t="shared" si="2"/>
        <v>0.11416666666666669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0.82330326178727187</v>
      </c>
      <c r="C37" s="18">
        <f t="shared" ref="C37:Q37" si="3">STDEV(C9:C32)</f>
        <v>0.46144209208504799</v>
      </c>
      <c r="D37" s="18">
        <f t="shared" si="3"/>
        <v>0.73966453422372891</v>
      </c>
      <c r="E37" s="18">
        <f t="shared" si="3"/>
        <v>0.91353103355899412</v>
      </c>
      <c r="F37" s="18">
        <f t="shared" si="3"/>
        <v>0.65504508086925928</v>
      </c>
      <c r="G37" s="18">
        <f t="shared" si="3"/>
        <v>4.212688562846326</v>
      </c>
      <c r="H37" s="18">
        <f t="shared" si="3"/>
        <v>2.5191897924024946</v>
      </c>
      <c r="I37" s="18">
        <f t="shared" si="3"/>
        <v>0.11051919631278179</v>
      </c>
      <c r="J37" s="18">
        <f t="shared" si="3"/>
        <v>0.19391793797033557</v>
      </c>
      <c r="K37" s="18">
        <f t="shared" si="3"/>
        <v>4.7087180168617859</v>
      </c>
      <c r="L37" s="18">
        <f t="shared" si="3"/>
        <v>1.338705775058102</v>
      </c>
      <c r="M37" s="18">
        <f t="shared" si="3"/>
        <v>6.4011431836798494</v>
      </c>
      <c r="N37" s="18">
        <f t="shared" si="3"/>
        <v>104.09605017983861</v>
      </c>
      <c r="O37" s="18">
        <f t="shared" si="3"/>
        <v>0.10179547554081032</v>
      </c>
      <c r="P37" s="18">
        <f t="shared" si="3"/>
        <v>2.2050666295102415E-2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348</v>
      </c>
      <c r="B9" s="40">
        <v>5.42</v>
      </c>
      <c r="C9" s="40">
        <v>13.02</v>
      </c>
      <c r="D9" s="40">
        <v>11.08</v>
      </c>
      <c r="E9" s="40">
        <v>5.31</v>
      </c>
      <c r="F9" s="40">
        <v>2.8</v>
      </c>
      <c r="G9" s="40">
        <v>5.03</v>
      </c>
      <c r="H9" s="40">
        <v>2.99</v>
      </c>
      <c r="I9" s="40">
        <v>2.75</v>
      </c>
      <c r="J9" s="40">
        <v>0.43</v>
      </c>
      <c r="K9" s="40">
        <v>253.77</v>
      </c>
      <c r="L9" s="40">
        <v>25.7</v>
      </c>
      <c r="M9" s="40">
        <v>93.49</v>
      </c>
      <c r="N9" s="40">
        <v>2.2999999999999998</v>
      </c>
      <c r="O9" s="40">
        <v>0</v>
      </c>
      <c r="P9" s="40">
        <v>0.1</v>
      </c>
      <c r="Q9" s="40">
        <v>10</v>
      </c>
      <c r="R9" s="38"/>
      <c r="S9" s="38"/>
      <c r="T9" s="38"/>
      <c r="U9" s="38"/>
    </row>
    <row r="10" spans="1:21" customFormat="1">
      <c r="A10" s="41" t="s">
        <v>349</v>
      </c>
      <c r="B10" s="40">
        <v>6.02</v>
      </c>
      <c r="C10" s="40">
        <v>13.09</v>
      </c>
      <c r="D10" s="40">
        <v>11.66</v>
      </c>
      <c r="E10" s="40">
        <v>5.48</v>
      </c>
      <c r="F10" s="40">
        <v>2.84</v>
      </c>
      <c r="G10" s="40">
        <v>4.9800000000000004</v>
      </c>
      <c r="H10" s="40">
        <v>2.23</v>
      </c>
      <c r="I10" s="40">
        <v>2.93</v>
      </c>
      <c r="J10" s="40">
        <v>0.7</v>
      </c>
      <c r="K10" s="40">
        <v>254.88</v>
      </c>
      <c r="L10" s="40">
        <v>25.76</v>
      </c>
      <c r="M10" s="40">
        <v>93.48</v>
      </c>
      <c r="N10" s="40">
        <v>2.2000000000000002</v>
      </c>
      <c r="O10" s="40">
        <v>0</v>
      </c>
      <c r="P10" s="40">
        <v>0.1</v>
      </c>
      <c r="Q10" s="40">
        <v>10</v>
      </c>
      <c r="R10" s="38"/>
      <c r="S10" s="38"/>
      <c r="T10" s="38"/>
      <c r="U10" s="38"/>
    </row>
    <row r="11" spans="1:21" customFormat="1">
      <c r="A11" s="41" t="s">
        <v>350</v>
      </c>
      <c r="B11" s="40">
        <v>5.99</v>
      </c>
      <c r="C11" s="40">
        <v>13.7</v>
      </c>
      <c r="D11" s="40">
        <v>11.65</v>
      </c>
      <c r="E11" s="40">
        <v>5.33</v>
      </c>
      <c r="F11" s="40">
        <v>2.44</v>
      </c>
      <c r="G11" s="40">
        <v>3.99</v>
      </c>
      <c r="H11" s="40">
        <v>1.56</v>
      </c>
      <c r="I11" s="40">
        <v>2.95</v>
      </c>
      <c r="J11" s="40">
        <v>0.77</v>
      </c>
      <c r="K11" s="40">
        <v>255.33</v>
      </c>
      <c r="L11" s="40">
        <v>25.86</v>
      </c>
      <c r="M11" s="40">
        <v>89.54</v>
      </c>
      <c r="N11" s="40">
        <v>2.2999999999999998</v>
      </c>
      <c r="O11" s="40">
        <v>0</v>
      </c>
      <c r="P11" s="40">
        <v>0.13</v>
      </c>
      <c r="Q11" s="40">
        <v>10</v>
      </c>
      <c r="R11" s="38"/>
      <c r="S11" s="38"/>
      <c r="T11" s="38"/>
      <c r="U11" s="38"/>
    </row>
    <row r="12" spans="1:21" customFormat="1">
      <c r="A12" s="41" t="s">
        <v>351</v>
      </c>
      <c r="B12" s="40">
        <v>5.42</v>
      </c>
      <c r="C12" s="40">
        <v>14.19</v>
      </c>
      <c r="D12" s="40">
        <v>11.59</v>
      </c>
      <c r="E12" s="40">
        <v>5.51</v>
      </c>
      <c r="F12" s="40">
        <v>2.4</v>
      </c>
      <c r="G12" s="40">
        <v>4.75</v>
      </c>
      <c r="H12" s="40">
        <v>1.1200000000000001</v>
      </c>
      <c r="I12" s="40">
        <v>2.83</v>
      </c>
      <c r="J12" s="40">
        <v>0.67</v>
      </c>
      <c r="K12" s="40">
        <v>253.96</v>
      </c>
      <c r="L12" s="40">
        <v>25.84</v>
      </c>
      <c r="M12" s="40">
        <v>96.61</v>
      </c>
      <c r="N12" s="40">
        <v>3.2</v>
      </c>
      <c r="O12" s="40">
        <v>0.4</v>
      </c>
      <c r="P12" s="40">
        <v>0.13</v>
      </c>
      <c r="Q12" s="40">
        <v>10</v>
      </c>
      <c r="R12" s="38"/>
      <c r="S12" s="38"/>
      <c r="T12" s="38"/>
      <c r="U12" s="38"/>
    </row>
    <row r="13" spans="1:21" customFormat="1">
      <c r="A13" s="41" t="s">
        <v>352</v>
      </c>
      <c r="B13" s="40">
        <v>4.92</v>
      </c>
      <c r="C13" s="40">
        <v>14.21</v>
      </c>
      <c r="D13" s="40">
        <v>11.37</v>
      </c>
      <c r="E13" s="40">
        <v>5.84</v>
      </c>
      <c r="F13" s="40">
        <v>1.91</v>
      </c>
      <c r="G13" s="40">
        <v>7</v>
      </c>
      <c r="H13" s="40">
        <v>1.08</v>
      </c>
      <c r="I13" s="40">
        <v>2.65</v>
      </c>
      <c r="J13" s="40">
        <v>0.7</v>
      </c>
      <c r="K13" s="40">
        <v>256.27999999999997</v>
      </c>
      <c r="L13" s="40">
        <v>24.67</v>
      </c>
      <c r="M13" s="40">
        <v>98.01</v>
      </c>
      <c r="N13" s="40">
        <v>2.4</v>
      </c>
      <c r="O13" s="40">
        <v>0.2</v>
      </c>
      <c r="P13" s="40">
        <v>0.13</v>
      </c>
      <c r="Q13" s="40">
        <v>10</v>
      </c>
      <c r="R13" s="38"/>
      <c r="S13" s="38"/>
      <c r="T13" s="38"/>
      <c r="U13" s="38"/>
    </row>
    <row r="14" spans="1:21" customFormat="1">
      <c r="A14" s="41" t="s">
        <v>353</v>
      </c>
      <c r="B14" s="40">
        <v>4.76</v>
      </c>
      <c r="C14" s="40">
        <v>13.99</v>
      </c>
      <c r="D14" s="40">
        <v>11.13</v>
      </c>
      <c r="E14" s="40">
        <v>6.06</v>
      </c>
      <c r="F14" s="40">
        <v>2.63</v>
      </c>
      <c r="G14" s="40">
        <v>5.09</v>
      </c>
      <c r="H14" s="40">
        <v>1.78</v>
      </c>
      <c r="I14" s="40">
        <v>2.52</v>
      </c>
      <c r="J14" s="40">
        <v>0.78</v>
      </c>
      <c r="K14" s="40">
        <v>256.45999999999998</v>
      </c>
      <c r="L14" s="40">
        <v>24.72</v>
      </c>
      <c r="M14" s="40">
        <v>97.15</v>
      </c>
      <c r="N14" s="40">
        <v>6.5</v>
      </c>
      <c r="O14" s="40">
        <v>0</v>
      </c>
      <c r="P14" s="40">
        <v>0.13</v>
      </c>
      <c r="Q14" s="40">
        <v>10</v>
      </c>
      <c r="R14" s="38"/>
      <c r="S14" s="38"/>
      <c r="T14" s="38"/>
      <c r="U14" s="38"/>
    </row>
    <row r="15" spans="1:21" customFormat="1">
      <c r="A15" s="41" t="s">
        <v>354</v>
      </c>
      <c r="B15" s="40">
        <v>4.54</v>
      </c>
      <c r="C15" s="40">
        <v>13.64</v>
      </c>
      <c r="D15" s="40">
        <v>10.77</v>
      </c>
      <c r="E15" s="40">
        <v>6.11</v>
      </c>
      <c r="F15" s="40">
        <v>2.11</v>
      </c>
      <c r="G15" s="40">
        <v>3.8</v>
      </c>
      <c r="H15" s="40">
        <v>1.59</v>
      </c>
      <c r="I15" s="40">
        <v>2.46</v>
      </c>
      <c r="J15" s="40">
        <v>0.72</v>
      </c>
      <c r="K15" s="40">
        <v>255.47</v>
      </c>
      <c r="L15" s="40">
        <v>25.16</v>
      </c>
      <c r="M15" s="40">
        <v>94.28</v>
      </c>
      <c r="N15" s="40">
        <v>66.099999999999994</v>
      </c>
      <c r="O15" s="40">
        <v>0</v>
      </c>
      <c r="P15" s="40">
        <v>0.12</v>
      </c>
      <c r="Q15" s="40">
        <v>10</v>
      </c>
      <c r="R15" s="38"/>
      <c r="S15" s="38"/>
      <c r="T15" s="38"/>
      <c r="U15" s="38"/>
    </row>
    <row r="16" spans="1:21" customFormat="1">
      <c r="A16" s="41" t="s">
        <v>355</v>
      </c>
      <c r="B16" s="40">
        <v>4.57</v>
      </c>
      <c r="C16" s="40">
        <v>13.42</v>
      </c>
      <c r="D16" s="40">
        <v>10.62</v>
      </c>
      <c r="E16" s="40">
        <v>5.99</v>
      </c>
      <c r="F16" s="40">
        <v>2.12</v>
      </c>
      <c r="G16" s="40">
        <v>3.97</v>
      </c>
      <c r="H16" s="40">
        <v>1.33</v>
      </c>
      <c r="I16" s="40">
        <v>2.6</v>
      </c>
      <c r="J16" s="40">
        <v>0.83</v>
      </c>
      <c r="K16" s="40">
        <v>255.66</v>
      </c>
      <c r="L16" s="40">
        <v>25.95</v>
      </c>
      <c r="M16" s="40">
        <v>91.53</v>
      </c>
      <c r="N16" s="40">
        <v>95.8</v>
      </c>
      <c r="O16" s="40">
        <v>0</v>
      </c>
      <c r="P16" s="40">
        <v>0.13</v>
      </c>
      <c r="Q16" s="40">
        <v>10</v>
      </c>
      <c r="R16" s="38"/>
      <c r="S16" s="38"/>
      <c r="T16" s="38"/>
      <c r="U16" s="38"/>
    </row>
    <row r="17" spans="1:21" customFormat="1">
      <c r="A17" s="41" t="s">
        <v>356</v>
      </c>
      <c r="B17" s="40">
        <v>5.13</v>
      </c>
      <c r="C17" s="40">
        <v>13.28</v>
      </c>
      <c r="D17" s="40">
        <v>10.97</v>
      </c>
      <c r="E17" s="40">
        <v>5.47</v>
      </c>
      <c r="F17" s="40">
        <v>2.74</v>
      </c>
      <c r="G17" s="40">
        <v>4.41</v>
      </c>
      <c r="H17" s="40">
        <v>1.34</v>
      </c>
      <c r="I17" s="40">
        <v>2.75</v>
      </c>
      <c r="J17" s="40">
        <v>0.93</v>
      </c>
      <c r="K17" s="40">
        <v>256.39999999999998</v>
      </c>
      <c r="L17" s="40">
        <v>26.49</v>
      </c>
      <c r="M17" s="40">
        <v>88.38</v>
      </c>
      <c r="N17" s="40">
        <v>155.9</v>
      </c>
      <c r="O17" s="40">
        <v>0</v>
      </c>
      <c r="P17" s="40">
        <v>0.09</v>
      </c>
      <c r="Q17" s="40">
        <v>10</v>
      </c>
      <c r="R17" s="38"/>
      <c r="S17" s="38"/>
      <c r="T17" s="38"/>
      <c r="U17" s="38"/>
    </row>
    <row r="18" spans="1:21" customFormat="1">
      <c r="A18" s="41" t="s">
        <v>357</v>
      </c>
      <c r="B18" s="40">
        <v>5.32</v>
      </c>
      <c r="C18" s="40">
        <v>13.11</v>
      </c>
      <c r="D18" s="40">
        <v>11.1</v>
      </c>
      <c r="E18" s="40">
        <v>5.66</v>
      </c>
      <c r="F18" s="40">
        <v>3.17</v>
      </c>
      <c r="G18" s="40">
        <v>5.7</v>
      </c>
      <c r="H18" s="40">
        <v>1.63</v>
      </c>
      <c r="I18" s="40">
        <v>2.84</v>
      </c>
      <c r="J18" s="40">
        <v>1.02</v>
      </c>
      <c r="K18" s="40">
        <v>256.13</v>
      </c>
      <c r="L18" s="40">
        <v>26.88</v>
      </c>
      <c r="M18" s="40">
        <v>83.43</v>
      </c>
      <c r="N18" s="40">
        <v>151.6</v>
      </c>
      <c r="O18" s="40">
        <v>0</v>
      </c>
      <c r="P18" s="40">
        <v>0.09</v>
      </c>
      <c r="Q18" s="40">
        <v>10</v>
      </c>
      <c r="R18" s="38"/>
      <c r="S18" s="38"/>
      <c r="T18" s="38"/>
      <c r="U18" s="38"/>
    </row>
    <row r="19" spans="1:21" customFormat="1">
      <c r="A19" s="41" t="s">
        <v>358</v>
      </c>
      <c r="B19" s="40">
        <v>5.36</v>
      </c>
      <c r="C19" s="40">
        <v>13.26</v>
      </c>
      <c r="D19" s="40">
        <v>11.23</v>
      </c>
      <c r="E19" s="40">
        <v>5.18</v>
      </c>
      <c r="F19" s="40">
        <v>2.89</v>
      </c>
      <c r="G19" s="40">
        <v>7.63</v>
      </c>
      <c r="H19" s="40">
        <v>1.48</v>
      </c>
      <c r="I19" s="40">
        <v>2.86</v>
      </c>
      <c r="J19" s="40">
        <v>0.97</v>
      </c>
      <c r="K19" s="40">
        <v>261.67</v>
      </c>
      <c r="L19" s="40">
        <v>27.09</v>
      </c>
      <c r="M19" s="40">
        <v>81.37</v>
      </c>
      <c r="N19" s="40">
        <v>171.2</v>
      </c>
      <c r="O19" s="40">
        <v>0</v>
      </c>
      <c r="P19" s="40">
        <v>0.1</v>
      </c>
      <c r="Q19" s="40">
        <v>10</v>
      </c>
      <c r="R19" s="38"/>
      <c r="S19" s="38"/>
      <c r="T19" s="38"/>
      <c r="U19" s="38"/>
    </row>
    <row r="20" spans="1:21" customFormat="1">
      <c r="A20" s="41" t="s">
        <v>359</v>
      </c>
      <c r="B20" s="40">
        <v>5.33</v>
      </c>
      <c r="C20" s="40">
        <v>13.4</v>
      </c>
      <c r="D20" s="40">
        <v>11.14</v>
      </c>
      <c r="E20" s="40">
        <v>5.15</v>
      </c>
      <c r="F20" s="40">
        <v>3.54</v>
      </c>
      <c r="G20" s="40">
        <v>8.86</v>
      </c>
      <c r="H20" s="40">
        <v>2.5499999999999998</v>
      </c>
      <c r="I20" s="40">
        <v>2.93</v>
      </c>
      <c r="J20" s="40">
        <v>0.98</v>
      </c>
      <c r="K20" s="40">
        <v>256.27999999999997</v>
      </c>
      <c r="L20" s="40">
        <v>27.92</v>
      </c>
      <c r="M20" s="40">
        <v>79.290000000000006</v>
      </c>
      <c r="N20" s="40">
        <v>276.3</v>
      </c>
      <c r="O20" s="40">
        <v>0</v>
      </c>
      <c r="P20" s="40">
        <v>0.1</v>
      </c>
      <c r="Q20" s="40">
        <v>10</v>
      </c>
      <c r="R20" s="38"/>
      <c r="S20" s="38"/>
      <c r="T20" s="38"/>
      <c r="U20" s="38"/>
    </row>
    <row r="21" spans="1:21" customFormat="1">
      <c r="A21" s="41" t="s">
        <v>360</v>
      </c>
      <c r="B21" s="40">
        <v>5.0199999999999996</v>
      </c>
      <c r="C21" s="40">
        <v>13.87</v>
      </c>
      <c r="D21" s="40">
        <v>10.89</v>
      </c>
      <c r="E21" s="40">
        <v>4.92</v>
      </c>
      <c r="F21" s="40">
        <v>3.41</v>
      </c>
      <c r="G21" s="40">
        <v>12.76</v>
      </c>
      <c r="H21" s="40">
        <v>3.45</v>
      </c>
      <c r="I21" s="40">
        <v>2.95</v>
      </c>
      <c r="J21" s="40">
        <v>1.1000000000000001</v>
      </c>
      <c r="K21" s="40">
        <v>258.24</v>
      </c>
      <c r="L21" s="40">
        <v>28.12</v>
      </c>
      <c r="M21" s="40">
        <v>76.89</v>
      </c>
      <c r="N21" s="40">
        <v>317.10000000000002</v>
      </c>
      <c r="O21" s="40">
        <v>0</v>
      </c>
      <c r="P21" s="40">
        <v>0.12</v>
      </c>
      <c r="Q21" s="40">
        <v>10</v>
      </c>
      <c r="R21" s="38"/>
      <c r="S21" s="38"/>
      <c r="T21" s="38"/>
      <c r="U21" s="38"/>
    </row>
    <row r="22" spans="1:21" customFormat="1">
      <c r="A22" s="41" t="s">
        <v>361</v>
      </c>
      <c r="B22" s="40">
        <v>4.05</v>
      </c>
      <c r="C22" s="40">
        <v>14.1</v>
      </c>
      <c r="D22" s="40">
        <v>10.54</v>
      </c>
      <c r="E22" s="40">
        <v>5.0599999999999996</v>
      </c>
      <c r="F22" s="40">
        <v>2.98</v>
      </c>
      <c r="G22" s="40">
        <v>11.56</v>
      </c>
      <c r="H22" s="40">
        <v>3.62</v>
      </c>
      <c r="I22" s="40">
        <v>2.83</v>
      </c>
      <c r="J22" s="40">
        <v>0.85</v>
      </c>
      <c r="K22" s="40">
        <v>255.58</v>
      </c>
      <c r="L22" s="40">
        <v>27.68</v>
      </c>
      <c r="M22" s="40">
        <v>78.94</v>
      </c>
      <c r="N22" s="40">
        <v>125.7</v>
      </c>
      <c r="O22" s="40">
        <v>0</v>
      </c>
      <c r="P22" s="40">
        <v>0.12</v>
      </c>
      <c r="Q22" s="40">
        <v>10</v>
      </c>
      <c r="R22" s="38"/>
      <c r="S22" s="38"/>
      <c r="T22" s="38"/>
      <c r="U22" s="38"/>
    </row>
    <row r="23" spans="1:21" customFormat="1">
      <c r="A23" s="41" t="s">
        <v>362</v>
      </c>
      <c r="B23" s="40">
        <v>3.74</v>
      </c>
      <c r="C23" s="40">
        <v>14.06</v>
      </c>
      <c r="D23" s="40">
        <v>10.34</v>
      </c>
      <c r="E23" s="40">
        <v>5.23</v>
      </c>
      <c r="F23" s="40">
        <v>2.91</v>
      </c>
      <c r="G23" s="40">
        <v>11.53</v>
      </c>
      <c r="H23" s="40">
        <v>4.97</v>
      </c>
      <c r="I23" s="40">
        <v>2.87</v>
      </c>
      <c r="J23" s="40">
        <v>0.93</v>
      </c>
      <c r="K23" s="40">
        <v>258.93</v>
      </c>
      <c r="L23" s="40">
        <v>27.65</v>
      </c>
      <c r="M23" s="40">
        <v>79.069999999999993</v>
      </c>
      <c r="N23" s="40">
        <v>109.1</v>
      </c>
      <c r="O23" s="40">
        <v>0</v>
      </c>
      <c r="P23" s="40">
        <v>0.13</v>
      </c>
      <c r="Q23" s="40">
        <v>10</v>
      </c>
      <c r="R23" s="38"/>
      <c r="S23" s="38"/>
      <c r="T23" s="38"/>
      <c r="U23" s="38"/>
    </row>
    <row r="24" spans="1:21" customFormat="1">
      <c r="A24" s="41" t="s">
        <v>363</v>
      </c>
      <c r="B24" s="40">
        <v>3.93</v>
      </c>
      <c r="C24" s="40">
        <v>14.12</v>
      </c>
      <c r="D24" s="40">
        <v>10.53</v>
      </c>
      <c r="E24" s="40">
        <v>5.55</v>
      </c>
      <c r="F24" s="40">
        <v>2.12</v>
      </c>
      <c r="G24" s="40">
        <v>13.08</v>
      </c>
      <c r="H24" s="40">
        <v>6.05</v>
      </c>
      <c r="I24" s="40">
        <v>3.06</v>
      </c>
      <c r="J24" s="40">
        <v>1.04</v>
      </c>
      <c r="K24" s="40">
        <v>278.54000000000002</v>
      </c>
      <c r="L24" s="40">
        <v>27.29</v>
      </c>
      <c r="M24" s="40">
        <v>85.66</v>
      </c>
      <c r="N24" s="40">
        <v>115.7</v>
      </c>
      <c r="O24" s="40">
        <v>0</v>
      </c>
      <c r="P24" s="40">
        <v>0.15</v>
      </c>
      <c r="Q24" s="40">
        <v>10</v>
      </c>
      <c r="R24" s="38"/>
      <c r="S24" s="38"/>
      <c r="T24" s="38"/>
      <c r="U24" s="38"/>
    </row>
    <row r="25" spans="1:21" customFormat="1">
      <c r="A25" s="41" t="s">
        <v>364</v>
      </c>
      <c r="B25" s="40">
        <v>3.88</v>
      </c>
      <c r="C25" s="40">
        <v>13.96</v>
      </c>
      <c r="D25" s="40">
        <v>10.41</v>
      </c>
      <c r="E25" s="40">
        <v>5.72</v>
      </c>
      <c r="F25" s="40">
        <v>2.17</v>
      </c>
      <c r="G25" s="40">
        <v>14.74</v>
      </c>
      <c r="H25" s="40">
        <v>6.05</v>
      </c>
      <c r="I25" s="40">
        <v>3.2</v>
      </c>
      <c r="J25" s="40">
        <v>1.1100000000000001</v>
      </c>
      <c r="K25" s="40">
        <v>262.85000000000002</v>
      </c>
      <c r="L25" s="40">
        <v>26.42</v>
      </c>
      <c r="M25" s="40">
        <v>86.89</v>
      </c>
      <c r="N25" s="40">
        <v>39</v>
      </c>
      <c r="O25" s="40">
        <v>0</v>
      </c>
      <c r="P25" s="40">
        <v>0.14000000000000001</v>
      </c>
      <c r="Q25" s="40">
        <v>10</v>
      </c>
      <c r="R25" s="38"/>
      <c r="S25" s="38"/>
      <c r="T25" s="38"/>
      <c r="U25" s="38"/>
    </row>
    <row r="26" spans="1:21" customFormat="1">
      <c r="A26" s="41" t="s">
        <v>365</v>
      </c>
      <c r="B26" s="40">
        <v>3.78</v>
      </c>
      <c r="C26" s="40">
        <v>13.47</v>
      </c>
      <c r="D26" s="40">
        <v>10.06</v>
      </c>
      <c r="E26" s="40">
        <v>5.85</v>
      </c>
      <c r="F26" s="40">
        <v>3.37</v>
      </c>
      <c r="G26" s="40">
        <v>12.04</v>
      </c>
      <c r="H26" s="40">
        <v>4.8899999999999997</v>
      </c>
      <c r="I26" s="40">
        <v>3.19</v>
      </c>
      <c r="J26" s="40">
        <v>0.82</v>
      </c>
      <c r="K26" s="40">
        <v>257.19</v>
      </c>
      <c r="L26" s="40">
        <v>25.95</v>
      </c>
      <c r="M26" s="40">
        <v>91.52</v>
      </c>
      <c r="N26" s="40">
        <v>28.7</v>
      </c>
      <c r="O26" s="40">
        <v>0</v>
      </c>
      <c r="P26" s="40">
        <v>0.14000000000000001</v>
      </c>
      <c r="Q26" s="40">
        <v>10</v>
      </c>
      <c r="R26" s="38"/>
      <c r="S26" s="38"/>
      <c r="T26" s="38"/>
      <c r="U26" s="38"/>
    </row>
    <row r="27" spans="1:21" customFormat="1">
      <c r="A27" s="41" t="s">
        <v>366</v>
      </c>
      <c r="B27" s="40">
        <v>4.33</v>
      </c>
      <c r="C27" s="40">
        <v>13.43</v>
      </c>
      <c r="D27" s="40">
        <v>10.36</v>
      </c>
      <c r="E27" s="40">
        <v>4.66</v>
      </c>
      <c r="F27" s="40">
        <v>2.97</v>
      </c>
      <c r="G27" s="40">
        <v>10.32</v>
      </c>
      <c r="H27" s="40">
        <v>4.24</v>
      </c>
      <c r="I27" s="40">
        <v>3.08</v>
      </c>
      <c r="J27" s="40">
        <v>0.78</v>
      </c>
      <c r="K27" s="40">
        <v>255.69</v>
      </c>
      <c r="L27" s="40">
        <v>25.62</v>
      </c>
      <c r="M27" s="40">
        <v>88.49</v>
      </c>
      <c r="N27" s="40">
        <v>9.4</v>
      </c>
      <c r="O27" s="40">
        <v>0</v>
      </c>
      <c r="P27" s="40">
        <v>0.11</v>
      </c>
      <c r="Q27" s="40">
        <v>10</v>
      </c>
      <c r="R27" s="38"/>
      <c r="S27" s="38"/>
      <c r="T27" s="38"/>
      <c r="U27" s="38"/>
    </row>
    <row r="28" spans="1:21" customFormat="1">
      <c r="A28" s="41" t="s">
        <v>367</v>
      </c>
      <c r="B28" s="40">
        <v>4.6399999999999997</v>
      </c>
      <c r="C28" s="40">
        <v>13.06</v>
      </c>
      <c r="D28" s="40">
        <v>10.52</v>
      </c>
      <c r="E28" s="40">
        <v>4.5199999999999996</v>
      </c>
      <c r="F28" s="40">
        <v>3.03</v>
      </c>
      <c r="G28" s="40">
        <v>9.2899999999999991</v>
      </c>
      <c r="H28" s="40">
        <v>2.97</v>
      </c>
      <c r="I28" s="40">
        <v>3.01</v>
      </c>
      <c r="J28" s="40">
        <v>0.63</v>
      </c>
      <c r="K28" s="40">
        <v>257.72000000000003</v>
      </c>
      <c r="L28" s="40">
        <v>25.73</v>
      </c>
      <c r="M28" s="40">
        <v>87.87</v>
      </c>
      <c r="N28" s="40">
        <v>2.4</v>
      </c>
      <c r="O28" s="40">
        <v>0</v>
      </c>
      <c r="P28" s="40">
        <v>0.11</v>
      </c>
      <c r="Q28" s="40">
        <v>10</v>
      </c>
      <c r="R28" s="38"/>
      <c r="S28" s="38"/>
      <c r="T28" s="38"/>
      <c r="U28" s="38"/>
    </row>
    <row r="29" spans="1:21" customFormat="1">
      <c r="A29" s="41" t="s">
        <v>368</v>
      </c>
      <c r="B29" s="40">
        <v>4.8899999999999997</v>
      </c>
      <c r="C29" s="40">
        <v>13.2</v>
      </c>
      <c r="D29" s="40">
        <v>10.82</v>
      </c>
      <c r="E29" s="40">
        <v>4.7699999999999996</v>
      </c>
      <c r="F29" s="40">
        <v>4.16</v>
      </c>
      <c r="G29" s="40">
        <v>7.07</v>
      </c>
      <c r="H29" s="40">
        <v>2.5</v>
      </c>
      <c r="I29" s="40">
        <v>3.06</v>
      </c>
      <c r="J29" s="40">
        <v>0.82</v>
      </c>
      <c r="K29" s="40">
        <v>255.17</v>
      </c>
      <c r="L29" s="40">
        <v>25.81</v>
      </c>
      <c r="M29" s="40">
        <v>87.49</v>
      </c>
      <c r="N29" s="40">
        <v>2.4</v>
      </c>
      <c r="O29" s="40">
        <v>0</v>
      </c>
      <c r="P29" s="40">
        <v>0.11</v>
      </c>
      <c r="Q29" s="40">
        <v>10</v>
      </c>
      <c r="R29" s="38"/>
      <c r="S29" s="38"/>
      <c r="T29" s="38"/>
      <c r="U29" s="38"/>
    </row>
    <row r="30" spans="1:21" customFormat="1">
      <c r="A30" s="41" t="s">
        <v>369</v>
      </c>
      <c r="B30" s="40">
        <v>5.03</v>
      </c>
      <c r="C30" s="40">
        <v>13.15</v>
      </c>
      <c r="D30" s="40">
        <v>10.9</v>
      </c>
      <c r="E30" s="40">
        <v>4.55</v>
      </c>
      <c r="F30" s="40">
        <v>2.83</v>
      </c>
      <c r="G30" s="40">
        <v>8.7100000000000009</v>
      </c>
      <c r="H30" s="40">
        <v>3.53</v>
      </c>
      <c r="I30" s="40">
        <v>3.04</v>
      </c>
      <c r="J30" s="40">
        <v>0.76</v>
      </c>
      <c r="K30" s="40">
        <v>254.82</v>
      </c>
      <c r="L30" s="40">
        <v>25.78</v>
      </c>
      <c r="M30" s="40">
        <v>88.83</v>
      </c>
      <c r="N30" s="40">
        <v>2.5</v>
      </c>
      <c r="O30" s="40">
        <v>0</v>
      </c>
      <c r="P30" s="40">
        <v>0.11</v>
      </c>
      <c r="Q30" s="40">
        <v>10</v>
      </c>
      <c r="R30" s="38"/>
      <c r="S30" s="38"/>
      <c r="T30" s="38"/>
      <c r="U30" s="38"/>
    </row>
    <row r="31" spans="1:21" customFormat="1">
      <c r="A31" s="41" t="s">
        <v>370</v>
      </c>
      <c r="B31" s="40">
        <v>5.05</v>
      </c>
      <c r="C31" s="40">
        <v>13.32</v>
      </c>
      <c r="D31" s="40">
        <v>11.01</v>
      </c>
      <c r="E31" s="40">
        <v>5.14</v>
      </c>
      <c r="F31" s="40">
        <v>2.2000000000000002</v>
      </c>
      <c r="G31" s="40">
        <v>10.45</v>
      </c>
      <c r="H31" s="40">
        <v>2.59</v>
      </c>
      <c r="I31" s="40">
        <v>3.04</v>
      </c>
      <c r="J31" s="40">
        <v>0.92</v>
      </c>
      <c r="K31" s="40">
        <v>255.9</v>
      </c>
      <c r="L31" s="40">
        <v>25.12</v>
      </c>
      <c r="M31" s="40">
        <v>94.67</v>
      </c>
      <c r="N31" s="40">
        <v>2.2000000000000002</v>
      </c>
      <c r="O31" s="40">
        <v>0</v>
      </c>
      <c r="P31" s="40">
        <v>0.14000000000000001</v>
      </c>
      <c r="Q31" s="40">
        <v>10</v>
      </c>
      <c r="R31" s="38"/>
      <c r="S31" s="38"/>
      <c r="T31" s="38"/>
      <c r="U31" s="38"/>
    </row>
    <row r="32" spans="1:21" customFormat="1">
      <c r="A32" s="41" t="s">
        <v>371</v>
      </c>
      <c r="B32" s="40">
        <v>4.4400000000000004</v>
      </c>
      <c r="C32" s="40">
        <v>13.12</v>
      </c>
      <c r="D32" s="40">
        <v>10.4</v>
      </c>
      <c r="E32" s="40">
        <v>5.0599999999999996</v>
      </c>
      <c r="F32" s="40">
        <v>2.2999999999999998</v>
      </c>
      <c r="G32" s="40">
        <v>7.55</v>
      </c>
      <c r="H32" s="40">
        <v>2.16</v>
      </c>
      <c r="I32" s="40">
        <v>2.82</v>
      </c>
      <c r="J32" s="40">
        <v>0.77</v>
      </c>
      <c r="K32" s="40">
        <v>260.04000000000002</v>
      </c>
      <c r="L32" s="40">
        <v>25.2</v>
      </c>
      <c r="M32" s="40">
        <v>91.06</v>
      </c>
      <c r="N32" s="40">
        <v>2.2000000000000002</v>
      </c>
      <c r="O32" s="40">
        <v>0</v>
      </c>
      <c r="P32" s="40">
        <v>0.14000000000000001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3.74</v>
      </c>
      <c r="C34" s="18">
        <f t="shared" si="0"/>
        <v>13.02</v>
      </c>
      <c r="D34" s="18">
        <f t="shared" si="0"/>
        <v>10.06</v>
      </c>
      <c r="E34" s="18">
        <f t="shared" si="0"/>
        <v>4.5199999999999996</v>
      </c>
      <c r="F34" s="18">
        <f t="shared" si="0"/>
        <v>1.91</v>
      </c>
      <c r="G34" s="18">
        <f t="shared" si="0"/>
        <v>3.8</v>
      </c>
      <c r="H34" s="18">
        <f t="shared" si="0"/>
        <v>1.08</v>
      </c>
      <c r="I34" s="18">
        <f t="shared" si="0"/>
        <v>2.46</v>
      </c>
      <c r="J34" s="18">
        <f t="shared" si="0"/>
        <v>0.43</v>
      </c>
      <c r="K34" s="18">
        <f t="shared" si="0"/>
        <v>253.77</v>
      </c>
      <c r="L34" s="18">
        <f t="shared" si="0"/>
        <v>24.67</v>
      </c>
      <c r="M34" s="18">
        <f t="shared" si="0"/>
        <v>76.89</v>
      </c>
      <c r="N34" s="18">
        <f t="shared" si="0"/>
        <v>2.2000000000000002</v>
      </c>
      <c r="O34" s="18">
        <f t="shared" si="0"/>
        <v>0</v>
      </c>
      <c r="P34" s="18">
        <f t="shared" si="0"/>
        <v>0.09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6.02</v>
      </c>
      <c r="C35" s="3">
        <f t="shared" si="1"/>
        <v>14.21</v>
      </c>
      <c r="D35" s="3">
        <f t="shared" si="1"/>
        <v>11.66</v>
      </c>
      <c r="E35" s="3">
        <f t="shared" si="1"/>
        <v>6.11</v>
      </c>
      <c r="F35" s="3">
        <f t="shared" si="1"/>
        <v>4.16</v>
      </c>
      <c r="G35" s="3">
        <f t="shared" si="1"/>
        <v>14.74</v>
      </c>
      <c r="H35" s="3">
        <f t="shared" si="1"/>
        <v>6.05</v>
      </c>
      <c r="I35" s="3">
        <f t="shared" si="1"/>
        <v>3.2</v>
      </c>
      <c r="J35" s="3">
        <f t="shared" si="1"/>
        <v>1.1100000000000001</v>
      </c>
      <c r="K35" s="3">
        <f t="shared" si="1"/>
        <v>278.54000000000002</v>
      </c>
      <c r="L35" s="3">
        <f t="shared" si="1"/>
        <v>28.12</v>
      </c>
      <c r="M35" s="3">
        <f t="shared" si="1"/>
        <v>98.01</v>
      </c>
      <c r="N35" s="3">
        <f t="shared" si="1"/>
        <v>317.10000000000002</v>
      </c>
      <c r="O35" s="3">
        <f t="shared" si="1"/>
        <v>0.4</v>
      </c>
      <c r="P35" s="3">
        <f t="shared" si="1"/>
        <v>0.15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4.8149999999999995</v>
      </c>
      <c r="C36" s="18">
        <f t="shared" si="2"/>
        <v>13.548749999999998</v>
      </c>
      <c r="D36" s="18">
        <f t="shared" si="2"/>
        <v>10.878749999999998</v>
      </c>
      <c r="E36" s="18">
        <f t="shared" si="2"/>
        <v>5.338333333333332</v>
      </c>
      <c r="F36" s="18">
        <f t="shared" si="2"/>
        <v>2.7516666666666665</v>
      </c>
      <c r="G36" s="18">
        <f t="shared" si="2"/>
        <v>8.0962499999999995</v>
      </c>
      <c r="H36" s="18">
        <f t="shared" si="2"/>
        <v>2.8208333333333329</v>
      </c>
      <c r="I36" s="18">
        <f t="shared" si="2"/>
        <v>2.8841666666666668</v>
      </c>
      <c r="J36" s="18">
        <f t="shared" si="2"/>
        <v>0.83458333333333334</v>
      </c>
      <c r="K36" s="18">
        <f t="shared" si="2"/>
        <v>257.62333333333328</v>
      </c>
      <c r="L36" s="18">
        <f t="shared" si="2"/>
        <v>26.18375</v>
      </c>
      <c r="M36" s="18">
        <f t="shared" si="2"/>
        <v>88.497500000000016</v>
      </c>
      <c r="N36" s="18">
        <f t="shared" si="2"/>
        <v>70.508333333333354</v>
      </c>
      <c r="O36" s="18">
        <f t="shared" si="2"/>
        <v>2.5000000000000005E-2</v>
      </c>
      <c r="P36" s="18">
        <f t="shared" si="2"/>
        <v>0.11958333333333333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0.64793987912192463</v>
      </c>
      <c r="C37" s="18">
        <f t="shared" ref="C37:Q37" si="3">STDEV(C9:C32)</f>
        <v>0.41131086836452874</v>
      </c>
      <c r="D37" s="18">
        <f t="shared" si="3"/>
        <v>0.43979553055442966</v>
      </c>
      <c r="E37" s="18">
        <f t="shared" si="3"/>
        <v>0.46306790437037537</v>
      </c>
      <c r="F37" s="18">
        <f t="shared" si="3"/>
        <v>0.54509406182042131</v>
      </c>
      <c r="G37" s="18">
        <f t="shared" si="3"/>
        <v>3.3410058528376849</v>
      </c>
      <c r="H37" s="18">
        <f t="shared" si="3"/>
        <v>1.505291873089206</v>
      </c>
      <c r="I37" s="18">
        <f t="shared" si="3"/>
        <v>0.19421898592247264</v>
      </c>
      <c r="J37" s="18">
        <f t="shared" si="3"/>
        <v>0.16021667846379464</v>
      </c>
      <c r="K37" s="18">
        <f t="shared" si="3"/>
        <v>4.9883339265048106</v>
      </c>
      <c r="L37" s="18">
        <f t="shared" si="3"/>
        <v>0.99968174283444911</v>
      </c>
      <c r="M37" s="18">
        <f t="shared" si="3"/>
        <v>6.1390533543011765</v>
      </c>
      <c r="N37" s="18">
        <f t="shared" si="3"/>
        <v>91.211059191528847</v>
      </c>
      <c r="O37" s="18">
        <f t="shared" si="3"/>
        <v>8.9685440629288141E-2</v>
      </c>
      <c r="P37" s="18">
        <f t="shared" si="3"/>
        <v>1.731527766395069E-2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26" zoomScale="87" zoomScaleNormal="87" workbookViewId="0">
      <selection activeCell="B43" sqref="B43"/>
    </sheetView>
  </sheetViews>
  <sheetFormatPr defaultColWidth="9" defaultRowHeight="15"/>
  <cols>
    <col min="1" max="1" width="17.7109375" bestFit="1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29/07/2025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41" t="s">
        <v>372</v>
      </c>
      <c r="B9" s="40">
        <v>3.96</v>
      </c>
      <c r="C9" s="40">
        <v>12.91</v>
      </c>
      <c r="D9" s="40">
        <v>9.85</v>
      </c>
      <c r="E9" s="40">
        <v>5.46</v>
      </c>
      <c r="F9" s="40">
        <v>2.94</v>
      </c>
      <c r="G9" s="40">
        <v>7.79</v>
      </c>
      <c r="H9" s="40">
        <v>1.71</v>
      </c>
      <c r="I9" s="40">
        <v>2.71</v>
      </c>
      <c r="J9" s="40">
        <v>0.75</v>
      </c>
      <c r="K9" s="40">
        <v>253.93</v>
      </c>
      <c r="L9" s="40">
        <v>25.25</v>
      </c>
      <c r="M9" s="40">
        <v>90.2</v>
      </c>
      <c r="N9" s="40">
        <v>2.5</v>
      </c>
      <c r="O9" s="40">
        <v>0</v>
      </c>
      <c r="P9" s="40">
        <v>0.13</v>
      </c>
      <c r="Q9" s="40">
        <v>10</v>
      </c>
      <c r="R9" s="38"/>
      <c r="S9" s="38"/>
      <c r="T9" s="38"/>
      <c r="U9" s="38"/>
    </row>
    <row r="10" spans="1:21">
      <c r="A10" s="41" t="s">
        <v>373</v>
      </c>
      <c r="B10" s="40">
        <v>3.72</v>
      </c>
      <c r="C10" s="40">
        <v>12.83</v>
      </c>
      <c r="D10" s="40">
        <v>9.69</v>
      </c>
      <c r="E10" s="40">
        <v>5.51</v>
      </c>
      <c r="F10" s="40">
        <v>2.41</v>
      </c>
      <c r="G10" s="40">
        <v>5.55</v>
      </c>
      <c r="H10" s="40">
        <v>1.55</v>
      </c>
      <c r="I10" s="40">
        <v>2.54</v>
      </c>
      <c r="J10" s="40">
        <v>0.92</v>
      </c>
      <c r="K10" s="40">
        <v>254.69</v>
      </c>
      <c r="L10" s="40">
        <v>25.07</v>
      </c>
      <c r="M10" s="40">
        <v>93.77</v>
      </c>
      <c r="N10" s="40">
        <v>2.4</v>
      </c>
      <c r="O10" s="40">
        <v>0.2</v>
      </c>
      <c r="P10" s="40">
        <v>0.12</v>
      </c>
      <c r="Q10" s="40">
        <v>10</v>
      </c>
      <c r="R10" s="38"/>
      <c r="S10" s="38"/>
      <c r="T10" s="38"/>
      <c r="U10" s="38"/>
    </row>
    <row r="11" spans="1:21">
      <c r="A11" s="41" t="s">
        <v>374</v>
      </c>
      <c r="B11" s="40">
        <v>3.72</v>
      </c>
      <c r="C11" s="40">
        <v>12.48</v>
      </c>
      <c r="D11" s="40">
        <v>9.4700000000000006</v>
      </c>
      <c r="E11" s="40">
        <v>4.66</v>
      </c>
      <c r="F11" s="40">
        <v>1.93</v>
      </c>
      <c r="G11" s="40">
        <v>4.04</v>
      </c>
      <c r="H11" s="40">
        <v>1.21</v>
      </c>
      <c r="I11" s="40">
        <v>2.4</v>
      </c>
      <c r="J11" s="40">
        <v>0.69</v>
      </c>
      <c r="K11" s="40">
        <v>254.89</v>
      </c>
      <c r="L11" s="40">
        <v>24.41</v>
      </c>
      <c r="M11" s="40">
        <v>98.75</v>
      </c>
      <c r="N11" s="40">
        <v>2.9</v>
      </c>
      <c r="O11" s="40">
        <v>0.6</v>
      </c>
      <c r="P11" s="40">
        <v>0.12</v>
      </c>
      <c r="Q11" s="40">
        <v>10</v>
      </c>
      <c r="R11" s="38"/>
      <c r="S11" s="38"/>
      <c r="T11" s="38"/>
      <c r="U11" s="38"/>
    </row>
    <row r="12" spans="1:21">
      <c r="A12" s="41" t="s">
        <v>375</v>
      </c>
      <c r="B12" s="40">
        <v>4.28</v>
      </c>
      <c r="C12" s="40">
        <v>12.62</v>
      </c>
      <c r="D12" s="40">
        <v>10.029999999999999</v>
      </c>
      <c r="E12" s="40">
        <v>4.5599999999999996</v>
      </c>
      <c r="F12" s="40">
        <v>2.4700000000000002</v>
      </c>
      <c r="G12" s="40">
        <v>3.76</v>
      </c>
      <c r="H12" s="40">
        <v>1.08</v>
      </c>
      <c r="I12" s="40">
        <v>2.39</v>
      </c>
      <c r="J12" s="40">
        <v>0.62</v>
      </c>
      <c r="K12" s="40">
        <v>253.8</v>
      </c>
      <c r="L12" s="40">
        <v>24.09</v>
      </c>
      <c r="M12" s="40">
        <v>98.8</v>
      </c>
      <c r="N12" s="40">
        <v>2.4</v>
      </c>
      <c r="O12" s="40">
        <v>0.2</v>
      </c>
      <c r="P12" s="40">
        <v>0.1</v>
      </c>
      <c r="Q12" s="40">
        <v>10</v>
      </c>
      <c r="R12" s="38"/>
      <c r="S12" s="38"/>
      <c r="T12" s="38"/>
      <c r="U12" s="38"/>
    </row>
    <row r="13" spans="1:21">
      <c r="A13" s="41" t="s">
        <v>376</v>
      </c>
      <c r="B13" s="40">
        <v>4.7</v>
      </c>
      <c r="C13" s="40">
        <v>12.66</v>
      </c>
      <c r="D13" s="40">
        <v>10.32</v>
      </c>
      <c r="E13" s="40">
        <v>4.0599999999999996</v>
      </c>
      <c r="F13" s="40">
        <v>2.74</v>
      </c>
      <c r="G13" s="40">
        <v>3.42</v>
      </c>
      <c r="H13" s="40">
        <v>0.96</v>
      </c>
      <c r="I13" s="40">
        <v>2.4900000000000002</v>
      </c>
      <c r="J13" s="40">
        <v>0.92</v>
      </c>
      <c r="K13" s="40">
        <v>254.81</v>
      </c>
      <c r="L13" s="40">
        <v>24.06</v>
      </c>
      <c r="M13" s="40">
        <v>98.81</v>
      </c>
      <c r="N13" s="40">
        <v>2.6</v>
      </c>
      <c r="O13" s="40">
        <v>8.6</v>
      </c>
      <c r="P13" s="40">
        <v>0.08</v>
      </c>
      <c r="Q13" s="40">
        <v>10</v>
      </c>
      <c r="R13" s="38"/>
      <c r="S13" s="38"/>
      <c r="T13" s="38"/>
      <c r="U13" s="38"/>
    </row>
    <row r="14" spans="1:21">
      <c r="A14" s="41" t="s">
        <v>377</v>
      </c>
      <c r="B14" s="40">
        <v>5.3</v>
      </c>
      <c r="C14" s="40">
        <v>12.8</v>
      </c>
      <c r="D14" s="40">
        <v>10.93</v>
      </c>
      <c r="E14" s="40">
        <v>3.95</v>
      </c>
      <c r="F14" s="40">
        <v>2.7</v>
      </c>
      <c r="G14" s="40">
        <v>2.83</v>
      </c>
      <c r="H14" s="40">
        <v>0.96</v>
      </c>
      <c r="I14" s="40">
        <v>2.5299999999999998</v>
      </c>
      <c r="J14" s="40">
        <v>0.7</v>
      </c>
      <c r="K14" s="40">
        <v>253.75</v>
      </c>
      <c r="L14" s="40">
        <v>23.76</v>
      </c>
      <c r="M14" s="40">
        <v>98.83</v>
      </c>
      <c r="N14" s="40">
        <v>4</v>
      </c>
      <c r="O14" s="40">
        <v>1.8</v>
      </c>
      <c r="P14" s="40">
        <v>0.09</v>
      </c>
      <c r="Q14" s="40">
        <v>10</v>
      </c>
      <c r="R14" s="38"/>
      <c r="S14" s="38"/>
      <c r="T14" s="38"/>
      <c r="U14" s="38"/>
    </row>
    <row r="15" spans="1:21">
      <c r="A15" s="41" t="s">
        <v>378</v>
      </c>
      <c r="B15" s="40">
        <v>5.61</v>
      </c>
      <c r="C15" s="40">
        <v>12.67</v>
      </c>
      <c r="D15" s="40">
        <v>11.06</v>
      </c>
      <c r="E15" s="40">
        <v>3.9</v>
      </c>
      <c r="F15" s="40">
        <v>2.38</v>
      </c>
      <c r="G15" s="40">
        <v>2.97</v>
      </c>
      <c r="H15" s="40">
        <v>0.92</v>
      </c>
      <c r="I15" s="40">
        <v>2.71</v>
      </c>
      <c r="J15" s="40">
        <v>0.68</v>
      </c>
      <c r="K15" s="40">
        <v>254.58</v>
      </c>
      <c r="L15" s="40">
        <v>23.74</v>
      </c>
      <c r="M15" s="40">
        <v>98.85</v>
      </c>
      <c r="N15" s="40">
        <v>15.8</v>
      </c>
      <c r="O15" s="40">
        <v>1.6</v>
      </c>
      <c r="P15" s="40">
        <v>0.08</v>
      </c>
      <c r="Q15" s="40">
        <v>10</v>
      </c>
      <c r="R15" s="38"/>
      <c r="S15" s="38"/>
      <c r="T15" s="38"/>
      <c r="U15" s="38"/>
    </row>
    <row r="16" spans="1:21">
      <c r="A16" s="41" t="s">
        <v>379</v>
      </c>
      <c r="B16" s="40">
        <v>5.93</v>
      </c>
      <c r="C16" s="40">
        <v>13.1</v>
      </c>
      <c r="D16" s="40">
        <v>11.6</v>
      </c>
      <c r="E16" s="40">
        <v>4.3099999999999996</v>
      </c>
      <c r="F16" s="40">
        <v>2.4700000000000002</v>
      </c>
      <c r="G16" s="40">
        <v>4.24</v>
      </c>
      <c r="H16" s="40">
        <v>0.8</v>
      </c>
      <c r="I16" s="40">
        <v>2.81</v>
      </c>
      <c r="J16" s="40">
        <v>0.88</v>
      </c>
      <c r="K16" s="40">
        <v>253.32</v>
      </c>
      <c r="L16" s="40">
        <v>23.76</v>
      </c>
      <c r="M16" s="40">
        <v>98.86</v>
      </c>
      <c r="N16" s="40">
        <v>33.799999999999997</v>
      </c>
      <c r="O16" s="40">
        <v>0.2</v>
      </c>
      <c r="P16" s="40">
        <v>0.11</v>
      </c>
      <c r="Q16" s="40">
        <v>10</v>
      </c>
      <c r="R16" s="38"/>
      <c r="S16" s="38"/>
      <c r="T16" s="38"/>
      <c r="U16" s="38"/>
    </row>
    <row r="17" spans="1:21">
      <c r="A17" s="41" t="s">
        <v>380</v>
      </c>
      <c r="B17" s="40">
        <v>5.82</v>
      </c>
      <c r="C17" s="40">
        <v>12.9</v>
      </c>
      <c r="D17" s="40">
        <v>11.41</v>
      </c>
      <c r="E17" s="40">
        <v>4.16</v>
      </c>
      <c r="F17" s="40">
        <v>2.16</v>
      </c>
      <c r="G17" s="40">
        <v>5.05</v>
      </c>
      <c r="H17" s="40">
        <v>0.73</v>
      </c>
      <c r="I17" s="40">
        <v>2.82</v>
      </c>
      <c r="J17" s="40">
        <v>0.98</v>
      </c>
      <c r="K17" s="40">
        <v>255.71</v>
      </c>
      <c r="L17" s="40">
        <v>24.1</v>
      </c>
      <c r="M17" s="40">
        <v>98.88</v>
      </c>
      <c r="N17" s="40">
        <v>74</v>
      </c>
      <c r="O17" s="40">
        <v>0.2</v>
      </c>
      <c r="P17" s="40">
        <v>0.13</v>
      </c>
      <c r="Q17" s="40">
        <v>10</v>
      </c>
      <c r="R17" s="38"/>
      <c r="S17" s="38"/>
      <c r="T17" s="38"/>
      <c r="U17" s="38"/>
    </row>
    <row r="18" spans="1:21">
      <c r="A18" s="41" t="s">
        <v>381</v>
      </c>
      <c r="B18" s="40">
        <v>5.26</v>
      </c>
      <c r="C18" s="40">
        <v>12.77</v>
      </c>
      <c r="D18" s="40">
        <v>10.88</v>
      </c>
      <c r="E18" s="40">
        <v>4.29</v>
      </c>
      <c r="F18" s="40">
        <v>2.12</v>
      </c>
      <c r="G18" s="40">
        <v>5.94</v>
      </c>
      <c r="H18" s="40">
        <v>0.81</v>
      </c>
      <c r="I18" s="40">
        <v>2.5499999999999998</v>
      </c>
      <c r="J18" s="40">
        <v>1.1499999999999999</v>
      </c>
      <c r="K18" s="40">
        <v>254.58</v>
      </c>
      <c r="L18" s="40">
        <v>24.68</v>
      </c>
      <c r="M18" s="40">
        <v>98.88</v>
      </c>
      <c r="N18" s="40">
        <v>128.30000000000001</v>
      </c>
      <c r="O18" s="40">
        <v>0</v>
      </c>
      <c r="P18" s="40">
        <v>0.13</v>
      </c>
      <c r="Q18" s="40">
        <v>10</v>
      </c>
      <c r="R18" s="38"/>
      <c r="S18" s="38"/>
      <c r="T18" s="38"/>
      <c r="U18" s="38"/>
    </row>
    <row r="19" spans="1:21">
      <c r="A19" s="41" t="s">
        <v>382</v>
      </c>
      <c r="B19" s="40">
        <v>4.82</v>
      </c>
      <c r="C19" s="40">
        <v>12.66</v>
      </c>
      <c r="D19" s="40">
        <v>10.48</v>
      </c>
      <c r="E19" s="40">
        <v>5.4</v>
      </c>
      <c r="F19" s="40">
        <v>2.27</v>
      </c>
      <c r="G19" s="40">
        <v>4.42</v>
      </c>
      <c r="H19" s="40">
        <v>0.83</v>
      </c>
      <c r="I19" s="40">
        <v>2.56</v>
      </c>
      <c r="J19" s="40">
        <v>1.04</v>
      </c>
      <c r="K19" s="40">
        <v>258.77</v>
      </c>
      <c r="L19" s="40">
        <v>25</v>
      </c>
      <c r="M19" s="40">
        <v>97.7</v>
      </c>
      <c r="N19" s="40">
        <v>128.80000000000001</v>
      </c>
      <c r="O19" s="40">
        <v>0</v>
      </c>
      <c r="P19" s="40">
        <v>0.13</v>
      </c>
      <c r="Q19" s="40">
        <v>10</v>
      </c>
      <c r="R19" s="38"/>
      <c r="S19" s="38"/>
      <c r="T19" s="38"/>
      <c r="U19" s="38"/>
    </row>
    <row r="20" spans="1:21">
      <c r="A20" s="41" t="s">
        <v>383</v>
      </c>
      <c r="B20" s="40">
        <v>4.49</v>
      </c>
      <c r="C20" s="40">
        <v>12.48</v>
      </c>
      <c r="D20" s="40">
        <v>10.119999999999999</v>
      </c>
      <c r="E20" s="40">
        <v>5.45</v>
      </c>
      <c r="F20" s="40">
        <v>2.4300000000000002</v>
      </c>
      <c r="G20" s="40">
        <v>3.23</v>
      </c>
      <c r="H20" s="40">
        <v>0.84</v>
      </c>
      <c r="I20" s="40">
        <v>2.5099999999999998</v>
      </c>
      <c r="J20" s="40">
        <v>1</v>
      </c>
      <c r="K20" s="40">
        <v>256.79000000000002</v>
      </c>
      <c r="L20" s="40">
        <v>25.28</v>
      </c>
      <c r="M20" s="40">
        <v>93.62</v>
      </c>
      <c r="N20" s="40">
        <v>125.5</v>
      </c>
      <c r="O20" s="40">
        <v>0</v>
      </c>
      <c r="P20" s="40">
        <v>0.13</v>
      </c>
      <c r="Q20" s="40">
        <v>10</v>
      </c>
      <c r="R20" s="38"/>
      <c r="S20" s="38"/>
      <c r="T20" s="38"/>
      <c r="U20" s="38"/>
    </row>
    <row r="21" spans="1:21">
      <c r="A21" s="41" t="s">
        <v>384</v>
      </c>
      <c r="B21" s="40">
        <v>4.2300000000000004</v>
      </c>
      <c r="C21" s="40">
        <v>12.37</v>
      </c>
      <c r="D21" s="40">
        <v>9.85</v>
      </c>
      <c r="E21" s="40">
        <v>5.43</v>
      </c>
      <c r="F21" s="40">
        <v>2.34</v>
      </c>
      <c r="G21" s="40">
        <v>3.33</v>
      </c>
      <c r="H21" s="40">
        <v>0.81</v>
      </c>
      <c r="I21" s="40">
        <v>2.5299999999999998</v>
      </c>
      <c r="J21" s="40">
        <v>1.08</v>
      </c>
      <c r="K21" s="40">
        <v>255.88</v>
      </c>
      <c r="L21" s="40">
        <v>25.63</v>
      </c>
      <c r="M21" s="40">
        <v>91.73</v>
      </c>
      <c r="N21" s="40">
        <v>139.5</v>
      </c>
      <c r="O21" s="40">
        <v>0</v>
      </c>
      <c r="P21" s="40">
        <v>0.13</v>
      </c>
      <c r="Q21" s="40">
        <v>10</v>
      </c>
      <c r="R21" s="38"/>
      <c r="S21" s="38"/>
      <c r="T21" s="38"/>
      <c r="U21" s="38"/>
    </row>
    <row r="22" spans="1:21">
      <c r="A22" s="41" t="s">
        <v>385</v>
      </c>
      <c r="B22" s="40">
        <v>4.28</v>
      </c>
      <c r="C22" s="40">
        <v>12.4</v>
      </c>
      <c r="D22" s="40">
        <v>9.8699999999999992</v>
      </c>
      <c r="E22" s="40">
        <v>5.17</v>
      </c>
      <c r="F22" s="40">
        <v>2.91</v>
      </c>
      <c r="G22" s="40">
        <v>2.85</v>
      </c>
      <c r="H22" s="40">
        <v>0.83</v>
      </c>
      <c r="I22" s="40">
        <v>2.54</v>
      </c>
      <c r="J22" s="40">
        <v>1.1000000000000001</v>
      </c>
      <c r="K22" s="40">
        <v>255.33</v>
      </c>
      <c r="L22" s="40">
        <v>25.51</v>
      </c>
      <c r="M22" s="40">
        <v>96.19</v>
      </c>
      <c r="N22" s="40">
        <v>104.2</v>
      </c>
      <c r="O22" s="40">
        <v>0.4</v>
      </c>
      <c r="P22" s="40">
        <v>0.09</v>
      </c>
      <c r="Q22" s="40">
        <v>10</v>
      </c>
      <c r="R22" s="38"/>
      <c r="S22" s="38"/>
      <c r="T22" s="38"/>
      <c r="U22" s="38"/>
    </row>
    <row r="23" spans="1:21">
      <c r="A23" s="41" t="s">
        <v>386</v>
      </c>
      <c r="B23" s="40">
        <v>4.6500000000000004</v>
      </c>
      <c r="C23" s="40">
        <v>12.34</v>
      </c>
      <c r="D23" s="40">
        <v>10.119999999999999</v>
      </c>
      <c r="E23" s="40">
        <v>4.74</v>
      </c>
      <c r="F23" s="40">
        <v>2.5</v>
      </c>
      <c r="G23" s="40">
        <v>2.79</v>
      </c>
      <c r="H23" s="40">
        <v>0.82</v>
      </c>
      <c r="I23" s="40">
        <v>2.63</v>
      </c>
      <c r="J23" s="40">
        <v>0.78</v>
      </c>
      <c r="K23" s="40">
        <v>258.68</v>
      </c>
      <c r="L23" s="40">
        <v>24.78</v>
      </c>
      <c r="M23" s="40">
        <v>97.1</v>
      </c>
      <c r="N23" s="40">
        <v>65.400000000000006</v>
      </c>
      <c r="O23" s="40">
        <v>0</v>
      </c>
      <c r="P23" s="40">
        <v>0.09</v>
      </c>
      <c r="Q23" s="40">
        <v>10</v>
      </c>
      <c r="R23" s="38"/>
      <c r="S23" s="38"/>
      <c r="T23" s="38"/>
      <c r="U23" s="38"/>
    </row>
    <row r="24" spans="1:21">
      <c r="A24" s="41" t="s">
        <v>387</v>
      </c>
      <c r="B24" s="40">
        <v>5.13</v>
      </c>
      <c r="C24" s="40">
        <v>12.54</v>
      </c>
      <c r="D24" s="40">
        <v>10.67</v>
      </c>
      <c r="E24" s="40">
        <v>4.76</v>
      </c>
      <c r="F24" s="40">
        <v>2.4500000000000002</v>
      </c>
      <c r="G24" s="40">
        <v>3.14</v>
      </c>
      <c r="H24" s="40">
        <v>0.83</v>
      </c>
      <c r="I24" s="40">
        <v>2.76</v>
      </c>
      <c r="J24" s="40">
        <v>0.81</v>
      </c>
      <c r="K24" s="40">
        <v>255.59</v>
      </c>
      <c r="L24" s="40">
        <v>24.71</v>
      </c>
      <c r="M24" s="40">
        <v>97.43</v>
      </c>
      <c r="N24" s="40">
        <v>45.7</v>
      </c>
      <c r="O24" s="40">
        <v>0</v>
      </c>
      <c r="P24" s="40">
        <v>0.09</v>
      </c>
      <c r="Q24" s="40">
        <v>10</v>
      </c>
      <c r="R24" s="38"/>
      <c r="S24" s="38"/>
      <c r="T24" s="38"/>
      <c r="U24" s="38"/>
    </row>
    <row r="25" spans="1:21">
      <c r="A25" s="41" t="s">
        <v>388</v>
      </c>
      <c r="B25" s="40">
        <v>5.4</v>
      </c>
      <c r="C25" s="40">
        <v>12.68</v>
      </c>
      <c r="D25" s="40">
        <v>10.95</v>
      </c>
      <c r="E25" s="40">
        <v>4.9800000000000004</v>
      </c>
      <c r="F25" s="40">
        <v>1.99</v>
      </c>
      <c r="G25" s="40">
        <v>2.62</v>
      </c>
      <c r="H25" s="40">
        <v>0.83</v>
      </c>
      <c r="I25" s="40">
        <v>2.74</v>
      </c>
      <c r="J25" s="40">
        <v>0.88</v>
      </c>
      <c r="K25" s="40">
        <v>259.97000000000003</v>
      </c>
      <c r="L25" s="40">
        <v>24.92</v>
      </c>
      <c r="M25" s="40">
        <v>96.89</v>
      </c>
      <c r="N25" s="40">
        <v>28.9</v>
      </c>
      <c r="O25" s="40">
        <v>0</v>
      </c>
      <c r="P25" s="40">
        <v>0.1</v>
      </c>
      <c r="Q25" s="40">
        <v>10</v>
      </c>
      <c r="R25" s="38"/>
      <c r="S25" s="38"/>
      <c r="T25" s="38"/>
      <c r="U25" s="38"/>
    </row>
    <row r="26" spans="1:21">
      <c r="A26" s="41" t="s">
        <v>389</v>
      </c>
      <c r="B26" s="40">
        <v>5.51</v>
      </c>
      <c r="C26" s="40">
        <v>13.09</v>
      </c>
      <c r="D26" s="40">
        <v>11.1</v>
      </c>
      <c r="E26" s="40">
        <v>4.88</v>
      </c>
      <c r="F26" s="40">
        <v>2.64</v>
      </c>
      <c r="G26" s="40">
        <v>2.65</v>
      </c>
      <c r="H26" s="40">
        <v>0.83</v>
      </c>
      <c r="I26" s="40">
        <v>2.92</v>
      </c>
      <c r="J26" s="40">
        <v>0.88</v>
      </c>
      <c r="K26" s="40">
        <v>254.67</v>
      </c>
      <c r="L26" s="40">
        <v>24.84</v>
      </c>
      <c r="M26" s="40">
        <v>96.35</v>
      </c>
      <c r="N26" s="40">
        <v>28.7</v>
      </c>
      <c r="O26" s="40">
        <v>0.2</v>
      </c>
      <c r="P26" s="40">
        <v>0.12</v>
      </c>
      <c r="Q26" s="40">
        <v>10</v>
      </c>
      <c r="R26" s="38"/>
      <c r="S26" s="38"/>
      <c r="T26" s="38"/>
      <c r="U26" s="38"/>
    </row>
    <row r="27" spans="1:21">
      <c r="A27" s="41" t="s">
        <v>390</v>
      </c>
      <c r="B27" s="40">
        <v>5.2</v>
      </c>
      <c r="C27" s="40">
        <v>13.48</v>
      </c>
      <c r="D27" s="40">
        <v>11.12</v>
      </c>
      <c r="E27" s="40">
        <v>5.13</v>
      </c>
      <c r="F27" s="40">
        <v>2.3199999999999998</v>
      </c>
      <c r="G27" s="40">
        <v>3.2</v>
      </c>
      <c r="H27" s="40">
        <v>0.82</v>
      </c>
      <c r="I27" s="40">
        <v>2.88</v>
      </c>
      <c r="J27" s="40">
        <v>0.73</v>
      </c>
      <c r="K27" s="40">
        <v>254.71</v>
      </c>
      <c r="L27" s="40">
        <v>24.99</v>
      </c>
      <c r="M27" s="40">
        <v>95.78</v>
      </c>
      <c r="N27" s="40">
        <v>6.6</v>
      </c>
      <c r="O27" s="40">
        <v>0</v>
      </c>
      <c r="P27" s="40">
        <v>0.13</v>
      </c>
      <c r="Q27" s="40">
        <v>10</v>
      </c>
      <c r="R27" s="38"/>
      <c r="S27" s="38"/>
      <c r="T27" s="38"/>
      <c r="U27" s="38"/>
    </row>
    <row r="28" spans="1:21">
      <c r="A28" s="41" t="s">
        <v>391</v>
      </c>
      <c r="B28" s="40">
        <v>4.68</v>
      </c>
      <c r="C28" s="40">
        <v>13.43</v>
      </c>
      <c r="D28" s="40">
        <v>10.77</v>
      </c>
      <c r="E28" s="40">
        <v>5.29</v>
      </c>
      <c r="F28" s="40">
        <v>1.95</v>
      </c>
      <c r="G28" s="40">
        <v>3.47</v>
      </c>
      <c r="H28" s="40">
        <v>0.82</v>
      </c>
      <c r="I28" s="40">
        <v>2.84</v>
      </c>
      <c r="J28" s="40">
        <v>0.83</v>
      </c>
      <c r="K28" s="40">
        <v>254.87</v>
      </c>
      <c r="L28" s="40">
        <v>25.08</v>
      </c>
      <c r="M28" s="40">
        <v>92.66</v>
      </c>
      <c r="N28" s="40">
        <v>2.7</v>
      </c>
      <c r="O28" s="40">
        <v>0</v>
      </c>
      <c r="P28" s="40">
        <v>0.13</v>
      </c>
      <c r="Q28" s="40">
        <v>10</v>
      </c>
      <c r="R28" s="38"/>
      <c r="S28" s="38"/>
      <c r="T28" s="38"/>
      <c r="U28" s="38"/>
    </row>
    <row r="29" spans="1:21">
      <c r="A29" s="41" t="s">
        <v>392</v>
      </c>
      <c r="B29" s="40">
        <v>4.38</v>
      </c>
      <c r="C29" s="40">
        <v>13.18</v>
      </c>
      <c r="D29" s="40">
        <v>10.39</v>
      </c>
      <c r="E29" s="40">
        <v>5.36</v>
      </c>
      <c r="F29" s="40">
        <v>2.1</v>
      </c>
      <c r="G29" s="40">
        <v>2.67</v>
      </c>
      <c r="H29" s="40">
        <v>0.83</v>
      </c>
      <c r="I29" s="40">
        <v>2.76</v>
      </c>
      <c r="J29" s="40">
        <v>0.83</v>
      </c>
      <c r="K29" s="40">
        <v>254.44</v>
      </c>
      <c r="L29" s="40">
        <v>25.06</v>
      </c>
      <c r="M29" s="40">
        <v>91.53</v>
      </c>
      <c r="N29" s="40">
        <v>2.5</v>
      </c>
      <c r="O29" s="40">
        <v>0</v>
      </c>
      <c r="P29" s="40">
        <v>0.14000000000000001</v>
      </c>
      <c r="Q29" s="40">
        <v>10</v>
      </c>
      <c r="R29" s="38"/>
      <c r="S29" s="38"/>
      <c r="T29" s="38"/>
      <c r="U29" s="38"/>
    </row>
    <row r="30" spans="1:21">
      <c r="A30" s="41" t="s">
        <v>393</v>
      </c>
      <c r="B30" s="40">
        <v>4.12</v>
      </c>
      <c r="C30" s="40">
        <v>12.88</v>
      </c>
      <c r="D30" s="40">
        <v>10.029999999999999</v>
      </c>
      <c r="E30" s="40">
        <v>5.39</v>
      </c>
      <c r="F30" s="40">
        <v>2.75</v>
      </c>
      <c r="G30" s="40">
        <v>2.11</v>
      </c>
      <c r="H30" s="40">
        <v>0.82</v>
      </c>
      <c r="I30" s="40">
        <v>2.73</v>
      </c>
      <c r="J30" s="40">
        <v>1.03</v>
      </c>
      <c r="K30" s="40">
        <v>254.73</v>
      </c>
      <c r="L30" s="40">
        <v>25.05</v>
      </c>
      <c r="M30" s="40">
        <v>91.64</v>
      </c>
      <c r="N30" s="40">
        <v>2.6</v>
      </c>
      <c r="O30" s="40">
        <v>0</v>
      </c>
      <c r="P30" s="40">
        <v>0.13</v>
      </c>
      <c r="Q30" s="40">
        <v>10</v>
      </c>
      <c r="R30" s="38"/>
      <c r="S30" s="38"/>
      <c r="T30" s="38"/>
      <c r="U30" s="38"/>
    </row>
    <row r="31" spans="1:21">
      <c r="A31" s="41" t="s">
        <v>394</v>
      </c>
      <c r="B31" s="40">
        <v>3.9</v>
      </c>
      <c r="C31" s="40">
        <v>12.5</v>
      </c>
      <c r="D31" s="40">
        <v>9.66</v>
      </c>
      <c r="E31" s="40">
        <v>5.37</v>
      </c>
      <c r="F31" s="40">
        <v>1.96</v>
      </c>
      <c r="G31" s="40">
        <v>1.71</v>
      </c>
      <c r="H31" s="40">
        <v>0.79</v>
      </c>
      <c r="I31" s="40">
        <v>2.76</v>
      </c>
      <c r="J31" s="40">
        <v>0.92</v>
      </c>
      <c r="K31" s="40">
        <v>255.89</v>
      </c>
      <c r="L31" s="40">
        <v>24.83</v>
      </c>
      <c r="M31" s="40">
        <v>91.97</v>
      </c>
      <c r="N31" s="40">
        <v>2.5</v>
      </c>
      <c r="O31" s="40">
        <v>0</v>
      </c>
      <c r="P31" s="40">
        <v>0.13</v>
      </c>
      <c r="Q31" s="40">
        <v>10</v>
      </c>
      <c r="R31" s="38"/>
      <c r="S31" s="38"/>
      <c r="T31" s="38"/>
      <c r="U31" s="38"/>
    </row>
    <row r="32" spans="1:21">
      <c r="A32" s="41" t="s">
        <v>395</v>
      </c>
      <c r="B32" s="40">
        <v>4.12</v>
      </c>
      <c r="C32" s="40">
        <v>12.42</v>
      </c>
      <c r="D32" s="40">
        <v>9.7899999999999991</v>
      </c>
      <c r="E32" s="40">
        <v>4.8899999999999997</v>
      </c>
      <c r="F32" s="40">
        <v>3.19</v>
      </c>
      <c r="G32" s="40">
        <v>1.42</v>
      </c>
      <c r="H32" s="40">
        <v>0.85</v>
      </c>
      <c r="I32" s="40">
        <v>2.5299999999999998</v>
      </c>
      <c r="J32" s="40">
        <v>0.85</v>
      </c>
      <c r="K32" s="40">
        <v>253.98</v>
      </c>
      <c r="L32" s="40">
        <v>24.77</v>
      </c>
      <c r="M32" s="40">
        <v>91.2</v>
      </c>
      <c r="N32" s="40">
        <v>2.4</v>
      </c>
      <c r="O32" s="40">
        <v>0</v>
      </c>
      <c r="P32" s="40">
        <v>0.08</v>
      </c>
      <c r="Q32" s="40">
        <v>10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3.72</v>
      </c>
      <c r="C34" s="18">
        <f t="shared" si="0"/>
        <v>12.34</v>
      </c>
      <c r="D34" s="18">
        <f t="shared" si="0"/>
        <v>9.4700000000000006</v>
      </c>
      <c r="E34" s="18">
        <f t="shared" si="0"/>
        <v>3.9</v>
      </c>
      <c r="F34" s="18">
        <f t="shared" si="0"/>
        <v>1.93</v>
      </c>
      <c r="G34" s="18">
        <f t="shared" si="0"/>
        <v>1.42</v>
      </c>
      <c r="H34" s="18">
        <f t="shared" si="0"/>
        <v>0.73</v>
      </c>
      <c r="I34" s="18">
        <f t="shared" si="0"/>
        <v>2.39</v>
      </c>
      <c r="J34" s="18">
        <f t="shared" si="0"/>
        <v>0.62</v>
      </c>
      <c r="K34" s="18">
        <f t="shared" si="0"/>
        <v>253.32</v>
      </c>
      <c r="L34" s="18">
        <f t="shared" si="0"/>
        <v>23.74</v>
      </c>
      <c r="M34" s="18">
        <f t="shared" si="0"/>
        <v>90.2</v>
      </c>
      <c r="N34" s="18">
        <f t="shared" si="0"/>
        <v>2.4</v>
      </c>
      <c r="O34" s="18">
        <f t="shared" si="0"/>
        <v>0</v>
      </c>
      <c r="P34" s="18">
        <f t="shared" si="0"/>
        <v>0.08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5.93</v>
      </c>
      <c r="C35" s="3">
        <f t="shared" si="1"/>
        <v>13.48</v>
      </c>
      <c r="D35" s="3">
        <f t="shared" si="1"/>
        <v>11.6</v>
      </c>
      <c r="E35" s="3">
        <f t="shared" si="1"/>
        <v>5.51</v>
      </c>
      <c r="F35" s="3">
        <f t="shared" si="1"/>
        <v>3.19</v>
      </c>
      <c r="G35" s="3">
        <f t="shared" si="1"/>
        <v>7.79</v>
      </c>
      <c r="H35" s="3">
        <f t="shared" si="1"/>
        <v>1.71</v>
      </c>
      <c r="I35" s="3">
        <f t="shared" si="1"/>
        <v>2.92</v>
      </c>
      <c r="J35" s="3">
        <f t="shared" si="1"/>
        <v>1.1499999999999999</v>
      </c>
      <c r="K35" s="3">
        <f t="shared" si="1"/>
        <v>259.97000000000003</v>
      </c>
      <c r="L35" s="3">
        <f t="shared" si="1"/>
        <v>25.63</v>
      </c>
      <c r="M35" s="3">
        <f t="shared" si="1"/>
        <v>98.88</v>
      </c>
      <c r="N35" s="3">
        <f t="shared" si="1"/>
        <v>139.5</v>
      </c>
      <c r="O35" s="3">
        <f t="shared" si="1"/>
        <v>8.6</v>
      </c>
      <c r="P35" s="3">
        <f t="shared" si="1"/>
        <v>0.14000000000000001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4.7170833333333348</v>
      </c>
      <c r="C36" s="18">
        <f t="shared" si="2"/>
        <v>12.757916666666667</v>
      </c>
      <c r="D36" s="18">
        <f t="shared" si="2"/>
        <v>10.423333333333334</v>
      </c>
      <c r="E36" s="18">
        <f t="shared" si="2"/>
        <v>4.8791666666666664</v>
      </c>
      <c r="F36" s="18">
        <f t="shared" si="2"/>
        <v>2.4216666666666669</v>
      </c>
      <c r="G36" s="18">
        <f t="shared" si="2"/>
        <v>3.5500000000000003</v>
      </c>
      <c r="H36" s="18">
        <f t="shared" si="2"/>
        <v>0.92833333333333334</v>
      </c>
      <c r="I36" s="18">
        <f t="shared" si="2"/>
        <v>2.6516666666666664</v>
      </c>
      <c r="J36" s="18">
        <f t="shared" si="2"/>
        <v>0.87708333333333333</v>
      </c>
      <c r="K36" s="18">
        <f t="shared" si="2"/>
        <v>255.34833333333327</v>
      </c>
      <c r="L36" s="18">
        <f t="shared" si="2"/>
        <v>24.723749999999995</v>
      </c>
      <c r="M36" s="18">
        <f t="shared" si="2"/>
        <v>95.68416666666667</v>
      </c>
      <c r="N36" s="18">
        <f t="shared" si="2"/>
        <v>39.779166666666676</v>
      </c>
      <c r="O36" s="18">
        <f t="shared" si="2"/>
        <v>0.58333333333333326</v>
      </c>
      <c r="P36" s="18">
        <f t="shared" si="2"/>
        <v>0.11291666666666665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0.67119931055740345</v>
      </c>
      <c r="C37" s="18">
        <f t="shared" ref="C37:Q37" si="3">STDEV(C9:C32)</f>
        <v>0.31840607333440096</v>
      </c>
      <c r="D37" s="18">
        <f t="shared" si="3"/>
        <v>0.60908817571604645</v>
      </c>
      <c r="E37" s="18">
        <f t="shared" si="3"/>
        <v>0.53407308298679446</v>
      </c>
      <c r="F37" s="18">
        <f t="shared" si="3"/>
        <v>0.33699008715476803</v>
      </c>
      <c r="G37" s="18">
        <f t="shared" si="3"/>
        <v>1.4186552113518112</v>
      </c>
      <c r="H37" s="18">
        <f t="shared" si="3"/>
        <v>0.23990336218653885</v>
      </c>
      <c r="I37" s="18">
        <f t="shared" si="3"/>
        <v>0.15259114643718513</v>
      </c>
      <c r="J37" s="18">
        <f t="shared" si="3"/>
        <v>0.14366262309787556</v>
      </c>
      <c r="K37" s="18">
        <f t="shared" si="3"/>
        <v>1.6730541368788834</v>
      </c>
      <c r="L37" s="18">
        <f t="shared" si="3"/>
        <v>0.54633810601765309</v>
      </c>
      <c r="M37" s="18">
        <f t="shared" si="3"/>
        <v>3.0989870949219434</v>
      </c>
      <c r="N37" s="18">
        <f t="shared" si="3"/>
        <v>49.413402328823146</v>
      </c>
      <c r="O37" s="18">
        <f t="shared" si="3"/>
        <v>1.7731491677279982</v>
      </c>
      <c r="P37" s="18">
        <f t="shared" si="3"/>
        <v>2.0319013727063344E-2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59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28" zoomScale="85" zoomScaleNormal="85" workbookViewId="0">
      <selection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396</v>
      </c>
      <c r="B9" s="40">
        <v>4.5</v>
      </c>
      <c r="C9" s="40">
        <v>12.55</v>
      </c>
      <c r="D9" s="40">
        <v>10.130000000000001</v>
      </c>
      <c r="E9" s="40">
        <v>4.9000000000000004</v>
      </c>
      <c r="F9" s="40">
        <v>2.5299999999999998</v>
      </c>
      <c r="G9" s="40">
        <v>1.49</v>
      </c>
      <c r="H9" s="40">
        <v>0.92</v>
      </c>
      <c r="I9" s="40">
        <v>2.62</v>
      </c>
      <c r="J9" s="40">
        <v>0.87</v>
      </c>
      <c r="K9" s="40">
        <v>256.11</v>
      </c>
      <c r="L9" s="40">
        <v>24.58</v>
      </c>
      <c r="M9" s="40">
        <v>91.38</v>
      </c>
      <c r="N9" s="40">
        <v>2.4</v>
      </c>
      <c r="O9" s="40">
        <v>0</v>
      </c>
      <c r="P9" s="40">
        <v>0.09</v>
      </c>
      <c r="Q9" s="40">
        <v>10</v>
      </c>
      <c r="R9" s="38"/>
      <c r="S9" s="38"/>
      <c r="T9" s="38"/>
      <c r="U9" s="38"/>
    </row>
    <row r="10" spans="1:21" customFormat="1">
      <c r="A10" s="41" t="s">
        <v>397</v>
      </c>
      <c r="B10" s="40">
        <v>4.7699999999999996</v>
      </c>
      <c r="C10" s="40">
        <v>12.37</v>
      </c>
      <c r="D10" s="40">
        <v>10.29</v>
      </c>
      <c r="E10" s="40">
        <v>4.83</v>
      </c>
      <c r="F10" s="40">
        <v>2.36</v>
      </c>
      <c r="G10" s="40">
        <v>1.92</v>
      </c>
      <c r="H10" s="40">
        <v>1</v>
      </c>
      <c r="I10" s="40">
        <v>2.62</v>
      </c>
      <c r="J10" s="40">
        <v>0.85</v>
      </c>
      <c r="K10" s="40">
        <v>255.25</v>
      </c>
      <c r="L10" s="40">
        <v>24.51</v>
      </c>
      <c r="M10" s="40">
        <v>91.42</v>
      </c>
      <c r="N10" s="40">
        <v>2.4</v>
      </c>
      <c r="O10" s="40">
        <v>0</v>
      </c>
      <c r="P10" s="40">
        <v>0.09</v>
      </c>
      <c r="Q10" s="40">
        <v>10</v>
      </c>
      <c r="R10" s="38"/>
      <c r="S10" s="38"/>
      <c r="T10" s="38"/>
      <c r="U10" s="38"/>
    </row>
    <row r="11" spans="1:21" customFormat="1">
      <c r="A11" s="41" t="s">
        <v>398</v>
      </c>
      <c r="B11" s="40">
        <v>5.0599999999999996</v>
      </c>
      <c r="C11" s="40">
        <v>12.57</v>
      </c>
      <c r="D11" s="40">
        <v>10.63</v>
      </c>
      <c r="E11" s="40">
        <v>5.43</v>
      </c>
      <c r="F11" s="40">
        <v>2.42</v>
      </c>
      <c r="G11" s="40">
        <v>1.85</v>
      </c>
      <c r="H11" s="40">
        <v>1.1000000000000001</v>
      </c>
      <c r="I11" s="40">
        <v>2.72</v>
      </c>
      <c r="J11" s="40">
        <v>0.76</v>
      </c>
      <c r="K11" s="40">
        <v>258.14999999999998</v>
      </c>
      <c r="L11" s="40">
        <v>24.35</v>
      </c>
      <c r="M11" s="40">
        <v>91.6</v>
      </c>
      <c r="N11" s="40">
        <v>2.4</v>
      </c>
      <c r="O11" s="40">
        <v>0</v>
      </c>
      <c r="P11" s="40">
        <v>0.09</v>
      </c>
      <c r="Q11" s="40">
        <v>10</v>
      </c>
      <c r="R11" s="38"/>
      <c r="S11" s="38"/>
      <c r="T11" s="38"/>
      <c r="U11" s="38"/>
    </row>
    <row r="12" spans="1:21" customFormat="1">
      <c r="A12" s="41" t="s">
        <v>399</v>
      </c>
      <c r="B12" s="40">
        <v>5.16</v>
      </c>
      <c r="C12" s="40">
        <v>12.73</v>
      </c>
      <c r="D12" s="40">
        <v>10.78</v>
      </c>
      <c r="E12" s="40">
        <v>6.02</v>
      </c>
      <c r="F12" s="40">
        <v>2.71</v>
      </c>
      <c r="G12" s="40">
        <v>2.52</v>
      </c>
      <c r="H12" s="40">
        <v>1.0900000000000001</v>
      </c>
      <c r="I12" s="40">
        <v>2.7</v>
      </c>
      <c r="J12" s="40">
        <v>0.66</v>
      </c>
      <c r="K12" s="40">
        <v>253.2</v>
      </c>
      <c r="L12" s="40">
        <v>24.29</v>
      </c>
      <c r="M12" s="40">
        <v>91.91</v>
      </c>
      <c r="N12" s="40">
        <v>2.4</v>
      </c>
      <c r="O12" s="40">
        <v>0</v>
      </c>
      <c r="P12" s="40">
        <v>0.12</v>
      </c>
      <c r="Q12" s="40">
        <v>10</v>
      </c>
      <c r="R12" s="38"/>
      <c r="S12" s="38"/>
      <c r="T12" s="38"/>
      <c r="U12" s="38"/>
    </row>
    <row r="13" spans="1:21" customFormat="1">
      <c r="A13" s="41" t="s">
        <v>400</v>
      </c>
      <c r="B13" s="40">
        <v>4.83</v>
      </c>
      <c r="C13" s="40">
        <v>12.59</v>
      </c>
      <c r="D13" s="40">
        <v>10.42</v>
      </c>
      <c r="E13" s="40">
        <v>6.3</v>
      </c>
      <c r="F13" s="40">
        <v>2.12</v>
      </c>
      <c r="G13" s="40">
        <v>3.95</v>
      </c>
      <c r="H13" s="40">
        <v>1.1000000000000001</v>
      </c>
      <c r="I13" s="40">
        <v>2.5499999999999998</v>
      </c>
      <c r="J13" s="40">
        <v>0.68</v>
      </c>
      <c r="K13" s="40">
        <v>254.94</v>
      </c>
      <c r="L13" s="40">
        <v>24.29</v>
      </c>
      <c r="M13" s="40">
        <v>91.8</v>
      </c>
      <c r="N13" s="40">
        <v>2.4</v>
      </c>
      <c r="O13" s="40">
        <v>0</v>
      </c>
      <c r="P13" s="40">
        <v>0.12</v>
      </c>
      <c r="Q13" s="40">
        <v>10</v>
      </c>
      <c r="R13" s="38"/>
      <c r="S13" s="38"/>
      <c r="T13" s="38"/>
      <c r="U13" s="38"/>
    </row>
    <row r="14" spans="1:21" customFormat="1">
      <c r="A14" s="41" t="s">
        <v>401</v>
      </c>
      <c r="B14" s="40">
        <v>4.43</v>
      </c>
      <c r="C14" s="40">
        <v>12.52</v>
      </c>
      <c r="D14" s="40">
        <v>10.09</v>
      </c>
      <c r="E14" s="40">
        <v>6.24</v>
      </c>
      <c r="F14" s="40">
        <v>2.21</v>
      </c>
      <c r="G14" s="40">
        <v>4.93</v>
      </c>
      <c r="H14" s="40">
        <v>1.24</v>
      </c>
      <c r="I14" s="40">
        <v>2.34</v>
      </c>
      <c r="J14" s="40">
        <v>0.65</v>
      </c>
      <c r="K14" s="40">
        <v>254.21</v>
      </c>
      <c r="L14" s="40">
        <v>24.25</v>
      </c>
      <c r="M14" s="40">
        <v>92.73</v>
      </c>
      <c r="N14" s="40">
        <v>5.0999999999999996</v>
      </c>
      <c r="O14" s="40">
        <v>0</v>
      </c>
      <c r="P14" s="40">
        <v>0.12</v>
      </c>
      <c r="Q14" s="40">
        <v>10</v>
      </c>
      <c r="R14" s="38"/>
      <c r="S14" s="38"/>
      <c r="T14" s="38"/>
      <c r="U14" s="38"/>
    </row>
    <row r="15" spans="1:21" customFormat="1">
      <c r="A15" s="41" t="s">
        <v>402</v>
      </c>
      <c r="B15" s="40">
        <v>4.25</v>
      </c>
      <c r="C15" s="40">
        <v>12.38</v>
      </c>
      <c r="D15" s="40">
        <v>9.8699999999999992</v>
      </c>
      <c r="E15" s="40">
        <v>6.39</v>
      </c>
      <c r="F15" s="40">
        <v>2.31</v>
      </c>
      <c r="G15" s="40">
        <v>5.79</v>
      </c>
      <c r="H15" s="40">
        <v>1.3</v>
      </c>
      <c r="I15" s="40">
        <v>2.3199999999999998</v>
      </c>
      <c r="J15" s="40">
        <v>0.66</v>
      </c>
      <c r="K15" s="40">
        <v>253.11</v>
      </c>
      <c r="L15" s="40">
        <v>24.36</v>
      </c>
      <c r="M15" s="40">
        <v>92.35</v>
      </c>
      <c r="N15" s="40">
        <v>15.4</v>
      </c>
      <c r="O15" s="40">
        <v>0</v>
      </c>
      <c r="P15" s="40">
        <v>0.12</v>
      </c>
      <c r="Q15" s="40">
        <v>10</v>
      </c>
      <c r="R15" s="38"/>
      <c r="S15" s="38"/>
      <c r="T15" s="38"/>
      <c r="U15" s="38"/>
    </row>
    <row r="16" spans="1:21" customFormat="1">
      <c r="A16" s="41" t="s">
        <v>403</v>
      </c>
      <c r="B16" s="40">
        <v>4.17</v>
      </c>
      <c r="C16" s="40">
        <v>12.27</v>
      </c>
      <c r="D16" s="40">
        <v>9.75</v>
      </c>
      <c r="E16" s="40">
        <v>6.83</v>
      </c>
      <c r="F16" s="40">
        <v>2.29</v>
      </c>
      <c r="G16" s="40">
        <v>5.97</v>
      </c>
      <c r="H16" s="40">
        <v>1.25</v>
      </c>
      <c r="I16" s="40">
        <v>2.4</v>
      </c>
      <c r="J16" s="40">
        <v>0.78</v>
      </c>
      <c r="K16" s="40">
        <v>254.51</v>
      </c>
      <c r="L16" s="40">
        <v>24.92</v>
      </c>
      <c r="M16" s="40">
        <v>91.73</v>
      </c>
      <c r="N16" s="40">
        <v>100.4</v>
      </c>
      <c r="O16" s="40">
        <v>0</v>
      </c>
      <c r="P16" s="40">
        <v>0.12</v>
      </c>
      <c r="Q16" s="40">
        <v>10</v>
      </c>
      <c r="R16" s="38"/>
      <c r="S16" s="38"/>
      <c r="T16" s="38"/>
      <c r="U16" s="38"/>
    </row>
    <row r="17" spans="1:21" customFormat="1">
      <c r="A17" s="41" t="s">
        <v>404</v>
      </c>
      <c r="B17" s="40">
        <v>4.08</v>
      </c>
      <c r="C17" s="40">
        <v>12.13</v>
      </c>
      <c r="D17" s="40">
        <v>9.61</v>
      </c>
      <c r="E17" s="40">
        <v>6.79</v>
      </c>
      <c r="F17" s="40">
        <v>2.23</v>
      </c>
      <c r="G17" s="40">
        <v>5.46</v>
      </c>
      <c r="H17" s="40">
        <v>1.27</v>
      </c>
      <c r="I17" s="40">
        <v>2.4</v>
      </c>
      <c r="J17" s="40">
        <v>0.91</v>
      </c>
      <c r="K17" s="40">
        <v>257.12</v>
      </c>
      <c r="L17" s="40">
        <v>25.4</v>
      </c>
      <c r="M17" s="40">
        <v>89.32</v>
      </c>
      <c r="N17" s="40">
        <v>128.30000000000001</v>
      </c>
      <c r="O17" s="40">
        <v>0</v>
      </c>
      <c r="P17" s="40">
        <v>0.12</v>
      </c>
      <c r="Q17" s="40">
        <v>10</v>
      </c>
      <c r="R17" s="38"/>
      <c r="S17" s="38"/>
      <c r="T17" s="38"/>
      <c r="U17" s="38"/>
    </row>
    <row r="18" spans="1:21" customFormat="1">
      <c r="A18" s="41" t="s">
        <v>405</v>
      </c>
      <c r="B18" s="40">
        <v>4.32</v>
      </c>
      <c r="C18" s="40">
        <v>12.14</v>
      </c>
      <c r="D18" s="40">
        <v>9.81</v>
      </c>
      <c r="E18" s="40">
        <v>5.91</v>
      </c>
      <c r="F18" s="40">
        <v>2.84</v>
      </c>
      <c r="G18" s="40">
        <v>6.07</v>
      </c>
      <c r="H18" s="40">
        <v>1.34</v>
      </c>
      <c r="I18" s="40">
        <v>2.52</v>
      </c>
      <c r="J18" s="40">
        <v>1.01</v>
      </c>
      <c r="K18" s="40">
        <v>259.45</v>
      </c>
      <c r="L18" s="40">
        <v>26.11</v>
      </c>
      <c r="M18" s="40">
        <v>87.37</v>
      </c>
      <c r="N18" s="40">
        <v>164.1</v>
      </c>
      <c r="O18" s="40">
        <v>0</v>
      </c>
      <c r="P18" s="40">
        <v>0.08</v>
      </c>
      <c r="Q18" s="40">
        <v>10</v>
      </c>
      <c r="R18" s="38"/>
      <c r="S18" s="38"/>
      <c r="T18" s="38"/>
      <c r="U18" s="38"/>
    </row>
    <row r="19" spans="1:21" customFormat="1">
      <c r="A19" s="41" t="s">
        <v>406</v>
      </c>
      <c r="B19" s="40">
        <v>4.5199999999999996</v>
      </c>
      <c r="C19" s="40">
        <v>12.3</v>
      </c>
      <c r="D19" s="40">
        <v>10.01</v>
      </c>
      <c r="E19" s="40">
        <v>4.96</v>
      </c>
      <c r="F19" s="40">
        <v>3.33</v>
      </c>
      <c r="G19" s="40">
        <v>11.66</v>
      </c>
      <c r="H19" s="40">
        <v>1.36</v>
      </c>
      <c r="I19" s="40">
        <v>2.63</v>
      </c>
      <c r="J19" s="40">
        <v>0.78</v>
      </c>
      <c r="K19" s="40">
        <v>261.32</v>
      </c>
      <c r="L19" s="40">
        <v>26.32</v>
      </c>
      <c r="M19" s="40">
        <v>87.04</v>
      </c>
      <c r="N19" s="40">
        <v>146.1</v>
      </c>
      <c r="O19" s="40">
        <v>0</v>
      </c>
      <c r="P19" s="40">
        <v>0.1</v>
      </c>
      <c r="Q19" s="40">
        <v>10</v>
      </c>
      <c r="R19" s="38"/>
      <c r="S19" s="38"/>
      <c r="T19" s="38"/>
      <c r="U19" s="38"/>
    </row>
    <row r="20" spans="1:21" customFormat="1">
      <c r="A20" s="41" t="s">
        <v>407</v>
      </c>
      <c r="B20" s="40">
        <v>3.58</v>
      </c>
      <c r="C20" s="40">
        <v>11.25</v>
      </c>
      <c r="D20" s="40">
        <v>8.74</v>
      </c>
      <c r="E20" s="40">
        <v>4.01</v>
      </c>
      <c r="F20" s="40">
        <v>12.3</v>
      </c>
      <c r="G20" s="40">
        <v>15.09</v>
      </c>
      <c r="H20" s="40">
        <v>1.38</v>
      </c>
      <c r="I20" s="40">
        <v>2.65</v>
      </c>
      <c r="J20" s="40">
        <v>0.81</v>
      </c>
      <c r="K20" s="40">
        <v>254.81</v>
      </c>
      <c r="L20" s="40">
        <v>26.95</v>
      </c>
      <c r="M20" s="40">
        <v>84.94</v>
      </c>
      <c r="N20" s="40">
        <v>211.6</v>
      </c>
      <c r="O20" s="40">
        <v>0</v>
      </c>
      <c r="P20" s="40">
        <v>0.1</v>
      </c>
      <c r="Q20" s="40">
        <v>10</v>
      </c>
      <c r="R20" s="38"/>
      <c r="S20" s="38"/>
      <c r="T20" s="38"/>
      <c r="U20" s="38"/>
    </row>
    <row r="21" spans="1:21" customFormat="1">
      <c r="A21" s="41" t="s">
        <v>408</v>
      </c>
      <c r="B21" s="40">
        <v>1.81</v>
      </c>
      <c r="C21" s="40">
        <v>10</v>
      </c>
      <c r="D21" s="40">
        <v>6.67</v>
      </c>
      <c r="E21" s="40">
        <v>2.4500000000000002</v>
      </c>
      <c r="F21" s="40">
        <v>13.16</v>
      </c>
      <c r="G21" s="24" t="s">
        <v>14</v>
      </c>
      <c r="H21" s="24" t="s">
        <v>14</v>
      </c>
      <c r="I21" s="40">
        <v>2.31</v>
      </c>
      <c r="J21" s="40">
        <v>0.79</v>
      </c>
      <c r="K21" s="40">
        <v>255.56</v>
      </c>
      <c r="L21" s="40">
        <v>26.97</v>
      </c>
      <c r="M21" s="40">
        <v>83.91</v>
      </c>
      <c r="N21" s="40">
        <v>166</v>
      </c>
      <c r="O21" s="40">
        <v>0</v>
      </c>
      <c r="P21" s="40">
        <v>0.1</v>
      </c>
      <c r="Q21" s="40">
        <v>10</v>
      </c>
      <c r="R21" s="38"/>
      <c r="S21" s="38"/>
      <c r="T21" s="38"/>
      <c r="U21" s="38"/>
    </row>
    <row r="22" spans="1:21" customFormat="1">
      <c r="A22" s="41" t="s">
        <v>409</v>
      </c>
      <c r="B22" s="40">
        <v>1.7</v>
      </c>
      <c r="C22" s="40">
        <v>9.61</v>
      </c>
      <c r="D22" s="40">
        <v>6.39</v>
      </c>
      <c r="E22" s="24" t="s">
        <v>14</v>
      </c>
      <c r="F22" s="40">
        <v>20.22</v>
      </c>
      <c r="G22" s="24" t="s">
        <v>14</v>
      </c>
      <c r="H22" s="24" t="s">
        <v>14</v>
      </c>
      <c r="I22" s="40">
        <v>7.93</v>
      </c>
      <c r="J22" s="40">
        <v>0.56000000000000005</v>
      </c>
      <c r="K22" s="40">
        <v>252.3</v>
      </c>
      <c r="L22" s="40">
        <v>27.05</v>
      </c>
      <c r="M22" s="40">
        <v>84.23</v>
      </c>
      <c r="N22" s="40">
        <v>103.6</v>
      </c>
      <c r="O22" s="40">
        <v>0</v>
      </c>
      <c r="P22" s="40">
        <v>0.08</v>
      </c>
      <c r="Q22" s="40">
        <v>10</v>
      </c>
      <c r="R22" s="38"/>
      <c r="S22" s="38"/>
      <c r="T22" s="38"/>
      <c r="U22" s="38"/>
    </row>
    <row r="23" spans="1:21" customFormat="1">
      <c r="A23" s="41" t="s">
        <v>410</v>
      </c>
      <c r="B23" s="40">
        <v>1.61</v>
      </c>
      <c r="C23" s="40">
        <v>8.42</v>
      </c>
      <c r="D23" s="40">
        <v>5.69</v>
      </c>
      <c r="E23" s="40">
        <v>5.03</v>
      </c>
      <c r="F23" s="40">
        <v>21.85</v>
      </c>
      <c r="G23" s="40">
        <v>13.75</v>
      </c>
      <c r="H23" s="40">
        <v>9.52</v>
      </c>
      <c r="I23" s="40">
        <v>8.08</v>
      </c>
      <c r="J23" s="40">
        <v>0.93</v>
      </c>
      <c r="K23" s="40">
        <v>251.33</v>
      </c>
      <c r="L23" s="40">
        <v>28.13</v>
      </c>
      <c r="M23" s="40">
        <v>81.58</v>
      </c>
      <c r="N23" s="40">
        <v>240.9</v>
      </c>
      <c r="O23" s="40">
        <v>0</v>
      </c>
      <c r="P23" s="40">
        <v>0.09</v>
      </c>
      <c r="Q23" s="40">
        <v>10</v>
      </c>
      <c r="R23" s="38"/>
      <c r="S23" s="38"/>
      <c r="T23" s="38"/>
      <c r="U23" s="38"/>
    </row>
    <row r="24" spans="1:21" customFormat="1">
      <c r="A24" s="41" t="s">
        <v>411</v>
      </c>
      <c r="B24" s="40">
        <v>1.95</v>
      </c>
      <c r="C24" s="40">
        <v>10.25</v>
      </c>
      <c r="D24" s="40">
        <v>6.92</v>
      </c>
      <c r="E24" s="40">
        <v>2.5299999999999998</v>
      </c>
      <c r="F24" s="40">
        <v>11.97</v>
      </c>
      <c r="G24" s="40">
        <v>13.26</v>
      </c>
      <c r="H24" s="40">
        <v>8.91</v>
      </c>
      <c r="I24" s="40">
        <v>6.6</v>
      </c>
      <c r="J24" s="40">
        <v>0.73</v>
      </c>
      <c r="K24" s="40">
        <v>254.34</v>
      </c>
      <c r="L24" s="40">
        <v>27.65</v>
      </c>
      <c r="M24" s="40">
        <v>82.73</v>
      </c>
      <c r="N24" s="40">
        <v>136.6</v>
      </c>
      <c r="O24" s="40">
        <v>0</v>
      </c>
      <c r="P24" s="40">
        <v>0.09</v>
      </c>
      <c r="Q24" s="40">
        <v>10</v>
      </c>
      <c r="R24" s="38"/>
      <c r="S24" s="38"/>
      <c r="T24" s="38"/>
      <c r="U24" s="38"/>
    </row>
    <row r="25" spans="1:21" customFormat="1">
      <c r="A25" s="41" t="s">
        <v>412</v>
      </c>
      <c r="B25" s="40">
        <v>1.8</v>
      </c>
      <c r="C25" s="40">
        <v>8.98</v>
      </c>
      <c r="D25" s="40">
        <v>6.14</v>
      </c>
      <c r="E25" s="40">
        <v>2.76</v>
      </c>
      <c r="F25" s="40">
        <v>26.64</v>
      </c>
      <c r="G25" s="40">
        <v>17.86</v>
      </c>
      <c r="H25" s="40">
        <v>6.36</v>
      </c>
      <c r="I25" s="40">
        <v>7.19</v>
      </c>
      <c r="J25" s="40">
        <v>0.82</v>
      </c>
      <c r="K25" s="40">
        <v>254.73</v>
      </c>
      <c r="L25" s="40">
        <v>27.94</v>
      </c>
      <c r="M25" s="40">
        <v>80.569999999999993</v>
      </c>
      <c r="N25" s="40">
        <v>130.5</v>
      </c>
      <c r="O25" s="40">
        <v>0</v>
      </c>
      <c r="P25" s="40">
        <v>0.09</v>
      </c>
      <c r="Q25" s="40">
        <v>10</v>
      </c>
      <c r="R25" s="38"/>
      <c r="S25" s="38"/>
      <c r="T25" s="38"/>
      <c r="U25" s="38"/>
    </row>
    <row r="26" spans="1:21" customFormat="1">
      <c r="A26" s="41" t="s">
        <v>413</v>
      </c>
      <c r="B26" s="40">
        <v>1.61</v>
      </c>
      <c r="C26" s="40">
        <v>8.43</v>
      </c>
      <c r="D26" s="40">
        <v>5.7</v>
      </c>
      <c r="E26" s="40">
        <v>3.21</v>
      </c>
      <c r="F26" s="40">
        <v>17.59</v>
      </c>
      <c r="G26" s="40">
        <v>17.87</v>
      </c>
      <c r="H26" s="40">
        <v>8.69</v>
      </c>
      <c r="I26" s="40">
        <v>2.3199999999999998</v>
      </c>
      <c r="J26" s="40">
        <v>0.72</v>
      </c>
      <c r="K26" s="40">
        <v>257.62</v>
      </c>
      <c r="L26" s="40">
        <v>27.76</v>
      </c>
      <c r="M26" s="40">
        <v>81.680000000000007</v>
      </c>
      <c r="N26" s="40">
        <v>91.4</v>
      </c>
      <c r="O26" s="40">
        <v>0</v>
      </c>
      <c r="P26" s="40">
        <v>0.09</v>
      </c>
      <c r="Q26" s="40">
        <v>10</v>
      </c>
      <c r="R26" s="38"/>
      <c r="S26" s="38"/>
      <c r="T26" s="38"/>
      <c r="U26" s="38"/>
    </row>
    <row r="27" spans="1:21" customFormat="1">
      <c r="A27" s="41" t="s">
        <v>414</v>
      </c>
      <c r="B27" s="40">
        <v>1.66</v>
      </c>
      <c r="C27" s="40">
        <v>9.4700000000000006</v>
      </c>
      <c r="D27" s="40">
        <v>6.28</v>
      </c>
      <c r="E27" s="40">
        <v>2.97</v>
      </c>
      <c r="F27" s="40">
        <v>10.01</v>
      </c>
      <c r="G27" s="40">
        <v>13.97</v>
      </c>
      <c r="H27" s="40">
        <v>9.93</v>
      </c>
      <c r="I27" s="40">
        <v>2.17</v>
      </c>
      <c r="J27" s="40">
        <v>0.62</v>
      </c>
      <c r="K27" s="40">
        <v>257.77</v>
      </c>
      <c r="L27" s="40">
        <v>27.32</v>
      </c>
      <c r="M27" s="40">
        <v>86.79</v>
      </c>
      <c r="N27" s="40">
        <v>29.6</v>
      </c>
      <c r="O27" s="40">
        <v>0</v>
      </c>
      <c r="P27" s="40">
        <v>0.11</v>
      </c>
      <c r="Q27" s="40">
        <v>10</v>
      </c>
      <c r="R27" s="38"/>
      <c r="S27" s="38"/>
      <c r="T27" s="38"/>
      <c r="U27" s="38"/>
    </row>
    <row r="28" spans="1:21" customFormat="1">
      <c r="A28" s="41" t="s">
        <v>415</v>
      </c>
      <c r="B28" s="40">
        <v>2.6</v>
      </c>
      <c r="C28" s="40">
        <v>10.87</v>
      </c>
      <c r="D28" s="40">
        <v>7.7</v>
      </c>
      <c r="E28" s="40">
        <v>2.88</v>
      </c>
      <c r="F28" s="40">
        <v>4.28</v>
      </c>
      <c r="G28" s="40">
        <v>18.559999999999999</v>
      </c>
      <c r="H28" s="40">
        <v>8.85</v>
      </c>
      <c r="I28" s="40">
        <v>2.42</v>
      </c>
      <c r="J28" s="40">
        <v>0.54</v>
      </c>
      <c r="K28" s="40">
        <v>257.26</v>
      </c>
      <c r="L28" s="40">
        <v>26.6</v>
      </c>
      <c r="M28" s="40">
        <v>88.59</v>
      </c>
      <c r="N28" s="40">
        <v>2.2999999999999998</v>
      </c>
      <c r="O28" s="40">
        <v>0</v>
      </c>
      <c r="P28" s="40">
        <v>0.11</v>
      </c>
      <c r="Q28" s="40">
        <v>10</v>
      </c>
      <c r="R28" s="38"/>
      <c r="S28" s="38"/>
      <c r="T28" s="38"/>
      <c r="U28" s="38"/>
    </row>
    <row r="29" spans="1:21" customFormat="1">
      <c r="A29" s="41" t="s">
        <v>416</v>
      </c>
      <c r="B29" s="40">
        <v>3.39</v>
      </c>
      <c r="C29" s="40">
        <v>11.39</v>
      </c>
      <c r="D29" s="40">
        <v>8.67</v>
      </c>
      <c r="E29" s="40">
        <v>3.32</v>
      </c>
      <c r="F29" s="40">
        <v>3.85</v>
      </c>
      <c r="G29" s="40">
        <v>15.97</v>
      </c>
      <c r="H29" s="40">
        <v>9.4499999999999993</v>
      </c>
      <c r="I29" s="40">
        <v>2.7</v>
      </c>
      <c r="J29" s="40">
        <v>0.64</v>
      </c>
      <c r="K29" s="40">
        <v>258.64999999999998</v>
      </c>
      <c r="L29" s="40">
        <v>26.33</v>
      </c>
      <c r="M29" s="40">
        <v>88.01</v>
      </c>
      <c r="N29" s="40">
        <v>2.5</v>
      </c>
      <c r="O29" s="40">
        <v>0</v>
      </c>
      <c r="P29" s="40">
        <v>0.12</v>
      </c>
      <c r="Q29" s="40">
        <v>10</v>
      </c>
      <c r="R29" s="38"/>
      <c r="S29" s="38"/>
      <c r="T29" s="38"/>
      <c r="U29" s="38"/>
    </row>
    <row r="30" spans="1:21" customFormat="1">
      <c r="A30" s="41" t="s">
        <v>417</v>
      </c>
      <c r="B30" s="40">
        <v>3.81</v>
      </c>
      <c r="C30" s="40">
        <v>11.68</v>
      </c>
      <c r="D30" s="40">
        <v>9.14</v>
      </c>
      <c r="E30" s="40">
        <v>3.43</v>
      </c>
      <c r="F30" s="40">
        <v>3.6</v>
      </c>
      <c r="G30" s="40">
        <v>12.82</v>
      </c>
      <c r="H30" s="40">
        <v>8.9700000000000006</v>
      </c>
      <c r="I30" s="40">
        <v>2.86</v>
      </c>
      <c r="J30" s="40">
        <v>0.73</v>
      </c>
      <c r="K30" s="40">
        <v>258.76</v>
      </c>
      <c r="L30" s="40">
        <v>26.1</v>
      </c>
      <c r="M30" s="40">
        <v>89.21</v>
      </c>
      <c r="N30" s="40">
        <v>2.4</v>
      </c>
      <c r="O30" s="40">
        <v>0</v>
      </c>
      <c r="P30" s="40">
        <v>0.12</v>
      </c>
      <c r="Q30" s="40">
        <v>10</v>
      </c>
      <c r="R30" s="38"/>
      <c r="S30" s="38"/>
      <c r="T30" s="38"/>
      <c r="U30" s="38"/>
    </row>
    <row r="31" spans="1:21" customFormat="1">
      <c r="A31" s="41" t="s">
        <v>418</v>
      </c>
      <c r="B31" s="40">
        <v>4.13</v>
      </c>
      <c r="C31" s="40">
        <v>11.84</v>
      </c>
      <c r="D31" s="40">
        <v>9.43</v>
      </c>
      <c r="E31" s="40">
        <v>3.95</v>
      </c>
      <c r="F31" s="40">
        <v>2.95</v>
      </c>
      <c r="G31" s="40">
        <v>12.31</v>
      </c>
      <c r="H31" s="40">
        <v>6.81</v>
      </c>
      <c r="I31" s="40">
        <v>2.92</v>
      </c>
      <c r="J31" s="40">
        <v>0.64</v>
      </c>
      <c r="K31" s="40">
        <v>258.13</v>
      </c>
      <c r="L31" s="40">
        <v>25.78</v>
      </c>
      <c r="M31" s="40">
        <v>90.78</v>
      </c>
      <c r="N31" s="40">
        <v>2.4</v>
      </c>
      <c r="O31" s="40">
        <v>0</v>
      </c>
      <c r="P31" s="40">
        <v>0.13</v>
      </c>
      <c r="Q31" s="40">
        <v>10</v>
      </c>
      <c r="R31" s="38"/>
      <c r="S31" s="38"/>
      <c r="T31" s="38"/>
      <c r="U31" s="38"/>
    </row>
    <row r="32" spans="1:21" customFormat="1">
      <c r="A32" s="41" t="s">
        <v>419</v>
      </c>
      <c r="B32" s="40">
        <v>4.33</v>
      </c>
      <c r="C32" s="40">
        <v>11.97</v>
      </c>
      <c r="D32" s="40">
        <v>9.73</v>
      </c>
      <c r="E32" s="40">
        <v>4.72</v>
      </c>
      <c r="F32" s="40">
        <v>1.81</v>
      </c>
      <c r="G32" s="40">
        <v>11.57</v>
      </c>
      <c r="H32" s="40">
        <v>6.44</v>
      </c>
      <c r="I32" s="40">
        <v>2.92</v>
      </c>
      <c r="J32" s="40">
        <v>0.63</v>
      </c>
      <c r="K32" s="40">
        <v>256.33</v>
      </c>
      <c r="L32" s="40">
        <v>25.48</v>
      </c>
      <c r="M32" s="40">
        <v>91.93</v>
      </c>
      <c r="N32" s="40">
        <v>2.4</v>
      </c>
      <c r="O32" s="40">
        <v>0</v>
      </c>
      <c r="P32" s="40">
        <v>0.13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1.61</v>
      </c>
      <c r="C34" s="18">
        <f t="shared" si="0"/>
        <v>8.42</v>
      </c>
      <c r="D34" s="18">
        <f t="shared" si="0"/>
        <v>5.69</v>
      </c>
      <c r="E34" s="18">
        <f t="shared" si="0"/>
        <v>2.4500000000000002</v>
      </c>
      <c r="F34" s="18">
        <f t="shared" si="0"/>
        <v>1.81</v>
      </c>
      <c r="G34" s="18">
        <f t="shared" si="0"/>
        <v>1.49</v>
      </c>
      <c r="H34" s="18">
        <f t="shared" si="0"/>
        <v>0.92</v>
      </c>
      <c r="I34" s="18">
        <f t="shared" si="0"/>
        <v>2.17</v>
      </c>
      <c r="J34" s="18">
        <f t="shared" si="0"/>
        <v>0.54</v>
      </c>
      <c r="K34" s="18">
        <f t="shared" si="0"/>
        <v>251.33</v>
      </c>
      <c r="L34" s="18">
        <f t="shared" si="0"/>
        <v>24.25</v>
      </c>
      <c r="M34" s="18">
        <f t="shared" si="0"/>
        <v>80.569999999999993</v>
      </c>
      <c r="N34" s="18">
        <f t="shared" si="0"/>
        <v>2.2999999999999998</v>
      </c>
      <c r="O34" s="18">
        <f t="shared" si="0"/>
        <v>0</v>
      </c>
      <c r="P34" s="18">
        <f t="shared" si="0"/>
        <v>0.08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5.16</v>
      </c>
      <c r="C35" s="3">
        <f t="shared" si="1"/>
        <v>12.73</v>
      </c>
      <c r="D35" s="3">
        <f t="shared" si="1"/>
        <v>10.78</v>
      </c>
      <c r="E35" s="3">
        <f t="shared" si="1"/>
        <v>6.83</v>
      </c>
      <c r="F35" s="3">
        <f t="shared" si="1"/>
        <v>26.64</v>
      </c>
      <c r="G35" s="3">
        <f t="shared" si="1"/>
        <v>18.559999999999999</v>
      </c>
      <c r="H35" s="3">
        <f t="shared" si="1"/>
        <v>9.93</v>
      </c>
      <c r="I35" s="3">
        <f t="shared" si="1"/>
        <v>8.08</v>
      </c>
      <c r="J35" s="3">
        <f t="shared" si="1"/>
        <v>1.01</v>
      </c>
      <c r="K35" s="3">
        <f t="shared" si="1"/>
        <v>261.32</v>
      </c>
      <c r="L35" s="3">
        <f t="shared" si="1"/>
        <v>28.13</v>
      </c>
      <c r="M35" s="3">
        <f t="shared" si="1"/>
        <v>92.73</v>
      </c>
      <c r="N35" s="3">
        <f t="shared" si="1"/>
        <v>240.9</v>
      </c>
      <c r="O35" s="3">
        <f t="shared" si="1"/>
        <v>0</v>
      </c>
      <c r="P35" s="3">
        <f t="shared" si="1"/>
        <v>0.13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3.5029166666666662</v>
      </c>
      <c r="C36" s="18">
        <f t="shared" si="2"/>
        <v>11.279583333333333</v>
      </c>
      <c r="D36" s="18">
        <f t="shared" si="2"/>
        <v>8.6912499999999984</v>
      </c>
      <c r="E36" s="18">
        <f t="shared" si="2"/>
        <v>4.6026086956521741</v>
      </c>
      <c r="F36" s="18">
        <f t="shared" si="2"/>
        <v>7.399166666666666</v>
      </c>
      <c r="G36" s="18">
        <f t="shared" si="2"/>
        <v>9.7563636363636359</v>
      </c>
      <c r="H36" s="18">
        <f t="shared" si="2"/>
        <v>4.4672727272727277</v>
      </c>
      <c r="I36" s="18">
        <f t="shared" si="2"/>
        <v>3.3704166666666668</v>
      </c>
      <c r="J36" s="18">
        <f t="shared" si="2"/>
        <v>0.74041666666666683</v>
      </c>
      <c r="K36" s="18">
        <f t="shared" si="2"/>
        <v>256.04000000000002</v>
      </c>
      <c r="L36" s="18">
        <f t="shared" si="2"/>
        <v>25.976666666666663</v>
      </c>
      <c r="M36" s="18">
        <f t="shared" si="2"/>
        <v>88.066666666666663</v>
      </c>
      <c r="N36" s="18">
        <f t="shared" si="2"/>
        <v>70.566666666666677</v>
      </c>
      <c r="O36" s="18">
        <f t="shared" si="2"/>
        <v>0</v>
      </c>
      <c r="P36" s="18">
        <f t="shared" si="2"/>
        <v>0.1054166666666667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1.2756089054683433</v>
      </c>
      <c r="C37" s="18">
        <f t="shared" ref="C37:Q37" si="3">STDEV(C9:C32)</f>
        <v>1.4142304072984613</v>
      </c>
      <c r="D37" s="18">
        <f t="shared" si="3"/>
        <v>1.7401407052054962</v>
      </c>
      <c r="E37" s="18">
        <f t="shared" si="3"/>
        <v>1.462625961603758</v>
      </c>
      <c r="F37" s="18">
        <f t="shared" si="3"/>
        <v>7.4795889893279153</v>
      </c>
      <c r="G37" s="18">
        <f t="shared" si="3"/>
        <v>5.8088664130214775</v>
      </c>
      <c r="H37" s="18">
        <f t="shared" si="3"/>
        <v>3.7726347769394746</v>
      </c>
      <c r="I37" s="18">
        <f t="shared" si="3"/>
        <v>1.8903426861324633</v>
      </c>
      <c r="J37" s="18">
        <f t="shared" si="3"/>
        <v>0.11947272443557014</v>
      </c>
      <c r="K37" s="18">
        <f t="shared" si="3"/>
        <v>2.4447441406092882</v>
      </c>
      <c r="L37" s="18">
        <f t="shared" si="3"/>
        <v>1.3153563467139162</v>
      </c>
      <c r="M37" s="18">
        <f t="shared" si="3"/>
        <v>3.9279507508940679</v>
      </c>
      <c r="N37" s="18">
        <f t="shared" si="3"/>
        <v>78.474701914564221</v>
      </c>
      <c r="O37" s="18">
        <f t="shared" si="3"/>
        <v>0</v>
      </c>
      <c r="P37" s="18">
        <f t="shared" si="3"/>
        <v>1.6145847942957214E-2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>COUNT(E9:E32)+1</f>
        <v>24</v>
      </c>
      <c r="F38" s="34">
        <f t="shared" si="4"/>
        <v>24</v>
      </c>
      <c r="G38" s="34">
        <f>COUNT(G9:G32)+2</f>
        <v>24</v>
      </c>
      <c r="H38" s="34">
        <f>COUNT(H9:H32)+2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topLeftCell="A25" zoomScale="85" zoomScaleNormal="85" workbookViewId="0">
      <selection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31/07/2025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1" t="s">
        <v>420</v>
      </c>
      <c r="B9" s="40">
        <v>4.1100000000000003</v>
      </c>
      <c r="C9" s="40">
        <v>11.31</v>
      </c>
      <c r="D9" s="40">
        <v>9.15</v>
      </c>
      <c r="E9" s="40">
        <v>4.83</v>
      </c>
      <c r="F9" s="40">
        <v>2.42</v>
      </c>
      <c r="G9" s="40">
        <v>14.14</v>
      </c>
      <c r="H9" s="40">
        <v>7</v>
      </c>
      <c r="I9" s="40">
        <v>2.82</v>
      </c>
      <c r="J9" s="40">
        <v>0.56000000000000005</v>
      </c>
      <c r="K9" s="40">
        <v>256.02</v>
      </c>
      <c r="L9" s="40">
        <v>25.39</v>
      </c>
      <c r="M9" s="40">
        <v>92.9</v>
      </c>
      <c r="N9" s="40">
        <v>2.2999999999999998</v>
      </c>
      <c r="O9" s="40">
        <v>0</v>
      </c>
      <c r="P9" s="40">
        <v>0.12</v>
      </c>
      <c r="Q9" s="40">
        <v>10</v>
      </c>
      <c r="R9" s="38"/>
      <c r="S9" s="38"/>
      <c r="T9" s="38"/>
      <c r="U9" s="38"/>
    </row>
    <row r="10" spans="1:21" customFormat="1">
      <c r="A10" s="41" t="s">
        <v>421</v>
      </c>
      <c r="B10" s="40">
        <v>4.08</v>
      </c>
      <c r="C10" s="40">
        <v>10.79</v>
      </c>
      <c r="D10" s="40">
        <v>8.91</v>
      </c>
      <c r="E10" s="40">
        <v>5.08</v>
      </c>
      <c r="F10" s="40">
        <v>2.31</v>
      </c>
      <c r="G10" s="40">
        <v>10.6</v>
      </c>
      <c r="H10" s="40">
        <v>8.3699999999999992</v>
      </c>
      <c r="I10" s="40">
        <v>2.74</v>
      </c>
      <c r="J10" s="40">
        <v>0.6</v>
      </c>
      <c r="K10" s="40">
        <v>256.24</v>
      </c>
      <c r="L10" s="40">
        <v>25.37</v>
      </c>
      <c r="M10" s="40">
        <v>93.27</v>
      </c>
      <c r="N10" s="40">
        <v>2.4</v>
      </c>
      <c r="O10" s="40">
        <v>0</v>
      </c>
      <c r="P10" s="40">
        <v>0.12</v>
      </c>
      <c r="Q10" s="40">
        <v>10</v>
      </c>
      <c r="R10" s="38"/>
      <c r="S10" s="38"/>
      <c r="T10" s="38"/>
      <c r="U10" s="38"/>
    </row>
    <row r="11" spans="1:21" customFormat="1">
      <c r="A11" s="41" t="s">
        <v>422</v>
      </c>
      <c r="B11" s="40">
        <v>4.1100000000000003</v>
      </c>
      <c r="C11" s="40">
        <v>10.43</v>
      </c>
      <c r="D11" s="40">
        <v>8.73</v>
      </c>
      <c r="E11" s="40">
        <v>4.63</v>
      </c>
      <c r="F11" s="40">
        <v>2.37</v>
      </c>
      <c r="G11" s="40">
        <v>8.23</v>
      </c>
      <c r="H11" s="40">
        <v>5.91</v>
      </c>
      <c r="I11" s="40">
        <v>2.7</v>
      </c>
      <c r="J11" s="40">
        <v>0.47</v>
      </c>
      <c r="K11" s="40">
        <v>256.94</v>
      </c>
      <c r="L11" s="40">
        <v>25.29</v>
      </c>
      <c r="M11" s="40">
        <v>93.69</v>
      </c>
      <c r="N11" s="40">
        <v>2.2000000000000002</v>
      </c>
      <c r="O11" s="40">
        <v>0</v>
      </c>
      <c r="P11" s="40">
        <v>0.12</v>
      </c>
      <c r="Q11" s="40">
        <v>10</v>
      </c>
      <c r="R11" s="38"/>
      <c r="S11" s="38"/>
      <c r="T11" s="38"/>
      <c r="U11" s="38"/>
    </row>
    <row r="12" spans="1:21" customFormat="1">
      <c r="A12" s="41" t="s">
        <v>423</v>
      </c>
      <c r="B12" s="40">
        <v>4.22</v>
      </c>
      <c r="C12" s="40">
        <v>10.24</v>
      </c>
      <c r="D12" s="40">
        <v>8.7100000000000009</v>
      </c>
      <c r="E12" s="40">
        <v>4.7</v>
      </c>
      <c r="F12" s="40">
        <v>2.5099999999999998</v>
      </c>
      <c r="G12" s="40">
        <v>11.71</v>
      </c>
      <c r="H12" s="40">
        <v>6.89</v>
      </c>
      <c r="I12" s="40">
        <v>2.65</v>
      </c>
      <c r="J12" s="40">
        <v>0.55000000000000004</v>
      </c>
      <c r="K12" s="40">
        <v>256.25</v>
      </c>
      <c r="L12" s="40">
        <v>25.25</v>
      </c>
      <c r="M12" s="40">
        <v>93.84</v>
      </c>
      <c r="N12" s="40">
        <v>2.2000000000000002</v>
      </c>
      <c r="O12" s="40">
        <v>0</v>
      </c>
      <c r="P12" s="40">
        <v>0.12</v>
      </c>
      <c r="Q12" s="40">
        <v>10</v>
      </c>
      <c r="R12" s="38"/>
      <c r="S12" s="38"/>
      <c r="T12" s="38"/>
      <c r="U12" s="38"/>
    </row>
    <row r="13" spans="1:21" customFormat="1">
      <c r="A13" s="41" t="s">
        <v>424</v>
      </c>
      <c r="B13" s="40">
        <v>4.67</v>
      </c>
      <c r="C13" s="40">
        <v>10.28</v>
      </c>
      <c r="D13" s="40">
        <v>9.1199999999999992</v>
      </c>
      <c r="E13" s="40">
        <v>4.62</v>
      </c>
      <c r="F13" s="40">
        <v>2.0499999999999998</v>
      </c>
      <c r="G13" s="40">
        <v>9.76</v>
      </c>
      <c r="H13" s="40">
        <v>5.92</v>
      </c>
      <c r="I13" s="40">
        <v>2.68</v>
      </c>
      <c r="J13" s="40">
        <v>0.55000000000000004</v>
      </c>
      <c r="K13" s="40">
        <v>259.25</v>
      </c>
      <c r="L13" s="40">
        <v>25.18</v>
      </c>
      <c r="M13" s="40">
        <v>93.95</v>
      </c>
      <c r="N13" s="40">
        <v>2.2000000000000002</v>
      </c>
      <c r="O13" s="40">
        <v>0</v>
      </c>
      <c r="P13" s="40">
        <v>0.12</v>
      </c>
      <c r="Q13" s="40">
        <v>10</v>
      </c>
      <c r="R13" s="38"/>
      <c r="S13" s="38"/>
      <c r="T13" s="38"/>
      <c r="U13" s="38"/>
    </row>
    <row r="14" spans="1:21" customFormat="1">
      <c r="A14" s="41" t="s">
        <v>425</v>
      </c>
      <c r="B14" s="40">
        <v>5.26</v>
      </c>
      <c r="C14" s="40">
        <v>10.54</v>
      </c>
      <c r="D14" s="40">
        <v>9.7200000000000006</v>
      </c>
      <c r="E14" s="40">
        <v>4.3099999999999996</v>
      </c>
      <c r="F14" s="40">
        <v>2.2599999999999998</v>
      </c>
      <c r="G14" s="40">
        <v>9.2899999999999991</v>
      </c>
      <c r="H14" s="40">
        <v>7.92</v>
      </c>
      <c r="I14" s="40">
        <v>2.63</v>
      </c>
      <c r="J14" s="40">
        <v>0.56999999999999995</v>
      </c>
      <c r="K14" s="40">
        <v>259.70999999999998</v>
      </c>
      <c r="L14" s="40">
        <v>25.14</v>
      </c>
      <c r="M14" s="40">
        <v>93.64</v>
      </c>
      <c r="N14" s="40">
        <v>7.1</v>
      </c>
      <c r="O14" s="40">
        <v>0</v>
      </c>
      <c r="P14" s="40">
        <v>0.11</v>
      </c>
      <c r="Q14" s="40">
        <v>10</v>
      </c>
      <c r="R14" s="38"/>
      <c r="S14" s="38"/>
      <c r="T14" s="38"/>
      <c r="U14" s="38"/>
    </row>
    <row r="15" spans="1:21" customFormat="1">
      <c r="A15" s="41" t="s">
        <v>426</v>
      </c>
      <c r="B15" s="40">
        <v>5.72</v>
      </c>
      <c r="C15" s="40">
        <v>10.81</v>
      </c>
      <c r="D15" s="40">
        <v>10.23</v>
      </c>
      <c r="E15" s="40">
        <v>4.24</v>
      </c>
      <c r="F15" s="40">
        <v>2.66</v>
      </c>
      <c r="G15" s="40">
        <v>9.4499999999999993</v>
      </c>
      <c r="H15" s="40">
        <v>5.75</v>
      </c>
      <c r="I15" s="40">
        <v>2.71</v>
      </c>
      <c r="J15" s="40">
        <v>0.56999999999999995</v>
      </c>
      <c r="K15" s="40">
        <v>258.16000000000003</v>
      </c>
      <c r="L15" s="40">
        <v>25.34</v>
      </c>
      <c r="M15" s="40">
        <v>93.26</v>
      </c>
      <c r="N15" s="40">
        <v>35.5</v>
      </c>
      <c r="O15" s="40">
        <v>0</v>
      </c>
      <c r="P15" s="40">
        <v>0.12</v>
      </c>
      <c r="Q15" s="40">
        <v>10</v>
      </c>
      <c r="R15" s="38"/>
      <c r="S15" s="38"/>
      <c r="T15" s="38"/>
      <c r="U15" s="38"/>
    </row>
    <row r="16" spans="1:21" customFormat="1">
      <c r="A16" s="41" t="s">
        <v>427</v>
      </c>
      <c r="B16" s="40">
        <v>5.93</v>
      </c>
      <c r="C16" s="40">
        <v>11.03</v>
      </c>
      <c r="D16" s="40">
        <v>10.52</v>
      </c>
      <c r="E16" s="40">
        <v>4.0199999999999996</v>
      </c>
      <c r="F16" s="40">
        <v>2.2200000000000002</v>
      </c>
      <c r="G16" s="40">
        <v>16.7</v>
      </c>
      <c r="H16" s="40">
        <v>4.41</v>
      </c>
      <c r="I16" s="40">
        <v>2.84</v>
      </c>
      <c r="J16" s="40">
        <v>0.84</v>
      </c>
      <c r="K16" s="40">
        <v>258.02999999999997</v>
      </c>
      <c r="L16" s="40">
        <v>26.54</v>
      </c>
      <c r="M16" s="40">
        <v>91.6</v>
      </c>
      <c r="N16" s="40">
        <v>124.2</v>
      </c>
      <c r="O16" s="40">
        <v>0</v>
      </c>
      <c r="P16" s="40">
        <v>0.12</v>
      </c>
      <c r="Q16" s="40">
        <v>10</v>
      </c>
      <c r="R16" s="38"/>
      <c r="S16" s="38"/>
      <c r="T16" s="38"/>
      <c r="U16" s="38"/>
    </row>
    <row r="17" spans="1:21" customFormat="1">
      <c r="A17" s="41" t="s">
        <v>428</v>
      </c>
      <c r="B17" s="40">
        <v>5.92</v>
      </c>
      <c r="C17" s="40">
        <v>11.46</v>
      </c>
      <c r="D17" s="40">
        <v>10.65</v>
      </c>
      <c r="E17" s="40">
        <v>3.93</v>
      </c>
      <c r="F17" s="40">
        <v>2.48</v>
      </c>
      <c r="G17" s="40">
        <v>18.47</v>
      </c>
      <c r="H17" s="40">
        <v>6.41</v>
      </c>
      <c r="I17" s="40">
        <v>2.96</v>
      </c>
      <c r="J17" s="40">
        <v>0.97</v>
      </c>
      <c r="K17" s="40">
        <v>261.14</v>
      </c>
      <c r="L17" s="40">
        <v>27.83</v>
      </c>
      <c r="M17" s="40">
        <v>85.24</v>
      </c>
      <c r="N17" s="40">
        <v>194.1</v>
      </c>
      <c r="O17" s="40">
        <v>0</v>
      </c>
      <c r="P17" s="40">
        <v>0.12</v>
      </c>
      <c r="Q17" s="40">
        <v>10</v>
      </c>
      <c r="R17" s="38"/>
      <c r="S17" s="38"/>
      <c r="T17" s="38"/>
      <c r="U17" s="38"/>
    </row>
    <row r="18" spans="1:21" customFormat="1">
      <c r="A18" s="41" t="s">
        <v>429</v>
      </c>
      <c r="B18" s="40">
        <v>5.7</v>
      </c>
      <c r="C18" s="40">
        <v>11.95</v>
      </c>
      <c r="D18" s="40">
        <v>10.78</v>
      </c>
      <c r="E18" s="40">
        <v>4.26</v>
      </c>
      <c r="F18" s="40">
        <v>2.15</v>
      </c>
      <c r="G18" s="40">
        <v>21.78</v>
      </c>
      <c r="H18" s="40">
        <v>9.49</v>
      </c>
      <c r="I18" s="40">
        <v>3.31</v>
      </c>
      <c r="J18" s="40">
        <v>0.91</v>
      </c>
      <c r="K18" s="40">
        <v>263.73</v>
      </c>
      <c r="L18" s="40">
        <v>28.96</v>
      </c>
      <c r="M18" s="40">
        <v>79.89</v>
      </c>
      <c r="N18" s="40">
        <v>277.10000000000002</v>
      </c>
      <c r="O18" s="40">
        <v>0</v>
      </c>
      <c r="P18" s="40">
        <v>0.15</v>
      </c>
      <c r="Q18" s="40">
        <v>10</v>
      </c>
      <c r="R18" s="38"/>
      <c r="S18" s="38"/>
      <c r="T18" s="38"/>
      <c r="U18" s="38"/>
    </row>
    <row r="19" spans="1:21" customFormat="1">
      <c r="A19" s="41" t="s">
        <v>430</v>
      </c>
      <c r="B19" s="40">
        <v>5</v>
      </c>
      <c r="C19" s="40">
        <v>12.06</v>
      </c>
      <c r="D19" s="40">
        <v>10.31</v>
      </c>
      <c r="E19" s="40">
        <v>5.38</v>
      </c>
      <c r="F19" s="40">
        <v>1.95</v>
      </c>
      <c r="G19" s="40">
        <v>21.56</v>
      </c>
      <c r="H19" s="40">
        <v>7.25</v>
      </c>
      <c r="I19" s="40">
        <v>4.01</v>
      </c>
      <c r="J19" s="40">
        <v>0.92</v>
      </c>
      <c r="K19" s="40">
        <v>278.18</v>
      </c>
      <c r="L19" s="40">
        <v>29.67</v>
      </c>
      <c r="M19" s="40">
        <v>74.86</v>
      </c>
      <c r="N19" s="40">
        <v>318.3</v>
      </c>
      <c r="O19" s="40">
        <v>0</v>
      </c>
      <c r="P19" s="40">
        <v>0.18</v>
      </c>
      <c r="Q19" s="40">
        <v>10</v>
      </c>
      <c r="R19" s="38"/>
      <c r="S19" s="38"/>
      <c r="T19" s="38"/>
      <c r="U19" s="38"/>
    </row>
    <row r="20" spans="1:21" customFormat="1">
      <c r="A20" s="41" t="s">
        <v>431</v>
      </c>
      <c r="B20" s="40">
        <v>4.3600000000000003</v>
      </c>
      <c r="C20" s="40">
        <v>12.03</v>
      </c>
      <c r="D20" s="40">
        <v>9.7799999999999994</v>
      </c>
      <c r="E20" s="40">
        <v>5.22</v>
      </c>
      <c r="F20" s="40">
        <v>2.61</v>
      </c>
      <c r="G20" s="40">
        <v>31.18</v>
      </c>
      <c r="H20" s="40">
        <v>10.35</v>
      </c>
      <c r="I20" s="40">
        <v>4.2300000000000004</v>
      </c>
      <c r="J20" s="40">
        <v>0.67</v>
      </c>
      <c r="K20" s="40">
        <v>261.88</v>
      </c>
      <c r="L20" s="40">
        <v>30</v>
      </c>
      <c r="M20" s="40">
        <v>75.349999999999994</v>
      </c>
      <c r="N20" s="40">
        <v>485.3</v>
      </c>
      <c r="O20" s="40">
        <v>0</v>
      </c>
      <c r="P20" s="40">
        <v>0.18</v>
      </c>
      <c r="Q20" s="40">
        <v>10</v>
      </c>
      <c r="R20" s="38"/>
      <c r="S20" s="38"/>
      <c r="T20" s="38"/>
      <c r="U20" s="38"/>
    </row>
    <row r="21" spans="1:21" customFormat="1">
      <c r="A21" s="41" t="s">
        <v>432</v>
      </c>
      <c r="B21" s="40">
        <v>3.69</v>
      </c>
      <c r="C21" s="40">
        <v>11.77</v>
      </c>
      <c r="D21" s="40">
        <v>9.06</v>
      </c>
      <c r="E21" s="40">
        <v>5.57</v>
      </c>
      <c r="F21" s="40">
        <v>3.7</v>
      </c>
      <c r="G21" s="40">
        <v>34.049999999999997</v>
      </c>
      <c r="H21" s="40">
        <v>12.06</v>
      </c>
      <c r="I21" s="40">
        <v>4.46</v>
      </c>
      <c r="J21" s="40">
        <v>0.85</v>
      </c>
      <c r="K21" s="40">
        <v>267.49</v>
      </c>
      <c r="L21" s="40">
        <v>31.52</v>
      </c>
      <c r="M21" s="40">
        <v>68.510000000000005</v>
      </c>
      <c r="N21" s="40">
        <v>687.4</v>
      </c>
      <c r="O21" s="40">
        <v>0</v>
      </c>
      <c r="P21" s="40">
        <v>0.19</v>
      </c>
      <c r="Q21" s="40">
        <v>10</v>
      </c>
      <c r="R21" s="38"/>
      <c r="S21" s="38"/>
      <c r="T21" s="38"/>
      <c r="U21" s="38"/>
    </row>
    <row r="22" spans="1:21" customFormat="1">
      <c r="A22" s="41" t="s">
        <v>433</v>
      </c>
      <c r="B22" s="40">
        <v>2.93</v>
      </c>
      <c r="C22" s="40">
        <v>11.53</v>
      </c>
      <c r="D22" s="40">
        <v>8.3800000000000008</v>
      </c>
      <c r="E22" s="40">
        <v>5.51</v>
      </c>
      <c r="F22" s="40">
        <v>3.7</v>
      </c>
      <c r="G22" s="40">
        <v>33.89</v>
      </c>
      <c r="H22" s="40">
        <v>13.08</v>
      </c>
      <c r="I22" s="40">
        <v>4.6399999999999997</v>
      </c>
      <c r="J22" s="40">
        <v>0.83</v>
      </c>
      <c r="K22" s="40">
        <v>262.24</v>
      </c>
      <c r="L22" s="40">
        <v>30.92</v>
      </c>
      <c r="M22" s="40">
        <v>71.5</v>
      </c>
      <c r="N22" s="40">
        <v>287.60000000000002</v>
      </c>
      <c r="O22" s="40">
        <v>0</v>
      </c>
      <c r="P22" s="40">
        <v>0.2</v>
      </c>
      <c r="Q22" s="40">
        <v>10</v>
      </c>
      <c r="R22" s="38"/>
      <c r="S22" s="38"/>
      <c r="T22" s="38"/>
      <c r="U22" s="38"/>
    </row>
    <row r="23" spans="1:21" customFormat="1">
      <c r="A23" s="41" t="s">
        <v>434</v>
      </c>
      <c r="B23" s="40">
        <v>2.98</v>
      </c>
      <c r="C23" s="40">
        <v>11.25</v>
      </c>
      <c r="D23" s="40">
        <v>8.19</v>
      </c>
      <c r="E23" s="40">
        <v>5.59</v>
      </c>
      <c r="F23" s="40">
        <v>5.04</v>
      </c>
      <c r="G23" s="40">
        <v>34.659999999999997</v>
      </c>
      <c r="H23" s="40">
        <v>13.58</v>
      </c>
      <c r="I23" s="40">
        <v>5.07</v>
      </c>
      <c r="J23" s="40">
        <v>0.89</v>
      </c>
      <c r="K23" s="40">
        <v>260.27</v>
      </c>
      <c r="L23" s="40">
        <v>31.17</v>
      </c>
      <c r="M23" s="40">
        <v>71.41</v>
      </c>
      <c r="N23" s="40">
        <v>204.9</v>
      </c>
      <c r="O23" s="40">
        <v>0</v>
      </c>
      <c r="P23" s="40">
        <v>0.21</v>
      </c>
      <c r="Q23" s="40">
        <v>10</v>
      </c>
      <c r="R23" s="38"/>
      <c r="S23" s="38"/>
      <c r="T23" s="38"/>
      <c r="U23" s="38"/>
    </row>
    <row r="24" spans="1:21" customFormat="1">
      <c r="A24" s="41" t="s">
        <v>435</v>
      </c>
      <c r="B24" s="40">
        <v>3.04</v>
      </c>
      <c r="C24" s="40">
        <v>11.46</v>
      </c>
      <c r="D24" s="40">
        <v>8.43</v>
      </c>
      <c r="E24" s="40">
        <v>4.6500000000000004</v>
      </c>
      <c r="F24" s="40">
        <v>8.24</v>
      </c>
      <c r="G24" s="40">
        <v>35.39</v>
      </c>
      <c r="H24" s="40">
        <v>13.35</v>
      </c>
      <c r="I24" s="40">
        <v>5.0999999999999996</v>
      </c>
      <c r="J24" s="40">
        <v>0.89</v>
      </c>
      <c r="K24" s="40">
        <v>267.06</v>
      </c>
      <c r="L24" s="40">
        <v>31.21</v>
      </c>
      <c r="M24" s="40">
        <v>65.900000000000006</v>
      </c>
      <c r="N24" s="40">
        <v>305.5</v>
      </c>
      <c r="O24" s="40">
        <v>0</v>
      </c>
      <c r="P24" s="40">
        <v>0.21</v>
      </c>
      <c r="Q24" s="40">
        <v>10</v>
      </c>
      <c r="R24" s="38"/>
      <c r="S24" s="38"/>
      <c r="T24" s="38"/>
      <c r="U24" s="38"/>
    </row>
    <row r="25" spans="1:21" customFormat="1">
      <c r="A25" s="41" t="s">
        <v>436</v>
      </c>
      <c r="B25" s="40">
        <v>3.26</v>
      </c>
      <c r="C25" s="40">
        <v>11.58</v>
      </c>
      <c r="D25" s="40">
        <v>8.59</v>
      </c>
      <c r="E25" s="40">
        <v>4.6500000000000004</v>
      </c>
      <c r="F25" s="40">
        <v>5.68</v>
      </c>
      <c r="G25" s="40">
        <v>32.68</v>
      </c>
      <c r="H25" s="40">
        <v>12.73</v>
      </c>
      <c r="I25" s="40">
        <v>5.34</v>
      </c>
      <c r="J25" s="40">
        <v>0.85</v>
      </c>
      <c r="K25" s="40">
        <v>260.44</v>
      </c>
      <c r="L25" s="40">
        <v>31.05</v>
      </c>
      <c r="M25" s="40">
        <v>66.33</v>
      </c>
      <c r="N25" s="40">
        <v>111</v>
      </c>
      <c r="O25" s="40">
        <v>0</v>
      </c>
      <c r="P25" s="40">
        <v>0.22</v>
      </c>
      <c r="Q25" s="40">
        <v>10</v>
      </c>
      <c r="R25" s="38"/>
      <c r="S25" s="38"/>
      <c r="T25" s="38"/>
      <c r="U25" s="38"/>
    </row>
    <row r="26" spans="1:21" customFormat="1">
      <c r="A26" s="41" t="s">
        <v>437</v>
      </c>
      <c r="B26" s="40">
        <v>3.38</v>
      </c>
      <c r="C26" s="40">
        <v>11.74</v>
      </c>
      <c r="D26" s="40">
        <v>8.85</v>
      </c>
      <c r="E26" s="40">
        <v>4.17</v>
      </c>
      <c r="F26" s="40">
        <v>9.1</v>
      </c>
      <c r="G26" s="40">
        <v>37.25</v>
      </c>
      <c r="H26" s="40">
        <v>11.52</v>
      </c>
      <c r="I26" s="40">
        <v>5.41</v>
      </c>
      <c r="J26" s="40">
        <v>0.78</v>
      </c>
      <c r="K26" s="40">
        <v>261.06</v>
      </c>
      <c r="L26" s="40">
        <v>30.4</v>
      </c>
      <c r="M26" s="40">
        <v>67.38</v>
      </c>
      <c r="N26" s="40">
        <v>55.5</v>
      </c>
      <c r="O26" s="40">
        <v>0</v>
      </c>
      <c r="P26" s="40">
        <v>0.21</v>
      </c>
      <c r="Q26" s="40">
        <v>10</v>
      </c>
      <c r="R26" s="38"/>
      <c r="S26" s="38"/>
      <c r="T26" s="38"/>
      <c r="U26" s="38"/>
    </row>
    <row r="27" spans="1:21" customFormat="1">
      <c r="A27" s="41" t="s">
        <v>438</v>
      </c>
      <c r="B27" s="40">
        <v>3.35</v>
      </c>
      <c r="C27" s="40">
        <v>12.23</v>
      </c>
      <c r="D27" s="40">
        <v>9.08</v>
      </c>
      <c r="E27" s="40">
        <v>4.87</v>
      </c>
      <c r="F27" s="40">
        <v>7.72</v>
      </c>
      <c r="G27" s="40">
        <v>32.049999999999997</v>
      </c>
      <c r="H27" s="40">
        <v>9.65</v>
      </c>
      <c r="I27" s="40">
        <v>4.8600000000000003</v>
      </c>
      <c r="J27" s="40">
        <v>0.62</v>
      </c>
      <c r="K27" s="40">
        <v>261.12</v>
      </c>
      <c r="L27" s="40">
        <v>29.44</v>
      </c>
      <c r="M27" s="40">
        <v>71.72</v>
      </c>
      <c r="N27" s="40">
        <v>19.7</v>
      </c>
      <c r="O27" s="40">
        <v>0</v>
      </c>
      <c r="P27" s="40">
        <v>0.19</v>
      </c>
      <c r="Q27" s="40">
        <v>10</v>
      </c>
      <c r="R27" s="38"/>
      <c r="S27" s="38"/>
      <c r="T27" s="38"/>
      <c r="U27" s="38"/>
    </row>
    <row r="28" spans="1:21" customFormat="1">
      <c r="A28" s="41" t="s">
        <v>439</v>
      </c>
      <c r="B28" s="40">
        <v>3.27</v>
      </c>
      <c r="C28" s="40">
        <v>12.35</v>
      </c>
      <c r="D28" s="40">
        <v>9.0399999999999991</v>
      </c>
      <c r="E28" s="40">
        <v>5.29</v>
      </c>
      <c r="F28" s="40">
        <v>4.6399999999999997</v>
      </c>
      <c r="G28" s="40">
        <v>31.05</v>
      </c>
      <c r="H28" s="40">
        <v>10.46</v>
      </c>
      <c r="I28" s="40">
        <v>4.68</v>
      </c>
      <c r="J28" s="40">
        <v>1.32</v>
      </c>
      <c r="K28" s="40">
        <v>282.64999999999998</v>
      </c>
      <c r="L28" s="40">
        <v>28.81</v>
      </c>
      <c r="M28" s="40">
        <v>76.150000000000006</v>
      </c>
      <c r="N28" s="40">
        <v>2.7</v>
      </c>
      <c r="O28" s="40">
        <v>0</v>
      </c>
      <c r="P28" s="40">
        <v>0.18</v>
      </c>
      <c r="Q28" s="40">
        <v>10</v>
      </c>
      <c r="R28" s="38"/>
      <c r="S28" s="38"/>
      <c r="T28" s="38"/>
      <c r="U28" s="38"/>
    </row>
    <row r="29" spans="1:21" customFormat="1">
      <c r="A29" s="41" t="s">
        <v>440</v>
      </c>
      <c r="B29" s="40">
        <v>3.62</v>
      </c>
      <c r="C29" s="40">
        <v>12.21</v>
      </c>
      <c r="D29" s="40">
        <v>9.25</v>
      </c>
      <c r="E29" s="40">
        <v>5.56</v>
      </c>
      <c r="F29" s="40">
        <v>2.58</v>
      </c>
      <c r="G29" s="40">
        <v>36.57</v>
      </c>
      <c r="H29" s="40">
        <v>12.14</v>
      </c>
      <c r="I29" s="40">
        <v>4.58</v>
      </c>
      <c r="J29" s="40">
        <v>1.38</v>
      </c>
      <c r="K29" s="40">
        <v>303.39999999999998</v>
      </c>
      <c r="L29" s="40">
        <v>27.3</v>
      </c>
      <c r="M29" s="40">
        <v>75.41</v>
      </c>
      <c r="N29" s="40">
        <v>3.5</v>
      </c>
      <c r="O29" s="40">
        <v>0</v>
      </c>
      <c r="P29" s="40">
        <v>0.19</v>
      </c>
      <c r="Q29" s="40">
        <v>10</v>
      </c>
      <c r="R29" s="38"/>
      <c r="S29" s="38"/>
      <c r="T29" s="38"/>
      <c r="U29" s="38"/>
    </row>
    <row r="30" spans="1:21" customFormat="1">
      <c r="A30" s="41" t="s">
        <v>441</v>
      </c>
      <c r="B30" s="40">
        <v>4.0599999999999996</v>
      </c>
      <c r="C30" s="40">
        <v>12.41</v>
      </c>
      <c r="D30" s="40">
        <v>9.69</v>
      </c>
      <c r="E30" s="40">
        <v>5.85</v>
      </c>
      <c r="F30" s="40">
        <v>1.88</v>
      </c>
      <c r="G30" s="40">
        <v>32.590000000000003</v>
      </c>
      <c r="H30" s="40">
        <v>9.41</v>
      </c>
      <c r="I30" s="40">
        <v>4.42</v>
      </c>
      <c r="J30" s="40">
        <v>0.42</v>
      </c>
      <c r="K30" s="40">
        <v>294.42</v>
      </c>
      <c r="L30" s="40">
        <v>26.46</v>
      </c>
      <c r="M30" s="40">
        <v>82.85</v>
      </c>
      <c r="N30" s="40">
        <v>2.4</v>
      </c>
      <c r="O30" s="40">
        <v>0</v>
      </c>
      <c r="P30" s="40">
        <v>0.19</v>
      </c>
      <c r="Q30" s="40">
        <v>10</v>
      </c>
      <c r="R30" s="38"/>
      <c r="S30" s="38"/>
      <c r="T30" s="38"/>
      <c r="U30" s="38"/>
    </row>
    <row r="31" spans="1:21" customFormat="1">
      <c r="A31" s="41" t="s">
        <v>442</v>
      </c>
      <c r="B31" s="40">
        <v>4.24</v>
      </c>
      <c r="C31" s="40">
        <v>12.06</v>
      </c>
      <c r="D31" s="40">
        <v>9.59</v>
      </c>
      <c r="E31" s="40">
        <v>5.67</v>
      </c>
      <c r="F31" s="40">
        <v>1.97</v>
      </c>
      <c r="G31" s="40">
        <v>30.62</v>
      </c>
      <c r="H31" s="40">
        <v>6.65</v>
      </c>
      <c r="I31" s="40">
        <v>4.41</v>
      </c>
      <c r="J31" s="40">
        <v>0.19</v>
      </c>
      <c r="K31" s="40">
        <v>169.62</v>
      </c>
      <c r="L31" s="40">
        <v>26.24</v>
      </c>
      <c r="M31" s="40">
        <v>87.81</v>
      </c>
      <c r="N31" s="40">
        <v>2.4</v>
      </c>
      <c r="O31" s="40">
        <v>0</v>
      </c>
      <c r="P31" s="40">
        <v>0.21</v>
      </c>
      <c r="Q31" s="40">
        <v>10</v>
      </c>
      <c r="R31" s="38"/>
      <c r="S31" s="38"/>
      <c r="T31" s="38"/>
      <c r="U31" s="38"/>
    </row>
    <row r="32" spans="1:21" customFormat="1">
      <c r="A32" s="41" t="s">
        <v>443</v>
      </c>
      <c r="B32" s="40">
        <v>4.97</v>
      </c>
      <c r="C32" s="40">
        <v>11.65</v>
      </c>
      <c r="D32" s="40">
        <v>9.89</v>
      </c>
      <c r="E32" s="40">
        <v>5.92</v>
      </c>
      <c r="F32" s="40">
        <v>2.13</v>
      </c>
      <c r="G32" s="40">
        <v>29.56</v>
      </c>
      <c r="H32" s="40">
        <v>8.2799999999999994</v>
      </c>
      <c r="I32" s="40">
        <v>5.34</v>
      </c>
      <c r="J32" s="40">
        <v>0.14000000000000001</v>
      </c>
      <c r="K32" s="40">
        <v>249.06</v>
      </c>
      <c r="L32" s="40">
        <v>26.19</v>
      </c>
      <c r="M32" s="40">
        <v>94.96</v>
      </c>
      <c r="N32" s="40">
        <v>2.5</v>
      </c>
      <c r="O32" s="40">
        <v>0</v>
      </c>
      <c r="P32" s="40">
        <v>0.28000000000000003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2.93</v>
      </c>
      <c r="C34" s="18">
        <f t="shared" si="0"/>
        <v>10.24</v>
      </c>
      <c r="D34" s="18">
        <f t="shared" si="0"/>
        <v>8.19</v>
      </c>
      <c r="E34" s="18">
        <f t="shared" si="0"/>
        <v>3.93</v>
      </c>
      <c r="F34" s="18">
        <f t="shared" si="0"/>
        <v>1.88</v>
      </c>
      <c r="G34" s="18">
        <f t="shared" si="0"/>
        <v>8.23</v>
      </c>
      <c r="H34" s="18">
        <f t="shared" si="0"/>
        <v>4.41</v>
      </c>
      <c r="I34" s="18">
        <f t="shared" si="0"/>
        <v>2.63</v>
      </c>
      <c r="J34" s="18">
        <f t="shared" si="0"/>
        <v>0.14000000000000001</v>
      </c>
      <c r="K34" s="18">
        <f t="shared" si="0"/>
        <v>169.62</v>
      </c>
      <c r="L34" s="18">
        <f t="shared" si="0"/>
        <v>25.14</v>
      </c>
      <c r="M34" s="18">
        <f t="shared" si="0"/>
        <v>65.900000000000006</v>
      </c>
      <c r="N34" s="18">
        <f t="shared" si="0"/>
        <v>2.2000000000000002</v>
      </c>
      <c r="O34" s="18">
        <f t="shared" si="0"/>
        <v>0</v>
      </c>
      <c r="P34" s="18">
        <f t="shared" si="0"/>
        <v>0.11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5.93</v>
      </c>
      <c r="C35" s="3">
        <f t="shared" si="1"/>
        <v>12.41</v>
      </c>
      <c r="D35" s="3">
        <f t="shared" si="1"/>
        <v>10.78</v>
      </c>
      <c r="E35" s="3">
        <f t="shared" si="1"/>
        <v>5.92</v>
      </c>
      <c r="F35" s="3">
        <f t="shared" si="1"/>
        <v>9.1</v>
      </c>
      <c r="G35" s="3">
        <f t="shared" si="1"/>
        <v>37.25</v>
      </c>
      <c r="H35" s="3">
        <f t="shared" si="1"/>
        <v>13.58</v>
      </c>
      <c r="I35" s="3">
        <f t="shared" si="1"/>
        <v>5.41</v>
      </c>
      <c r="J35" s="3">
        <f t="shared" si="1"/>
        <v>1.38</v>
      </c>
      <c r="K35" s="3">
        <f t="shared" si="1"/>
        <v>303.39999999999998</v>
      </c>
      <c r="L35" s="3">
        <f t="shared" si="1"/>
        <v>31.52</v>
      </c>
      <c r="M35" s="3">
        <f t="shared" si="1"/>
        <v>94.96</v>
      </c>
      <c r="N35" s="3">
        <f t="shared" si="1"/>
        <v>687.4</v>
      </c>
      <c r="O35" s="3">
        <f t="shared" si="1"/>
        <v>0</v>
      </c>
      <c r="P35" s="3">
        <f t="shared" si="1"/>
        <v>0.28000000000000003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4.2445833333333338</v>
      </c>
      <c r="C36" s="18">
        <f t="shared" si="2"/>
        <v>11.465416666666668</v>
      </c>
      <c r="D36" s="18">
        <f t="shared" si="2"/>
        <v>9.3604166666666675</v>
      </c>
      <c r="E36" s="18">
        <f t="shared" si="2"/>
        <v>4.9383333333333344</v>
      </c>
      <c r="F36" s="18">
        <f t="shared" si="2"/>
        <v>3.5154166666666664</v>
      </c>
      <c r="G36" s="18">
        <f t="shared" si="2"/>
        <v>24.30125</v>
      </c>
      <c r="H36" s="18">
        <f t="shared" si="2"/>
        <v>9.1074999999999999</v>
      </c>
      <c r="I36" s="18">
        <f t="shared" si="2"/>
        <v>3.9412500000000001</v>
      </c>
      <c r="J36" s="18">
        <f t="shared" si="2"/>
        <v>0.72250000000000014</v>
      </c>
      <c r="K36" s="18">
        <f t="shared" si="2"/>
        <v>261.01499999999999</v>
      </c>
      <c r="L36" s="18">
        <f t="shared" si="2"/>
        <v>27.94458333333333</v>
      </c>
      <c r="M36" s="18">
        <f t="shared" si="2"/>
        <v>81.725833333333341</v>
      </c>
      <c r="N36" s="18">
        <f t="shared" si="2"/>
        <v>130.74999999999997</v>
      </c>
      <c r="O36" s="18">
        <f t="shared" si="2"/>
        <v>0</v>
      </c>
      <c r="P36" s="18">
        <f t="shared" si="2"/>
        <v>0.16916666666666666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0.96246955532501577</v>
      </c>
      <c r="C37" s="18">
        <f t="shared" ref="C37:Q37" si="3">STDEV(C9:C32)</f>
        <v>0.66839183487497555</v>
      </c>
      <c r="D37" s="18">
        <f t="shared" si="3"/>
        <v>0.74856081723628121</v>
      </c>
      <c r="E37" s="18">
        <f t="shared" si="3"/>
        <v>0.60842395592621801</v>
      </c>
      <c r="F37" s="18">
        <f t="shared" si="3"/>
        <v>2.1336190507265336</v>
      </c>
      <c r="G37" s="18">
        <f t="shared" si="3"/>
        <v>10.56168477687565</v>
      </c>
      <c r="H37" s="18">
        <f t="shared" si="3"/>
        <v>2.7743487289029125</v>
      </c>
      <c r="I37" s="18">
        <f t="shared" si="3"/>
        <v>1.0443983601972033</v>
      </c>
      <c r="J37" s="18">
        <f t="shared" si="3"/>
        <v>0.29346875991062144</v>
      </c>
      <c r="K37" s="18">
        <f t="shared" si="3"/>
        <v>23.19014389591068</v>
      </c>
      <c r="L37" s="18">
        <f t="shared" si="3"/>
        <v>2.3768612462779504</v>
      </c>
      <c r="M37" s="18">
        <f t="shared" si="3"/>
        <v>10.707378161877392</v>
      </c>
      <c r="N37" s="18">
        <f t="shared" si="3"/>
        <v>182.27213290786563</v>
      </c>
      <c r="O37" s="18">
        <f t="shared" si="3"/>
        <v>0</v>
      </c>
      <c r="P37" s="18">
        <f t="shared" si="3"/>
        <v>4.5579998155814587E-2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59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56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B49" sqref="B4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57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>
        <f>$A$9</f>
        <v>45839.041666666664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58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>
        <f>'01'!$B$2</f>
        <v>45839.041666666664</v>
      </c>
      <c r="B9" s="15">
        <f>'01'!B36</f>
        <v>3.6449999999999982</v>
      </c>
      <c r="C9" s="15">
        <f>'01'!C36</f>
        <v>6.7679166666666672</v>
      </c>
      <c r="D9" s="15">
        <f>'01'!D36</f>
        <v>4.5154166666666669</v>
      </c>
      <c r="E9" s="15">
        <f>'01'!E36</f>
        <v>5.2691666666666661</v>
      </c>
      <c r="F9" s="15">
        <f>'01'!F36</f>
        <v>6.3362500000000006</v>
      </c>
      <c r="G9" s="15">
        <f>'01'!G36</f>
        <v>25.31625</v>
      </c>
      <c r="H9" s="15">
        <f>'01'!H36</f>
        <v>8.6137499999999978</v>
      </c>
      <c r="I9" s="15">
        <f>'01'!I36</f>
        <v>6.0979166666666664</v>
      </c>
      <c r="J9" s="15">
        <f>'01'!J36</f>
        <v>0.8845833333333335</v>
      </c>
      <c r="K9" s="15">
        <f>'01'!K36</f>
        <v>271.70374999999996</v>
      </c>
      <c r="L9" s="15">
        <f>'01'!L36</f>
        <v>26.63</v>
      </c>
      <c r="M9" s="15">
        <f>'01'!M36</f>
        <v>88.602500000000006</v>
      </c>
      <c r="N9" s="15">
        <f>'01'!N36</f>
        <v>98.4375</v>
      </c>
      <c r="O9" s="15">
        <f>'01'!O36</f>
        <v>1.6666666666666666E-2</v>
      </c>
      <c r="P9" s="15">
        <f>'01'!P36</f>
        <v>0.27749999999999997</v>
      </c>
      <c r="Q9" s="15">
        <f>'01'!Q36</f>
        <v>9.930769230769231</v>
      </c>
      <c r="R9" s="29"/>
      <c r="S9" s="29"/>
      <c r="T9" s="29"/>
      <c r="U9" s="29"/>
    </row>
    <row r="10" spans="1:21" s="2" customFormat="1">
      <c r="A10" s="14">
        <f>'02'!$B$2</f>
        <v>45840.041666666664</v>
      </c>
      <c r="B10" s="15">
        <f>'02'!B36</f>
        <v>2.6541666666666663</v>
      </c>
      <c r="C10" s="15">
        <f>'02'!C36</f>
        <v>3.9883333333333346</v>
      </c>
      <c r="D10" s="15">
        <f>'02'!D36</f>
        <v>2.5654166666666662</v>
      </c>
      <c r="E10" s="15">
        <f>'02'!E36</f>
        <v>4.763749999999999</v>
      </c>
      <c r="F10" s="15">
        <f>'02'!F36</f>
        <v>4.0479166666666666</v>
      </c>
      <c r="G10" s="15">
        <f>'02'!G36</f>
        <v>31.926250000000007</v>
      </c>
      <c r="H10" s="15">
        <f>'02'!H36</f>
        <v>13.337499999999997</v>
      </c>
      <c r="I10" s="15">
        <f>'02'!I36</f>
        <v>7.9216666666666642</v>
      </c>
      <c r="J10" s="15">
        <f>'02'!J36</f>
        <v>0.6495833333333334</v>
      </c>
      <c r="K10" s="15">
        <f>'02'!K36</f>
        <v>264.76291666666663</v>
      </c>
      <c r="L10" s="15">
        <f>'02'!L36</f>
        <v>26.131666666666661</v>
      </c>
      <c r="M10" s="15">
        <f>'02'!M36</f>
        <v>91.880833333333342</v>
      </c>
      <c r="N10" s="15">
        <f>'02'!N36</f>
        <v>57.904166666666661</v>
      </c>
      <c r="O10" s="15">
        <f>'02'!O36</f>
        <v>4.1666666666666664E-2</v>
      </c>
      <c r="P10" s="15">
        <f>'02'!P36</f>
        <v>0.18416666666666667</v>
      </c>
      <c r="Q10" s="15">
        <f>'02'!Q36</f>
        <v>9.939583333333335</v>
      </c>
      <c r="R10" s="30"/>
      <c r="S10" s="30"/>
      <c r="T10" s="30"/>
      <c r="U10" s="30"/>
    </row>
    <row r="11" spans="1:21" s="2" customFormat="1">
      <c r="A11" s="14">
        <f>'03'!$B$2</f>
        <v>45841.041666666664</v>
      </c>
      <c r="B11" s="15">
        <f>'03'!B36</f>
        <v>2.8904166666666669</v>
      </c>
      <c r="C11" s="15">
        <f>'03'!C36</f>
        <v>4.7441666666666675</v>
      </c>
      <c r="D11" s="15">
        <f>'03'!D36</f>
        <v>1.9450000000000003</v>
      </c>
      <c r="E11" s="15">
        <f>'03'!E36</f>
        <v>5.2899999999999983</v>
      </c>
      <c r="F11" s="15">
        <f>'03'!F36</f>
        <v>2.7558333333333334</v>
      </c>
      <c r="G11" s="15">
        <f>'03'!G36</f>
        <v>24.096249999999998</v>
      </c>
      <c r="H11" s="15">
        <f>'03'!H36</f>
        <v>11.275000000000004</v>
      </c>
      <c r="I11" s="15">
        <f>'03'!I36</f>
        <v>3.7554166666666653</v>
      </c>
      <c r="J11" s="15">
        <f>'03'!J36</f>
        <v>0.6133333333333334</v>
      </c>
      <c r="K11" s="15">
        <f>'03'!K36</f>
        <v>262.67375000000004</v>
      </c>
      <c r="L11" s="15">
        <f>'03'!L36</f>
        <v>25.85166666666667</v>
      </c>
      <c r="M11" s="15">
        <f>'03'!M36</f>
        <v>92.436666666666667</v>
      </c>
      <c r="N11" s="15">
        <f>'03'!N36</f>
        <v>38.337499999999999</v>
      </c>
      <c r="O11" s="15">
        <f>'03'!O36</f>
        <v>3.3333333333333333E-2</v>
      </c>
      <c r="P11" s="15">
        <f>'03'!P36</f>
        <v>9.5833333333333368E-2</v>
      </c>
      <c r="Q11" s="15">
        <f>'03'!Q36</f>
        <v>9.920833333333329</v>
      </c>
      <c r="R11" s="30"/>
      <c r="S11" s="30"/>
      <c r="T11" s="30"/>
      <c r="U11" s="30"/>
    </row>
    <row r="12" spans="1:21" s="2" customFormat="1">
      <c r="A12" s="14">
        <f>'04'!$B$2</f>
        <v>45842.041666666664</v>
      </c>
      <c r="B12" s="15">
        <f>'04'!B36</f>
        <v>2.6345833333333331</v>
      </c>
      <c r="C12" s="15">
        <f>'04'!C36</f>
        <v>4.5341666666666667</v>
      </c>
      <c r="D12" s="15">
        <f>'04'!D36</f>
        <v>1.9416666666666671</v>
      </c>
      <c r="E12" s="15">
        <f>'04'!E36</f>
        <v>5.1550000000000002</v>
      </c>
      <c r="F12" s="15">
        <f>'04'!F36</f>
        <v>2.8233333333333337</v>
      </c>
      <c r="G12" s="15">
        <f>'04'!G36</f>
        <v>31.32375</v>
      </c>
      <c r="H12" s="15">
        <f>'04'!H36</f>
        <v>9.7979166666666675</v>
      </c>
      <c r="I12" s="15">
        <f>'04'!I36</f>
        <v>4.1108333333333329</v>
      </c>
      <c r="J12" s="15">
        <f>'04'!J36</f>
        <v>0.81833333333333347</v>
      </c>
      <c r="K12" s="15">
        <f>'04'!K36</f>
        <v>264.3504166666666</v>
      </c>
      <c r="L12" s="15">
        <f>'04'!L36</f>
        <v>26.537916666666661</v>
      </c>
      <c r="M12" s="15">
        <f>'04'!M36</f>
        <v>87.90000000000002</v>
      </c>
      <c r="N12" s="15">
        <f>'04'!N36</f>
        <v>93.58750000000002</v>
      </c>
      <c r="O12" s="15">
        <f>'04'!O36</f>
        <v>0.10833333333333334</v>
      </c>
      <c r="P12" s="15">
        <f>'04'!P36</f>
        <v>0.13041666666666671</v>
      </c>
      <c r="Q12" s="15">
        <f>'04'!Q36</f>
        <v>9.9107142857142865</v>
      </c>
      <c r="R12" s="30"/>
      <c r="S12" s="30"/>
      <c r="T12" s="30"/>
      <c r="U12" s="30"/>
    </row>
    <row r="13" spans="1:21" s="2" customFormat="1">
      <c r="A13" s="14">
        <f>'05'!$B$2</f>
        <v>45843.041666666664</v>
      </c>
      <c r="B13" s="15">
        <f>'05'!B36</f>
        <v>3.0220833333333332</v>
      </c>
      <c r="C13" s="15">
        <f>'05'!C36</f>
        <v>4.9579166666666667</v>
      </c>
      <c r="D13" s="15">
        <f>'05'!D36</f>
        <v>2.0299999999999998</v>
      </c>
      <c r="E13" s="15">
        <f>'05'!E36</f>
        <v>5.4433333333333316</v>
      </c>
      <c r="F13" s="15">
        <f>'05'!F36</f>
        <v>2.6804166666666664</v>
      </c>
      <c r="G13" s="15">
        <f>'05'!G36</f>
        <v>35.482083333333328</v>
      </c>
      <c r="H13" s="15">
        <f>'05'!H36</f>
        <v>12.093333333333332</v>
      </c>
      <c r="I13" s="15">
        <f>'05'!I36</f>
        <v>4.631666666666665</v>
      </c>
      <c r="J13" s="15">
        <f>'05'!J36</f>
        <v>0.76583333333333325</v>
      </c>
      <c r="K13" s="15">
        <f>'05'!K36</f>
        <v>271.42749999999995</v>
      </c>
      <c r="L13" s="15">
        <f>'05'!L36</f>
        <v>26.258333333333329</v>
      </c>
      <c r="M13" s="15">
        <f>'05'!M36</f>
        <v>91.095833333333346</v>
      </c>
      <c r="N13" s="15">
        <f>'05'!N36</f>
        <v>78.354166666666657</v>
      </c>
      <c r="O13" s="15">
        <f>'05'!O36</f>
        <v>0.26666666666666666</v>
      </c>
      <c r="P13" s="15">
        <f>'05'!P36</f>
        <v>0.14166666666666669</v>
      </c>
      <c r="Q13" s="27" t="s">
        <v>8</v>
      </c>
      <c r="R13" s="30"/>
      <c r="S13" s="30"/>
      <c r="T13" s="30"/>
      <c r="U13" s="30"/>
    </row>
    <row r="14" spans="1:21" s="2" customFormat="1">
      <c r="A14" s="14">
        <f>'06'!$B$2</f>
        <v>45844.041666666664</v>
      </c>
      <c r="B14" s="16">
        <f>'06'!B36</f>
        <v>2.9954166666666668</v>
      </c>
      <c r="C14" s="16">
        <f>'06'!C36</f>
        <v>4.9491666666666676</v>
      </c>
      <c r="D14" s="16">
        <f>'06'!D36</f>
        <v>2.0454166666666667</v>
      </c>
      <c r="E14" s="16">
        <f>'06'!E36</f>
        <v>5.585</v>
      </c>
      <c r="F14" s="16">
        <f>'06'!F36</f>
        <v>2.3387499999999997</v>
      </c>
      <c r="G14" s="16">
        <f>'06'!G36</f>
        <v>18.979583333333334</v>
      </c>
      <c r="H14" s="16">
        <f>'06'!H36</f>
        <v>8.0154166666666686</v>
      </c>
      <c r="I14" s="16">
        <f>'06'!I36</f>
        <v>6.961666666666666</v>
      </c>
      <c r="J14" s="16">
        <f>'06'!J36</f>
        <v>0.85166666666666657</v>
      </c>
      <c r="K14" s="16">
        <f>'06'!K36</f>
        <v>264.49041666666659</v>
      </c>
      <c r="L14" s="16">
        <f>'06'!L36</f>
        <v>25.133749999999996</v>
      </c>
      <c r="M14" s="16">
        <f>'06'!M36</f>
        <v>96.747500000000016</v>
      </c>
      <c r="N14" s="16">
        <f>'06'!N36</f>
        <v>40.820833333333333</v>
      </c>
      <c r="O14" s="16">
        <f>'06'!O36</f>
        <v>0.44166666666666649</v>
      </c>
      <c r="P14" s="16">
        <f>'06'!P36</f>
        <v>0.27166666666666667</v>
      </c>
      <c r="Q14" s="27" t="s">
        <v>8</v>
      </c>
      <c r="R14" s="30"/>
      <c r="S14" s="30"/>
      <c r="T14" s="30"/>
      <c r="U14" s="30"/>
    </row>
    <row r="15" spans="1:21" s="2" customFormat="1">
      <c r="A15" s="14">
        <f>'07'!$B$2</f>
        <v>45845.041666666664</v>
      </c>
      <c r="B15" s="16">
        <f>'07'!B36</f>
        <v>3.1841666666666661</v>
      </c>
      <c r="C15" s="16">
        <f>'07'!C36</f>
        <v>5.2762500000000001</v>
      </c>
      <c r="D15" s="16">
        <f>'07'!D36</f>
        <v>2.1845833333333333</v>
      </c>
      <c r="E15" s="16">
        <f>'07'!E36</f>
        <v>4.6375000000000002</v>
      </c>
      <c r="F15" s="16">
        <f>'07'!F36</f>
        <v>3.1054166666666667</v>
      </c>
      <c r="G15" s="16">
        <f>'07'!G36</f>
        <v>11.766521739130434</v>
      </c>
      <c r="H15" s="16">
        <f>'07'!H36</f>
        <v>5.2300000000000013</v>
      </c>
      <c r="I15" s="16">
        <f>'07'!I36</f>
        <v>6.5066666666666668</v>
      </c>
      <c r="J15" s="16">
        <f>'07'!J36</f>
        <v>0.77708333333333346</v>
      </c>
      <c r="K15" s="16">
        <f>'07'!K36</f>
        <v>277.38249999999999</v>
      </c>
      <c r="L15" s="16">
        <f>'07'!L36</f>
        <v>24.326666666666657</v>
      </c>
      <c r="M15" s="16">
        <f>'07'!M36</f>
        <v>99.616250000000022</v>
      </c>
      <c r="N15" s="16">
        <f>'07'!N36</f>
        <v>26.383333333333329</v>
      </c>
      <c r="O15" s="16">
        <f>'07'!O36</f>
        <v>1.3083333333333331</v>
      </c>
      <c r="P15" s="16">
        <f>'07'!P36</f>
        <v>0.22875000000000001</v>
      </c>
      <c r="Q15" s="16">
        <f>'07'!Q36</f>
        <v>9.9375</v>
      </c>
      <c r="R15" s="30"/>
      <c r="S15" s="30"/>
      <c r="T15" s="30"/>
      <c r="U15" s="30"/>
    </row>
    <row r="16" spans="1:21" s="2" customFormat="1">
      <c r="A16" s="14">
        <f>'08'!$B$2</f>
        <v>45846.041666666664</v>
      </c>
      <c r="B16" s="16">
        <f>'08'!B36</f>
        <v>2.7745833333333327</v>
      </c>
      <c r="C16" s="16">
        <f>'08'!C36</f>
        <v>4.6945833333333331</v>
      </c>
      <c r="D16" s="16">
        <f>'08'!D36</f>
        <v>1.9329166666666662</v>
      </c>
      <c r="E16" s="16">
        <f>'08'!E36</f>
        <v>5.7570833333333331</v>
      </c>
      <c r="F16" s="16">
        <f>'08'!F36</f>
        <v>2.6387500000000004</v>
      </c>
      <c r="G16" s="16">
        <f>'08'!G36</f>
        <v>5.264166666666668</v>
      </c>
      <c r="H16" s="16">
        <f>'08'!H36</f>
        <v>1.857083333333333</v>
      </c>
      <c r="I16" s="16">
        <f>'08'!I36</f>
        <v>3.4866666666666668</v>
      </c>
      <c r="J16" s="16">
        <f>'08'!J36</f>
        <v>0.88583333333333325</v>
      </c>
      <c r="K16" s="16">
        <f>'08'!K36</f>
        <v>262.93708333333331</v>
      </c>
      <c r="L16" s="16">
        <f>'08'!L36</f>
        <v>23.795000000000002</v>
      </c>
      <c r="M16" s="16">
        <f>'08'!M36</f>
        <v>96.819166666666661</v>
      </c>
      <c r="N16" s="16">
        <f>'08'!N36</f>
        <v>46.120833333333337</v>
      </c>
      <c r="O16" s="16">
        <f>'08'!O36</f>
        <v>0.47499999999999992</v>
      </c>
      <c r="P16" s="16">
        <f>'08'!P36</f>
        <v>0.10916666666666668</v>
      </c>
      <c r="Q16" s="16">
        <f>'08'!Q36</f>
        <v>9.9279166666666665</v>
      </c>
      <c r="R16" s="30"/>
      <c r="S16" s="30"/>
      <c r="T16" s="30"/>
      <c r="U16" s="30"/>
    </row>
    <row r="17" spans="1:24" s="2" customFormat="1">
      <c r="A17" s="14">
        <f>'09'!$B$2</f>
        <v>45847.041666666664</v>
      </c>
      <c r="B17" s="16">
        <f>'09'!B36</f>
        <v>2.4877272727272728</v>
      </c>
      <c r="C17" s="16">
        <f>'09'!C36</f>
        <v>7.7936363636363639</v>
      </c>
      <c r="D17" s="16">
        <f>'09'!D36</f>
        <v>2.5868181818181815</v>
      </c>
      <c r="E17" s="16">
        <f>'09'!E36</f>
        <v>4.0004166666666672</v>
      </c>
      <c r="F17" s="16">
        <f>'09'!F36</f>
        <v>6.5720833333333326</v>
      </c>
      <c r="G17" s="16">
        <f>'09'!G36</f>
        <v>5.4387499999999998</v>
      </c>
      <c r="H17" s="16">
        <f>'09'!H36</f>
        <v>3.6079166666666662</v>
      </c>
      <c r="I17" s="16">
        <f>'09'!I36</f>
        <v>4.0929166666666674</v>
      </c>
      <c r="J17" s="16">
        <f>'09'!J36</f>
        <v>0.9</v>
      </c>
      <c r="K17" s="16">
        <f>'09'!K36</f>
        <v>263.11583333333323</v>
      </c>
      <c r="L17" s="16">
        <f>'09'!L36</f>
        <v>24.205833333333331</v>
      </c>
      <c r="M17" s="16">
        <f>'09'!M36</f>
        <v>97.287083333333342</v>
      </c>
      <c r="N17" s="16">
        <f>'09'!N36</f>
        <v>70.487499999999997</v>
      </c>
      <c r="O17" s="16">
        <f>'09'!O36</f>
        <v>0.64166666666666672</v>
      </c>
      <c r="P17" s="16">
        <f>'09'!P36</f>
        <v>0.11541666666666671</v>
      </c>
      <c r="Q17" s="16">
        <f>'09'!Q36</f>
        <v>9.920416666666668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>
        <f>'10'!$B$2</f>
        <v>45848.041666666664</v>
      </c>
      <c r="B18" s="16">
        <f>'10'!B36</f>
        <v>1.9161111111111113</v>
      </c>
      <c r="C18" s="16">
        <f>'10'!C36</f>
        <v>4.1316666666666659</v>
      </c>
      <c r="D18" s="16">
        <f>'10'!D36</f>
        <v>2.1177777777777775</v>
      </c>
      <c r="E18" s="16">
        <f>'10'!E36</f>
        <v>4.1779166666666674</v>
      </c>
      <c r="F18" s="16">
        <f>'10'!F36</f>
        <v>8.7058333333333326</v>
      </c>
      <c r="G18" s="16">
        <f>'10'!G36</f>
        <v>19.616666666666671</v>
      </c>
      <c r="H18" s="16">
        <f>'10'!H36</f>
        <v>7.630416666666668</v>
      </c>
      <c r="I18" s="16">
        <f>'10'!I36</f>
        <v>5.0154166666666677</v>
      </c>
      <c r="J18" s="16">
        <f>'10'!J36</f>
        <v>0.63999999999999979</v>
      </c>
      <c r="K18" s="16">
        <f>'10'!K36</f>
        <v>263.80958333333336</v>
      </c>
      <c r="L18" s="16">
        <f>'10'!L36</f>
        <v>25.556250000000002</v>
      </c>
      <c r="M18" s="16">
        <f>'10'!M36</f>
        <v>96.702916666666667</v>
      </c>
      <c r="N18" s="16">
        <f>'10'!N36</f>
        <v>83.9375</v>
      </c>
      <c r="O18" s="16">
        <f>'10'!O36</f>
        <v>0.94166666666666643</v>
      </c>
      <c r="P18" s="16">
        <f>'10'!P36</f>
        <v>0.21333333333333335</v>
      </c>
      <c r="Q18" s="16">
        <f>'10'!Q36</f>
        <v>9.9708333333333332</v>
      </c>
      <c r="R18" s="30"/>
      <c r="S18" s="30"/>
      <c r="T18" s="30"/>
      <c r="U18" s="30"/>
    </row>
    <row r="19" spans="1:24" s="2" customFormat="1">
      <c r="A19" s="14">
        <f>'11'!$B$2</f>
        <v>45849.041666666664</v>
      </c>
      <c r="B19" s="16">
        <f>'11'!B36</f>
        <v>1.3191666666666659</v>
      </c>
      <c r="C19" s="16">
        <f>'11'!C36</f>
        <v>2.2016666666666675</v>
      </c>
      <c r="D19" s="16">
        <f>'11'!D36</f>
        <v>0.24041666666666664</v>
      </c>
      <c r="E19" s="16">
        <f>'11'!E36</f>
        <v>4.604166666666667</v>
      </c>
      <c r="F19" s="16">
        <f>'11'!F36</f>
        <v>3.4375</v>
      </c>
      <c r="G19" s="16">
        <f>'11'!G36</f>
        <v>33.232083333333328</v>
      </c>
      <c r="H19" s="16">
        <f>'11'!H36</f>
        <v>11.809583333333331</v>
      </c>
      <c r="I19" s="16">
        <f>'11'!I36</f>
        <v>5.7479166666666677</v>
      </c>
      <c r="J19" s="16">
        <f>'11'!J36</f>
        <v>0.77666666666666673</v>
      </c>
      <c r="K19" s="16">
        <f>'11'!K36</f>
        <v>262.65416666666664</v>
      </c>
      <c r="L19" s="16">
        <f>'11'!L36</f>
        <v>27.683750000000007</v>
      </c>
      <c r="M19" s="16">
        <f>'11'!M36</f>
        <v>87.414583333333368</v>
      </c>
      <c r="N19" s="16">
        <f>'11'!N36</f>
        <v>133.77499999999998</v>
      </c>
      <c r="O19" s="16">
        <f>'11'!O36</f>
        <v>0</v>
      </c>
      <c r="P19" s="16">
        <f>'11'!P36</f>
        <v>0.25624999999999998</v>
      </c>
      <c r="Q19" s="16">
        <f>'11'!Q36</f>
        <v>10</v>
      </c>
      <c r="R19" s="30"/>
      <c r="S19" s="30"/>
      <c r="T19" s="30"/>
      <c r="U19" s="30"/>
    </row>
    <row r="20" spans="1:24" s="2" customFormat="1">
      <c r="A20" s="14">
        <f>'12'!$B$2</f>
        <v>45850.041666666664</v>
      </c>
      <c r="B20" s="16">
        <f>'12'!B36</f>
        <v>1.3937499999999992</v>
      </c>
      <c r="C20" s="16">
        <f>'12'!C36</f>
        <v>3.2825000000000002</v>
      </c>
      <c r="D20" s="16">
        <f>'12'!D36</f>
        <v>2.1945833333333327</v>
      </c>
      <c r="E20" s="16">
        <f>'12'!E36</f>
        <v>5.4812499999999993</v>
      </c>
      <c r="F20" s="16">
        <f>'12'!F36</f>
        <v>5.6558333333333328</v>
      </c>
      <c r="G20" s="16">
        <f>'12'!G36</f>
        <v>29.819166666666661</v>
      </c>
      <c r="H20" s="16">
        <f>'12'!H36</f>
        <v>12.430833333333334</v>
      </c>
      <c r="I20" s="16">
        <f>'12'!I36</f>
        <v>5.7245833333333342</v>
      </c>
      <c r="J20" s="16">
        <f>'12'!J36</f>
        <v>0.58666666666666667</v>
      </c>
      <c r="K20" s="16">
        <f>'12'!K36</f>
        <v>247.79166666666666</v>
      </c>
      <c r="L20" s="16">
        <f>'12'!L36</f>
        <v>28.951250000000002</v>
      </c>
      <c r="M20" s="16">
        <f>'12'!M36</f>
        <v>81.504166666666649</v>
      </c>
      <c r="N20" s="16">
        <f>'12'!N36</f>
        <v>164.68749999999997</v>
      </c>
      <c r="O20" s="16">
        <f>'12'!O36</f>
        <v>0</v>
      </c>
      <c r="P20" s="16">
        <f>'12'!P36</f>
        <v>0.23666666666666669</v>
      </c>
      <c r="Q20" s="16">
        <f>'12'!Q36</f>
        <v>10</v>
      </c>
      <c r="R20" s="30"/>
      <c r="S20" s="30"/>
      <c r="T20" s="30"/>
      <c r="U20" s="30"/>
    </row>
    <row r="21" spans="1:24" s="2" customFormat="1">
      <c r="A21" s="14">
        <f>'13'!$B$2</f>
        <v>45851.041666666664</v>
      </c>
      <c r="B21" s="16">
        <f>'13'!B36</f>
        <v>1.6962500000000003</v>
      </c>
      <c r="C21" s="16">
        <f>'13'!C36</f>
        <v>3.8979166666666671</v>
      </c>
      <c r="D21" s="16">
        <f>'13'!D36</f>
        <v>2.9333333333333331</v>
      </c>
      <c r="E21" s="16">
        <f>'13'!E36</f>
        <v>5.163333333333334</v>
      </c>
      <c r="F21" s="16">
        <f>'13'!F36</f>
        <v>5.0266666666666673</v>
      </c>
      <c r="G21" s="16">
        <f>'13'!G36</f>
        <v>32.83958333333333</v>
      </c>
      <c r="H21" s="16">
        <f>'13'!H36</f>
        <v>13.317499999999997</v>
      </c>
      <c r="I21" s="16">
        <f>'13'!I36</f>
        <v>5.1141666666666659</v>
      </c>
      <c r="J21" s="16">
        <f>'13'!J36</f>
        <v>0.59125000000000005</v>
      </c>
      <c r="K21" s="16">
        <f>'13'!K36</f>
        <v>249.75041666666672</v>
      </c>
      <c r="L21" s="16">
        <f>'13'!L36</f>
        <v>29.645416666666662</v>
      </c>
      <c r="M21" s="16">
        <f>'13'!M36</f>
        <v>76.209583333333327</v>
      </c>
      <c r="N21" s="16">
        <f>'13'!N36</f>
        <v>124.55833333333332</v>
      </c>
      <c r="O21" s="16">
        <f>'13'!O36</f>
        <v>0</v>
      </c>
      <c r="P21" s="16">
        <f>'13'!P36</f>
        <v>0.18000000000000002</v>
      </c>
      <c r="Q21" s="16">
        <f>'13'!Q36</f>
        <v>10</v>
      </c>
      <c r="R21" s="30"/>
      <c r="S21" s="30"/>
      <c r="T21" s="30"/>
      <c r="U21" s="30"/>
    </row>
    <row r="22" spans="1:24" s="2" customFormat="1">
      <c r="A22" s="14">
        <f>'14'!$B$2</f>
        <v>45852.041666666664</v>
      </c>
      <c r="B22" s="16">
        <f>'14'!B36</f>
        <v>1.368333333333333</v>
      </c>
      <c r="C22" s="16">
        <f>'14'!C36</f>
        <v>3.1283333333333334</v>
      </c>
      <c r="D22" s="16">
        <f>'14'!D36</f>
        <v>2.4142105263157889</v>
      </c>
      <c r="E22" s="16">
        <f>'14'!E36</f>
        <v>4.927083333333333</v>
      </c>
      <c r="F22" s="16">
        <f>'14'!F36</f>
        <v>12.115833333333335</v>
      </c>
      <c r="G22" s="16">
        <f>'14'!G36</f>
        <v>29.254166666666674</v>
      </c>
      <c r="H22" s="16">
        <f>'14'!H36</f>
        <v>10.080416666666666</v>
      </c>
      <c r="I22" s="16">
        <f>'14'!I36</f>
        <v>5.592083333333334</v>
      </c>
      <c r="J22" s="16">
        <f>'14'!J36</f>
        <v>0.53124999999999989</v>
      </c>
      <c r="K22" s="16">
        <f>'14'!K36</f>
        <v>244.80708333333328</v>
      </c>
      <c r="L22" s="16">
        <f>'14'!L36</f>
        <v>28.975416666666671</v>
      </c>
      <c r="M22" s="16">
        <f>'14'!M36</f>
        <v>79.744166666666658</v>
      </c>
      <c r="N22" s="16">
        <f>'14'!N36</f>
        <v>97.920833333333348</v>
      </c>
      <c r="O22" s="16">
        <f>'14'!O36</f>
        <v>8.3333333333333332E-3</v>
      </c>
      <c r="P22" s="16">
        <f>'14'!P36</f>
        <v>0.21</v>
      </c>
      <c r="Q22" s="16">
        <f>'14'!Q36</f>
        <v>10</v>
      </c>
      <c r="R22" s="32"/>
      <c r="S22" s="32"/>
      <c r="T22" s="32"/>
      <c r="U22" s="32"/>
    </row>
    <row r="23" spans="1:24" s="2" customFormat="1">
      <c r="A23" s="14">
        <f>'15'!$B$2</f>
        <v>45853.041666666664</v>
      </c>
      <c r="B23" s="17">
        <f>'15'!B36</f>
        <v>2.5562499999999999</v>
      </c>
      <c r="C23" s="17">
        <f>'15'!C36</f>
        <v>4.5033333333333339</v>
      </c>
      <c r="D23" s="17">
        <f>'15'!D36</f>
        <v>2.7487499999999998</v>
      </c>
      <c r="E23" s="17">
        <f>'15'!E36</f>
        <v>5.1637500000000003</v>
      </c>
      <c r="F23" s="17">
        <f>'15'!F36</f>
        <v>6.1883333333333352</v>
      </c>
      <c r="G23" s="17">
        <f>'15'!G36</f>
        <v>34.196249999999999</v>
      </c>
      <c r="H23" s="17">
        <f>'15'!H36</f>
        <v>12.668333333333335</v>
      </c>
      <c r="I23" s="17">
        <f>'15'!I36</f>
        <v>7.7454166666666664</v>
      </c>
      <c r="J23" s="17">
        <f>'15'!J36</f>
        <v>0.48375000000000007</v>
      </c>
      <c r="K23" s="17">
        <f>'15'!K36</f>
        <v>216.85749999999999</v>
      </c>
      <c r="L23" s="17">
        <f>'15'!L36</f>
        <v>28.237499999999997</v>
      </c>
      <c r="M23" s="17">
        <f>'15'!M36</f>
        <v>87.509166666666673</v>
      </c>
      <c r="N23" s="17">
        <f>'15'!N36</f>
        <v>94.90000000000002</v>
      </c>
      <c r="O23" s="17">
        <f>'15'!O36</f>
        <v>0.21666666666666667</v>
      </c>
      <c r="P23" s="17">
        <f>'15'!P36</f>
        <v>0.29333333333333339</v>
      </c>
      <c r="Q23" s="17">
        <f>'15'!Q36</f>
        <v>10</v>
      </c>
      <c r="R23" s="32"/>
      <c r="S23" s="32"/>
      <c r="T23" s="32"/>
      <c r="U23" s="30"/>
    </row>
    <row r="24" spans="1:24" s="2" customFormat="1">
      <c r="A24" s="14" t="str">
        <f>'16'!$B$2</f>
        <v>16/07/2025 01:00</v>
      </c>
      <c r="B24" s="16">
        <f>'16'!B36</f>
        <v>2.2041666666666666</v>
      </c>
      <c r="C24" s="16">
        <f>'16'!C36</f>
        <v>4.3474999999999993</v>
      </c>
      <c r="D24" s="16">
        <f>'16'!D36</f>
        <v>2.9729166666666669</v>
      </c>
      <c r="E24" s="16">
        <f>'16'!E36</f>
        <v>4.3008333333333324</v>
      </c>
      <c r="F24" s="16">
        <f>'16'!F36</f>
        <v>4.3825000000000003</v>
      </c>
      <c r="G24" s="16">
        <f>'16'!G36</f>
        <v>21.12125</v>
      </c>
      <c r="H24" s="16">
        <f>'16'!H36</f>
        <v>8.4725000000000001</v>
      </c>
      <c r="I24" s="16">
        <f>'16'!I36</f>
        <v>6.6766666666666632</v>
      </c>
      <c r="J24" s="16">
        <f>'16'!J36</f>
        <v>0.45875000000000016</v>
      </c>
      <c r="K24" s="16">
        <f>'16'!K36</f>
        <v>261.13541666666669</v>
      </c>
      <c r="L24" s="16">
        <f>'16'!L36</f>
        <v>27.490833333333338</v>
      </c>
      <c r="M24" s="16">
        <f>'16'!M36</f>
        <v>91.646249999999995</v>
      </c>
      <c r="N24" s="16">
        <f>'16'!N36</f>
        <v>101.43333333333332</v>
      </c>
      <c r="O24" s="16">
        <f>'16'!O36</f>
        <v>0.25833333333333336</v>
      </c>
      <c r="P24" s="16">
        <f>'16'!P36</f>
        <v>0.23083333333333333</v>
      </c>
      <c r="Q24" s="16">
        <f>'16'!Q36</f>
        <v>10</v>
      </c>
      <c r="R24" s="32"/>
      <c r="S24" s="32"/>
      <c r="T24" s="32"/>
      <c r="U24" s="30"/>
    </row>
    <row r="25" spans="1:24" s="2" customFormat="1">
      <c r="A25" s="14" t="str">
        <f>'17'!$B$2</f>
        <v>17/07/2025 01:00</v>
      </c>
      <c r="B25" s="16">
        <f>'17'!B36</f>
        <v>1.4833333333333327</v>
      </c>
      <c r="C25" s="16">
        <f>'17'!C36</f>
        <v>3.5970833333333325</v>
      </c>
      <c r="D25" s="16">
        <f>'17'!D36</f>
        <v>2.6287499999999997</v>
      </c>
      <c r="E25" s="16">
        <f>'17'!E36</f>
        <v>5.3637500000000005</v>
      </c>
      <c r="F25" s="16">
        <f>'17'!F36</f>
        <v>4.2512500000000006</v>
      </c>
      <c r="G25" s="16">
        <f>'17'!G36</f>
        <v>21.209166666666665</v>
      </c>
      <c r="H25" s="16">
        <f>'17'!H36</f>
        <v>9.5400000000000009</v>
      </c>
      <c r="I25" s="16">
        <f>'17'!I36</f>
        <v>3.9274999999999998</v>
      </c>
      <c r="J25" s="16">
        <f>'17'!J36</f>
        <v>0.37583333333333341</v>
      </c>
      <c r="K25" s="16">
        <f>'17'!K36</f>
        <v>254.24541666666667</v>
      </c>
      <c r="L25" s="16">
        <f>'17'!L36</f>
        <v>28.709583333333331</v>
      </c>
      <c r="M25" s="16">
        <f>'17'!M36</f>
        <v>86.305416666666659</v>
      </c>
      <c r="N25" s="16">
        <f>'17'!N36</f>
        <v>141.34166666666664</v>
      </c>
      <c r="O25" s="16">
        <f>'17'!O36</f>
        <v>2.5000000000000005E-2</v>
      </c>
      <c r="P25" s="16">
        <f>'17'!P36</f>
        <v>0.13291666666666671</v>
      </c>
      <c r="Q25" s="16">
        <f>'17'!Q36</f>
        <v>10</v>
      </c>
      <c r="R25" s="32"/>
      <c r="S25" s="32"/>
      <c r="T25" s="32"/>
      <c r="U25" s="30"/>
    </row>
    <row r="26" spans="1:24" s="2" customFormat="1">
      <c r="A26" s="14" t="str">
        <f>'18'!$B$2</f>
        <v>18/07/2025 01:00</v>
      </c>
      <c r="B26" s="16">
        <f>'18'!B36</f>
        <v>1.905833333333333</v>
      </c>
      <c r="C26" s="16">
        <f>'18'!C36</f>
        <v>4.1045833333333333</v>
      </c>
      <c r="D26" s="16">
        <f>'18'!D36</f>
        <v>2.9629166666666662</v>
      </c>
      <c r="E26" s="16">
        <f>'18'!E36</f>
        <v>5.1262499999999989</v>
      </c>
      <c r="F26" s="16">
        <f>'18'!F36</f>
        <v>4.7841666666666658</v>
      </c>
      <c r="G26" s="16">
        <f>'18'!G36</f>
        <v>27.726249999999997</v>
      </c>
      <c r="H26" s="16">
        <f>'18'!H36</f>
        <v>12.046666666666669</v>
      </c>
      <c r="I26" s="16">
        <f>'18'!I36</f>
        <v>4.7766666666666664</v>
      </c>
      <c r="J26" s="16">
        <f>'18'!J36</f>
        <v>0.28125000000000006</v>
      </c>
      <c r="K26" s="16">
        <f>'18'!K36</f>
        <v>217.86374999999998</v>
      </c>
      <c r="L26" s="16">
        <f>'18'!L36</f>
        <v>28.332916666666666</v>
      </c>
      <c r="M26" s="16">
        <f>'18'!M36</f>
        <v>86.543749999999989</v>
      </c>
      <c r="N26" s="16">
        <f>'18'!N36</f>
        <v>99.96666666666664</v>
      </c>
      <c r="O26" s="16">
        <f>'18'!O36</f>
        <v>1.6666666666666666E-2</v>
      </c>
      <c r="P26" s="16">
        <f>'18'!P36</f>
        <v>0.20125000000000004</v>
      </c>
      <c r="Q26" s="16">
        <f>'18'!Q36</f>
        <v>10</v>
      </c>
      <c r="R26" s="32"/>
      <c r="S26" s="32"/>
      <c r="T26" s="32"/>
      <c r="U26" s="30"/>
    </row>
    <row r="27" spans="1:24" s="2" customFormat="1">
      <c r="A27" s="14" t="str">
        <f>'19'!$B$2</f>
        <v>19/07/2025 01:00</v>
      </c>
      <c r="B27" s="16">
        <f>'19'!B36</f>
        <v>2.9745833333333334</v>
      </c>
      <c r="C27" s="16">
        <f>'19'!C36</f>
        <v>5.0070833333333331</v>
      </c>
      <c r="D27" s="16">
        <f>'19'!D36</f>
        <v>3.0591666666666666</v>
      </c>
      <c r="E27" s="16">
        <f>'19'!E36</f>
        <v>6.4970833333333333</v>
      </c>
      <c r="F27" s="16">
        <f>'19'!F36</f>
        <v>3.8225000000000002</v>
      </c>
      <c r="G27" s="16">
        <f>'19'!G36</f>
        <v>48.073333333333331</v>
      </c>
      <c r="H27" s="16">
        <f>'19'!H36</f>
        <v>18.927916666666665</v>
      </c>
      <c r="I27" s="16">
        <f>'19'!I36</f>
        <v>6.692499999999999</v>
      </c>
      <c r="J27" s="16">
        <f>'19'!J36</f>
        <v>0.40166666666666678</v>
      </c>
      <c r="K27" s="16">
        <f>'19'!K36</f>
        <v>210.20541666666665</v>
      </c>
      <c r="L27" s="16">
        <f>'19'!L36</f>
        <v>28.536666666666662</v>
      </c>
      <c r="M27" s="16">
        <f>'19'!M36</f>
        <v>89.113333333333344</v>
      </c>
      <c r="N27" s="16">
        <f>'19'!N36</f>
        <v>105.57083333333334</v>
      </c>
      <c r="O27" s="16">
        <f>'19'!O36</f>
        <v>0.375</v>
      </c>
      <c r="P27" s="16">
        <f>'19'!P36</f>
        <v>0.28791666666666665</v>
      </c>
      <c r="Q27" s="16">
        <f>'19'!Q36</f>
        <v>10</v>
      </c>
      <c r="R27" s="32"/>
      <c r="S27" s="32"/>
      <c r="T27" s="32"/>
      <c r="U27" s="30"/>
    </row>
    <row r="28" spans="1:24" s="2" customFormat="1">
      <c r="A28" s="14" t="str">
        <f>'20'!$B$2</f>
        <v>20/07/2025 01:00</v>
      </c>
      <c r="B28" s="16">
        <f>'20'!B36</f>
        <v>3.0583333333333336</v>
      </c>
      <c r="C28" s="16">
        <f>'20'!C36</f>
        <v>5.088333333333332</v>
      </c>
      <c r="D28" s="16">
        <f>'20'!D36</f>
        <v>3.0691666666666664</v>
      </c>
      <c r="E28" s="16">
        <f>'20'!E36</f>
        <v>5.2520833333333341</v>
      </c>
      <c r="F28" s="16">
        <f>'20'!F36</f>
        <v>3.789166666666667</v>
      </c>
      <c r="G28" s="16">
        <f>'20'!G36</f>
        <v>34.47625</v>
      </c>
      <c r="H28" s="16">
        <f>'20'!H36</f>
        <v>14.566666666666668</v>
      </c>
      <c r="I28" s="16">
        <f>'20'!I36</f>
        <v>6.065833333333333</v>
      </c>
      <c r="J28" s="16">
        <f>'20'!J36</f>
        <v>0.47458333333333319</v>
      </c>
      <c r="K28" s="16">
        <f>'20'!K36</f>
        <v>243.66875000000002</v>
      </c>
      <c r="L28" s="16">
        <f>'20'!L36</f>
        <v>26.760833333333334</v>
      </c>
      <c r="M28" s="16">
        <f>'20'!M36</f>
        <v>91.309999999999988</v>
      </c>
      <c r="N28" s="16">
        <f>'20'!N36</f>
        <v>80.716666666666683</v>
      </c>
      <c r="O28" s="16">
        <f>'20'!O36</f>
        <v>0.49166666666666664</v>
      </c>
      <c r="P28" s="16">
        <f>'20'!P36</f>
        <v>0.27541666666666664</v>
      </c>
      <c r="Q28" s="16">
        <f>'20'!Q36</f>
        <v>10</v>
      </c>
      <c r="R28" s="32"/>
      <c r="S28" s="32"/>
      <c r="T28" s="32"/>
      <c r="U28" s="30"/>
    </row>
    <row r="29" spans="1:24" s="2" customFormat="1">
      <c r="A29" s="14" t="str">
        <f>'21'!$B$2</f>
        <v>21/07/2025 01:00</v>
      </c>
      <c r="B29" s="16">
        <f>'21'!B36</f>
        <v>3.1004166666666664</v>
      </c>
      <c r="C29" s="16">
        <f>'21'!C36</f>
        <v>5.2562499999999996</v>
      </c>
      <c r="D29" s="16">
        <f>'21'!D36</f>
        <v>3.3587500000000006</v>
      </c>
      <c r="E29" s="16">
        <f>'21'!E36</f>
        <v>6.1295833333333336</v>
      </c>
      <c r="F29" s="16">
        <f>'21'!F36</f>
        <v>4.2408333333333328</v>
      </c>
      <c r="G29" s="16">
        <f>'21'!G36</f>
        <v>51.059583333333329</v>
      </c>
      <c r="H29" s="16">
        <f>'21'!H36</f>
        <v>21.831666666666674</v>
      </c>
      <c r="I29" s="16">
        <f>'21'!I36</f>
        <v>6.2816666666666672</v>
      </c>
      <c r="J29" s="16">
        <f>'21'!J36</f>
        <v>0.38916666666666683</v>
      </c>
      <c r="K29" s="16">
        <f>'21'!K36</f>
        <v>190.46541666666664</v>
      </c>
      <c r="L29" s="16">
        <f>'21'!L36</f>
        <v>27.897500000000004</v>
      </c>
      <c r="M29" s="16">
        <f>'21'!M36</f>
        <v>91.124999999999986</v>
      </c>
      <c r="N29" s="16">
        <f>'21'!N36</f>
        <v>92.604166666666671</v>
      </c>
      <c r="O29" s="16">
        <f>'21'!O36</f>
        <v>0.11666666666666665</v>
      </c>
      <c r="P29" s="16">
        <f>'21'!P36</f>
        <v>0.29249999999999993</v>
      </c>
      <c r="Q29" s="16">
        <f>'21'!Q36</f>
        <v>10</v>
      </c>
      <c r="R29" s="32"/>
      <c r="S29" s="32"/>
      <c r="T29" s="32"/>
      <c r="U29" s="30"/>
    </row>
    <row r="30" spans="1:24" s="2" customFormat="1">
      <c r="A30" s="14" t="str">
        <f>'22'!$B$2</f>
        <v>22/07/2025 01:00</v>
      </c>
      <c r="B30" s="16">
        <f>'22'!B36</f>
        <v>3.2591666666666668</v>
      </c>
      <c r="C30" s="16">
        <f>'22'!C36</f>
        <v>5.0741666666666658</v>
      </c>
      <c r="D30" s="16">
        <f>'22'!D36</f>
        <v>2.7883333333333327</v>
      </c>
      <c r="E30" s="16">
        <f>'22'!E36</f>
        <v>5.635416666666667</v>
      </c>
      <c r="F30" s="16">
        <f>'22'!F36</f>
        <v>5.69625</v>
      </c>
      <c r="G30" s="16">
        <f>'22'!G36</f>
        <v>53.552916666666654</v>
      </c>
      <c r="H30" s="16">
        <f>'22'!H36</f>
        <v>26.493333333333325</v>
      </c>
      <c r="I30" s="16">
        <f>'22'!I36</f>
        <v>7.7558333333333325</v>
      </c>
      <c r="J30" s="16">
        <f>'22'!J36</f>
        <v>0.35625000000000001</v>
      </c>
      <c r="K30" s="16">
        <f>'22'!K36</f>
        <v>250.7491666666667</v>
      </c>
      <c r="L30" s="16">
        <f>'22'!L36</f>
        <v>28.790416666666662</v>
      </c>
      <c r="M30" s="16">
        <f>'22'!M36</f>
        <v>86.941666666666677</v>
      </c>
      <c r="N30" s="16">
        <f>'22'!N36</f>
        <v>129.37916666666663</v>
      </c>
      <c r="O30" s="16">
        <f>'22'!O36</f>
        <v>0</v>
      </c>
      <c r="P30" s="16">
        <f>'22'!P36</f>
        <v>0.39374999999999999</v>
      </c>
      <c r="Q30" s="16">
        <f>'22'!Q36</f>
        <v>10</v>
      </c>
      <c r="R30" s="32"/>
      <c r="S30" s="30"/>
      <c r="T30" s="30"/>
      <c r="U30" s="30"/>
    </row>
    <row r="31" spans="1:24" s="2" customFormat="1">
      <c r="A31" s="14" t="str">
        <f>'23'!$B$2</f>
        <v>23/07/2025 01:00</v>
      </c>
      <c r="B31" s="16">
        <f>'23'!B36</f>
        <v>1.8020833333333337</v>
      </c>
      <c r="C31" s="16">
        <f>'23'!C36</f>
        <v>3.3029166666666661</v>
      </c>
      <c r="D31" s="16">
        <f>'23'!D36</f>
        <v>1.5987499999999999</v>
      </c>
      <c r="E31" s="16">
        <f>'23'!E36</f>
        <v>5.9654166666666688</v>
      </c>
      <c r="F31" s="16">
        <f>'23'!F36</f>
        <v>5.5437500000000002</v>
      </c>
      <c r="G31" s="16">
        <f>'23'!G36</f>
        <v>29.52333333333333</v>
      </c>
      <c r="H31" s="16">
        <f>'23'!H36</f>
        <v>14.929583333333332</v>
      </c>
      <c r="I31" s="16">
        <f>'23'!I36</f>
        <v>5.9450000000000003</v>
      </c>
      <c r="J31" s="16">
        <f>'23'!J36</f>
        <v>0.58875</v>
      </c>
      <c r="K31" s="16">
        <f>'23'!K36</f>
        <v>254.03666666666666</v>
      </c>
      <c r="L31" s="16">
        <f>'23'!L36</f>
        <v>28.56375000000001</v>
      </c>
      <c r="M31" s="16">
        <f>'23'!M36</f>
        <v>87.826250000000016</v>
      </c>
      <c r="N31" s="16">
        <f>'23'!N36</f>
        <v>121.89166666666664</v>
      </c>
      <c r="O31" s="16">
        <f>'23'!O36</f>
        <v>0.20833333333333334</v>
      </c>
      <c r="P31" s="16">
        <f>'23'!P36</f>
        <v>0.25333333333333335</v>
      </c>
      <c r="Q31" s="16">
        <f>'23'!Q36</f>
        <v>10</v>
      </c>
      <c r="R31" s="30"/>
      <c r="S31" s="30"/>
      <c r="T31" s="30"/>
      <c r="U31" s="30"/>
    </row>
    <row r="32" spans="1:24" s="2" customFormat="1">
      <c r="A32" s="14" t="str">
        <f>'24'!$B$2</f>
        <v>24/07/2025 01:00</v>
      </c>
      <c r="B32" s="16">
        <f>'24'!B36</f>
        <v>1.9691304347826086</v>
      </c>
      <c r="C32" s="16">
        <f>'24'!C36</f>
        <v>8.1700000000000017</v>
      </c>
      <c r="D32" s="16">
        <f>'24'!D36</f>
        <v>4.7913043478260873</v>
      </c>
      <c r="E32" s="16">
        <f>'24'!E36</f>
        <v>5.3050000000000006</v>
      </c>
      <c r="F32" s="16">
        <f>'24'!F36</f>
        <v>8.9483333333333324</v>
      </c>
      <c r="G32" s="16">
        <f>'24'!G36</f>
        <v>18.518260869565218</v>
      </c>
      <c r="H32" s="16">
        <f>'24'!H36</f>
        <v>5.4563636363636361</v>
      </c>
      <c r="I32" s="16">
        <f>'24'!I36</f>
        <v>5.6166666666666671</v>
      </c>
      <c r="J32" s="16">
        <f>'24'!J36</f>
        <v>0.7383333333333334</v>
      </c>
      <c r="K32" s="16">
        <f>'24'!K36</f>
        <v>286.56416666666661</v>
      </c>
      <c r="L32" s="16">
        <f>'24'!L36</f>
        <v>27.55875</v>
      </c>
      <c r="M32" s="16">
        <f>'24'!M36</f>
        <v>86.556666666666672</v>
      </c>
      <c r="N32" s="16">
        <f>'24'!N36</f>
        <v>98.08750000000002</v>
      </c>
      <c r="O32" s="16">
        <f>'24'!O36</f>
        <v>9.1666666666666674E-2</v>
      </c>
      <c r="P32" s="16">
        <f>'24'!P36</f>
        <v>0.24208333333333329</v>
      </c>
      <c r="Q32" s="16">
        <f>'24'!Q36</f>
        <v>10.047916666666667</v>
      </c>
      <c r="R32" s="30"/>
      <c r="S32" s="30"/>
      <c r="T32" s="30"/>
      <c r="U32" s="30"/>
    </row>
    <row r="33" spans="1:21" s="2" customFormat="1">
      <c r="A33" s="14" t="str">
        <f>'25'!$B$2</f>
        <v>25/07/2025 01:00</v>
      </c>
      <c r="B33" s="16">
        <f>'25'!B36</f>
        <v>7.1216666666666661</v>
      </c>
      <c r="C33" s="16">
        <f>'25'!C36</f>
        <v>15.491249999999999</v>
      </c>
      <c r="D33" s="16">
        <f>'25'!D36</f>
        <v>13.771250000000002</v>
      </c>
      <c r="E33" s="16">
        <f>'25'!E36</f>
        <v>4.8041666666666663</v>
      </c>
      <c r="F33" s="16">
        <f>'25'!F36</f>
        <v>2.48875</v>
      </c>
      <c r="G33" s="16">
        <f>'25'!G36</f>
        <v>18.65583333333333</v>
      </c>
      <c r="H33" s="16">
        <f>'25'!H36</f>
        <v>7.020833333333333</v>
      </c>
      <c r="I33" s="16">
        <f>'25'!I36</f>
        <v>8.3166666666666664</v>
      </c>
      <c r="J33" s="16">
        <f>'25'!J36</f>
        <v>0.73416666666666675</v>
      </c>
      <c r="K33" s="16">
        <f>'25'!K36</f>
        <v>259.28666666666669</v>
      </c>
      <c r="L33" s="16">
        <f>'25'!L36</f>
        <v>25.810833333333331</v>
      </c>
      <c r="M33" s="16">
        <f>'25'!M36</f>
        <v>94.305416666666687</v>
      </c>
      <c r="N33" s="16">
        <f>'25'!N36</f>
        <v>35.150000000000006</v>
      </c>
      <c r="O33" s="16">
        <f>'25'!O36</f>
        <v>0.31666666666666671</v>
      </c>
      <c r="P33" s="16">
        <f>'25'!P36</f>
        <v>0.38416666666666671</v>
      </c>
      <c r="Q33" s="16">
        <f>'25'!Q36</f>
        <v>10</v>
      </c>
      <c r="R33" s="30"/>
      <c r="S33" s="30"/>
      <c r="T33" s="30"/>
      <c r="U33" s="30"/>
    </row>
    <row r="34" spans="1:21" s="2" customFormat="1">
      <c r="A34" s="14" t="str">
        <f>'26'!$B$2</f>
        <v>26/07/2025 01:00</v>
      </c>
      <c r="B34" s="16">
        <f>'26'!B36</f>
        <v>4.8983333333333343</v>
      </c>
      <c r="C34" s="16">
        <f>'26'!C36</f>
        <v>14.192916666666667</v>
      </c>
      <c r="D34" s="16">
        <f>'26'!D36</f>
        <v>11.305416666666666</v>
      </c>
      <c r="E34" s="16">
        <f>'26'!E36</f>
        <v>5.7625000000000002</v>
      </c>
      <c r="F34" s="16">
        <f>'26'!F36</f>
        <v>2.6229166666666663</v>
      </c>
      <c r="G34" s="16">
        <f>'26'!G36</f>
        <v>2.8858333333333337</v>
      </c>
      <c r="H34" s="16">
        <f>'26'!H36</f>
        <v>1.3987499999999997</v>
      </c>
      <c r="I34" s="16">
        <f>'26'!I36</f>
        <v>3.7695833333333328</v>
      </c>
      <c r="J34" s="16">
        <f>'26'!J36</f>
        <v>1.0020833333333334</v>
      </c>
      <c r="K34" s="16">
        <f>'26'!K36</f>
        <v>256.71125000000001</v>
      </c>
      <c r="L34" s="16">
        <f>'26'!L36</f>
        <v>25.360833333333336</v>
      </c>
      <c r="M34" s="16">
        <f>'26'!M36</f>
        <v>94.920833333333348</v>
      </c>
      <c r="N34" s="16">
        <f>'26'!N36</f>
        <v>40.941666666666656</v>
      </c>
      <c r="O34" s="16">
        <f>'26'!O36</f>
        <v>1.3583333333333334</v>
      </c>
      <c r="P34" s="16">
        <f>'26'!P36</f>
        <v>0.13250000000000006</v>
      </c>
      <c r="Q34" s="16">
        <f>'26'!Q36</f>
        <v>10</v>
      </c>
      <c r="R34" s="30"/>
      <c r="S34" s="30"/>
      <c r="T34" s="30"/>
      <c r="U34" s="30"/>
    </row>
    <row r="35" spans="1:21" s="2" customFormat="1">
      <c r="A35" s="14" t="str">
        <f>'27'!$B$2</f>
        <v>27/07/2025 01:00</v>
      </c>
      <c r="B35" s="16">
        <f>'27'!B36</f>
        <v>4.472500000000001</v>
      </c>
      <c r="C35" s="16">
        <f>'27'!C36</f>
        <v>13.603749999999998</v>
      </c>
      <c r="D35" s="16">
        <f>'27'!D36</f>
        <v>10.664166666666667</v>
      </c>
      <c r="E35" s="16">
        <f>'27'!E36</f>
        <v>4.7779166666666661</v>
      </c>
      <c r="F35" s="16">
        <f>'27'!F36</f>
        <v>2.7633333333333332</v>
      </c>
      <c r="G35" s="16">
        <f>'27'!G36</f>
        <v>7.0516666666666667</v>
      </c>
      <c r="H35" s="16">
        <f>'27'!H36</f>
        <v>2.9929166666666673</v>
      </c>
      <c r="I35" s="16">
        <f>'27'!I36</f>
        <v>2.7183333333333333</v>
      </c>
      <c r="J35" s="16">
        <f>'27'!J36</f>
        <v>0.87708333333333321</v>
      </c>
      <c r="K35" s="16">
        <f>'27'!K36</f>
        <v>256.89083333333332</v>
      </c>
      <c r="L35" s="16">
        <f>'27'!L36</f>
        <v>26.368749999999995</v>
      </c>
      <c r="M35" s="16">
        <f>'27'!M36</f>
        <v>88.205833333333331</v>
      </c>
      <c r="N35" s="16">
        <f>'27'!N36</f>
        <v>77.962500000000006</v>
      </c>
      <c r="O35" s="16">
        <f>'27'!O36</f>
        <v>4.1666666666666664E-2</v>
      </c>
      <c r="P35" s="16">
        <f>'27'!P36</f>
        <v>0.11416666666666669</v>
      </c>
      <c r="Q35" s="16">
        <f>'27'!Q36</f>
        <v>10</v>
      </c>
      <c r="R35" s="30"/>
      <c r="S35" s="30"/>
      <c r="T35" s="30"/>
      <c r="U35" s="30"/>
    </row>
    <row r="36" spans="1:21" s="2" customFormat="1">
      <c r="A36" s="14" t="str">
        <f>'28'!$B$2</f>
        <v>28/07/2025 01:00</v>
      </c>
      <c r="B36" s="16">
        <f>'28'!B36</f>
        <v>4.8149999999999995</v>
      </c>
      <c r="C36" s="16">
        <f>'28'!C36</f>
        <v>13.548749999999998</v>
      </c>
      <c r="D36" s="16">
        <f>'28'!D36</f>
        <v>10.878749999999998</v>
      </c>
      <c r="E36" s="16">
        <f>'28'!E36</f>
        <v>5.338333333333332</v>
      </c>
      <c r="F36" s="16">
        <f>'28'!F36</f>
        <v>2.7516666666666665</v>
      </c>
      <c r="G36" s="16">
        <f>'28'!G36</f>
        <v>8.0962499999999995</v>
      </c>
      <c r="H36" s="16">
        <f>'28'!H36</f>
        <v>2.8208333333333329</v>
      </c>
      <c r="I36" s="16">
        <f>'28'!I36</f>
        <v>2.8841666666666668</v>
      </c>
      <c r="J36" s="16">
        <f>'28'!J36</f>
        <v>0.83458333333333334</v>
      </c>
      <c r="K36" s="16">
        <f>'28'!K36</f>
        <v>257.62333333333328</v>
      </c>
      <c r="L36" s="16">
        <f>'28'!L36</f>
        <v>26.18375</v>
      </c>
      <c r="M36" s="16">
        <f>'28'!M36</f>
        <v>88.497500000000016</v>
      </c>
      <c r="N36" s="16">
        <f>'28'!N36</f>
        <v>70.508333333333354</v>
      </c>
      <c r="O36" s="16">
        <f>'28'!O36</f>
        <v>2.5000000000000005E-2</v>
      </c>
      <c r="P36" s="16">
        <f>'28'!P36</f>
        <v>0.11958333333333333</v>
      </c>
      <c r="Q36" s="16">
        <f>'28'!Q36</f>
        <v>10</v>
      </c>
      <c r="R36" s="30"/>
      <c r="S36" s="30"/>
      <c r="T36" s="30"/>
      <c r="U36" s="30"/>
    </row>
    <row r="37" spans="1:21" s="2" customFormat="1">
      <c r="A37" s="14" t="str">
        <f>'29'!$B$2</f>
        <v>29/07/2025 01:00</v>
      </c>
      <c r="B37" s="16">
        <f>'29'!B36</f>
        <v>4.7170833333333348</v>
      </c>
      <c r="C37" s="16">
        <f>'29'!C36</f>
        <v>12.757916666666667</v>
      </c>
      <c r="D37" s="16">
        <f>'29'!D36</f>
        <v>10.423333333333334</v>
      </c>
      <c r="E37" s="16">
        <f>'29'!E36</f>
        <v>4.8791666666666664</v>
      </c>
      <c r="F37" s="16">
        <f>'29'!F36</f>
        <v>2.4216666666666669</v>
      </c>
      <c r="G37" s="16">
        <f>'29'!G36</f>
        <v>3.5500000000000003</v>
      </c>
      <c r="H37" s="16">
        <f>'29'!H36</f>
        <v>0.92833333333333334</v>
      </c>
      <c r="I37" s="16">
        <f>'29'!I36</f>
        <v>2.6516666666666664</v>
      </c>
      <c r="J37" s="16">
        <f>'29'!J36</f>
        <v>0.87708333333333333</v>
      </c>
      <c r="K37" s="16">
        <f>'29'!K36</f>
        <v>255.34833333333327</v>
      </c>
      <c r="L37" s="16">
        <f>'29'!L36</f>
        <v>24.723749999999995</v>
      </c>
      <c r="M37" s="16">
        <f>'29'!M36</f>
        <v>95.68416666666667</v>
      </c>
      <c r="N37" s="16">
        <f>'29'!N36</f>
        <v>39.779166666666676</v>
      </c>
      <c r="O37" s="16">
        <f>'29'!O36</f>
        <v>0.58333333333333326</v>
      </c>
      <c r="P37" s="16">
        <f>'29'!P36</f>
        <v>0.11291666666666665</v>
      </c>
      <c r="Q37" s="16">
        <f>'29'!Q36</f>
        <v>10</v>
      </c>
      <c r="R37" s="30"/>
      <c r="S37" s="30"/>
      <c r="T37" s="30"/>
      <c r="U37" s="30"/>
    </row>
    <row r="38" spans="1:21" s="2" customFormat="1">
      <c r="A38" s="14" t="str">
        <f>'30'!$B$2</f>
        <v>30/07/2025 01:00</v>
      </c>
      <c r="B38" s="16">
        <f>'30'!B36</f>
        <v>3.5029166666666662</v>
      </c>
      <c r="C38" s="16">
        <f>'30'!C36</f>
        <v>11.279583333333333</v>
      </c>
      <c r="D38" s="16">
        <f>'30'!D36</f>
        <v>8.6912499999999984</v>
      </c>
      <c r="E38" s="16">
        <f>'30'!E36</f>
        <v>4.6026086956521741</v>
      </c>
      <c r="F38" s="16">
        <f>'30'!F36</f>
        <v>7.399166666666666</v>
      </c>
      <c r="G38" s="16">
        <f>'30'!G36</f>
        <v>9.7563636363636359</v>
      </c>
      <c r="H38" s="16">
        <f>'30'!H36</f>
        <v>4.4672727272727277</v>
      </c>
      <c r="I38" s="16">
        <f>'30'!I36</f>
        <v>3.3704166666666668</v>
      </c>
      <c r="J38" s="16">
        <f>'30'!J36</f>
        <v>0.74041666666666683</v>
      </c>
      <c r="K38" s="16">
        <f>'30'!K36</f>
        <v>256.04000000000002</v>
      </c>
      <c r="L38" s="16">
        <f>'30'!L36</f>
        <v>25.976666666666663</v>
      </c>
      <c r="M38" s="16">
        <f>'30'!M36</f>
        <v>88.066666666666663</v>
      </c>
      <c r="N38" s="16">
        <f>'30'!N36</f>
        <v>70.566666666666677</v>
      </c>
      <c r="O38" s="16">
        <f>'30'!O36</f>
        <v>0</v>
      </c>
      <c r="P38" s="16">
        <f>'30'!P36</f>
        <v>0.1054166666666667</v>
      </c>
      <c r="Q38" s="16">
        <f>'30'!Q36</f>
        <v>10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1.3191666666666659</v>
      </c>
      <c r="C40" s="18">
        <f t="shared" si="0"/>
        <v>2.2016666666666675</v>
      </c>
      <c r="D40" s="18">
        <f t="shared" si="0"/>
        <v>0.24041666666666664</v>
      </c>
      <c r="E40" s="18">
        <f t="shared" si="0"/>
        <v>4.0004166666666672</v>
      </c>
      <c r="F40" s="18">
        <f t="shared" si="0"/>
        <v>2.3387499999999997</v>
      </c>
      <c r="G40" s="18">
        <f t="shared" si="0"/>
        <v>2.8858333333333337</v>
      </c>
      <c r="H40" s="18">
        <f t="shared" si="0"/>
        <v>0.92833333333333334</v>
      </c>
      <c r="I40" s="18">
        <f t="shared" si="0"/>
        <v>2.6516666666666664</v>
      </c>
      <c r="J40" s="18">
        <f t="shared" si="0"/>
        <v>0.28125000000000006</v>
      </c>
      <c r="K40" s="18">
        <f t="shared" si="0"/>
        <v>190.46541666666664</v>
      </c>
      <c r="L40" s="18">
        <f t="shared" si="0"/>
        <v>23.795000000000002</v>
      </c>
      <c r="M40" s="18">
        <f t="shared" si="0"/>
        <v>76.209583333333327</v>
      </c>
      <c r="N40" s="18">
        <f t="shared" si="0"/>
        <v>26.383333333333329</v>
      </c>
      <c r="O40" s="18">
        <f t="shared" si="0"/>
        <v>0</v>
      </c>
      <c r="P40" s="18">
        <f t="shared" si="0"/>
        <v>9.5833333333333368E-2</v>
      </c>
      <c r="Q40" s="18">
        <f t="shared" si="0"/>
        <v>9.9107142857142865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7.1216666666666661</v>
      </c>
      <c r="C41" s="18">
        <f t="shared" si="1"/>
        <v>15.491249999999999</v>
      </c>
      <c r="D41" s="18">
        <f t="shared" si="1"/>
        <v>13.771250000000002</v>
      </c>
      <c r="E41" s="18">
        <f t="shared" si="1"/>
        <v>6.4970833333333333</v>
      </c>
      <c r="F41" s="18">
        <f t="shared" si="1"/>
        <v>12.115833333333335</v>
      </c>
      <c r="G41" s="18">
        <f t="shared" si="1"/>
        <v>53.552916666666654</v>
      </c>
      <c r="H41" s="18">
        <f t="shared" si="1"/>
        <v>26.493333333333325</v>
      </c>
      <c r="I41" s="18">
        <f t="shared" si="1"/>
        <v>8.3166666666666664</v>
      </c>
      <c r="J41" s="18">
        <f t="shared" si="1"/>
        <v>1.0020833333333334</v>
      </c>
      <c r="K41" s="18">
        <f t="shared" si="1"/>
        <v>286.56416666666661</v>
      </c>
      <c r="L41" s="18">
        <f t="shared" si="1"/>
        <v>29.645416666666662</v>
      </c>
      <c r="M41" s="18">
        <f t="shared" si="1"/>
        <v>99.616250000000022</v>
      </c>
      <c r="N41" s="18">
        <f t="shared" si="1"/>
        <v>164.68749999999997</v>
      </c>
      <c r="O41" s="18">
        <f t="shared" si="1"/>
        <v>1.3583333333333334</v>
      </c>
      <c r="P41" s="18">
        <f t="shared" si="1"/>
        <v>0.39374999999999999</v>
      </c>
      <c r="Q41" s="18">
        <f t="shared" si="1"/>
        <v>10.047916666666667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2.9274184050651444</v>
      </c>
      <c r="C42" s="18">
        <f t="shared" si="2"/>
        <v>6.455787878787878</v>
      </c>
      <c r="D42" s="18">
        <f t="shared" si="2"/>
        <v>4.2453509166801497</v>
      </c>
      <c r="E42" s="18">
        <f t="shared" si="2"/>
        <v>5.1719619565217387</v>
      </c>
      <c r="F42" s="18">
        <f t="shared" si="2"/>
        <v>4.677833333333334</v>
      </c>
      <c r="G42" s="18">
        <f t="shared" si="2"/>
        <v>24.126927097057532</v>
      </c>
      <c r="H42" s="18">
        <f t="shared" si="2"/>
        <v>9.7886212121212086</v>
      </c>
      <c r="I42" s="18">
        <f t="shared" si="2"/>
        <v>5.3318055555555555</v>
      </c>
      <c r="J42" s="18">
        <f t="shared" si="2"/>
        <v>0.66286111111111135</v>
      </c>
      <c r="K42" s="18">
        <f t="shared" si="2"/>
        <v>253.31163888888889</v>
      </c>
      <c r="L42" s="18">
        <f t="shared" si="2"/>
        <v>26.832875000000005</v>
      </c>
      <c r="M42" s="18">
        <f t="shared" si="2"/>
        <v>89.950638888888903</v>
      </c>
      <c r="N42" s="18">
        <f t="shared" si="2"/>
        <v>85.203749999999999</v>
      </c>
      <c r="O42" s="18">
        <f t="shared" si="2"/>
        <v>0.28027777777777779</v>
      </c>
      <c r="P42" s="18">
        <f t="shared" si="2"/>
        <v>0.20743055555555553</v>
      </c>
      <c r="Q42" s="18">
        <f t="shared" si="2"/>
        <v>9.9823744113029829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1.2862035080013863</v>
      </c>
      <c r="C43" s="18">
        <f t="shared" si="3"/>
        <v>3.8184351650971315</v>
      </c>
      <c r="D43" s="18">
        <f t="shared" si="3"/>
        <v>3.5732485760580137</v>
      </c>
      <c r="E43" s="18">
        <f t="shared" si="3"/>
        <v>0.56682485592531562</v>
      </c>
      <c r="F43" s="18">
        <f t="shared" si="3"/>
        <v>2.3290507147335302</v>
      </c>
      <c r="G43" s="18">
        <f t="shared" si="3"/>
        <v>13.757765151250055</v>
      </c>
      <c r="H43" s="18">
        <f t="shared" si="3"/>
        <v>6.0035022738913568</v>
      </c>
      <c r="I43" s="18">
        <f t="shared" si="3"/>
        <v>1.619071137220925</v>
      </c>
      <c r="J43" s="18">
        <f t="shared" si="3"/>
        <v>0.19616274365618575</v>
      </c>
      <c r="K43" s="18">
        <f t="shared" si="3"/>
        <v>20.311875379118153</v>
      </c>
      <c r="L43" s="18">
        <f t="shared" si="3"/>
        <v>1.6098523414223285</v>
      </c>
      <c r="M43" s="18">
        <f t="shared" si="3"/>
        <v>5.3246594940568848</v>
      </c>
      <c r="N43" s="18">
        <f t="shared" si="3"/>
        <v>34.98140557569468</v>
      </c>
      <c r="O43" s="18">
        <f t="shared" si="3"/>
        <v>0.37188349515930774</v>
      </c>
      <c r="P43" s="18">
        <f t="shared" si="3"/>
        <v>8.2499425527238671E-2</v>
      </c>
      <c r="Q43" s="18">
        <f t="shared" si="3"/>
        <v>3.4729814083885938E-2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P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3">
        <f t="shared" si="4"/>
        <v>30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18">
        <f>COUNT(Q9:Q38)+2</f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56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2025-08-22T13:04:42Z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