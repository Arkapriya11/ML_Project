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tabRatio="814" firstSheet="22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sharedStrings.xml><?xml version="1.0" encoding="utf-8"?>
<sst xmlns="http://schemas.openxmlformats.org/spreadsheetml/2006/main" count="2840" uniqueCount="239">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</sst>
</file>

<file path=xl/styles.xml><?xml version="1.0" encoding="utf-8"?>
<styleSheet xmlns="http://schemas.openxmlformats.org/spreadsheetml/2006/main">
  <numFmts count="8">
    <numFmt numFmtId="43" formatCode="_-* #,##0.00_-;\-* #,##0.00_-;_-* &quot;-&quot;??_-;_-@_-"/>
    <numFmt numFmtId="176" formatCode="0.000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177" formatCode="mmm\-yy"/>
    <numFmt numFmtId="178" formatCode="mmmm\-yyyy"/>
    <numFmt numFmtId="179" formatCode="0.0000"/>
  </numFmts>
  <fonts count="65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90844447157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90844447157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75585192419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90844447157"/>
      <name val="Arial Black"/>
      <charset val="134"/>
    </font>
    <font>
      <sz val="11"/>
      <color theme="3" tint="0.399975585192419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sz val="10"/>
      <color theme="0"/>
      <name val="Arial"/>
      <charset val="134"/>
    </font>
    <font>
      <sz val="10"/>
      <color rgb="FFFF0000"/>
      <name val="Arial"/>
      <charset val="134"/>
    </font>
    <font>
      <b/>
      <sz val="10"/>
      <color theme="5" tint="-0.249977111117893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0"/>
      <color indexed="9"/>
      <name val="Arial"/>
      <charset val="134"/>
    </font>
  </fonts>
  <fills count="46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5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1" borderId="40" applyNumberFormat="0" applyAlignment="0" applyProtection="0">
      <alignment vertical="center"/>
    </xf>
    <xf numFmtId="0" fontId="51" fillId="0" borderId="41" applyNumberFormat="0" applyFill="0" applyAlignment="0" applyProtection="0">
      <alignment vertical="center"/>
    </xf>
    <xf numFmtId="0" fontId="46" fillId="24" borderId="42" applyNumberFormat="0" applyFont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41" applyNumberFormat="0" applyFill="0" applyAlignment="0" applyProtection="0">
      <alignment vertical="center"/>
    </xf>
    <xf numFmtId="0" fontId="58" fillId="0" borderId="44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26" borderId="45" applyNumberFormat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31" borderId="46" applyNumberFormat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62" fillId="31" borderId="45" applyNumberFormat="0" applyAlignment="0" applyProtection="0">
      <alignment vertical="center"/>
    </xf>
    <xf numFmtId="0" fontId="54" fillId="0" borderId="43" applyNumberFormat="0" applyFill="0" applyAlignment="0" applyProtection="0">
      <alignment vertical="center"/>
    </xf>
    <xf numFmtId="0" fontId="63" fillId="0" borderId="47" applyNumberFormat="0" applyFill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</cellStyleXfs>
  <cellXfs count="23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58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8" fillId="3" borderId="1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58" fontId="11" fillId="0" borderId="0" xfId="0" applyNumberFormat="1" applyFont="1" applyAlignment="1">
      <alignment horizontal="center"/>
    </xf>
    <xf numFmtId="0" fontId="12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58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5" fillId="3" borderId="14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wrapText="1"/>
    </xf>
    <xf numFmtId="0" fontId="8" fillId="3" borderId="19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6" fillId="3" borderId="19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5" fillId="3" borderId="29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178" fontId="27" fillId="5" borderId="0" xfId="0" applyNumberFormat="1" applyFont="1" applyFill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0" fontId="33" fillId="3" borderId="36" xfId="0" applyFont="1" applyFill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79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79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79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76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58" fontId="0" fillId="0" borderId="0" xfId="0" applyNumberFormat="1"/>
    <xf numFmtId="58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58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58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0" fontId="37" fillId="5" borderId="0" xfId="0" applyFont="1" applyFill="1" applyAlignment="1">
      <alignment horizontal="center"/>
    </xf>
    <xf numFmtId="58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58" fontId="13" fillId="0" borderId="0" xfId="0" applyNumberFormat="1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0" fillId="14" borderId="7" xfId="0" applyNumberFormat="1" applyFont="1" applyFill="1" applyBorder="1" applyAlignment="1">
      <alignment horizontal="center"/>
    </xf>
    <xf numFmtId="0" fontId="0" fillId="14" borderId="7" xfId="0" applyFont="1" applyFill="1" applyBorder="1" applyAlignment="1">
      <alignment horizont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1" fillId="14" borderId="7" xfId="0" applyFont="1" applyFill="1" applyBorder="1" applyAlignment="1">
      <alignment horizont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42" fillId="14" borderId="7" xfId="0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0" fillId="0" borderId="0" xfId="0" applyNumberFormat="1"/>
    <xf numFmtId="2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haredStrings" Target="sharedStrings.xml"/><Relationship Id="rId37" Type="http://schemas.openxmlformats.org/officeDocument/2006/relationships/styles" Target="style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0" zoomScaleNormal="80" workbookViewId="0">
      <pane xSplit="1" ySplit="8" topLeftCell="B9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6.4285714285714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7.1428571428571" style="2" customWidth="1"/>
    <col min="15" max="15" width="9.85714285714286" style="2" customWidth="1"/>
    <col min="16" max="16" width="14.7142857142857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6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14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5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2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8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11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11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11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8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6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5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3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9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5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8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5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5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2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3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5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6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5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108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84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8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xSplit="1" ySplit="8" topLeftCell="B93" activePane="bottomRight" state="frozen"/>
      <selection/>
      <selection pane="topRight"/>
      <selection pane="bottomLeft"/>
      <selection pane="bottomRigh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7"/>
  <sheetViews>
    <sheetView workbookViewId="0">
      <selection activeCell="D13" sqref="D13:D16"/>
    </sheetView>
  </sheetViews>
  <sheetFormatPr defaultColWidth="9" defaultRowHeight="15"/>
  <cols>
    <col min="1" max="1" width="14.7142857142857" customWidth="1"/>
    <col min="2" max="2" width="14.1238095238095" customWidth="1"/>
  </cols>
  <sheetData>
    <row r="1" ht="25.5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18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R2" s="2"/>
    </row>
    <row r="3" spans="1:18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L3" s="200" t="s">
        <v>14</v>
      </c>
      <c r="M3" s="178"/>
      <c r="N3" s="215" t="s">
        <v>15</v>
      </c>
      <c r="O3" s="178"/>
      <c r="P3" s="206" t="s">
        <v>15</v>
      </c>
      <c r="Q3" s="178"/>
      <c r="R3" s="2"/>
    </row>
    <row r="4" spans="1:18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N4" s="2"/>
      <c r="O4" s="178"/>
      <c r="P4" s="178"/>
      <c r="Q4" s="178"/>
      <c r="R4" s="178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0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spans="1:21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</row>
    <row r="97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spans="1:21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</row>
    <row r="10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1:21">
      <c r="A105" s="48"/>
      <c r="B105" s="2"/>
      <c r="C105" s="2"/>
      <c r="D105" s="2"/>
      <c r="E105" s="2"/>
      <c r="F105" s="2"/>
      <c r="G105" s="48"/>
      <c r="H105" s="48"/>
      <c r="I105" s="48"/>
      <c r="J105" s="2"/>
      <c r="K105" s="2"/>
      <c r="L105" s="48"/>
      <c r="M105" s="48"/>
      <c r="N105" s="48"/>
      <c r="O105" s="48"/>
      <c r="P105" s="48"/>
      <c r="Q105" s="2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1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:21">
      <c r="A113" s="4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48"/>
      <c r="M113" s="2"/>
      <c r="N113" s="225"/>
      <c r="O113" s="225"/>
      <c r="P113" s="225"/>
      <c r="Q113" s="225"/>
      <c r="R113" s="225"/>
      <c r="S113" s="225"/>
      <c r="T113" s="225"/>
      <c r="U113" s="225"/>
    </row>
    <row r="114" spans="1:21">
      <c r="A114" s="4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84" t="s">
        <v>55</v>
      </c>
      <c r="B115" s="193" t="s">
        <v>56</v>
      </c>
      <c r="C115" s="193"/>
      <c r="D115" s="19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48"/>
      <c r="B116" s="2"/>
      <c r="C116" s="2"/>
      <c r="D116" s="195"/>
      <c r="E116" s="195"/>
      <c r="F116" s="195"/>
      <c r="G116" s="195"/>
      <c r="H116" s="195"/>
      <c r="I116" s="19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ySplit="1" topLeftCell="A104" activePane="bottomLeft" state="frozen"/>
      <selection/>
      <selection pane="bottomLef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zoomScale="85" zoomScaleNormal="85" workbookViewId="0">
      <pane ySplit="8" topLeftCell="A66" activePane="bottomLeft" state="frozen"/>
      <selection/>
      <selection pane="bottomLeft" activeCell="D13" sqref="D13:D16"/>
    </sheetView>
  </sheetViews>
  <sheetFormatPr defaultColWidth="8.85714285714286" defaultRowHeight="15"/>
  <cols>
    <col min="1" max="1" width="21" style="48" customWidth="1"/>
    <col min="2" max="2" width="14.1238095238095" style="2" customWidth="1"/>
    <col min="3" max="3" width="11.7142857142857" style="2" customWidth="1"/>
    <col min="4" max="5" width="10.8571428571429" style="2" customWidth="1"/>
    <col min="6" max="7" width="10.7142857142857" style="2" customWidth="1"/>
    <col min="8" max="8" width="11.5714285714286" style="2" customWidth="1"/>
    <col min="9" max="9" width="12.1428571428571" style="2" customWidth="1"/>
    <col min="10" max="10" width="11.5714285714286" style="2" customWidth="1"/>
    <col min="11" max="11" width="10.1428571428571" style="2" customWidth="1"/>
    <col min="12" max="12" width="11.1428571428571" style="2" customWidth="1"/>
    <col min="13" max="13" width="12.2857142857143" style="2" customWidth="1"/>
    <col min="14" max="14" width="10.1428571428571" style="2" customWidth="1"/>
    <col min="15" max="15" width="9.85714285714286" style="2" customWidth="1"/>
    <col min="16" max="16" width="10" style="2" customWidth="1"/>
    <col min="17" max="17" width="11.7142857142857" style="2" customWidth="1"/>
    <col min="18" max="19" width="9.14285714285714" style="2" customWidth="1"/>
    <col min="20" max="20" width="11.4285714285714" style="2" customWidth="1"/>
    <col min="21" max="16384" width="8.85714285714286" style="2"/>
  </cols>
  <sheetData>
    <row r="1" spans="1:21">
      <c r="A1" s="184" t="s">
        <v>0</v>
      </c>
      <c r="B1" s="176" t="s">
        <v>1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pans="1:21">
      <c r="A2" s="184" t="s">
        <v>2</v>
      </c>
      <c r="B2" s="179">
        <f>$A$9</f>
        <v>0</v>
      </c>
      <c r="C2" s="65" t="s">
        <v>3</v>
      </c>
      <c r="D2" s="65"/>
      <c r="E2" s="65"/>
      <c r="F2" s="65"/>
      <c r="G2" s="180" t="s">
        <v>4</v>
      </c>
      <c r="H2" s="181"/>
      <c r="I2" s="181"/>
      <c r="J2" s="65" t="s">
        <v>5</v>
      </c>
      <c r="K2" s="178"/>
      <c r="L2" s="198" t="s">
        <v>6</v>
      </c>
      <c r="M2" s="178"/>
      <c r="N2" s="215" t="s">
        <v>7</v>
      </c>
      <c r="O2" s="199"/>
      <c r="P2" s="205" t="s">
        <v>8</v>
      </c>
      <c r="Q2" s="199"/>
      <c r="S2"/>
      <c r="T2"/>
      <c r="U2"/>
    </row>
    <row r="3" spans="1:21">
      <c r="A3" s="184" t="s">
        <v>9</v>
      </c>
      <c r="B3" s="178" t="s">
        <v>10</v>
      </c>
      <c r="C3" s="65" t="s">
        <v>11</v>
      </c>
      <c r="D3" s="65"/>
      <c r="E3" s="65"/>
      <c r="F3" s="65"/>
      <c r="G3" s="182" t="s">
        <v>12</v>
      </c>
      <c r="H3" s="181"/>
      <c r="I3" s="181"/>
      <c r="J3" s="65" t="s">
        <v>13</v>
      </c>
      <c r="K3"/>
      <c r="L3" s="200" t="s">
        <v>14</v>
      </c>
      <c r="M3" s="178"/>
      <c r="N3" s="215" t="s">
        <v>15</v>
      </c>
      <c r="O3" s="178"/>
      <c r="P3" s="206" t="s">
        <v>15</v>
      </c>
      <c r="Q3" s="178"/>
      <c r="S3"/>
      <c r="T3"/>
      <c r="U3"/>
    </row>
    <row r="4" spans="1:21">
      <c r="A4" s="184" t="s">
        <v>16</v>
      </c>
      <c r="B4" s="178" t="s">
        <v>17</v>
      </c>
      <c r="C4" s="65" t="s">
        <v>18</v>
      </c>
      <c r="D4" s="65"/>
      <c r="E4" s="65"/>
      <c r="F4" s="65"/>
      <c r="G4" s="183" t="s">
        <v>19</v>
      </c>
      <c r="H4" s="181"/>
      <c r="I4" s="181"/>
      <c r="J4" s="65" t="s">
        <v>20</v>
      </c>
      <c r="K4" s="202"/>
      <c r="L4" s="203" t="s">
        <v>21</v>
      </c>
      <c r="M4" s="178"/>
      <c r="O4" s="178"/>
      <c r="P4" s="178"/>
      <c r="Q4" s="178"/>
      <c r="R4" s="178"/>
      <c r="S4"/>
      <c r="T4"/>
      <c r="U4"/>
    </row>
    <row r="5" spans="1:21">
      <c r="A5" s="184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pans="1:21">
      <c r="A6" s="184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pans="1:21">
      <c r="A7" s="184" t="s">
        <v>22</v>
      </c>
      <c r="B7" s="212" t="s">
        <v>23</v>
      </c>
      <c r="C7" s="212" t="s">
        <v>24</v>
      </c>
      <c r="D7" s="212" t="s">
        <v>25</v>
      </c>
      <c r="E7" s="212" t="s">
        <v>26</v>
      </c>
      <c r="F7" s="212" t="s">
        <v>27</v>
      </c>
      <c r="G7" s="212" t="s">
        <v>28</v>
      </c>
      <c r="H7" s="212" t="s">
        <v>29</v>
      </c>
      <c r="I7" s="212" t="s">
        <v>30</v>
      </c>
      <c r="J7" s="212" t="s">
        <v>31</v>
      </c>
      <c r="K7" s="212" t="s">
        <v>32</v>
      </c>
      <c r="L7" s="212" t="s">
        <v>33</v>
      </c>
      <c r="M7" s="212" t="s">
        <v>34</v>
      </c>
      <c r="N7" s="212" t="s">
        <v>35</v>
      </c>
      <c r="O7" s="212" t="s">
        <v>36</v>
      </c>
      <c r="P7" s="212" t="s">
        <v>37</v>
      </c>
      <c r="Q7" s="212" t="s">
        <v>38</v>
      </c>
      <c r="R7" s="207"/>
      <c r="S7" s="208"/>
      <c r="T7" s="207"/>
      <c r="U7" s="207"/>
    </row>
    <row r="8" spans="1:21">
      <c r="A8" s="184"/>
      <c r="B8" s="144" t="s">
        <v>39</v>
      </c>
      <c r="C8" s="144" t="s">
        <v>39</v>
      </c>
      <c r="D8" s="144" t="s">
        <v>40</v>
      </c>
      <c r="E8" s="144" t="s">
        <v>39</v>
      </c>
      <c r="F8" s="144" t="s">
        <v>39</v>
      </c>
      <c r="G8" s="144" t="s">
        <v>39</v>
      </c>
      <c r="H8" s="144" t="s">
        <v>39</v>
      </c>
      <c r="I8" s="144" t="s">
        <v>39</v>
      </c>
      <c r="J8" s="144" t="s">
        <v>41</v>
      </c>
      <c r="K8" s="144" t="s">
        <v>42</v>
      </c>
      <c r="L8" s="216" t="s">
        <v>43</v>
      </c>
      <c r="M8" s="144" t="s">
        <v>44</v>
      </c>
      <c r="N8" s="144" t="s">
        <v>45</v>
      </c>
      <c r="O8" s="216" t="s">
        <v>46</v>
      </c>
      <c r="P8" s="144" t="s">
        <v>47</v>
      </c>
      <c r="Q8" s="144" t="s">
        <v>39</v>
      </c>
      <c r="R8" s="207"/>
      <c r="S8" s="208"/>
      <c r="T8" s="207"/>
      <c r="U8" s="207"/>
    </row>
    <row r="9" customFormat="1" spans="1:21">
      <c r="A9" s="213"/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13"/>
      <c r="S9" s="13"/>
      <c r="T9" s="217"/>
      <c r="U9" s="13"/>
    </row>
    <row r="10" customFormat="1" spans="1:21">
      <c r="A10" s="213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13"/>
      <c r="S10" s="13"/>
      <c r="T10" s="217"/>
      <c r="U10" s="13"/>
    </row>
    <row r="11" customFormat="1" spans="1:21">
      <c r="A11" s="213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13"/>
      <c r="S11" s="13"/>
      <c r="T11" s="217"/>
      <c r="U11" s="13"/>
    </row>
    <row r="12" customFormat="1" spans="1:21">
      <c r="A12" s="213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13"/>
      <c r="S12" s="13"/>
      <c r="T12" s="217"/>
      <c r="U12" s="13"/>
    </row>
    <row r="13" customFormat="1" spans="1:21">
      <c r="A13" s="213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13"/>
      <c r="S13" s="13"/>
      <c r="T13" s="217"/>
      <c r="U13" s="13"/>
    </row>
    <row r="14" customFormat="1" spans="1:21">
      <c r="A14" s="213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13"/>
      <c r="S14" s="13"/>
      <c r="T14" s="217"/>
      <c r="U14" s="13"/>
    </row>
    <row r="15" customFormat="1" spans="1:21">
      <c r="A15" s="213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13"/>
      <c r="S15" s="13"/>
      <c r="T15" s="217"/>
      <c r="U15" s="13"/>
    </row>
    <row r="16" customFormat="1" spans="1:21">
      <c r="A16" s="213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13"/>
      <c r="S16" s="13"/>
      <c r="T16" s="217"/>
      <c r="U16" s="13"/>
    </row>
    <row r="17" customFormat="1" spans="1:21">
      <c r="A17" s="213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13"/>
      <c r="S17" s="13"/>
      <c r="T17" s="217"/>
      <c r="U17" s="13"/>
    </row>
    <row r="18" customFormat="1" spans="1:21">
      <c r="A18" s="213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13"/>
      <c r="S18" s="13"/>
      <c r="T18" s="217"/>
      <c r="U18" s="13"/>
    </row>
    <row r="19" customFormat="1" spans="1:21">
      <c r="A19" s="213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13"/>
      <c r="S19" s="13"/>
      <c r="T19" s="217"/>
      <c r="U19" s="13"/>
    </row>
    <row r="20" customFormat="1" spans="1:21">
      <c r="A20" s="213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13"/>
      <c r="S20" s="13"/>
      <c r="T20" s="217"/>
      <c r="U20" s="13"/>
    </row>
    <row r="21" customFormat="1" spans="1:21">
      <c r="A21" s="213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13"/>
      <c r="S21" s="13"/>
      <c r="T21" s="217"/>
      <c r="U21" s="13"/>
    </row>
    <row r="22" customFormat="1" spans="1:21">
      <c r="A22" s="213"/>
      <c r="B22" s="214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13"/>
      <c r="S22" s="13"/>
      <c r="T22" s="217"/>
      <c r="U22" s="13"/>
    </row>
    <row r="23" customFormat="1" spans="1:21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13"/>
      <c r="S23" s="13"/>
      <c r="T23" s="217"/>
      <c r="U23" s="13"/>
    </row>
    <row r="24" customFormat="1" spans="1:21">
      <c r="A24" s="213"/>
      <c r="B24" s="214"/>
      <c r="C24" s="214"/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13"/>
      <c r="S24" s="13"/>
      <c r="T24" s="217"/>
      <c r="U24" s="13"/>
    </row>
    <row r="25" customFormat="1" spans="1:21">
      <c r="A25" s="213"/>
      <c r="B25" s="214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13"/>
      <c r="S25" s="13"/>
      <c r="T25" s="217"/>
      <c r="U25" s="13"/>
    </row>
    <row r="26" customFormat="1" spans="1:21">
      <c r="A26" s="213"/>
      <c r="B26" s="214"/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13"/>
      <c r="S26" s="13"/>
      <c r="T26" s="217"/>
      <c r="U26" s="13"/>
    </row>
    <row r="27" customFormat="1" spans="1:21">
      <c r="A27" s="213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13"/>
      <c r="S27" s="13"/>
      <c r="T27" s="217"/>
      <c r="U27" s="13"/>
    </row>
    <row r="28" customFormat="1" spans="1:21">
      <c r="A28" s="213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13"/>
      <c r="S28" s="13"/>
      <c r="T28" s="217"/>
      <c r="U28" s="13"/>
    </row>
    <row r="29" customFormat="1" spans="1:21">
      <c r="A29" s="213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13"/>
      <c r="S29" s="13"/>
      <c r="T29" s="217"/>
      <c r="U29" s="13"/>
    </row>
    <row r="30" customFormat="1" spans="1:21">
      <c r="A30" s="213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13"/>
      <c r="S30" s="13"/>
      <c r="T30" s="217"/>
      <c r="U30" s="13"/>
    </row>
    <row r="31" customFormat="1" spans="1:21">
      <c r="A31" s="213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13"/>
      <c r="S31" s="13"/>
      <c r="T31" s="217"/>
      <c r="U31" s="13"/>
    </row>
    <row r="32" customFormat="1" spans="1:21">
      <c r="A32" s="213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13"/>
      <c r="S32" s="13"/>
      <c r="T32" s="217"/>
      <c r="U32" s="13"/>
    </row>
    <row r="33" customFormat="1" spans="1:21">
      <c r="A33" s="213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13"/>
      <c r="S33" s="13"/>
      <c r="T33" s="217"/>
      <c r="U33" s="13"/>
    </row>
    <row r="34" customFormat="1" spans="1:21">
      <c r="A34" s="213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13"/>
      <c r="S34" s="13"/>
      <c r="T34" s="217"/>
      <c r="U34" s="13"/>
    </row>
    <row r="35" customFormat="1" spans="1:21">
      <c r="A35" s="213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13"/>
      <c r="S35" s="13"/>
      <c r="T35" s="217"/>
      <c r="U35" s="13"/>
    </row>
    <row r="36" customFormat="1" spans="1:21">
      <c r="A36" s="213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13"/>
      <c r="S36" s="13"/>
      <c r="T36" s="217"/>
      <c r="U36" s="13"/>
    </row>
    <row r="37" customFormat="1" spans="1:21">
      <c r="A37" s="213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13"/>
      <c r="S37" s="13"/>
      <c r="T37" s="217"/>
      <c r="U37" s="13"/>
    </row>
    <row r="38" customFormat="1" spans="1:21">
      <c r="A38" s="213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13"/>
      <c r="S38" s="13"/>
      <c r="T38" s="217"/>
      <c r="U38" s="13"/>
    </row>
    <row r="39" customFormat="1" spans="1:21">
      <c r="A39" s="213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13"/>
      <c r="S39" s="13"/>
      <c r="T39" s="217"/>
      <c r="U39" s="13"/>
    </row>
    <row r="40" customFormat="1" spans="1:21">
      <c r="A40" s="213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13"/>
      <c r="S40" s="13"/>
      <c r="T40" s="217"/>
      <c r="U40" s="13"/>
    </row>
    <row r="41" customFormat="1" spans="1:21">
      <c r="A41" s="213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13"/>
      <c r="S41" s="13"/>
      <c r="T41" s="217"/>
      <c r="U41" s="13"/>
    </row>
    <row r="42" customFormat="1" spans="1:21">
      <c r="A42" s="213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13"/>
      <c r="S42" s="13"/>
      <c r="T42" s="217"/>
      <c r="U42" s="13"/>
    </row>
    <row r="43" customFormat="1" spans="1:21">
      <c r="A43" s="213"/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13"/>
      <c r="S43" s="13"/>
      <c r="T43" s="217"/>
      <c r="U43" s="13"/>
    </row>
    <row r="44" customFormat="1" spans="1:21">
      <c r="A44" s="213"/>
      <c r="B44" s="214"/>
      <c r="C44" s="214"/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13"/>
      <c r="S44" s="13"/>
      <c r="T44" s="217"/>
      <c r="U44" s="13"/>
    </row>
    <row r="45" customFormat="1" spans="1:21">
      <c r="A45" s="213"/>
      <c r="B45" s="214"/>
      <c r="C45" s="214"/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13"/>
      <c r="S45" s="13"/>
      <c r="T45" s="217"/>
      <c r="U45" s="13"/>
    </row>
    <row r="46" customFormat="1" spans="1:21">
      <c r="A46" s="213"/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13"/>
      <c r="S46" s="13"/>
      <c r="T46" s="217"/>
      <c r="U46" s="13"/>
    </row>
    <row r="47" customFormat="1" spans="1:21">
      <c r="A47" s="213"/>
      <c r="B47" s="214"/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13"/>
      <c r="S47" s="13"/>
      <c r="T47" s="217"/>
      <c r="U47" s="13"/>
    </row>
    <row r="48" customFormat="1" spans="1:21">
      <c r="A48" s="213"/>
      <c r="B48" s="214"/>
      <c r="C48" s="214"/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13"/>
      <c r="S48" s="13"/>
      <c r="T48" s="217"/>
      <c r="U48" s="13"/>
    </row>
    <row r="49" customFormat="1" spans="1:21">
      <c r="A49" s="213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13"/>
      <c r="S49" s="13"/>
      <c r="T49" s="217"/>
      <c r="U49" s="13"/>
    </row>
    <row r="50" customFormat="1" spans="1:21">
      <c r="A50" s="213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13"/>
      <c r="S50" s="13"/>
      <c r="T50" s="217"/>
      <c r="U50" s="13"/>
    </row>
    <row r="51" customFormat="1" spans="1:21">
      <c r="A51" s="213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13"/>
      <c r="S51" s="13"/>
      <c r="T51" s="217"/>
      <c r="U51" s="13"/>
    </row>
    <row r="52" customFormat="1" spans="1:21">
      <c r="A52" s="213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13"/>
      <c r="S52" s="13"/>
      <c r="T52" s="217"/>
      <c r="U52" s="13"/>
    </row>
    <row r="53" customFormat="1" spans="1:21">
      <c r="A53" s="213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13"/>
      <c r="S53" s="13"/>
      <c r="T53" s="217"/>
      <c r="U53" s="13"/>
    </row>
    <row r="54" customFormat="1" spans="1:21">
      <c r="A54" s="213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13"/>
      <c r="S54" s="13"/>
      <c r="T54" s="217"/>
      <c r="U54" s="13"/>
    </row>
    <row r="55" customFormat="1" spans="1:21">
      <c r="A55" s="213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13"/>
      <c r="S55" s="13"/>
      <c r="T55" s="217"/>
      <c r="U55" s="13"/>
    </row>
    <row r="56" customFormat="1" spans="1:21">
      <c r="A56" s="213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13"/>
      <c r="S56" s="13"/>
      <c r="T56" s="217"/>
      <c r="U56" s="13"/>
    </row>
    <row r="57" customFormat="1" spans="1:21">
      <c r="A57" s="213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13"/>
      <c r="S57" s="13"/>
      <c r="T57" s="217"/>
      <c r="U57" s="13"/>
    </row>
    <row r="58" customFormat="1" spans="1:21">
      <c r="A58" s="213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13"/>
      <c r="S58" s="13"/>
      <c r="T58" s="217"/>
      <c r="U58" s="13"/>
    </row>
    <row r="59" customFormat="1" spans="1:21">
      <c r="A59" s="213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13"/>
      <c r="S59" s="13"/>
      <c r="T59" s="217"/>
      <c r="U59" s="13"/>
    </row>
    <row r="60" customFormat="1" spans="1:21">
      <c r="A60" s="213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13"/>
      <c r="S60" s="13"/>
      <c r="T60" s="217"/>
      <c r="U60" s="13"/>
    </row>
    <row r="61" customFormat="1" spans="1:21">
      <c r="A61" s="213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13"/>
      <c r="S61" s="13"/>
      <c r="T61" s="217"/>
      <c r="U61" s="13"/>
    </row>
    <row r="62" customFormat="1" spans="1:21">
      <c r="A62" s="213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13"/>
      <c r="S62" s="13"/>
      <c r="T62" s="217"/>
      <c r="U62" s="13"/>
    </row>
    <row r="63" customFormat="1" spans="1:21">
      <c r="A63" s="213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13"/>
      <c r="S63" s="13"/>
      <c r="T63" s="217"/>
      <c r="U63" s="13"/>
    </row>
    <row r="64" customFormat="1" spans="1:21">
      <c r="A64" s="213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13"/>
      <c r="S64" s="13"/>
      <c r="T64" s="217"/>
      <c r="U64" s="13"/>
    </row>
    <row r="65" customFormat="1" spans="1:21">
      <c r="A65" s="213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13"/>
      <c r="S65" s="13"/>
      <c r="T65" s="217"/>
      <c r="U65" s="13"/>
    </row>
    <row r="66" customFormat="1" spans="1:21">
      <c r="A66" s="213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13"/>
      <c r="S66" s="13"/>
      <c r="T66" s="217"/>
      <c r="U66" s="13"/>
    </row>
    <row r="67" customFormat="1" spans="1:21">
      <c r="A67" s="213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13"/>
      <c r="S67" s="13"/>
      <c r="T67" s="217"/>
      <c r="U67" s="13"/>
    </row>
    <row r="68" customFormat="1" spans="1:21">
      <c r="A68" s="213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13"/>
      <c r="S68" s="13"/>
      <c r="T68" s="217"/>
      <c r="U68" s="13"/>
    </row>
    <row r="69" customFormat="1" spans="1:21">
      <c r="A69" s="213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13"/>
      <c r="S69" s="13"/>
      <c r="T69" s="217"/>
      <c r="U69" s="13"/>
    </row>
    <row r="70" customFormat="1" spans="1:21">
      <c r="A70" s="213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13"/>
      <c r="S70" s="13"/>
      <c r="T70" s="217"/>
      <c r="U70" s="13"/>
    </row>
    <row r="71" customFormat="1" spans="1:21">
      <c r="A71" s="213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13"/>
      <c r="S71" s="13"/>
      <c r="T71" s="217"/>
      <c r="U71" s="13"/>
    </row>
    <row r="72" customFormat="1" spans="1:21">
      <c r="A72" s="213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13"/>
      <c r="S72" s="13"/>
      <c r="T72" s="217"/>
      <c r="U72" s="13"/>
    </row>
    <row r="73" customFormat="1" spans="1:21">
      <c r="A73" s="213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13"/>
      <c r="S73" s="13"/>
      <c r="T73" s="217"/>
      <c r="U73" s="13"/>
    </row>
    <row r="74" customFormat="1" spans="1:21">
      <c r="A74" s="213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13"/>
      <c r="S74" s="13"/>
      <c r="T74" s="217"/>
      <c r="U74" s="13"/>
    </row>
    <row r="75" customFormat="1" spans="1:21">
      <c r="A75" s="213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13"/>
      <c r="S75" s="13"/>
      <c r="T75" s="217"/>
      <c r="U75" s="13"/>
    </row>
    <row r="76" customFormat="1" spans="1:21">
      <c r="A76" s="213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13"/>
      <c r="S76" s="13"/>
      <c r="T76" s="217"/>
      <c r="U76" s="13"/>
    </row>
    <row r="77" customFormat="1" spans="1:21">
      <c r="A77" s="213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13"/>
      <c r="S77" s="13"/>
      <c r="T77" s="217"/>
      <c r="U77" s="13"/>
    </row>
    <row r="78" customFormat="1" spans="1:21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13"/>
      <c r="S78" s="13"/>
      <c r="T78" s="217"/>
      <c r="U78" s="13"/>
    </row>
    <row r="79" customFormat="1" spans="1:21">
      <c r="A79" s="213"/>
      <c r="B79" s="214"/>
      <c r="C79" s="214"/>
      <c r="D79" s="214"/>
      <c r="E79" s="218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13"/>
      <c r="S79" s="13"/>
      <c r="T79" s="217"/>
      <c r="U79" s="13"/>
    </row>
    <row r="80" customFormat="1" spans="1:21">
      <c r="A80" s="213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13"/>
      <c r="S80" s="13"/>
      <c r="T80" s="217"/>
      <c r="U80" s="13"/>
    </row>
    <row r="81" customFormat="1" spans="1:21">
      <c r="A81" s="213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13"/>
      <c r="S81" s="13"/>
      <c r="T81" s="217"/>
      <c r="U81" s="13"/>
    </row>
    <row r="82" customFormat="1" spans="1:21">
      <c r="A82" s="213"/>
      <c r="B82" s="214"/>
      <c r="C82" s="214"/>
      <c r="D82" s="214"/>
      <c r="E82" s="214"/>
      <c r="F82" s="214"/>
      <c r="G82" s="214"/>
      <c r="H82" s="214"/>
      <c r="I82" s="214"/>
      <c r="J82" s="224"/>
      <c r="K82" s="214"/>
      <c r="L82" s="214"/>
      <c r="M82" s="214"/>
      <c r="N82" s="214"/>
      <c r="O82" s="214"/>
      <c r="P82" s="214"/>
      <c r="Q82" s="214"/>
      <c r="R82" s="13"/>
      <c r="S82" s="13"/>
      <c r="T82" s="217"/>
      <c r="U82" s="13"/>
    </row>
    <row r="83" customFormat="1" spans="1:21">
      <c r="A83" s="213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13"/>
      <c r="S83" s="13"/>
      <c r="T83" s="217"/>
      <c r="U83" s="13"/>
    </row>
    <row r="84" customFormat="1" spans="1:21">
      <c r="A84" s="213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13"/>
      <c r="S84" s="13"/>
      <c r="T84" s="217"/>
      <c r="U84" s="13"/>
    </row>
    <row r="85" customFormat="1" spans="1:21">
      <c r="A85" s="213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13"/>
      <c r="S85" s="13"/>
      <c r="T85" s="217"/>
      <c r="U85" s="13"/>
    </row>
    <row r="86" customFormat="1" spans="1:21">
      <c r="A86" s="213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13"/>
      <c r="S86" s="13"/>
      <c r="T86" s="217"/>
      <c r="U86" s="13"/>
    </row>
    <row r="87" customFormat="1" spans="1:21">
      <c r="A87" s="213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13"/>
      <c r="S87" s="13"/>
      <c r="T87" s="217"/>
      <c r="U87" s="13"/>
    </row>
    <row r="88" customFormat="1" spans="1:21">
      <c r="A88" s="213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13"/>
      <c r="S88" s="13"/>
      <c r="T88" s="217"/>
      <c r="U88" s="13"/>
    </row>
    <row r="89" customFormat="1" spans="1:21">
      <c r="A89" s="213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13"/>
      <c r="S89" s="13"/>
      <c r="T89" s="217"/>
      <c r="U89" s="13"/>
    </row>
    <row r="90" customFormat="1" spans="1:21">
      <c r="A90" s="213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13"/>
      <c r="S90" s="13"/>
      <c r="T90" s="217"/>
      <c r="U90" s="13"/>
    </row>
    <row r="91" customFormat="1" spans="1:21">
      <c r="A91" s="213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13"/>
      <c r="S91" s="13"/>
      <c r="T91" s="217"/>
      <c r="U91" s="13"/>
    </row>
    <row r="92" customFormat="1" spans="1:21">
      <c r="A92" s="213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13"/>
      <c r="S92" s="13"/>
      <c r="T92" s="217"/>
      <c r="U92" s="13"/>
    </row>
    <row r="93" customFormat="1" spans="1:21">
      <c r="A93" s="213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13"/>
      <c r="S93" s="13"/>
      <c r="T93" s="217"/>
      <c r="U93" s="13"/>
    </row>
    <row r="94" customFormat="1" spans="1:21">
      <c r="A94" s="213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13"/>
      <c r="S94" s="13"/>
      <c r="T94" s="217"/>
      <c r="U94" s="13"/>
    </row>
    <row r="95" customFormat="1" spans="1:21">
      <c r="A95" s="213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13"/>
      <c r="S95" s="13"/>
      <c r="T95" s="217"/>
      <c r="U95" s="13"/>
    </row>
    <row r="96" customFormat="1" spans="1:26">
      <c r="A96" s="213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13"/>
      <c r="S96" s="13"/>
      <c r="T96" s="217"/>
      <c r="U96" s="13"/>
      <c r="Z96" s="228"/>
    </row>
    <row r="97" customFormat="1" spans="1:21">
      <c r="A97" s="213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13"/>
      <c r="S97" s="13"/>
      <c r="T97" s="217"/>
      <c r="U97" s="13"/>
    </row>
    <row r="98" customFormat="1" spans="1:21">
      <c r="A98" s="213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13"/>
      <c r="S98" s="13"/>
      <c r="T98" s="217"/>
      <c r="U98" s="13"/>
    </row>
    <row r="99" customFormat="1" spans="1:21">
      <c r="A99" s="213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13"/>
      <c r="S99" s="13"/>
      <c r="T99" s="217"/>
      <c r="U99" s="13"/>
    </row>
    <row r="100" customFormat="1" spans="1:33">
      <c r="A100" s="213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13"/>
      <c r="S100" s="13"/>
      <c r="T100" s="217"/>
      <c r="U100" s="13"/>
      <c r="AB100" s="229"/>
      <c r="AG100" s="228"/>
    </row>
    <row r="101" customFormat="1" spans="1:21">
      <c r="A101" s="213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13"/>
      <c r="S101" s="13"/>
      <c r="T101" s="217"/>
      <c r="U101" s="13"/>
    </row>
    <row r="102" customFormat="1" spans="1:21">
      <c r="A102" s="213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13"/>
      <c r="S102" s="13"/>
      <c r="T102" s="217"/>
      <c r="U102" s="13"/>
    </row>
    <row r="103" customFormat="1" spans="1:21">
      <c r="A103" s="213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13"/>
      <c r="S103" s="13"/>
      <c r="T103" s="217"/>
      <c r="U103" s="13"/>
    </row>
    <row r="104" customFormat="1" spans="1:21">
      <c r="A104" s="213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13"/>
      <c r="S104" s="13"/>
      <c r="T104" s="217"/>
      <c r="U104" s="13"/>
    </row>
    <row r="105" spans="7:21">
      <c r="G105" s="48"/>
      <c r="H105" s="48"/>
      <c r="I105" s="48"/>
      <c r="L105" s="48"/>
      <c r="M105" s="48"/>
      <c r="N105" s="48"/>
      <c r="O105" s="48"/>
      <c r="P105" s="48"/>
      <c r="R105" s="18"/>
      <c r="S105" s="18"/>
      <c r="T105" s="18"/>
      <c r="U105" s="18"/>
    </row>
    <row r="106" spans="1:21">
      <c r="A106" s="219" t="s">
        <v>48</v>
      </c>
      <c r="B106" s="220">
        <f>MIN(B9:B104)</f>
        <v>0</v>
      </c>
      <c r="C106" s="220">
        <f>MIN(C9:C104)</f>
        <v>0</v>
      </c>
      <c r="D106" s="220">
        <f t="shared" ref="D106:Q106" si="0">MIN(D9:D104)</f>
        <v>0</v>
      </c>
      <c r="E106" s="220">
        <f t="shared" si="0"/>
        <v>0</v>
      </c>
      <c r="F106" s="220">
        <f t="shared" si="0"/>
        <v>0</v>
      </c>
      <c r="G106" s="220">
        <f t="shared" si="0"/>
        <v>0</v>
      </c>
      <c r="H106" s="220">
        <f t="shared" si="0"/>
        <v>0</v>
      </c>
      <c r="I106" s="220">
        <f t="shared" si="0"/>
        <v>0</v>
      </c>
      <c r="J106" s="220">
        <f t="shared" si="0"/>
        <v>0</v>
      </c>
      <c r="K106" s="220">
        <f t="shared" si="0"/>
        <v>0</v>
      </c>
      <c r="L106" s="220">
        <f t="shared" si="0"/>
        <v>0</v>
      </c>
      <c r="M106" s="220">
        <f t="shared" si="0"/>
        <v>0</v>
      </c>
      <c r="N106" s="220">
        <f t="shared" si="0"/>
        <v>0</v>
      </c>
      <c r="O106" s="220">
        <f t="shared" si="0"/>
        <v>0</v>
      </c>
      <c r="P106" s="220">
        <f t="shared" si="0"/>
        <v>0</v>
      </c>
      <c r="Q106" s="220">
        <f t="shared" si="0"/>
        <v>0</v>
      </c>
      <c r="R106" s="226"/>
      <c r="S106" s="226"/>
      <c r="T106" s="226"/>
      <c r="U106" s="226"/>
    </row>
    <row r="107" spans="1:21">
      <c r="A107" s="219" t="s">
        <v>49</v>
      </c>
      <c r="B107" s="221">
        <f>MAX(B9:B104)</f>
        <v>0</v>
      </c>
      <c r="C107" s="221">
        <f t="shared" ref="C107:Q107" si="1">MAX(C9:C104)</f>
        <v>0</v>
      </c>
      <c r="D107" s="221">
        <f t="shared" si="1"/>
        <v>0</v>
      </c>
      <c r="E107" s="221">
        <f t="shared" si="1"/>
        <v>0</v>
      </c>
      <c r="F107" s="221">
        <f t="shared" si="1"/>
        <v>0</v>
      </c>
      <c r="G107" s="221">
        <f t="shared" si="1"/>
        <v>0</v>
      </c>
      <c r="H107" s="221">
        <f t="shared" si="1"/>
        <v>0</v>
      </c>
      <c r="I107" s="221">
        <f t="shared" si="1"/>
        <v>0</v>
      </c>
      <c r="J107" s="221">
        <f t="shared" si="1"/>
        <v>0</v>
      </c>
      <c r="K107" s="221">
        <f t="shared" si="1"/>
        <v>0</v>
      </c>
      <c r="L107" s="221">
        <f t="shared" si="1"/>
        <v>0</v>
      </c>
      <c r="M107" s="221">
        <f t="shared" si="1"/>
        <v>0</v>
      </c>
      <c r="N107" s="221">
        <f t="shared" si="1"/>
        <v>0</v>
      </c>
      <c r="O107" s="221">
        <f t="shared" si="1"/>
        <v>0</v>
      </c>
      <c r="P107" s="221">
        <f t="shared" si="1"/>
        <v>0</v>
      </c>
      <c r="Q107" s="221">
        <f t="shared" si="1"/>
        <v>0</v>
      </c>
      <c r="R107" s="227"/>
      <c r="S107" s="227"/>
      <c r="T107" s="227"/>
      <c r="U107" s="227"/>
    </row>
    <row r="108" spans="1:21">
      <c r="A108" s="219" t="s">
        <v>50</v>
      </c>
      <c r="B108" s="220" t="e">
        <f>AVERAGE(B9:B104)</f>
        <v>#DIV/0!</v>
      </c>
      <c r="C108" s="220" t="e">
        <f t="shared" ref="C108:Q108" si="2">AVERAGE(C9:C104)</f>
        <v>#DIV/0!</v>
      </c>
      <c r="D108" s="220" t="e">
        <f t="shared" si="2"/>
        <v>#DIV/0!</v>
      </c>
      <c r="E108" s="220" t="e">
        <f t="shared" si="2"/>
        <v>#DIV/0!</v>
      </c>
      <c r="F108" s="220" t="e">
        <f t="shared" si="2"/>
        <v>#DIV/0!</v>
      </c>
      <c r="G108" s="220" t="e">
        <f t="shared" si="2"/>
        <v>#DIV/0!</v>
      </c>
      <c r="H108" s="220" t="e">
        <f t="shared" si="2"/>
        <v>#DIV/0!</v>
      </c>
      <c r="I108" s="220" t="e">
        <f t="shared" si="2"/>
        <v>#DIV/0!</v>
      </c>
      <c r="J108" s="220" t="e">
        <f t="shared" si="2"/>
        <v>#DIV/0!</v>
      </c>
      <c r="K108" s="220" t="e">
        <f t="shared" si="2"/>
        <v>#DIV/0!</v>
      </c>
      <c r="L108" s="220" t="e">
        <f t="shared" si="2"/>
        <v>#DIV/0!</v>
      </c>
      <c r="M108" s="220" t="e">
        <f t="shared" si="2"/>
        <v>#DIV/0!</v>
      </c>
      <c r="N108" s="220" t="e">
        <f t="shared" si="2"/>
        <v>#DIV/0!</v>
      </c>
      <c r="O108" s="220" t="e">
        <f t="shared" si="2"/>
        <v>#DIV/0!</v>
      </c>
      <c r="P108" s="220" t="e">
        <f t="shared" si="2"/>
        <v>#DIV/0!</v>
      </c>
      <c r="Q108" s="220" t="e">
        <f t="shared" si="2"/>
        <v>#DIV/0!</v>
      </c>
      <c r="R108" s="226"/>
      <c r="S108" s="226"/>
      <c r="T108" s="226"/>
      <c r="U108" s="226"/>
    </row>
    <row r="109" spans="1:21">
      <c r="A109" s="219" t="s">
        <v>51</v>
      </c>
      <c r="B109" s="220" t="e">
        <f>STDEV(B9:B104)</f>
        <v>#DIV/0!</v>
      </c>
      <c r="C109" s="220" t="e">
        <f t="shared" ref="C109:Q109" si="3">STDEV(C9:C104)</f>
        <v>#DIV/0!</v>
      </c>
      <c r="D109" s="220" t="e">
        <f t="shared" si="3"/>
        <v>#DIV/0!</v>
      </c>
      <c r="E109" s="220" t="e">
        <f t="shared" si="3"/>
        <v>#DIV/0!</v>
      </c>
      <c r="F109" s="220" t="e">
        <f t="shared" si="3"/>
        <v>#DIV/0!</v>
      </c>
      <c r="G109" s="220" t="e">
        <f t="shared" si="3"/>
        <v>#DIV/0!</v>
      </c>
      <c r="H109" s="220" t="e">
        <f t="shared" si="3"/>
        <v>#DIV/0!</v>
      </c>
      <c r="I109" s="220" t="e">
        <f t="shared" si="3"/>
        <v>#DIV/0!</v>
      </c>
      <c r="J109" s="220" t="e">
        <f t="shared" si="3"/>
        <v>#DIV/0!</v>
      </c>
      <c r="K109" s="220" t="e">
        <f t="shared" si="3"/>
        <v>#DIV/0!</v>
      </c>
      <c r="L109" s="220" t="e">
        <f t="shared" si="3"/>
        <v>#DIV/0!</v>
      </c>
      <c r="M109" s="220" t="e">
        <f t="shared" si="3"/>
        <v>#DIV/0!</v>
      </c>
      <c r="N109" s="220" t="e">
        <f t="shared" si="3"/>
        <v>#DIV/0!</v>
      </c>
      <c r="O109" s="220" t="e">
        <f t="shared" si="3"/>
        <v>#DIV/0!</v>
      </c>
      <c r="P109" s="220" t="e">
        <f t="shared" si="3"/>
        <v>#DIV/0!</v>
      </c>
      <c r="Q109" s="220" t="e">
        <f t="shared" si="3"/>
        <v>#DIV/0!</v>
      </c>
      <c r="R109" s="226"/>
      <c r="S109" s="226"/>
      <c r="T109" s="226"/>
      <c r="U109" s="226"/>
    </row>
    <row r="110" spans="1:22">
      <c r="A110" s="219" t="s">
        <v>52</v>
      </c>
      <c r="B110" s="221">
        <f t="shared" ref="B110:Q110" si="4">COUNT(B9:B104)</f>
        <v>0</v>
      </c>
      <c r="C110" s="221">
        <f t="shared" si="4"/>
        <v>0</v>
      </c>
      <c r="D110" s="221">
        <f t="shared" si="4"/>
        <v>0</v>
      </c>
      <c r="E110" s="221">
        <f t="shared" si="4"/>
        <v>0</v>
      </c>
      <c r="F110" s="221">
        <f t="shared" si="4"/>
        <v>0</v>
      </c>
      <c r="G110" s="221">
        <f t="shared" si="4"/>
        <v>0</v>
      </c>
      <c r="H110" s="221">
        <f t="shared" si="4"/>
        <v>0</v>
      </c>
      <c r="I110" s="221">
        <f t="shared" si="4"/>
        <v>0</v>
      </c>
      <c r="J110" s="221">
        <f t="shared" si="4"/>
        <v>0</v>
      </c>
      <c r="K110" s="221">
        <f t="shared" si="4"/>
        <v>0</v>
      </c>
      <c r="L110" s="221">
        <f t="shared" si="4"/>
        <v>0</v>
      </c>
      <c r="M110" s="221">
        <f t="shared" si="4"/>
        <v>0</v>
      </c>
      <c r="N110" s="221">
        <f t="shared" si="4"/>
        <v>0</v>
      </c>
      <c r="O110" s="221">
        <f t="shared" si="4"/>
        <v>0</v>
      </c>
      <c r="P110" s="221">
        <f t="shared" si="4"/>
        <v>0</v>
      </c>
      <c r="Q110" s="221">
        <f t="shared" si="4"/>
        <v>0</v>
      </c>
      <c r="R110" s="227"/>
      <c r="S110" s="227"/>
      <c r="T110" s="227"/>
      <c r="U110" s="227"/>
      <c r="V110" s="221"/>
    </row>
    <row r="111" spans="1:21">
      <c r="A111" s="184" t="s">
        <v>53</v>
      </c>
      <c r="B111" s="178" t="str">
        <f>IF(B110&gt;=87,"&gt;90%",IF(B110&lt;=87,"&lt;90%"))</f>
        <v>&lt;90%</v>
      </c>
      <c r="C111" s="178" t="str">
        <f t="shared" ref="C111:Q111" si="5">IF(C110&gt;=87,"&gt;90%",IF(C110&lt;=87,"&lt;90%"))</f>
        <v>&lt;90%</v>
      </c>
      <c r="D111" s="178" t="str">
        <f t="shared" si="5"/>
        <v>&lt;90%</v>
      </c>
      <c r="E111" s="178" t="str">
        <f t="shared" si="5"/>
        <v>&lt;90%</v>
      </c>
      <c r="F111" s="178" t="str">
        <f t="shared" si="5"/>
        <v>&lt;90%</v>
      </c>
      <c r="G111" s="178" t="str">
        <f t="shared" si="5"/>
        <v>&lt;90%</v>
      </c>
      <c r="H111" s="178" t="str">
        <f t="shared" si="5"/>
        <v>&lt;90%</v>
      </c>
      <c r="I111" s="178" t="str">
        <f t="shared" si="5"/>
        <v>&lt;90%</v>
      </c>
      <c r="J111" s="178" t="str">
        <f t="shared" si="5"/>
        <v>&lt;90%</v>
      </c>
      <c r="K111" s="178" t="str">
        <f t="shared" si="5"/>
        <v>&lt;90%</v>
      </c>
      <c r="L111" s="178" t="str">
        <f t="shared" si="5"/>
        <v>&lt;90%</v>
      </c>
      <c r="M111" s="178" t="str">
        <f t="shared" si="5"/>
        <v>&lt;90%</v>
      </c>
      <c r="N111" s="178" t="str">
        <f t="shared" si="5"/>
        <v>&lt;90%</v>
      </c>
      <c r="O111" s="178" t="str">
        <f t="shared" si="5"/>
        <v>&lt;90%</v>
      </c>
      <c r="P111" s="178" t="str">
        <f t="shared" si="5"/>
        <v>&lt;90%</v>
      </c>
      <c r="Q111" s="178" t="str">
        <f t="shared" si="5"/>
        <v>&lt;90%</v>
      </c>
      <c r="R111" s="208"/>
      <c r="S111" s="208"/>
      <c r="T111" s="208"/>
      <c r="U111" s="208"/>
    </row>
    <row r="112" spans="1:21">
      <c r="A112" s="184" t="s">
        <v>54</v>
      </c>
      <c r="B112" s="178" t="str">
        <f>IF(B110&gt;=87,"OK",IF(B110&lt;=87,"LESS"))</f>
        <v>LESS</v>
      </c>
      <c r="C112" s="178" t="str">
        <f t="shared" ref="C112:Q112" si="6">IF(C110&gt;=87,"OK",IF(C110&lt;=87,"LESS"))</f>
        <v>LESS</v>
      </c>
      <c r="D112" s="178" t="str">
        <f t="shared" si="6"/>
        <v>LESS</v>
      </c>
      <c r="E112" s="178" t="str">
        <f t="shared" si="6"/>
        <v>LESS</v>
      </c>
      <c r="F112" s="178" t="str">
        <f t="shared" si="6"/>
        <v>LESS</v>
      </c>
      <c r="G112" s="178" t="str">
        <f t="shared" si="6"/>
        <v>LESS</v>
      </c>
      <c r="H112" s="178" t="str">
        <f t="shared" si="6"/>
        <v>LESS</v>
      </c>
      <c r="I112" s="178" t="str">
        <f t="shared" si="6"/>
        <v>LESS</v>
      </c>
      <c r="J112" s="178" t="str">
        <f t="shared" si="6"/>
        <v>LESS</v>
      </c>
      <c r="K112" s="178" t="str">
        <f t="shared" si="6"/>
        <v>LESS</v>
      </c>
      <c r="L112" s="178" t="str">
        <f t="shared" si="6"/>
        <v>LESS</v>
      </c>
      <c r="M112" s="178" t="str">
        <f t="shared" si="6"/>
        <v>LESS</v>
      </c>
      <c r="N112" s="178" t="str">
        <f t="shared" si="6"/>
        <v>LESS</v>
      </c>
      <c r="O112" s="178" t="str">
        <f t="shared" si="6"/>
        <v>LESS</v>
      </c>
      <c r="P112" s="178" t="str">
        <f t="shared" si="6"/>
        <v>LESS</v>
      </c>
      <c r="Q112" s="178" t="str">
        <f t="shared" si="6"/>
        <v>LESS</v>
      </c>
      <c r="R112" s="208"/>
      <c r="S112" s="208"/>
      <c r="T112" s="208"/>
      <c r="U112" s="208"/>
    </row>
    <row r="113" spans="12:21">
      <c r="L113" s="48"/>
      <c r="N113" s="225"/>
      <c r="O113" s="225"/>
      <c r="P113" s="225"/>
      <c r="Q113" s="225"/>
      <c r="R113" s="225"/>
      <c r="S113" s="225"/>
      <c r="T113" s="225"/>
      <c r="U113" s="225"/>
    </row>
    <row r="115" spans="1:4">
      <c r="A115" s="184" t="s">
        <v>55</v>
      </c>
      <c r="B115" s="193" t="s">
        <v>56</v>
      </c>
      <c r="C115" s="193"/>
      <c r="D115" s="193"/>
    </row>
    <row r="116" spans="4:9">
      <c r="D116" s="195"/>
      <c r="E116" s="195"/>
      <c r="F116" s="195"/>
      <c r="G116" s="195"/>
      <c r="H116" s="195"/>
      <c r="I116" s="195"/>
    </row>
    <row r="117" ht="15.75" spans="1:21">
      <c r="A117" s="222" t="s">
        <v>57</v>
      </c>
      <c r="B117" s="223"/>
      <c r="C117" s="223"/>
      <c r="D117" s="223"/>
      <c r="E117" s="223"/>
      <c r="F117" s="223"/>
      <c r="G117" s="223"/>
      <c r="H117" s="223"/>
      <c r="I117" s="223"/>
      <c r="J117" s="223"/>
      <c r="K117" s="223"/>
      <c r="L117" s="223"/>
      <c r="M117" s="223"/>
      <c r="N117" s="223"/>
      <c r="O117" s="223"/>
      <c r="P117" s="223"/>
      <c r="Q117" s="223"/>
      <c r="R117" s="223"/>
      <c r="S117" s="223"/>
      <c r="T117" s="223"/>
      <c r="U117" s="223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5"/>
  <sheetViews>
    <sheetView tabSelected="1" zoomScale="85" zoomScaleNormal="85" workbookViewId="0">
      <pane xSplit="1" ySplit="8" topLeftCell="B9" activePane="bottomRight" state="frozen"/>
      <selection/>
      <selection pane="topRight"/>
      <selection pane="bottomLeft"/>
      <selection pane="bottomRight" activeCell="E36" sqref="E36"/>
    </sheetView>
  </sheetViews>
  <sheetFormatPr defaultColWidth="8.85714285714286" defaultRowHeight="15"/>
  <cols>
    <col min="1" max="1" width="15.8571428571429" style="174" customWidth="1"/>
    <col min="2" max="2" width="14.1238095238095" customWidth="1"/>
    <col min="3" max="3" width="9.85714285714286" customWidth="1"/>
    <col min="4" max="4" width="10.2857142857143" customWidth="1"/>
    <col min="5" max="5" width="10.5714285714286" customWidth="1"/>
    <col min="7" max="7" width="10.7142857142857" customWidth="1"/>
    <col min="8" max="8" width="12.2857142857143" customWidth="1"/>
    <col min="9" max="9" width="10.4285714285714" customWidth="1"/>
    <col min="11" max="11" width="9.57142857142857" customWidth="1"/>
    <col min="12" max="12" width="10.4285714285714" customWidth="1"/>
    <col min="13" max="13" width="10" customWidth="1"/>
    <col min="17" max="17" width="9.71428571428571" customWidth="1"/>
    <col min="20" max="20" width="10.2857142857143" customWidth="1"/>
  </cols>
  <sheetData>
    <row r="1" s="2" customFormat="1" spans="1:21">
      <c r="A1" s="175" t="s">
        <v>0</v>
      </c>
      <c r="B1" s="176" t="s">
        <v>58</v>
      </c>
      <c r="C1" s="177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</row>
    <row r="2" s="2" customFormat="1" spans="1:21">
      <c r="A2" s="175" t="s">
        <v>2</v>
      </c>
      <c r="B2" s="179">
        <f>$A$9</f>
        <v>0</v>
      </c>
      <c r="C2"/>
      <c r="D2" s="65" t="s">
        <v>3</v>
      </c>
      <c r="E2" s="65"/>
      <c r="F2" s="65"/>
      <c r="G2" s="180" t="s">
        <v>4</v>
      </c>
      <c r="H2" s="181"/>
      <c r="I2" s="181"/>
      <c r="J2" s="181"/>
      <c r="K2" s="178"/>
      <c r="L2" s="65" t="s">
        <v>5</v>
      </c>
      <c r="M2" s="178"/>
      <c r="N2" s="198" t="s">
        <v>6</v>
      </c>
      <c r="P2" s="199" t="s">
        <v>7</v>
      </c>
      <c r="Q2" s="178"/>
      <c r="R2" s="205" t="s">
        <v>8</v>
      </c>
      <c r="S2"/>
      <c r="T2"/>
      <c r="U2"/>
    </row>
    <row r="3" s="2" customFormat="1" spans="1:21">
      <c r="A3" s="175" t="s">
        <v>9</v>
      </c>
      <c r="B3" s="178" t="s">
        <v>10</v>
      </c>
      <c r="C3"/>
      <c r="D3" s="65" t="s">
        <v>11</v>
      </c>
      <c r="E3" s="65"/>
      <c r="F3" s="65"/>
      <c r="G3" s="182" t="s">
        <v>12</v>
      </c>
      <c r="H3" s="181"/>
      <c r="I3" s="175"/>
      <c r="J3" s="181"/>
      <c r="K3"/>
      <c r="L3" s="65" t="s">
        <v>13</v>
      </c>
      <c r="M3" s="178"/>
      <c r="N3" s="200" t="s">
        <v>14</v>
      </c>
      <c r="O3" s="178"/>
      <c r="P3" s="201" t="s">
        <v>15</v>
      </c>
      <c r="Q3" s="178"/>
      <c r="R3" s="206" t="s">
        <v>15</v>
      </c>
      <c r="S3"/>
      <c r="T3"/>
      <c r="U3"/>
    </row>
    <row r="4" s="2" customFormat="1" spans="1:21">
      <c r="A4" s="175" t="s">
        <v>16</v>
      </c>
      <c r="B4" s="178" t="s">
        <v>59</v>
      </c>
      <c r="C4"/>
      <c r="D4" s="65" t="s">
        <v>18</v>
      </c>
      <c r="E4" s="65"/>
      <c r="F4" s="65"/>
      <c r="G4" s="183" t="s">
        <v>19</v>
      </c>
      <c r="H4" s="181"/>
      <c r="I4" s="175"/>
      <c r="J4" s="181"/>
      <c r="K4" s="202"/>
      <c r="L4" s="65" t="s">
        <v>20</v>
      </c>
      <c r="M4" s="178"/>
      <c r="N4" s="203" t="s">
        <v>21</v>
      </c>
      <c r="O4" s="178"/>
      <c r="P4" s="178"/>
      <c r="Q4" s="178"/>
      <c r="R4" s="178"/>
      <c r="S4"/>
      <c r="T4"/>
      <c r="U4"/>
    </row>
    <row r="5" s="2" customFormat="1" spans="1:21">
      <c r="A5" s="175"/>
      <c r="B5" s="178"/>
      <c r="C5" s="178"/>
      <c r="D5" s="178"/>
      <c r="E5" s="178"/>
      <c r="F5" s="178"/>
      <c r="G5" s="178"/>
      <c r="H5" s="184"/>
      <c r="I5" s="184"/>
      <c r="J5" s="184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</row>
    <row r="6" s="2" customFormat="1" spans="1:21">
      <c r="A6" s="175"/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/>
    </row>
    <row r="7" s="2" customFormat="1" spans="1:21">
      <c r="A7" s="185" t="s">
        <v>22</v>
      </c>
      <c r="B7" s="186" t="s">
        <v>23</v>
      </c>
      <c r="C7" s="186" t="s">
        <v>24</v>
      </c>
      <c r="D7" s="186" t="s">
        <v>25</v>
      </c>
      <c r="E7" s="186" t="s">
        <v>26</v>
      </c>
      <c r="F7" s="186" t="s">
        <v>27</v>
      </c>
      <c r="G7" s="186" t="s">
        <v>28</v>
      </c>
      <c r="H7" s="186" t="s">
        <v>29</v>
      </c>
      <c r="I7" s="186" t="s">
        <v>30</v>
      </c>
      <c r="J7" s="186" t="s">
        <v>31</v>
      </c>
      <c r="K7" s="186" t="s">
        <v>32</v>
      </c>
      <c r="L7" s="186" t="s">
        <v>33</v>
      </c>
      <c r="M7" s="186" t="s">
        <v>34</v>
      </c>
      <c r="N7" s="186" t="s">
        <v>35</v>
      </c>
      <c r="O7" s="186" t="s">
        <v>36</v>
      </c>
      <c r="P7" s="186" t="s">
        <v>37</v>
      </c>
      <c r="Q7" s="186" t="s">
        <v>38</v>
      </c>
      <c r="R7" s="207"/>
      <c r="S7" s="208"/>
      <c r="T7" s="207"/>
      <c r="U7" s="207"/>
    </row>
    <row r="8" s="2" customFormat="1" spans="1:21">
      <c r="A8" s="185"/>
      <c r="B8" s="187" t="s">
        <v>39</v>
      </c>
      <c r="C8" s="187" t="s">
        <v>39</v>
      </c>
      <c r="D8" s="187" t="s">
        <v>40</v>
      </c>
      <c r="E8" s="187" t="s">
        <v>39</v>
      </c>
      <c r="F8" s="187" t="s">
        <v>39</v>
      </c>
      <c r="G8" s="187" t="s">
        <v>39</v>
      </c>
      <c r="H8" s="187" t="s">
        <v>39</v>
      </c>
      <c r="I8" s="187" t="s">
        <v>39</v>
      </c>
      <c r="J8" s="187" t="s">
        <v>41</v>
      </c>
      <c r="K8" s="187" t="s">
        <v>42</v>
      </c>
      <c r="L8" s="204" t="s">
        <v>43</v>
      </c>
      <c r="M8" s="187" t="s">
        <v>44</v>
      </c>
      <c r="N8" s="187" t="s">
        <v>45</v>
      </c>
      <c r="O8" s="204" t="s">
        <v>46</v>
      </c>
      <c r="P8" s="187" t="s">
        <v>47</v>
      </c>
      <c r="Q8" s="144" t="s">
        <v>39</v>
      </c>
      <c r="R8" s="207"/>
      <c r="S8" s="208"/>
      <c r="T8" s="207"/>
      <c r="U8" s="207"/>
    </row>
    <row r="9" spans="1:21">
      <c r="A9" s="188">
        <f>'01'!$B$2</f>
        <v>0</v>
      </c>
      <c r="B9" s="121" t="e">
        <f>'01'!B108</f>
        <v>#DIV/0!</v>
      </c>
      <c r="C9" s="121" t="e">
        <f>'01'!C108</f>
        <v>#DIV/0!</v>
      </c>
      <c r="D9" s="121" t="e">
        <f>'01'!D108</f>
        <v>#DIV/0!</v>
      </c>
      <c r="E9" s="121" t="e">
        <f>'01'!E108</f>
        <v>#DIV/0!</v>
      </c>
      <c r="F9" s="121" t="e">
        <f>'01'!F108</f>
        <v>#DIV/0!</v>
      </c>
      <c r="G9" s="121" t="e">
        <f>'01'!G108</f>
        <v>#DIV/0!</v>
      </c>
      <c r="H9" s="121" t="e">
        <f>'01'!H108</f>
        <v>#DIV/0!</v>
      </c>
      <c r="I9" s="121" t="e">
        <f>'01'!I108</f>
        <v>#DIV/0!</v>
      </c>
      <c r="J9" s="121" t="e">
        <f>'01'!J108</f>
        <v>#DIV/0!</v>
      </c>
      <c r="K9" s="121" t="e">
        <f>'01'!K108</f>
        <v>#DIV/0!</v>
      </c>
      <c r="L9" s="121" t="e">
        <f>'01'!L108</f>
        <v>#DIV/0!</v>
      </c>
      <c r="M9" s="121" t="e">
        <f>'01'!M108</f>
        <v>#DIV/0!</v>
      </c>
      <c r="N9" s="121" t="e">
        <f>'01'!N108</f>
        <v>#DIV/0!</v>
      </c>
      <c r="O9" s="121" t="e">
        <f>'01'!O108</f>
        <v>#DIV/0!</v>
      </c>
      <c r="P9" s="121" t="e">
        <f>'01'!P108</f>
        <v>#DIV/0!</v>
      </c>
      <c r="Q9" s="121" t="e">
        <f>'01'!Q108</f>
        <v>#DIV/0!</v>
      </c>
      <c r="R9" s="191"/>
      <c r="S9" s="191"/>
      <c r="T9" s="191"/>
      <c r="U9" s="191"/>
    </row>
    <row r="10" spans="1:21">
      <c r="A10" s="188">
        <f>'02'!$B$2</f>
        <v>0</v>
      </c>
      <c r="B10" s="121" t="e">
        <f>'02'!B108</f>
        <v>#DIV/0!</v>
      </c>
      <c r="C10" s="121" t="e">
        <f>'02'!C108</f>
        <v>#DIV/0!</v>
      </c>
      <c r="D10" s="121" t="e">
        <f>'02'!D108</f>
        <v>#DIV/0!</v>
      </c>
      <c r="E10" s="121" t="e">
        <f>'02'!E108</f>
        <v>#DIV/0!</v>
      </c>
      <c r="F10" s="121" t="e">
        <f>'02'!F108</f>
        <v>#DIV/0!</v>
      </c>
      <c r="G10" s="121" t="e">
        <f>'02'!G108</f>
        <v>#DIV/0!</v>
      </c>
      <c r="H10" s="121" t="e">
        <f>'02'!H108</f>
        <v>#DIV/0!</v>
      </c>
      <c r="I10" s="121" t="e">
        <f>'02'!I108</f>
        <v>#DIV/0!</v>
      </c>
      <c r="J10" s="121" t="e">
        <f>'02'!J108</f>
        <v>#DIV/0!</v>
      </c>
      <c r="K10" s="121" t="e">
        <f>'02'!K108</f>
        <v>#DIV/0!</v>
      </c>
      <c r="L10" s="121" t="e">
        <f>'02'!L108</f>
        <v>#DIV/0!</v>
      </c>
      <c r="M10" s="121" t="e">
        <f>'02'!M108</f>
        <v>#DIV/0!</v>
      </c>
      <c r="N10" s="121" t="e">
        <f>'02'!N108</f>
        <v>#DIV/0!</v>
      </c>
      <c r="O10" s="121" t="e">
        <f>'02'!O108</f>
        <v>#DIV/0!</v>
      </c>
      <c r="P10" s="121" t="e">
        <f>'02'!P108</f>
        <v>#DIV/0!</v>
      </c>
      <c r="Q10" s="121" t="e">
        <f>'02'!Q108</f>
        <v>#DIV/0!</v>
      </c>
      <c r="R10" s="191"/>
      <c r="S10" s="191"/>
      <c r="T10" s="191"/>
      <c r="U10" s="191"/>
    </row>
    <row r="11" spans="1:21">
      <c r="A11" s="188">
        <f>'03'!$B$2</f>
        <v>0</v>
      </c>
      <c r="B11" s="121" t="e">
        <f>'03'!B108</f>
        <v>#DIV/0!</v>
      </c>
      <c r="C11" s="121" t="e">
        <f>'03'!C108</f>
        <v>#DIV/0!</v>
      </c>
      <c r="D11" s="121" t="e">
        <f>'03'!D108</f>
        <v>#DIV/0!</v>
      </c>
      <c r="E11" s="121" t="e">
        <f>'03'!E108</f>
        <v>#DIV/0!</v>
      </c>
      <c r="F11" s="121" t="e">
        <f>'03'!F108</f>
        <v>#DIV/0!</v>
      </c>
      <c r="G11" s="121" t="e">
        <f>'03'!G108</f>
        <v>#DIV/0!</v>
      </c>
      <c r="H11" s="121" t="e">
        <f>'03'!H108</f>
        <v>#DIV/0!</v>
      </c>
      <c r="I11" s="121" t="e">
        <f>'03'!I108</f>
        <v>#DIV/0!</v>
      </c>
      <c r="J11" s="121" t="e">
        <f>'03'!J108</f>
        <v>#DIV/0!</v>
      </c>
      <c r="K11" s="121" t="e">
        <f>'03'!K108</f>
        <v>#DIV/0!</v>
      </c>
      <c r="L11" s="121" t="e">
        <f>'03'!L108</f>
        <v>#DIV/0!</v>
      </c>
      <c r="M11" s="121" t="e">
        <f>'03'!M108</f>
        <v>#DIV/0!</v>
      </c>
      <c r="N11" s="121" t="e">
        <f>'03'!N108</f>
        <v>#DIV/0!</v>
      </c>
      <c r="O11" s="121" t="e">
        <f>'03'!O108</f>
        <v>#DIV/0!</v>
      </c>
      <c r="P11" s="121" t="e">
        <f>'03'!P108</f>
        <v>#DIV/0!</v>
      </c>
      <c r="Q11" s="121" t="e">
        <f>'03'!Q108</f>
        <v>#DIV/0!</v>
      </c>
      <c r="R11" s="191"/>
      <c r="S11" s="191"/>
      <c r="T11" s="191"/>
      <c r="U11" s="191"/>
    </row>
    <row r="12" spans="1:21">
      <c r="A12" s="188">
        <f>'04'!$B$2</f>
        <v>0</v>
      </c>
      <c r="B12" s="121" t="e">
        <f>'04'!B108</f>
        <v>#DIV/0!</v>
      </c>
      <c r="C12" s="121" t="e">
        <f>'04'!C108</f>
        <v>#DIV/0!</v>
      </c>
      <c r="D12" s="121" t="e">
        <f>'04'!D108</f>
        <v>#DIV/0!</v>
      </c>
      <c r="E12" s="121" t="e">
        <f>'04'!E108</f>
        <v>#DIV/0!</v>
      </c>
      <c r="F12" s="121" t="e">
        <f>'04'!F108</f>
        <v>#DIV/0!</v>
      </c>
      <c r="G12" s="121" t="e">
        <f>'04'!G108</f>
        <v>#DIV/0!</v>
      </c>
      <c r="H12" s="121" t="e">
        <f>'04'!H108</f>
        <v>#DIV/0!</v>
      </c>
      <c r="I12" s="121" t="e">
        <f>'04'!I108</f>
        <v>#DIV/0!</v>
      </c>
      <c r="J12" s="121" t="e">
        <f>'04'!J108</f>
        <v>#DIV/0!</v>
      </c>
      <c r="K12" s="121" t="e">
        <f>'04'!K108</f>
        <v>#DIV/0!</v>
      </c>
      <c r="L12" s="121" t="e">
        <f>'04'!L108</f>
        <v>#DIV/0!</v>
      </c>
      <c r="M12" s="121" t="e">
        <f>'04'!M108</f>
        <v>#DIV/0!</v>
      </c>
      <c r="N12" s="121" t="e">
        <f>'04'!N108</f>
        <v>#DIV/0!</v>
      </c>
      <c r="O12" s="121" t="e">
        <f>'04'!O108</f>
        <v>#DIV/0!</v>
      </c>
      <c r="P12" s="121" t="e">
        <f>'04'!P108</f>
        <v>#DIV/0!</v>
      </c>
      <c r="Q12" s="121" t="e">
        <f>'04'!Q108</f>
        <v>#DIV/0!</v>
      </c>
      <c r="R12" s="191"/>
      <c r="S12" s="191"/>
      <c r="T12" s="191"/>
      <c r="U12" s="191"/>
    </row>
    <row r="13" spans="1:21">
      <c r="A13" s="188">
        <f>'05'!$B$2</f>
        <v>0</v>
      </c>
      <c r="B13" s="121" t="e">
        <f>'05'!B108</f>
        <v>#DIV/0!</v>
      </c>
      <c r="C13" s="121" t="e">
        <f>'05'!C108</f>
        <v>#DIV/0!</v>
      </c>
      <c r="D13" s="121" t="e">
        <f>'05'!D108</f>
        <v>#DIV/0!</v>
      </c>
      <c r="E13" s="121" t="e">
        <f>'05'!E108</f>
        <v>#DIV/0!</v>
      </c>
      <c r="F13" s="121" t="e">
        <f>'05'!F108</f>
        <v>#DIV/0!</v>
      </c>
      <c r="G13" s="121" t="e">
        <f>'05'!G108</f>
        <v>#DIV/0!</v>
      </c>
      <c r="H13" s="121" t="e">
        <f>'05'!H108</f>
        <v>#DIV/0!</v>
      </c>
      <c r="I13" s="121" t="e">
        <f>'05'!I108</f>
        <v>#DIV/0!</v>
      </c>
      <c r="J13" s="121" t="e">
        <f>'05'!J108</f>
        <v>#DIV/0!</v>
      </c>
      <c r="K13" s="121" t="e">
        <f>'05'!K108</f>
        <v>#DIV/0!</v>
      </c>
      <c r="L13" s="121" t="e">
        <f>'05'!L108</f>
        <v>#DIV/0!</v>
      </c>
      <c r="M13" s="121" t="e">
        <f>'05'!M108</f>
        <v>#DIV/0!</v>
      </c>
      <c r="N13" s="121" t="e">
        <f>'05'!N108</f>
        <v>#DIV/0!</v>
      </c>
      <c r="O13" s="121" t="e">
        <f>'05'!O108</f>
        <v>#DIV/0!</v>
      </c>
      <c r="P13" s="121" t="e">
        <f>'05'!P108</f>
        <v>#DIV/0!</v>
      </c>
      <c r="Q13" s="121" t="e">
        <f>'05'!Q108</f>
        <v>#DIV/0!</v>
      </c>
      <c r="R13" s="191"/>
      <c r="S13" s="191"/>
      <c r="T13" s="191"/>
      <c r="U13" s="191"/>
    </row>
    <row r="14" spans="1:21">
      <c r="A14" s="188">
        <f>'06'!$B$2</f>
        <v>0</v>
      </c>
      <c r="B14" s="121" t="e">
        <f>'06'!B108</f>
        <v>#DIV/0!</v>
      </c>
      <c r="C14" s="121" t="e">
        <f>'06'!C108</f>
        <v>#DIV/0!</v>
      </c>
      <c r="D14" s="121" t="e">
        <f>'06'!D108</f>
        <v>#DIV/0!</v>
      </c>
      <c r="E14" s="121" t="e">
        <f>'06'!E108</f>
        <v>#DIV/0!</v>
      </c>
      <c r="F14" s="121" t="e">
        <f>'06'!F108</f>
        <v>#DIV/0!</v>
      </c>
      <c r="G14" s="121" t="e">
        <f>'06'!G108</f>
        <v>#DIV/0!</v>
      </c>
      <c r="H14" s="121" t="e">
        <f>'06'!H108</f>
        <v>#DIV/0!</v>
      </c>
      <c r="I14" s="121" t="e">
        <f>'06'!I108</f>
        <v>#DIV/0!</v>
      </c>
      <c r="J14" s="121" t="e">
        <f>'06'!J108</f>
        <v>#DIV/0!</v>
      </c>
      <c r="K14" s="121" t="e">
        <f>'06'!K108</f>
        <v>#DIV/0!</v>
      </c>
      <c r="L14" s="121" t="e">
        <f>'06'!L108</f>
        <v>#DIV/0!</v>
      </c>
      <c r="M14" s="121" t="e">
        <f>'06'!M108</f>
        <v>#DIV/0!</v>
      </c>
      <c r="N14" s="121" t="e">
        <f>'06'!N108</f>
        <v>#DIV/0!</v>
      </c>
      <c r="O14" s="121" t="e">
        <f>'06'!O108</f>
        <v>#DIV/0!</v>
      </c>
      <c r="P14" s="121" t="e">
        <f>'06'!P108</f>
        <v>#DIV/0!</v>
      </c>
      <c r="Q14" s="121" t="e">
        <f>'06'!Q108</f>
        <v>#DIV/0!</v>
      </c>
      <c r="R14" s="191"/>
      <c r="S14" s="191"/>
      <c r="T14" s="191"/>
      <c r="U14" s="191"/>
    </row>
    <row r="15" spans="1:21">
      <c r="A15" s="188">
        <f>'07'!$B$2</f>
        <v>0</v>
      </c>
      <c r="B15" s="121" t="e">
        <f>'07'!B108</f>
        <v>#DIV/0!</v>
      </c>
      <c r="C15" s="121" t="e">
        <f>'07'!C108</f>
        <v>#DIV/0!</v>
      </c>
      <c r="D15" s="121" t="e">
        <f>'07'!D108</f>
        <v>#DIV/0!</v>
      </c>
      <c r="E15" s="121" t="e">
        <f>'07'!E108</f>
        <v>#DIV/0!</v>
      </c>
      <c r="F15" s="121" t="e">
        <f>'07'!F108</f>
        <v>#DIV/0!</v>
      </c>
      <c r="G15" s="121" t="e">
        <f>'07'!G108</f>
        <v>#DIV/0!</v>
      </c>
      <c r="H15" s="121" t="e">
        <f>'07'!H108</f>
        <v>#DIV/0!</v>
      </c>
      <c r="I15" s="121" t="e">
        <f>'07'!I108</f>
        <v>#DIV/0!</v>
      </c>
      <c r="J15" s="121" t="e">
        <f>'07'!J108</f>
        <v>#DIV/0!</v>
      </c>
      <c r="K15" s="121" t="e">
        <f>'07'!K108</f>
        <v>#DIV/0!</v>
      </c>
      <c r="L15" s="121" t="e">
        <f>'07'!L108</f>
        <v>#DIV/0!</v>
      </c>
      <c r="M15" s="121" t="e">
        <f>'07'!M108</f>
        <v>#DIV/0!</v>
      </c>
      <c r="N15" s="121" t="e">
        <f>'07'!N108</f>
        <v>#DIV/0!</v>
      </c>
      <c r="O15" s="121" t="e">
        <f>'07'!O108</f>
        <v>#DIV/0!</v>
      </c>
      <c r="P15" s="121" t="e">
        <f>'07'!P108</f>
        <v>#DIV/0!</v>
      </c>
      <c r="Q15" s="121" t="e">
        <f>'07'!Q108</f>
        <v>#DIV/0!</v>
      </c>
      <c r="R15" s="191"/>
      <c r="S15" s="191"/>
      <c r="T15" s="191"/>
      <c r="U15" s="191"/>
    </row>
    <row r="16" spans="1:21">
      <c r="A16" s="188">
        <f>'08'!$B$2</f>
        <v>0</v>
      </c>
      <c r="B16" s="121" t="e">
        <f>'08'!B108</f>
        <v>#DIV/0!</v>
      </c>
      <c r="C16" s="121" t="e">
        <f>'08'!C108</f>
        <v>#DIV/0!</v>
      </c>
      <c r="D16" s="121" t="e">
        <f>'08'!D108</f>
        <v>#DIV/0!</v>
      </c>
      <c r="E16" s="121" t="e">
        <f>'08'!E108</f>
        <v>#DIV/0!</v>
      </c>
      <c r="F16" s="121" t="e">
        <f>'08'!F108</f>
        <v>#DIV/0!</v>
      </c>
      <c r="G16" s="121" t="e">
        <f>'08'!G108</f>
        <v>#DIV/0!</v>
      </c>
      <c r="H16" s="121" t="e">
        <f>'08'!H108</f>
        <v>#DIV/0!</v>
      </c>
      <c r="I16" s="121" t="e">
        <f>'08'!I108</f>
        <v>#DIV/0!</v>
      </c>
      <c r="J16" s="121" t="e">
        <f>'08'!J108</f>
        <v>#DIV/0!</v>
      </c>
      <c r="K16" s="121" t="e">
        <f>'08'!K108</f>
        <v>#DIV/0!</v>
      </c>
      <c r="L16" s="121" t="e">
        <f>'08'!L108</f>
        <v>#DIV/0!</v>
      </c>
      <c r="M16" s="121" t="e">
        <f>'08'!M108</f>
        <v>#DIV/0!</v>
      </c>
      <c r="N16" s="121" t="e">
        <f>'08'!N108</f>
        <v>#DIV/0!</v>
      </c>
      <c r="O16" s="121" t="e">
        <f>'08'!O108</f>
        <v>#DIV/0!</v>
      </c>
      <c r="P16" s="121" t="e">
        <f>'08'!P108</f>
        <v>#DIV/0!</v>
      </c>
      <c r="Q16" s="121" t="e">
        <f>'08'!Q108</f>
        <v>#DIV/0!</v>
      </c>
      <c r="R16" s="191"/>
      <c r="S16" s="191"/>
      <c r="T16" s="191"/>
      <c r="U16" s="191"/>
    </row>
    <row r="17" spans="1:21">
      <c r="A17" s="188">
        <f>'09'!$B$2</f>
        <v>0</v>
      </c>
      <c r="B17" s="121" t="e">
        <f>'09'!B108</f>
        <v>#DIV/0!</v>
      </c>
      <c r="C17" s="121" t="e">
        <f>'09'!C108</f>
        <v>#DIV/0!</v>
      </c>
      <c r="D17" s="121" t="e">
        <f>'09'!D108</f>
        <v>#DIV/0!</v>
      </c>
      <c r="E17" s="121" t="e">
        <f>'09'!E108</f>
        <v>#DIV/0!</v>
      </c>
      <c r="F17" s="121" t="e">
        <f>'09'!F108</f>
        <v>#DIV/0!</v>
      </c>
      <c r="G17" s="121" t="e">
        <f>'09'!G108</f>
        <v>#DIV/0!</v>
      </c>
      <c r="H17" s="121" t="e">
        <f>'09'!H108</f>
        <v>#DIV/0!</v>
      </c>
      <c r="I17" s="121" t="e">
        <f>'09'!I108</f>
        <v>#DIV/0!</v>
      </c>
      <c r="J17" s="121" t="e">
        <f>'09'!J108</f>
        <v>#DIV/0!</v>
      </c>
      <c r="K17" s="121" t="e">
        <f>'09'!K108</f>
        <v>#DIV/0!</v>
      </c>
      <c r="L17" s="121" t="e">
        <f>'09'!L108</f>
        <v>#DIV/0!</v>
      </c>
      <c r="M17" s="121" t="e">
        <f>'09'!M108</f>
        <v>#DIV/0!</v>
      </c>
      <c r="N17" s="121" t="e">
        <f>'09'!N108</f>
        <v>#DIV/0!</v>
      </c>
      <c r="O17" s="121" t="e">
        <f>'09'!O108</f>
        <v>#DIV/0!</v>
      </c>
      <c r="P17" s="121" t="e">
        <f>'09'!P108</f>
        <v>#DIV/0!</v>
      </c>
      <c r="Q17" s="121" t="e">
        <f>'09'!Q108</f>
        <v>#DIV/0!</v>
      </c>
      <c r="R17" s="191"/>
      <c r="S17" s="191"/>
      <c r="T17" s="191"/>
      <c r="U17" s="191"/>
    </row>
    <row r="18" spans="1:21">
      <c r="A18" s="188">
        <f>'10'!$B$2</f>
        <v>0</v>
      </c>
      <c r="B18" s="121" t="e">
        <f>'10'!B108</f>
        <v>#DIV/0!</v>
      </c>
      <c r="C18" s="121" t="e">
        <f>'10'!C108</f>
        <v>#DIV/0!</v>
      </c>
      <c r="D18" s="121" t="e">
        <f>'10'!D108</f>
        <v>#DIV/0!</v>
      </c>
      <c r="E18" s="121" t="e">
        <f>'10'!E108</f>
        <v>#DIV/0!</v>
      </c>
      <c r="F18" s="121" t="e">
        <f>'10'!F108</f>
        <v>#DIV/0!</v>
      </c>
      <c r="G18" s="121" t="e">
        <f>'10'!G108</f>
        <v>#DIV/0!</v>
      </c>
      <c r="H18" s="121" t="e">
        <f>'10'!H108</f>
        <v>#DIV/0!</v>
      </c>
      <c r="I18" s="121" t="e">
        <f>'10'!I108</f>
        <v>#DIV/0!</v>
      </c>
      <c r="J18" s="121" t="e">
        <f>'10'!J108</f>
        <v>#DIV/0!</v>
      </c>
      <c r="K18" s="121" t="e">
        <f>'10'!K108</f>
        <v>#DIV/0!</v>
      </c>
      <c r="L18" s="121" t="e">
        <f>'10'!L108</f>
        <v>#DIV/0!</v>
      </c>
      <c r="M18" s="121" t="e">
        <f>'10'!M108</f>
        <v>#DIV/0!</v>
      </c>
      <c r="N18" s="121" t="e">
        <f>'10'!N108</f>
        <v>#DIV/0!</v>
      </c>
      <c r="O18" s="121" t="e">
        <f>'10'!O108</f>
        <v>#DIV/0!</v>
      </c>
      <c r="P18" s="121" t="e">
        <f>'10'!P108</f>
        <v>#DIV/0!</v>
      </c>
      <c r="Q18" s="121" t="e">
        <f>'10'!Q108</f>
        <v>#DIV/0!</v>
      </c>
      <c r="R18" s="191"/>
      <c r="S18" s="191"/>
      <c r="T18" s="191"/>
      <c r="U18" s="191"/>
    </row>
    <row r="19" spans="1:21">
      <c r="A19" s="188">
        <f>'11'!$B$2</f>
        <v>0</v>
      </c>
      <c r="B19" s="121" t="e">
        <f>'11'!B108</f>
        <v>#DIV/0!</v>
      </c>
      <c r="C19" s="121" t="e">
        <f>'11'!C108</f>
        <v>#DIV/0!</v>
      </c>
      <c r="D19" s="121" t="e">
        <f>'11'!D108</f>
        <v>#DIV/0!</v>
      </c>
      <c r="E19" s="121" t="e">
        <f>'11'!E108</f>
        <v>#DIV/0!</v>
      </c>
      <c r="F19" s="121" t="e">
        <f>'11'!F108</f>
        <v>#DIV/0!</v>
      </c>
      <c r="G19" s="121" t="e">
        <f>'11'!G108</f>
        <v>#DIV/0!</v>
      </c>
      <c r="H19" s="121" t="e">
        <f>'11'!H108</f>
        <v>#DIV/0!</v>
      </c>
      <c r="I19" s="121" t="e">
        <f>'11'!I108</f>
        <v>#DIV/0!</v>
      </c>
      <c r="J19" s="121" t="e">
        <f>'11'!J108</f>
        <v>#DIV/0!</v>
      </c>
      <c r="K19" s="121" t="e">
        <f>'11'!K108</f>
        <v>#DIV/0!</v>
      </c>
      <c r="L19" s="121" t="e">
        <f>'11'!L108</f>
        <v>#DIV/0!</v>
      </c>
      <c r="M19" s="121" t="e">
        <f>'11'!M108</f>
        <v>#DIV/0!</v>
      </c>
      <c r="N19" s="121" t="e">
        <f>'11'!N108</f>
        <v>#DIV/0!</v>
      </c>
      <c r="O19" s="121" t="e">
        <f>'11'!O108</f>
        <v>#DIV/0!</v>
      </c>
      <c r="P19" s="121" t="e">
        <f>'11'!P108</f>
        <v>#DIV/0!</v>
      </c>
      <c r="Q19" s="121" t="e">
        <f>'11'!Q108</f>
        <v>#DIV/0!</v>
      </c>
      <c r="R19" s="191"/>
      <c r="S19" s="191"/>
      <c r="T19" s="191"/>
      <c r="U19" s="191"/>
    </row>
    <row r="20" spans="1:21">
      <c r="A20" s="188">
        <f>'12'!$B$2</f>
        <v>0</v>
      </c>
      <c r="B20" s="121" t="e">
        <f>'12'!B108</f>
        <v>#DIV/0!</v>
      </c>
      <c r="C20" s="121" t="e">
        <f>'12'!C108</f>
        <v>#DIV/0!</v>
      </c>
      <c r="D20" s="121" t="e">
        <f>'12'!D108</f>
        <v>#DIV/0!</v>
      </c>
      <c r="E20" s="121" t="e">
        <f>'12'!E108</f>
        <v>#DIV/0!</v>
      </c>
      <c r="F20" s="121" t="e">
        <f>'12'!F108</f>
        <v>#DIV/0!</v>
      </c>
      <c r="G20" s="121" t="e">
        <f>'12'!G108</f>
        <v>#DIV/0!</v>
      </c>
      <c r="H20" s="121" t="e">
        <f>'12'!H108</f>
        <v>#DIV/0!</v>
      </c>
      <c r="I20" s="121" t="e">
        <f>'12'!I108</f>
        <v>#DIV/0!</v>
      </c>
      <c r="J20" s="121" t="e">
        <f>'12'!J108</f>
        <v>#DIV/0!</v>
      </c>
      <c r="K20" s="121" t="e">
        <f>'12'!K108</f>
        <v>#DIV/0!</v>
      </c>
      <c r="L20" s="121" t="e">
        <f>'12'!L108</f>
        <v>#DIV/0!</v>
      </c>
      <c r="M20" s="121" t="e">
        <f>'12'!M108</f>
        <v>#DIV/0!</v>
      </c>
      <c r="N20" s="121" t="e">
        <f>'12'!N108</f>
        <v>#DIV/0!</v>
      </c>
      <c r="O20" s="121" t="e">
        <f>'12'!O108</f>
        <v>#DIV/0!</v>
      </c>
      <c r="P20" s="121" t="e">
        <f>'12'!P108</f>
        <v>#DIV/0!</v>
      </c>
      <c r="Q20" s="121" t="e">
        <f>'12'!Q108</f>
        <v>#DIV/0!</v>
      </c>
      <c r="R20" s="191"/>
      <c r="S20" s="191"/>
      <c r="T20" s="191"/>
      <c r="U20" s="191"/>
    </row>
    <row r="21" s="173" customFormat="1" spans="1:21">
      <c r="A21" s="188">
        <f>'13'!$B$2</f>
        <v>0</v>
      </c>
      <c r="B21" s="189" t="e">
        <f>'13'!B108</f>
        <v>#DIV/0!</v>
      </c>
      <c r="C21" s="189" t="e">
        <f>'13'!C108</f>
        <v>#DIV/0!</v>
      </c>
      <c r="D21" s="189" t="e">
        <f>'13'!D108</f>
        <v>#DIV/0!</v>
      </c>
      <c r="E21" s="189" t="e">
        <f>'13'!E108</f>
        <v>#DIV/0!</v>
      </c>
      <c r="F21" s="189" t="e">
        <f>'13'!F108</f>
        <v>#DIV/0!</v>
      </c>
      <c r="G21" s="189" t="e">
        <f>'13'!G108</f>
        <v>#DIV/0!</v>
      </c>
      <c r="H21" s="189" t="e">
        <f>'13'!H108</f>
        <v>#DIV/0!</v>
      </c>
      <c r="I21" s="189" t="e">
        <f>'13'!I108</f>
        <v>#DIV/0!</v>
      </c>
      <c r="J21" s="189" t="e">
        <f>'13'!J108</f>
        <v>#DIV/0!</v>
      </c>
      <c r="K21" s="189" t="e">
        <f>'13'!K108</f>
        <v>#DIV/0!</v>
      </c>
      <c r="L21" s="189" t="e">
        <f>'13'!L108</f>
        <v>#DIV/0!</v>
      </c>
      <c r="M21" s="189" t="e">
        <f>'13'!M108</f>
        <v>#DIV/0!</v>
      </c>
      <c r="N21" s="189" t="e">
        <f>'13'!N108</f>
        <v>#DIV/0!</v>
      </c>
      <c r="O21" s="189" t="e">
        <f>'13'!O108</f>
        <v>#DIV/0!</v>
      </c>
      <c r="P21" s="189" t="e">
        <f>'13'!P108</f>
        <v>#DIV/0!</v>
      </c>
      <c r="Q21" s="189" t="e">
        <f>'13'!Q108</f>
        <v>#DIV/0!</v>
      </c>
      <c r="R21" s="209"/>
      <c r="S21" s="209"/>
      <c r="T21" s="209"/>
      <c r="U21" s="209"/>
    </row>
    <row r="22" s="173" customFormat="1" spans="1:21">
      <c r="A22" s="188">
        <f>'14'!$B$2</f>
        <v>0</v>
      </c>
      <c r="B22" s="190" t="e">
        <f>'14'!B108</f>
        <v>#DIV/0!</v>
      </c>
      <c r="C22" s="190" t="e">
        <f>'14'!C108</f>
        <v>#DIV/0!</v>
      </c>
      <c r="D22" s="190" t="e">
        <f>'14'!D108</f>
        <v>#DIV/0!</v>
      </c>
      <c r="E22" s="190" t="e">
        <f>'14'!E108</f>
        <v>#DIV/0!</v>
      </c>
      <c r="F22" s="190" t="e">
        <f>'14'!F108</f>
        <v>#DIV/0!</v>
      </c>
      <c r="G22" s="190" t="e">
        <f>'14'!G108</f>
        <v>#DIV/0!</v>
      </c>
      <c r="H22" s="190" t="e">
        <f>'14'!H108</f>
        <v>#DIV/0!</v>
      </c>
      <c r="I22" s="190" t="e">
        <f>'14'!I108</f>
        <v>#DIV/0!</v>
      </c>
      <c r="J22" s="190" t="e">
        <f>'14'!J108</f>
        <v>#DIV/0!</v>
      </c>
      <c r="K22" s="190" t="e">
        <f>'14'!K108</f>
        <v>#DIV/0!</v>
      </c>
      <c r="L22" s="190" t="e">
        <f>'14'!L108</f>
        <v>#DIV/0!</v>
      </c>
      <c r="M22" s="190" t="e">
        <f>'14'!M108</f>
        <v>#DIV/0!</v>
      </c>
      <c r="N22" s="190" t="e">
        <f>'14'!N108</f>
        <v>#DIV/0!</v>
      </c>
      <c r="O22" s="190" t="e">
        <f>'14'!O108</f>
        <v>#DIV/0!</v>
      </c>
      <c r="P22" s="190" t="e">
        <f>'14'!P108</f>
        <v>#DIV/0!</v>
      </c>
      <c r="Q22" s="190" t="e">
        <f>'14'!Q108</f>
        <v>#DIV/0!</v>
      </c>
      <c r="R22" s="210"/>
      <c r="S22" s="210"/>
      <c r="T22" s="210"/>
      <c r="U22" s="210"/>
    </row>
    <row r="23" spans="1:21">
      <c r="A23" s="188">
        <f>'15'!$B$2</f>
        <v>0</v>
      </c>
      <c r="B23" s="121" t="e">
        <f>'15'!B108</f>
        <v>#DIV/0!</v>
      </c>
      <c r="C23" s="121" t="e">
        <f>'15'!C108</f>
        <v>#DIV/0!</v>
      </c>
      <c r="D23" s="121" t="e">
        <f>'15'!D108</f>
        <v>#DIV/0!</v>
      </c>
      <c r="E23" s="121" t="e">
        <f>'15'!E108</f>
        <v>#DIV/0!</v>
      </c>
      <c r="F23" s="121" t="e">
        <f>'15'!F108</f>
        <v>#DIV/0!</v>
      </c>
      <c r="G23" s="121" t="e">
        <f>'15'!G108</f>
        <v>#DIV/0!</v>
      </c>
      <c r="H23" s="121" t="e">
        <f>'15'!H108</f>
        <v>#DIV/0!</v>
      </c>
      <c r="I23" s="121" t="e">
        <f>'15'!I108</f>
        <v>#DIV/0!</v>
      </c>
      <c r="J23" s="121" t="e">
        <f>'15'!J108</f>
        <v>#DIV/0!</v>
      </c>
      <c r="K23" s="121" t="e">
        <f>'15'!K108</f>
        <v>#DIV/0!</v>
      </c>
      <c r="L23" s="121" t="e">
        <f>'15'!L108</f>
        <v>#DIV/0!</v>
      </c>
      <c r="M23" s="121" t="e">
        <f>'15'!M108</f>
        <v>#DIV/0!</v>
      </c>
      <c r="N23" s="121" t="e">
        <f>'15'!N108</f>
        <v>#DIV/0!</v>
      </c>
      <c r="O23" s="121" t="e">
        <f>'15'!O108</f>
        <v>#DIV/0!</v>
      </c>
      <c r="P23" s="121" t="e">
        <f>'15'!P108</f>
        <v>#DIV/0!</v>
      </c>
      <c r="Q23" s="121" t="e">
        <f>'15'!Q108</f>
        <v>#DIV/0!</v>
      </c>
      <c r="R23" s="191"/>
      <c r="S23" s="191"/>
      <c r="T23" s="191"/>
      <c r="U23" s="191"/>
    </row>
    <row r="24" spans="1:21">
      <c r="A24" s="188">
        <f>'16'!$B$2</f>
        <v>0</v>
      </c>
      <c r="B24" s="121" t="e">
        <f>'16'!B108</f>
        <v>#DIV/0!</v>
      </c>
      <c r="C24" s="121" t="e">
        <f>'16'!C108</f>
        <v>#DIV/0!</v>
      </c>
      <c r="D24" s="121" t="e">
        <f>'16'!D108</f>
        <v>#DIV/0!</v>
      </c>
      <c r="E24" s="121" t="e">
        <f>'16'!E108</f>
        <v>#DIV/0!</v>
      </c>
      <c r="F24" s="121" t="e">
        <f>'16'!F108</f>
        <v>#DIV/0!</v>
      </c>
      <c r="G24" s="121" t="e">
        <f>'16'!G108</f>
        <v>#DIV/0!</v>
      </c>
      <c r="H24" s="121" t="e">
        <f>'16'!H108</f>
        <v>#DIV/0!</v>
      </c>
      <c r="I24" s="121" t="e">
        <f>'16'!I108</f>
        <v>#DIV/0!</v>
      </c>
      <c r="J24" s="121" t="e">
        <f>'16'!J108</f>
        <v>#DIV/0!</v>
      </c>
      <c r="K24" s="121" t="e">
        <f>'16'!K108</f>
        <v>#DIV/0!</v>
      </c>
      <c r="L24" s="121" t="e">
        <f>'16'!L108</f>
        <v>#DIV/0!</v>
      </c>
      <c r="M24" s="121" t="e">
        <f>'16'!M108</f>
        <v>#DIV/0!</v>
      </c>
      <c r="N24" s="121" t="e">
        <f>'16'!N108</f>
        <v>#DIV/0!</v>
      </c>
      <c r="O24" s="121" t="e">
        <f>'16'!O108</f>
        <v>#DIV/0!</v>
      </c>
      <c r="P24" s="121" t="e">
        <f>'16'!P108</f>
        <v>#DIV/0!</v>
      </c>
      <c r="Q24" s="121" t="e">
        <f>'16'!Q108</f>
        <v>#DIV/0!</v>
      </c>
      <c r="R24" s="191"/>
      <c r="S24" s="191"/>
      <c r="T24" s="191"/>
      <c r="U24" s="191"/>
    </row>
    <row r="25" spans="1:21">
      <c r="A25" s="188">
        <f>'17'!$B$2</f>
        <v>0</v>
      </c>
      <c r="B25" s="121" t="e">
        <f>'17'!B108</f>
        <v>#DIV/0!</v>
      </c>
      <c r="C25" s="121" t="e">
        <f>'17'!C108</f>
        <v>#DIV/0!</v>
      </c>
      <c r="D25" s="121" t="e">
        <f>'17'!D108</f>
        <v>#DIV/0!</v>
      </c>
      <c r="E25" s="121" t="e">
        <f>'17'!E108</f>
        <v>#DIV/0!</v>
      </c>
      <c r="F25" s="121" t="e">
        <f>'17'!F108</f>
        <v>#DIV/0!</v>
      </c>
      <c r="G25" s="121" t="e">
        <f>'17'!G108</f>
        <v>#DIV/0!</v>
      </c>
      <c r="H25" s="121" t="e">
        <f>'17'!H108</f>
        <v>#DIV/0!</v>
      </c>
      <c r="I25" s="121" t="e">
        <f>'17'!I108</f>
        <v>#DIV/0!</v>
      </c>
      <c r="J25" s="121" t="e">
        <f>'17'!J108</f>
        <v>#DIV/0!</v>
      </c>
      <c r="K25" s="121" t="e">
        <f>'17'!K108</f>
        <v>#DIV/0!</v>
      </c>
      <c r="L25" s="121" t="e">
        <f>'17'!L108</f>
        <v>#DIV/0!</v>
      </c>
      <c r="M25" s="121" t="e">
        <f>'17'!M108</f>
        <v>#DIV/0!</v>
      </c>
      <c r="N25" s="121" t="e">
        <f>'17'!N108</f>
        <v>#DIV/0!</v>
      </c>
      <c r="O25" s="121" t="e">
        <f>'17'!O108</f>
        <v>#DIV/0!</v>
      </c>
      <c r="P25" s="121" t="e">
        <f>'17'!P108</f>
        <v>#DIV/0!</v>
      </c>
      <c r="Q25" s="121" t="e">
        <f>'17'!Q108</f>
        <v>#DIV/0!</v>
      </c>
      <c r="R25" s="191"/>
      <c r="S25" s="191"/>
      <c r="T25" s="191"/>
      <c r="U25" s="191"/>
    </row>
    <row r="26" spans="1:21">
      <c r="A26" s="188">
        <f>'18'!$B$2</f>
        <v>0</v>
      </c>
      <c r="B26" s="121" t="e">
        <f>'18'!B108</f>
        <v>#DIV/0!</v>
      </c>
      <c r="C26" s="121" t="e">
        <f>'18'!C108</f>
        <v>#DIV/0!</v>
      </c>
      <c r="D26" s="121" t="e">
        <f>'18'!D108</f>
        <v>#DIV/0!</v>
      </c>
      <c r="E26" s="121" t="e">
        <f>'18'!E108</f>
        <v>#DIV/0!</v>
      </c>
      <c r="F26" s="121" t="e">
        <f>'18'!F108</f>
        <v>#DIV/0!</v>
      </c>
      <c r="G26" s="121" t="e">
        <f>'18'!G108</f>
        <v>#DIV/0!</v>
      </c>
      <c r="H26" s="121" t="e">
        <f>'18'!H108</f>
        <v>#DIV/0!</v>
      </c>
      <c r="I26" s="121" t="e">
        <f>'18'!I108</f>
        <v>#DIV/0!</v>
      </c>
      <c r="J26" s="121" t="e">
        <f>'18'!J108</f>
        <v>#DIV/0!</v>
      </c>
      <c r="K26" s="121" t="e">
        <f>'18'!K108</f>
        <v>#DIV/0!</v>
      </c>
      <c r="L26" s="121" t="e">
        <f>'18'!L108</f>
        <v>#DIV/0!</v>
      </c>
      <c r="M26" s="121" t="e">
        <f>'18'!M108</f>
        <v>#DIV/0!</v>
      </c>
      <c r="N26" s="121" t="e">
        <f>'18'!N108</f>
        <v>#DIV/0!</v>
      </c>
      <c r="O26" s="121" t="e">
        <f>'18'!O108</f>
        <v>#DIV/0!</v>
      </c>
      <c r="P26" s="121" t="e">
        <f>'18'!P108</f>
        <v>#DIV/0!</v>
      </c>
      <c r="Q26" s="121" t="e">
        <f>'18'!Q108</f>
        <v>#DIV/0!</v>
      </c>
      <c r="R26" s="191"/>
      <c r="S26" s="191"/>
      <c r="T26" s="191"/>
      <c r="U26" s="191"/>
    </row>
    <row r="27" spans="1:21">
      <c r="A27" s="188">
        <f>'19'!$B$2</f>
        <v>0</v>
      </c>
      <c r="B27" s="121" t="e">
        <f>'19'!B108</f>
        <v>#DIV/0!</v>
      </c>
      <c r="C27" s="121" t="e">
        <f>'19'!C108</f>
        <v>#DIV/0!</v>
      </c>
      <c r="D27" s="121" t="e">
        <f>'19'!D108</f>
        <v>#DIV/0!</v>
      </c>
      <c r="E27" s="121" t="e">
        <f>'19'!E108</f>
        <v>#DIV/0!</v>
      </c>
      <c r="F27" s="121" t="e">
        <f>'19'!F108</f>
        <v>#DIV/0!</v>
      </c>
      <c r="G27" s="121" t="e">
        <f>'19'!G108</f>
        <v>#DIV/0!</v>
      </c>
      <c r="H27" s="121" t="e">
        <f>'19'!H108</f>
        <v>#DIV/0!</v>
      </c>
      <c r="I27" s="121" t="e">
        <f>'19'!I108</f>
        <v>#DIV/0!</v>
      </c>
      <c r="J27" s="121" t="e">
        <f>'19'!J108</f>
        <v>#DIV/0!</v>
      </c>
      <c r="K27" s="121" t="e">
        <f>'19'!K108</f>
        <v>#DIV/0!</v>
      </c>
      <c r="L27" s="121" t="e">
        <f>'19'!L108</f>
        <v>#DIV/0!</v>
      </c>
      <c r="M27" s="121" t="e">
        <f>'19'!M108</f>
        <v>#DIV/0!</v>
      </c>
      <c r="N27" s="121" t="e">
        <f>'19'!N108</f>
        <v>#DIV/0!</v>
      </c>
      <c r="O27" s="121" t="e">
        <f>'19'!O108</f>
        <v>#DIV/0!</v>
      </c>
      <c r="P27" s="121" t="e">
        <f>'19'!P108</f>
        <v>#DIV/0!</v>
      </c>
      <c r="Q27" s="121" t="e">
        <f>'19'!Q108</f>
        <v>#DIV/0!</v>
      </c>
      <c r="R27" s="191"/>
      <c r="S27" s="191"/>
      <c r="T27" s="191"/>
      <c r="U27" s="191"/>
    </row>
    <row r="28" spans="1:21">
      <c r="A28" s="188">
        <f>'20'!$B$2</f>
        <v>0</v>
      </c>
      <c r="B28" s="121" t="e">
        <f>'20'!B108</f>
        <v>#DIV/0!</v>
      </c>
      <c r="C28" s="121" t="e">
        <f>'20'!C108</f>
        <v>#DIV/0!</v>
      </c>
      <c r="D28" s="121" t="e">
        <f>'20'!D108</f>
        <v>#DIV/0!</v>
      </c>
      <c r="E28" s="121" t="e">
        <f>'20'!E108</f>
        <v>#DIV/0!</v>
      </c>
      <c r="F28" s="121" t="e">
        <f>'20'!F108</f>
        <v>#DIV/0!</v>
      </c>
      <c r="G28" s="121" t="e">
        <f>'20'!G108</f>
        <v>#DIV/0!</v>
      </c>
      <c r="H28" s="121" t="e">
        <f>'20'!H108</f>
        <v>#DIV/0!</v>
      </c>
      <c r="I28" s="121" t="e">
        <f>'20'!I108</f>
        <v>#DIV/0!</v>
      </c>
      <c r="J28" s="121" t="e">
        <f>'20'!J108</f>
        <v>#DIV/0!</v>
      </c>
      <c r="K28" s="121" t="e">
        <f>'20'!K108</f>
        <v>#DIV/0!</v>
      </c>
      <c r="L28" s="121" t="e">
        <f>'20'!L108</f>
        <v>#DIV/0!</v>
      </c>
      <c r="M28" s="121" t="e">
        <f>'20'!M108</f>
        <v>#DIV/0!</v>
      </c>
      <c r="N28" s="121" t="e">
        <f>'20'!N108</f>
        <v>#DIV/0!</v>
      </c>
      <c r="O28" s="121" t="e">
        <f>'20'!O108</f>
        <v>#DIV/0!</v>
      </c>
      <c r="P28" s="121" t="e">
        <f>'20'!P108</f>
        <v>#DIV/0!</v>
      </c>
      <c r="Q28" s="121" t="e">
        <f>'20'!Q108</f>
        <v>#DIV/0!</v>
      </c>
      <c r="R28" s="191"/>
      <c r="S28" s="191"/>
      <c r="T28" s="191"/>
      <c r="U28" s="191"/>
    </row>
    <row r="29" spans="1:21">
      <c r="A29" s="188">
        <f>'21'!$B$2</f>
        <v>0</v>
      </c>
      <c r="B29" s="121" t="e">
        <f>'21'!B108</f>
        <v>#DIV/0!</v>
      </c>
      <c r="C29" s="121" t="e">
        <f>'21'!C108</f>
        <v>#DIV/0!</v>
      </c>
      <c r="D29" s="121" t="e">
        <f>'21'!D108</f>
        <v>#DIV/0!</v>
      </c>
      <c r="E29" s="121" t="e">
        <f>'21'!E108</f>
        <v>#DIV/0!</v>
      </c>
      <c r="F29" s="121" t="e">
        <f>'21'!F108</f>
        <v>#DIV/0!</v>
      </c>
      <c r="G29" s="121" t="e">
        <f>'21'!G108</f>
        <v>#DIV/0!</v>
      </c>
      <c r="H29" s="121" t="e">
        <f>'21'!H108</f>
        <v>#DIV/0!</v>
      </c>
      <c r="I29" s="121" t="e">
        <f>'21'!I108</f>
        <v>#DIV/0!</v>
      </c>
      <c r="J29" s="121" t="e">
        <f>'21'!J108</f>
        <v>#DIV/0!</v>
      </c>
      <c r="K29" s="121" t="e">
        <f>'21'!K108</f>
        <v>#DIV/0!</v>
      </c>
      <c r="L29" s="121" t="e">
        <f>'21'!L108</f>
        <v>#DIV/0!</v>
      </c>
      <c r="M29" s="121" t="e">
        <f>'21'!M108</f>
        <v>#DIV/0!</v>
      </c>
      <c r="N29" s="121" t="e">
        <f>'21'!N108</f>
        <v>#DIV/0!</v>
      </c>
      <c r="O29" s="121" t="e">
        <f>'21'!O108</f>
        <v>#DIV/0!</v>
      </c>
      <c r="P29" s="121" t="e">
        <f>'21'!P108</f>
        <v>#DIV/0!</v>
      </c>
      <c r="Q29" s="121" t="e">
        <f>'21'!Q108</f>
        <v>#DIV/0!</v>
      </c>
      <c r="R29" s="191"/>
      <c r="S29" s="191"/>
      <c r="T29" s="191"/>
      <c r="U29" s="191"/>
    </row>
    <row r="30" spans="1:21">
      <c r="A30" s="188">
        <f>'22'!$B$2</f>
        <v>0</v>
      </c>
      <c r="B30" s="121" t="e">
        <f>'22'!B108</f>
        <v>#DIV/0!</v>
      </c>
      <c r="C30" s="121" t="e">
        <f>'22'!C108</f>
        <v>#DIV/0!</v>
      </c>
      <c r="D30" s="121" t="e">
        <f>'22'!D108</f>
        <v>#DIV/0!</v>
      </c>
      <c r="E30" s="121" t="e">
        <f>'22'!E108</f>
        <v>#DIV/0!</v>
      </c>
      <c r="F30" s="121" t="e">
        <f>'22'!F108</f>
        <v>#DIV/0!</v>
      </c>
      <c r="G30" s="121" t="e">
        <f>'22'!G108</f>
        <v>#DIV/0!</v>
      </c>
      <c r="H30" s="121" t="e">
        <f>'22'!H108</f>
        <v>#DIV/0!</v>
      </c>
      <c r="I30" s="121" t="e">
        <f>'22'!I108</f>
        <v>#DIV/0!</v>
      </c>
      <c r="J30" s="121" t="e">
        <f>'22'!J108</f>
        <v>#DIV/0!</v>
      </c>
      <c r="K30" s="121" t="e">
        <f>'22'!K108</f>
        <v>#DIV/0!</v>
      </c>
      <c r="L30" s="121" t="e">
        <f>'22'!L108</f>
        <v>#DIV/0!</v>
      </c>
      <c r="M30" s="121" t="e">
        <f>'22'!M108</f>
        <v>#DIV/0!</v>
      </c>
      <c r="N30" s="121" t="e">
        <f>'22'!N108</f>
        <v>#DIV/0!</v>
      </c>
      <c r="O30" s="121" t="e">
        <f>'22'!O108</f>
        <v>#DIV/0!</v>
      </c>
      <c r="P30" s="121" t="e">
        <f>'22'!P108</f>
        <v>#DIV/0!</v>
      </c>
      <c r="Q30" s="121" t="e">
        <f>'22'!Q108</f>
        <v>#DIV/0!</v>
      </c>
      <c r="R30" s="191"/>
      <c r="S30" s="191"/>
      <c r="T30" s="191"/>
      <c r="U30" s="191"/>
    </row>
    <row r="31" spans="1:21">
      <c r="A31" s="188">
        <f>'23'!$B$2</f>
        <v>0</v>
      </c>
      <c r="B31" s="121" t="e">
        <f>'23'!B108</f>
        <v>#DIV/0!</v>
      </c>
      <c r="C31" s="121" t="e">
        <f>'23'!C108</f>
        <v>#DIV/0!</v>
      </c>
      <c r="D31" s="121" t="e">
        <f>'23'!D108</f>
        <v>#DIV/0!</v>
      </c>
      <c r="E31" s="121" t="e">
        <f>'23'!E108</f>
        <v>#DIV/0!</v>
      </c>
      <c r="F31" s="121" t="e">
        <f>'23'!F108</f>
        <v>#DIV/0!</v>
      </c>
      <c r="G31" s="121" t="e">
        <f>'23'!G108</f>
        <v>#DIV/0!</v>
      </c>
      <c r="H31" s="121" t="e">
        <f>'23'!H108</f>
        <v>#DIV/0!</v>
      </c>
      <c r="I31" s="121" t="e">
        <f>'23'!I108</f>
        <v>#DIV/0!</v>
      </c>
      <c r="J31" s="121" t="e">
        <f>'23'!J108</f>
        <v>#DIV/0!</v>
      </c>
      <c r="K31" s="121" t="e">
        <f>'23'!K108</f>
        <v>#DIV/0!</v>
      </c>
      <c r="L31" s="121" t="e">
        <f>'23'!L108</f>
        <v>#DIV/0!</v>
      </c>
      <c r="M31" s="121" t="e">
        <f>'23'!M108</f>
        <v>#DIV/0!</v>
      </c>
      <c r="N31" s="121" t="e">
        <f>'23'!N108</f>
        <v>#DIV/0!</v>
      </c>
      <c r="O31" s="121" t="e">
        <f>'23'!O108</f>
        <v>#DIV/0!</v>
      </c>
      <c r="P31" s="121" t="e">
        <f>'23'!P108</f>
        <v>#DIV/0!</v>
      </c>
      <c r="Q31" s="121" t="e">
        <f>'23'!Q108</f>
        <v>#DIV/0!</v>
      </c>
      <c r="R31" s="191"/>
      <c r="S31" s="211"/>
      <c r="T31" s="191"/>
      <c r="U31" s="191"/>
    </row>
    <row r="32" spans="1:21">
      <c r="A32" s="188">
        <f>'24'!$B$2</f>
        <v>0</v>
      </c>
      <c r="B32" s="121" t="e">
        <f>'24'!B108</f>
        <v>#DIV/0!</v>
      </c>
      <c r="C32" s="121" t="e">
        <f>'24'!C108</f>
        <v>#DIV/0!</v>
      </c>
      <c r="D32" s="121" t="e">
        <f>'24'!D108</f>
        <v>#DIV/0!</v>
      </c>
      <c r="E32" s="121" t="e">
        <f>'24'!E108</f>
        <v>#DIV/0!</v>
      </c>
      <c r="F32" s="121" t="e">
        <f>'24'!F108</f>
        <v>#DIV/0!</v>
      </c>
      <c r="G32" s="121" t="e">
        <f>'24'!G108</f>
        <v>#DIV/0!</v>
      </c>
      <c r="H32" s="121" t="e">
        <f>'24'!H108</f>
        <v>#DIV/0!</v>
      </c>
      <c r="I32" s="121" t="e">
        <f>'24'!I108</f>
        <v>#DIV/0!</v>
      </c>
      <c r="J32" s="121" t="e">
        <f>'24'!J108</f>
        <v>#DIV/0!</v>
      </c>
      <c r="K32" s="121" t="e">
        <f>'24'!K108</f>
        <v>#DIV/0!</v>
      </c>
      <c r="L32" s="121" t="e">
        <f>'24'!L108</f>
        <v>#DIV/0!</v>
      </c>
      <c r="M32" s="121" t="e">
        <f>'24'!M108</f>
        <v>#DIV/0!</v>
      </c>
      <c r="N32" s="121" t="e">
        <f>'24'!N108</f>
        <v>#DIV/0!</v>
      </c>
      <c r="O32" s="121" t="e">
        <f>'24'!O108</f>
        <v>#DIV/0!</v>
      </c>
      <c r="P32" s="121" t="e">
        <f>'24'!P108</f>
        <v>#DIV/0!</v>
      </c>
      <c r="Q32" s="121" t="e">
        <f>'24'!Q108</f>
        <v>#DIV/0!</v>
      </c>
      <c r="R32" s="191"/>
      <c r="S32" s="191"/>
      <c r="T32" s="191"/>
      <c r="U32" s="191"/>
    </row>
    <row r="33" spans="1:21">
      <c r="A33" s="188">
        <f>'25'!$B$2</f>
        <v>0</v>
      </c>
      <c r="B33" s="121" t="e">
        <f>'25'!B108</f>
        <v>#DIV/0!</v>
      </c>
      <c r="C33" s="121" t="e">
        <f>'25'!C108</f>
        <v>#DIV/0!</v>
      </c>
      <c r="D33" s="121" t="e">
        <f>'25'!D108</f>
        <v>#DIV/0!</v>
      </c>
      <c r="E33" s="121" t="e">
        <f>'25'!E108</f>
        <v>#DIV/0!</v>
      </c>
      <c r="F33" s="121" t="e">
        <f>'25'!F108</f>
        <v>#DIV/0!</v>
      </c>
      <c r="G33" s="121" t="e">
        <f>'25'!G108</f>
        <v>#DIV/0!</v>
      </c>
      <c r="H33" s="121" t="e">
        <f>'25'!H108</f>
        <v>#DIV/0!</v>
      </c>
      <c r="I33" s="121" t="e">
        <f>'25'!I108</f>
        <v>#DIV/0!</v>
      </c>
      <c r="J33" s="121" t="e">
        <f>'25'!J108</f>
        <v>#DIV/0!</v>
      </c>
      <c r="K33" s="121" t="e">
        <f>'25'!K108</f>
        <v>#DIV/0!</v>
      </c>
      <c r="L33" s="121" t="e">
        <f>'25'!L108</f>
        <v>#DIV/0!</v>
      </c>
      <c r="M33" s="121" t="e">
        <f>'25'!M108</f>
        <v>#DIV/0!</v>
      </c>
      <c r="N33" s="121" t="e">
        <f>'25'!N108</f>
        <v>#DIV/0!</v>
      </c>
      <c r="O33" s="121" t="e">
        <f>'25'!O108</f>
        <v>#DIV/0!</v>
      </c>
      <c r="P33" s="121" t="e">
        <f>'25'!P108</f>
        <v>#DIV/0!</v>
      </c>
      <c r="Q33" s="121" t="e">
        <f>'25'!Q108</f>
        <v>#DIV/0!</v>
      </c>
      <c r="R33" s="191"/>
      <c r="S33" s="211"/>
      <c r="T33" s="191"/>
      <c r="U33" s="191"/>
    </row>
    <row r="34" spans="1:21">
      <c r="A34" s="188">
        <f>'26'!$B$2</f>
        <v>0</v>
      </c>
      <c r="B34" s="121" t="e">
        <f>'26'!B108</f>
        <v>#DIV/0!</v>
      </c>
      <c r="C34" s="121" t="e">
        <f>'26'!C108</f>
        <v>#DIV/0!</v>
      </c>
      <c r="D34" s="121" t="e">
        <f>'26'!D108</f>
        <v>#DIV/0!</v>
      </c>
      <c r="E34" s="121" t="e">
        <f>'26'!E108</f>
        <v>#DIV/0!</v>
      </c>
      <c r="F34" s="121" t="e">
        <f>'26'!F108</f>
        <v>#DIV/0!</v>
      </c>
      <c r="G34" s="121" t="e">
        <f>'26'!G108</f>
        <v>#DIV/0!</v>
      </c>
      <c r="H34" s="121" t="e">
        <f>'26'!H108</f>
        <v>#DIV/0!</v>
      </c>
      <c r="I34" s="121" t="e">
        <f>'26'!I108</f>
        <v>#DIV/0!</v>
      </c>
      <c r="J34" s="121" t="e">
        <f>'26'!J108</f>
        <v>#DIV/0!</v>
      </c>
      <c r="K34" s="121" t="e">
        <f>'26'!K108</f>
        <v>#DIV/0!</v>
      </c>
      <c r="L34" s="121" t="e">
        <f>'26'!L108</f>
        <v>#DIV/0!</v>
      </c>
      <c r="M34" s="121" t="e">
        <f>'26'!M108</f>
        <v>#DIV/0!</v>
      </c>
      <c r="N34" s="121" t="e">
        <f>'26'!N108</f>
        <v>#DIV/0!</v>
      </c>
      <c r="O34" s="121" t="e">
        <f>'26'!O108</f>
        <v>#DIV/0!</v>
      </c>
      <c r="P34" s="121" t="e">
        <f>'26'!P108</f>
        <v>#DIV/0!</v>
      </c>
      <c r="Q34" s="121" t="e">
        <f>'26'!Q108</f>
        <v>#DIV/0!</v>
      </c>
      <c r="R34" s="191"/>
      <c r="S34" s="191"/>
      <c r="T34" s="191"/>
      <c r="U34" s="191"/>
    </row>
    <row r="35" spans="1:21">
      <c r="A35" s="188">
        <f>'27'!$B$2</f>
        <v>0</v>
      </c>
      <c r="B35" s="121" t="e">
        <f>'27'!B108</f>
        <v>#DIV/0!</v>
      </c>
      <c r="C35" s="121" t="e">
        <f>'27'!C108</f>
        <v>#DIV/0!</v>
      </c>
      <c r="D35" s="121" t="e">
        <f>'27'!D108</f>
        <v>#DIV/0!</v>
      </c>
      <c r="E35" s="121" t="e">
        <f>'27'!E108</f>
        <v>#DIV/0!</v>
      </c>
      <c r="F35" s="121" t="e">
        <f>'27'!F108</f>
        <v>#DIV/0!</v>
      </c>
      <c r="G35" s="121" t="e">
        <f>'27'!G108</f>
        <v>#DIV/0!</v>
      </c>
      <c r="H35" s="121" t="e">
        <f>'27'!H108</f>
        <v>#DIV/0!</v>
      </c>
      <c r="I35" s="121" t="e">
        <f>'27'!I108</f>
        <v>#DIV/0!</v>
      </c>
      <c r="J35" s="121" t="e">
        <f>'27'!J108</f>
        <v>#DIV/0!</v>
      </c>
      <c r="K35" s="121" t="e">
        <f>'27'!K108</f>
        <v>#DIV/0!</v>
      </c>
      <c r="L35" s="121" t="e">
        <f>'27'!L108</f>
        <v>#DIV/0!</v>
      </c>
      <c r="M35" s="121" t="e">
        <f>'27'!M108</f>
        <v>#DIV/0!</v>
      </c>
      <c r="N35" s="121" t="e">
        <f>'27'!N108</f>
        <v>#DIV/0!</v>
      </c>
      <c r="O35" s="121" t="e">
        <f>'27'!O108</f>
        <v>#DIV/0!</v>
      </c>
      <c r="P35" s="121" t="e">
        <f>'27'!P108</f>
        <v>#DIV/0!</v>
      </c>
      <c r="Q35" s="121" t="e">
        <f>'27'!Q108</f>
        <v>#DIV/0!</v>
      </c>
      <c r="R35" s="191"/>
      <c r="S35" s="191"/>
      <c r="T35" s="191"/>
      <c r="U35" s="191"/>
    </row>
    <row r="36" spans="1:21">
      <c r="A36" s="188">
        <f>'28'!$B$2</f>
        <v>0</v>
      </c>
      <c r="B36" s="121" t="e">
        <f>'28'!B108</f>
        <v>#DIV/0!</v>
      </c>
      <c r="C36" s="121" t="e">
        <f>'28'!C108</f>
        <v>#DIV/0!</v>
      </c>
      <c r="D36" s="121" t="e">
        <f>'28'!D108</f>
        <v>#DIV/0!</v>
      </c>
      <c r="E36" s="121" t="e">
        <f>'28'!E108</f>
        <v>#DIV/0!</v>
      </c>
      <c r="F36" s="121" t="e">
        <f>'28'!F108</f>
        <v>#DIV/0!</v>
      </c>
      <c r="G36" s="121" t="e">
        <f>'28'!G108</f>
        <v>#DIV/0!</v>
      </c>
      <c r="H36" s="121" t="e">
        <f>'28'!H108</f>
        <v>#DIV/0!</v>
      </c>
      <c r="I36" s="121" t="e">
        <f>'28'!I108</f>
        <v>#DIV/0!</v>
      </c>
      <c r="J36" s="121" t="e">
        <f>'28'!J108</f>
        <v>#DIV/0!</v>
      </c>
      <c r="K36" s="121" t="e">
        <f>'28'!K108</f>
        <v>#DIV/0!</v>
      </c>
      <c r="L36" s="121" t="e">
        <f>'28'!L108</f>
        <v>#DIV/0!</v>
      </c>
      <c r="M36" s="121" t="e">
        <f>'28'!M108</f>
        <v>#DIV/0!</v>
      </c>
      <c r="N36" s="121" t="e">
        <f>'28'!N108</f>
        <v>#DIV/0!</v>
      </c>
      <c r="O36" s="121" t="e">
        <f>'28'!O108</f>
        <v>#DIV/0!</v>
      </c>
      <c r="P36" s="121" t="e">
        <f>'28'!P108</f>
        <v>#DIV/0!</v>
      </c>
      <c r="Q36" s="121" t="e">
        <f>'28'!Q108</f>
        <v>#DIV/0!</v>
      </c>
      <c r="R36" s="191"/>
      <c r="S36" s="191"/>
      <c r="T36" s="191"/>
      <c r="U36" s="191"/>
    </row>
    <row r="37" s="2" customFormat="1" spans="1:21">
      <c r="A37" s="188">
        <f>'29'!$B$2</f>
        <v>0</v>
      </c>
      <c r="B37" s="121" t="e">
        <f>'29'!B108</f>
        <v>#DIV/0!</v>
      </c>
      <c r="C37" s="121" t="e">
        <f>'29'!C108</f>
        <v>#DIV/0!</v>
      </c>
      <c r="D37" s="121" t="e">
        <f>'29'!D108</f>
        <v>#DIV/0!</v>
      </c>
      <c r="E37" s="121" t="e">
        <f>'29'!E108</f>
        <v>#DIV/0!</v>
      </c>
      <c r="F37" s="121" t="e">
        <f>'29'!F108</f>
        <v>#DIV/0!</v>
      </c>
      <c r="G37" s="121" t="e">
        <f>'29'!G108</f>
        <v>#DIV/0!</v>
      </c>
      <c r="H37" s="121" t="e">
        <f>'29'!H108</f>
        <v>#DIV/0!</v>
      </c>
      <c r="I37" s="121" t="e">
        <f>'29'!I108</f>
        <v>#DIV/0!</v>
      </c>
      <c r="J37" s="121" t="e">
        <f>'29'!J108</f>
        <v>#DIV/0!</v>
      </c>
      <c r="K37" s="121" t="e">
        <f>'29'!K108</f>
        <v>#DIV/0!</v>
      </c>
      <c r="L37" s="121" t="e">
        <f>'29'!L108</f>
        <v>#DIV/0!</v>
      </c>
      <c r="M37" s="121" t="e">
        <f>'29'!M108</f>
        <v>#DIV/0!</v>
      </c>
      <c r="N37" s="121" t="e">
        <f>'29'!N108</f>
        <v>#DIV/0!</v>
      </c>
      <c r="O37" s="121" t="e">
        <f>'29'!O108</f>
        <v>#DIV/0!</v>
      </c>
      <c r="P37" s="121" t="e">
        <f>'29'!P108</f>
        <v>#DIV/0!</v>
      </c>
      <c r="Q37" s="121" t="e">
        <f>'29'!Q108</f>
        <v>#DIV/0!</v>
      </c>
      <c r="R37" s="191"/>
      <c r="S37" s="191"/>
      <c r="T37" s="191"/>
      <c r="U37" s="191"/>
    </row>
    <row r="38" s="2" customFormat="1" spans="1:21">
      <c r="A38" s="188">
        <f>'30'!$B$2</f>
        <v>0</v>
      </c>
      <c r="B38" s="121" t="e">
        <f>'30'!B108</f>
        <v>#DIV/0!</v>
      </c>
      <c r="C38" s="121" t="e">
        <f>'30'!C108</f>
        <v>#DIV/0!</v>
      </c>
      <c r="D38" s="121" t="e">
        <f>'30'!D108</f>
        <v>#DIV/0!</v>
      </c>
      <c r="E38" s="121" t="e">
        <f>'30'!E108</f>
        <v>#DIV/0!</v>
      </c>
      <c r="F38" s="121" t="e">
        <f>'30'!F108</f>
        <v>#DIV/0!</v>
      </c>
      <c r="G38" s="121" t="e">
        <f>'30'!G108</f>
        <v>#DIV/0!</v>
      </c>
      <c r="H38" s="121" t="e">
        <f>'30'!H108</f>
        <v>#DIV/0!</v>
      </c>
      <c r="I38" s="121" t="e">
        <f>'30'!I108</f>
        <v>#DIV/0!</v>
      </c>
      <c r="J38" s="121" t="e">
        <f>'30'!J108</f>
        <v>#DIV/0!</v>
      </c>
      <c r="K38" s="121" t="e">
        <f>'30'!K108</f>
        <v>#DIV/0!</v>
      </c>
      <c r="L38" s="121" t="e">
        <f>'30'!L108</f>
        <v>#DIV/0!</v>
      </c>
      <c r="M38" s="121" t="e">
        <f>'30'!M108</f>
        <v>#DIV/0!</v>
      </c>
      <c r="N38" s="121" t="e">
        <f>'30'!N108</f>
        <v>#DIV/0!</v>
      </c>
      <c r="O38" s="121" t="e">
        <f>'30'!O108</f>
        <v>#DIV/0!</v>
      </c>
      <c r="P38" s="121" t="e">
        <f>'30'!P108</f>
        <v>#DIV/0!</v>
      </c>
      <c r="Q38" s="121" t="e">
        <f>'30'!Q108</f>
        <v>#DIV/0!</v>
      </c>
      <c r="R38" s="191"/>
      <c r="S38" s="191"/>
      <c r="T38" s="191"/>
      <c r="U38" s="191"/>
    </row>
    <row r="39" s="2" customFormat="1" spans="1:21">
      <c r="A39" s="188">
        <f>'31'!$B$2</f>
        <v>0</v>
      </c>
      <c r="B39" s="121" t="e">
        <f>'31'!B108</f>
        <v>#DIV/0!</v>
      </c>
      <c r="C39" s="121" t="e">
        <f>'31'!C108</f>
        <v>#DIV/0!</v>
      </c>
      <c r="D39" s="121" t="e">
        <f>'31'!D108</f>
        <v>#DIV/0!</v>
      </c>
      <c r="E39" s="121" t="e">
        <f>'31'!E108</f>
        <v>#DIV/0!</v>
      </c>
      <c r="F39" s="121" t="e">
        <f>'31'!F108</f>
        <v>#DIV/0!</v>
      </c>
      <c r="G39" s="121" t="e">
        <f>'31'!G108</f>
        <v>#DIV/0!</v>
      </c>
      <c r="H39" s="121" t="e">
        <f>'31'!H108</f>
        <v>#DIV/0!</v>
      </c>
      <c r="I39" s="121" t="e">
        <f>'31'!I108</f>
        <v>#DIV/0!</v>
      </c>
      <c r="J39" s="121" t="e">
        <f>'31'!J108</f>
        <v>#DIV/0!</v>
      </c>
      <c r="K39" s="121" t="e">
        <f>'31'!K108</f>
        <v>#DIV/0!</v>
      </c>
      <c r="L39" s="121" t="e">
        <f>'31'!L108</f>
        <v>#DIV/0!</v>
      </c>
      <c r="M39" s="121" t="e">
        <f>'31'!M108</f>
        <v>#DIV/0!</v>
      </c>
      <c r="N39" s="121" t="e">
        <f>'31'!N108</f>
        <v>#DIV/0!</v>
      </c>
      <c r="O39" s="121" t="e">
        <f>'31'!O108</f>
        <v>#DIV/0!</v>
      </c>
      <c r="P39" s="121" t="e">
        <f>'31'!P108</f>
        <v>#DIV/0!</v>
      </c>
      <c r="Q39" s="121" t="e">
        <f>'31'!Q108</f>
        <v>#DIV/0!</v>
      </c>
      <c r="R39" s="191"/>
      <c r="S39" s="191"/>
      <c r="T39" s="191"/>
      <c r="U39" s="191"/>
    </row>
    <row r="40" s="2" customFormat="1" spans="1:21">
      <c r="A40" s="175"/>
      <c r="B40" s="191"/>
      <c r="C40" s="191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2"/>
      <c r="S40" s="192"/>
      <c r="T40" s="192"/>
      <c r="U40" s="192"/>
    </row>
    <row r="41" s="2" customFormat="1" spans="1:21">
      <c r="A41" s="175" t="s">
        <v>48</v>
      </c>
      <c r="B41" s="192" t="e">
        <f t="shared" ref="B41:Q41" si="0">MIN(B9:B39)</f>
        <v>#DIV/0!</v>
      </c>
      <c r="C41" s="192" t="e">
        <f t="shared" si="0"/>
        <v>#DIV/0!</v>
      </c>
      <c r="D41" s="192" t="e">
        <f t="shared" si="0"/>
        <v>#DIV/0!</v>
      </c>
      <c r="E41" s="192" t="e">
        <f t="shared" si="0"/>
        <v>#DIV/0!</v>
      </c>
      <c r="F41" s="192" t="e">
        <f t="shared" si="0"/>
        <v>#DIV/0!</v>
      </c>
      <c r="G41" s="192" t="e">
        <f t="shared" si="0"/>
        <v>#DIV/0!</v>
      </c>
      <c r="H41" s="192" t="e">
        <f t="shared" si="0"/>
        <v>#DIV/0!</v>
      </c>
      <c r="I41" s="192" t="e">
        <f t="shared" si="0"/>
        <v>#DIV/0!</v>
      </c>
      <c r="J41" s="192" t="e">
        <f t="shared" si="0"/>
        <v>#DIV/0!</v>
      </c>
      <c r="K41" s="192" t="e">
        <f t="shared" si="0"/>
        <v>#DIV/0!</v>
      </c>
      <c r="L41" s="192" t="e">
        <f t="shared" si="0"/>
        <v>#DIV/0!</v>
      </c>
      <c r="M41" s="192" t="e">
        <f t="shared" si="0"/>
        <v>#DIV/0!</v>
      </c>
      <c r="N41" s="192" t="e">
        <f t="shared" si="0"/>
        <v>#DIV/0!</v>
      </c>
      <c r="O41" s="192" t="e">
        <f t="shared" si="0"/>
        <v>#DIV/0!</v>
      </c>
      <c r="P41" s="192" t="e">
        <f t="shared" si="0"/>
        <v>#DIV/0!</v>
      </c>
      <c r="Q41" s="192" t="e">
        <f t="shared" si="0"/>
        <v>#DIV/0!</v>
      </c>
      <c r="R41" s="192"/>
      <c r="S41" s="192"/>
      <c r="T41" s="192"/>
      <c r="U41" s="192"/>
    </row>
    <row r="42" s="2" customFormat="1" spans="1:21">
      <c r="A42" s="175" t="s">
        <v>49</v>
      </c>
      <c r="B42" s="192" t="e">
        <f t="shared" ref="B42:Q42" si="1">MAX(B9:B39)</f>
        <v>#DIV/0!</v>
      </c>
      <c r="C42" s="192" t="e">
        <f t="shared" si="1"/>
        <v>#DIV/0!</v>
      </c>
      <c r="D42" s="192" t="e">
        <f t="shared" si="1"/>
        <v>#DIV/0!</v>
      </c>
      <c r="E42" s="192" t="e">
        <f t="shared" si="1"/>
        <v>#DIV/0!</v>
      </c>
      <c r="F42" s="192" t="e">
        <f t="shared" si="1"/>
        <v>#DIV/0!</v>
      </c>
      <c r="G42" s="192" t="e">
        <f t="shared" si="1"/>
        <v>#DIV/0!</v>
      </c>
      <c r="H42" s="192" t="e">
        <f t="shared" si="1"/>
        <v>#DIV/0!</v>
      </c>
      <c r="I42" s="192" t="e">
        <f t="shared" si="1"/>
        <v>#DIV/0!</v>
      </c>
      <c r="J42" s="192" t="e">
        <f t="shared" si="1"/>
        <v>#DIV/0!</v>
      </c>
      <c r="K42" s="192" t="e">
        <f t="shared" si="1"/>
        <v>#DIV/0!</v>
      </c>
      <c r="L42" s="192" t="e">
        <f t="shared" si="1"/>
        <v>#DIV/0!</v>
      </c>
      <c r="M42" s="192" t="e">
        <f t="shared" si="1"/>
        <v>#DIV/0!</v>
      </c>
      <c r="N42" s="192" t="e">
        <f t="shared" si="1"/>
        <v>#DIV/0!</v>
      </c>
      <c r="O42" s="192" t="e">
        <f t="shared" si="1"/>
        <v>#DIV/0!</v>
      </c>
      <c r="P42" s="192" t="e">
        <f t="shared" si="1"/>
        <v>#DIV/0!</v>
      </c>
      <c r="Q42" s="192" t="e">
        <f t="shared" si="1"/>
        <v>#DIV/0!</v>
      </c>
      <c r="R42" s="192"/>
      <c r="S42" s="192"/>
      <c r="T42" s="192"/>
      <c r="U42" s="192"/>
    </row>
    <row r="43" s="2" customFormat="1" spans="1:21">
      <c r="A43" s="175" t="s">
        <v>50</v>
      </c>
      <c r="B43" s="192" t="e">
        <f t="shared" ref="B43:Q43" si="2">AVERAGE(B9:B39)</f>
        <v>#DIV/0!</v>
      </c>
      <c r="C43" s="192" t="e">
        <f t="shared" si="2"/>
        <v>#DIV/0!</v>
      </c>
      <c r="D43" s="192" t="e">
        <f t="shared" si="2"/>
        <v>#DIV/0!</v>
      </c>
      <c r="E43" s="192" t="e">
        <f t="shared" si="2"/>
        <v>#DIV/0!</v>
      </c>
      <c r="F43" s="192" t="e">
        <f t="shared" si="2"/>
        <v>#DIV/0!</v>
      </c>
      <c r="G43" s="192" t="e">
        <f t="shared" si="2"/>
        <v>#DIV/0!</v>
      </c>
      <c r="H43" s="192" t="e">
        <f t="shared" si="2"/>
        <v>#DIV/0!</v>
      </c>
      <c r="I43" s="192" t="e">
        <f t="shared" si="2"/>
        <v>#DIV/0!</v>
      </c>
      <c r="J43" s="192" t="e">
        <f t="shared" si="2"/>
        <v>#DIV/0!</v>
      </c>
      <c r="K43" s="192" t="e">
        <f t="shared" si="2"/>
        <v>#DIV/0!</v>
      </c>
      <c r="L43" s="192" t="e">
        <f t="shared" si="2"/>
        <v>#DIV/0!</v>
      </c>
      <c r="M43" s="192" t="e">
        <f t="shared" si="2"/>
        <v>#DIV/0!</v>
      </c>
      <c r="N43" s="192" t="e">
        <f t="shared" si="2"/>
        <v>#DIV/0!</v>
      </c>
      <c r="O43" s="192" t="e">
        <f t="shared" si="2"/>
        <v>#DIV/0!</v>
      </c>
      <c r="P43" s="192" t="e">
        <f t="shared" si="2"/>
        <v>#DIV/0!</v>
      </c>
      <c r="Q43" s="192" t="e">
        <f t="shared" si="2"/>
        <v>#DIV/0!</v>
      </c>
      <c r="R43" s="192"/>
      <c r="S43" s="192"/>
      <c r="T43" s="192"/>
      <c r="U43" s="192"/>
    </row>
    <row r="44" s="2" customFormat="1" spans="1:21">
      <c r="A44" s="175" t="s">
        <v>51</v>
      </c>
      <c r="B44" s="192" t="e">
        <f t="shared" ref="B44:Q44" si="3">STDEV(B9:B39)</f>
        <v>#DIV/0!</v>
      </c>
      <c r="C44" s="192" t="e">
        <f t="shared" si="3"/>
        <v>#DIV/0!</v>
      </c>
      <c r="D44" s="192" t="e">
        <f t="shared" si="3"/>
        <v>#DIV/0!</v>
      </c>
      <c r="E44" s="192" t="e">
        <f t="shared" si="3"/>
        <v>#DIV/0!</v>
      </c>
      <c r="F44" s="192" t="e">
        <f t="shared" si="3"/>
        <v>#DIV/0!</v>
      </c>
      <c r="G44" s="192" t="e">
        <f t="shared" si="3"/>
        <v>#DIV/0!</v>
      </c>
      <c r="H44" s="192" t="e">
        <f t="shared" si="3"/>
        <v>#DIV/0!</v>
      </c>
      <c r="I44" s="192" t="e">
        <f t="shared" si="3"/>
        <v>#DIV/0!</v>
      </c>
      <c r="J44" s="192" t="e">
        <f t="shared" si="3"/>
        <v>#DIV/0!</v>
      </c>
      <c r="K44" s="192" t="e">
        <f t="shared" si="3"/>
        <v>#DIV/0!</v>
      </c>
      <c r="L44" s="192" t="e">
        <f t="shared" si="3"/>
        <v>#DIV/0!</v>
      </c>
      <c r="M44" s="192" t="e">
        <f t="shared" si="3"/>
        <v>#DIV/0!</v>
      </c>
      <c r="N44" s="192" t="e">
        <f t="shared" si="3"/>
        <v>#DIV/0!</v>
      </c>
      <c r="O44" s="192" t="e">
        <f t="shared" si="3"/>
        <v>#DIV/0!</v>
      </c>
      <c r="P44" s="192" t="e">
        <f t="shared" si="3"/>
        <v>#DIV/0!</v>
      </c>
      <c r="Q44" s="192" t="e">
        <f t="shared" si="3"/>
        <v>#DIV/0!</v>
      </c>
      <c r="R44" s="178"/>
      <c r="S44" s="178"/>
      <c r="T44" s="178"/>
      <c r="U44" s="178"/>
    </row>
    <row r="45" s="2" customFormat="1" spans="1:21">
      <c r="A45" s="175" t="s">
        <v>52</v>
      </c>
      <c r="B45" s="178">
        <f t="shared" ref="B45:Q45" si="4">COUNT(B9:B39)</f>
        <v>0</v>
      </c>
      <c r="C45" s="178">
        <f t="shared" si="4"/>
        <v>0</v>
      </c>
      <c r="D45" s="178">
        <f t="shared" si="4"/>
        <v>0</v>
      </c>
      <c r="E45" s="178">
        <f t="shared" si="4"/>
        <v>0</v>
      </c>
      <c r="F45" s="178">
        <f t="shared" si="4"/>
        <v>0</v>
      </c>
      <c r="G45" s="178">
        <f t="shared" si="4"/>
        <v>0</v>
      </c>
      <c r="H45" s="178">
        <f t="shared" si="4"/>
        <v>0</v>
      </c>
      <c r="I45" s="178">
        <f t="shared" si="4"/>
        <v>0</v>
      </c>
      <c r="J45" s="178">
        <f t="shared" si="4"/>
        <v>0</v>
      </c>
      <c r="K45" s="178">
        <f t="shared" si="4"/>
        <v>0</v>
      </c>
      <c r="L45" s="178">
        <f t="shared" si="4"/>
        <v>0</v>
      </c>
      <c r="M45" s="178">
        <f t="shared" si="4"/>
        <v>0</v>
      </c>
      <c r="N45" s="178">
        <f t="shared" si="4"/>
        <v>0</v>
      </c>
      <c r="O45" s="178">
        <f t="shared" si="4"/>
        <v>0</v>
      </c>
      <c r="P45" s="178">
        <f t="shared" si="4"/>
        <v>0</v>
      </c>
      <c r="Q45" s="178">
        <f t="shared" si="4"/>
        <v>0</v>
      </c>
      <c r="R45" s="178"/>
      <c r="S45" s="178"/>
      <c r="T45" s="178"/>
      <c r="U45" s="178"/>
    </row>
    <row r="46" spans="1:21">
      <c r="A46" s="175" t="s">
        <v>53</v>
      </c>
      <c r="B46" s="178" t="str">
        <f>IF(B45&gt;=28,"&gt;90%",IF(B45&lt;=28,"&lt;90%"))</f>
        <v>&lt;90%</v>
      </c>
      <c r="C46" s="178" t="str">
        <f t="shared" ref="C46:Q46" si="5">IF(C45&gt;=28,"&gt;90%",IF(C45&lt;=28,"&lt;90%"))</f>
        <v>&lt;90%</v>
      </c>
      <c r="D46" s="178" t="str">
        <f t="shared" si="5"/>
        <v>&lt;90%</v>
      </c>
      <c r="E46" s="178" t="str">
        <f t="shared" si="5"/>
        <v>&lt;90%</v>
      </c>
      <c r="F46" s="178" t="str">
        <f t="shared" si="5"/>
        <v>&lt;90%</v>
      </c>
      <c r="G46" s="178" t="str">
        <f t="shared" si="5"/>
        <v>&lt;90%</v>
      </c>
      <c r="H46" s="178" t="str">
        <f t="shared" si="5"/>
        <v>&lt;90%</v>
      </c>
      <c r="I46" s="178" t="str">
        <f t="shared" si="5"/>
        <v>&lt;90%</v>
      </c>
      <c r="J46" s="178" t="str">
        <f t="shared" si="5"/>
        <v>&lt;90%</v>
      </c>
      <c r="K46" s="178" t="str">
        <f t="shared" si="5"/>
        <v>&lt;90%</v>
      </c>
      <c r="L46" s="178" t="str">
        <f t="shared" si="5"/>
        <v>&lt;90%</v>
      </c>
      <c r="M46" s="178" t="str">
        <f t="shared" si="5"/>
        <v>&lt;90%</v>
      </c>
      <c r="N46" s="178" t="str">
        <f t="shared" si="5"/>
        <v>&lt;90%</v>
      </c>
      <c r="O46" s="178" t="str">
        <f t="shared" si="5"/>
        <v>&lt;90%</v>
      </c>
      <c r="P46" s="178" t="str">
        <f t="shared" si="5"/>
        <v>&lt;90%</v>
      </c>
      <c r="Q46" s="178" t="str">
        <f t="shared" si="5"/>
        <v>&lt;90%</v>
      </c>
      <c r="R46" s="178"/>
      <c r="S46" s="178"/>
      <c r="T46" s="178"/>
      <c r="U46" s="178"/>
    </row>
    <row r="47" spans="1:20">
      <c r="A47" s="175" t="s">
        <v>54</v>
      </c>
      <c r="B47" s="178" t="str">
        <f>IF(B45&gt;=28,"OK",IF(B45&lt;=28,"LESS"))</f>
        <v>LESS</v>
      </c>
      <c r="C47" s="178" t="str">
        <f t="shared" ref="C47:Q47" si="6">IF(C45&gt;=28,"OK",IF(C45&lt;=28,"LESS"))</f>
        <v>LESS</v>
      </c>
      <c r="D47" s="178" t="str">
        <f t="shared" si="6"/>
        <v>LESS</v>
      </c>
      <c r="E47" s="178" t="str">
        <f t="shared" si="6"/>
        <v>LESS</v>
      </c>
      <c r="F47" s="178" t="str">
        <f t="shared" si="6"/>
        <v>LESS</v>
      </c>
      <c r="G47" s="178" t="str">
        <f t="shared" si="6"/>
        <v>LESS</v>
      </c>
      <c r="H47" s="178" t="str">
        <f t="shared" si="6"/>
        <v>LESS</v>
      </c>
      <c r="I47" s="178" t="str">
        <f t="shared" si="6"/>
        <v>LESS</v>
      </c>
      <c r="J47" s="178" t="str">
        <f t="shared" si="6"/>
        <v>LESS</v>
      </c>
      <c r="K47" s="178" t="str">
        <f t="shared" si="6"/>
        <v>LESS</v>
      </c>
      <c r="L47" s="178" t="str">
        <f t="shared" si="6"/>
        <v>LESS</v>
      </c>
      <c r="M47" s="178" t="str">
        <f t="shared" si="6"/>
        <v>LESS</v>
      </c>
      <c r="N47" s="178" t="str">
        <f t="shared" si="6"/>
        <v>LESS</v>
      </c>
      <c r="O47" s="178" t="str">
        <f t="shared" si="6"/>
        <v>LESS</v>
      </c>
      <c r="P47" s="178" t="str">
        <f t="shared" si="6"/>
        <v>LESS</v>
      </c>
      <c r="Q47" s="178" t="str">
        <f t="shared" si="6"/>
        <v>LESS</v>
      </c>
      <c r="R47" s="2"/>
      <c r="S47" s="2"/>
      <c r="T47" s="2"/>
    </row>
    <row r="48" spans="2:17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75" t="s">
        <v>55</v>
      </c>
      <c r="B50" s="193" t="s">
        <v>56</v>
      </c>
      <c r="C50" s="193"/>
      <c r="D50" s="19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94"/>
      <c r="B51" s="2"/>
      <c r="C51" s="2"/>
      <c r="D51" s="195"/>
      <c r="E51" s="195"/>
      <c r="F51" s="195"/>
      <c r="G51" s="195"/>
      <c r="H51" s="195"/>
      <c r="I51" s="195"/>
      <c r="J51" s="2"/>
      <c r="K51" s="2"/>
      <c r="L51" s="2"/>
      <c r="M51" s="2"/>
      <c r="N51" s="2"/>
      <c r="O51" s="2"/>
      <c r="P51" s="2"/>
    </row>
    <row r="52" ht="15.75" spans="1:16">
      <c r="A52" s="196" t="s">
        <v>57</v>
      </c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</row>
    <row r="53" spans="1:16">
      <c r="A53" s="19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9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9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119"/>
  <sheetViews>
    <sheetView zoomScale="85" zoomScaleNormal="85" topLeftCell="E1" workbookViewId="0">
      <selection activeCell="X8" sqref="X8:X14"/>
    </sheetView>
  </sheetViews>
  <sheetFormatPr defaultColWidth="8.85714285714286" defaultRowHeight="15"/>
  <cols>
    <col min="1" max="1" width="4.57142857142857" style="2" customWidth="1"/>
    <col min="2" max="2" width="16.1428571428571" style="107" customWidth="1"/>
    <col min="3" max="3" width="10.2857142857143" style="2" customWidth="1"/>
    <col min="4" max="7" width="9.14285714285714" style="2" customWidth="1"/>
    <col min="8" max="8" width="9.14285714285714" style="110" customWidth="1"/>
    <col min="9" max="12" width="9.14285714285714" style="2" customWidth="1"/>
    <col min="13" max="13" width="13.2857142857143" style="2" customWidth="1"/>
    <col min="14" max="14" width="5.71428571428571" style="2" customWidth="1"/>
    <col min="15" max="15" width="16.1428571428571" style="111" customWidth="1"/>
    <col min="16" max="16" width="10.8571428571429" style="111" customWidth="1"/>
    <col min="17" max="17" width="15.4285714285714" style="111" customWidth="1"/>
    <col min="18" max="18" width="13.4285714285714" style="111" customWidth="1"/>
    <col min="19" max="19" width="16.8571428571429" style="112" customWidth="1"/>
    <col min="20" max="20" width="10" style="112" customWidth="1"/>
    <col min="21" max="21" width="12.8571428571429" style="111" customWidth="1"/>
    <col min="22" max="22" width="10.7142857142857" style="111" customWidth="1"/>
    <col min="23" max="23" width="8.85714285714286" style="2"/>
    <col min="24" max="24" width="10.8571428571429" style="2" customWidth="1"/>
    <col min="25" max="16384" width="8.85714285714286" style="2"/>
  </cols>
  <sheetData>
    <row r="1" ht="24" customHeight="1" spans="2:10">
      <c r="B1" s="2"/>
      <c r="C1" s="113" t="s">
        <v>60</v>
      </c>
      <c r="D1" s="114" t="s">
        <v>61</v>
      </c>
      <c r="E1" s="114"/>
      <c r="F1" s="114"/>
      <c r="G1" s="114"/>
      <c r="H1" s="114"/>
      <c r="I1" s="114"/>
      <c r="J1" s="135"/>
    </row>
    <row r="2" ht="22.5" customHeight="1" spans="2:10">
      <c r="B2" s="2"/>
      <c r="C2" s="113" t="s">
        <v>2</v>
      </c>
      <c r="D2" s="115" t="s">
        <v>62</v>
      </c>
      <c r="E2" s="116"/>
      <c r="F2" s="116"/>
      <c r="G2" s="116"/>
      <c r="H2" s="116"/>
      <c r="I2" s="116"/>
      <c r="J2" s="136"/>
    </row>
    <row r="4" ht="15.75" spans="19:24">
      <c r="S4" s="111"/>
      <c r="T4" s="111"/>
      <c r="U4" s="112"/>
      <c r="V4" s="112"/>
      <c r="W4" s="111"/>
      <c r="X4" s="111"/>
    </row>
    <row r="5" spans="2:24">
      <c r="B5" s="117"/>
      <c r="C5" s="118"/>
      <c r="D5" s="118"/>
      <c r="E5" s="118"/>
      <c r="F5" s="118"/>
      <c r="G5" s="119" t="s">
        <v>63</v>
      </c>
      <c r="H5" s="119"/>
      <c r="I5" s="118"/>
      <c r="J5" s="118"/>
      <c r="K5" s="118"/>
      <c r="L5" s="118"/>
      <c r="M5" s="137"/>
      <c r="O5" s="138"/>
      <c r="P5" s="139"/>
      <c r="Q5" s="139"/>
      <c r="R5" s="139"/>
      <c r="S5" s="158" t="s">
        <v>64</v>
      </c>
      <c r="T5" s="139"/>
      <c r="U5" s="159"/>
      <c r="V5" s="159"/>
      <c r="W5" s="139"/>
      <c r="X5" s="160"/>
    </row>
    <row r="6" spans="2:24">
      <c r="B6" s="120"/>
      <c r="C6" s="13"/>
      <c r="D6" s="13"/>
      <c r="E6" s="13"/>
      <c r="F6" s="13"/>
      <c r="G6" s="13"/>
      <c r="H6" s="121"/>
      <c r="I6" s="13"/>
      <c r="J6" s="13"/>
      <c r="K6" s="13"/>
      <c r="L6" s="13"/>
      <c r="M6" s="140"/>
      <c r="O6" s="141"/>
      <c r="P6" s="142"/>
      <c r="Q6" s="142"/>
      <c r="R6" s="142"/>
      <c r="S6" s="142"/>
      <c r="T6" s="142"/>
      <c r="U6" s="161"/>
      <c r="V6" s="161"/>
      <c r="W6" s="142"/>
      <c r="X6" s="162"/>
    </row>
    <row r="7" spans="2:24">
      <c r="B7" s="122" t="s">
        <v>65</v>
      </c>
      <c r="C7" s="123" t="s">
        <v>66</v>
      </c>
      <c r="D7" s="123" t="s">
        <v>67</v>
      </c>
      <c r="E7" s="123" t="s">
        <v>68</v>
      </c>
      <c r="F7" s="123" t="s">
        <v>69</v>
      </c>
      <c r="G7" s="123" t="s">
        <v>70</v>
      </c>
      <c r="H7" s="124" t="s">
        <v>71</v>
      </c>
      <c r="I7" s="123" t="s">
        <v>72</v>
      </c>
      <c r="J7" s="123" t="s">
        <v>73</v>
      </c>
      <c r="K7" s="123" t="s">
        <v>74</v>
      </c>
      <c r="L7" s="123" t="s">
        <v>54</v>
      </c>
      <c r="M7" s="56" t="s">
        <v>75</v>
      </c>
      <c r="O7" s="143" t="s">
        <v>65</v>
      </c>
      <c r="P7" s="144" t="s">
        <v>66</v>
      </c>
      <c r="Q7" s="144" t="s">
        <v>76</v>
      </c>
      <c r="R7" s="144" t="s">
        <v>11</v>
      </c>
      <c r="S7" s="144" t="s">
        <v>77</v>
      </c>
      <c r="T7" s="144" t="s">
        <v>78</v>
      </c>
      <c r="U7" s="163" t="s">
        <v>79</v>
      </c>
      <c r="V7" s="163" t="s">
        <v>80</v>
      </c>
      <c r="W7" s="144" t="s">
        <v>54</v>
      </c>
      <c r="X7" s="164" t="s">
        <v>75</v>
      </c>
    </row>
    <row r="8" ht="15.75" spans="2:24">
      <c r="B8" s="103"/>
      <c r="C8" s="13" t="s">
        <v>63</v>
      </c>
      <c r="D8" s="13" t="s">
        <v>39</v>
      </c>
      <c r="E8" s="13">
        <v>0</v>
      </c>
      <c r="F8" s="13">
        <v>200</v>
      </c>
      <c r="G8" s="13">
        <v>0</v>
      </c>
      <c r="H8" s="121"/>
      <c r="I8" s="13">
        <v>0</v>
      </c>
      <c r="J8" s="121" t="e">
        <f>F8/H8</f>
        <v>#DIV/0!</v>
      </c>
      <c r="K8" s="121">
        <f>(H8-F8)*100/F8</f>
        <v>-100</v>
      </c>
      <c r="L8" s="13" t="s">
        <v>81</v>
      </c>
      <c r="M8" s="145" t="s">
        <v>56</v>
      </c>
      <c r="O8" s="103"/>
      <c r="P8" s="142" t="s">
        <v>64</v>
      </c>
      <c r="Q8" s="142"/>
      <c r="R8" s="142"/>
      <c r="S8" s="165" t="s">
        <v>82</v>
      </c>
      <c r="T8" s="165"/>
      <c r="U8" s="161"/>
      <c r="V8" s="161"/>
      <c r="W8" s="13" t="s">
        <v>81</v>
      </c>
      <c r="X8" s="145" t="s">
        <v>56</v>
      </c>
    </row>
    <row r="9" ht="15.75" spans="2:24">
      <c r="B9" s="103"/>
      <c r="C9" s="13" t="s">
        <v>63</v>
      </c>
      <c r="D9" s="13" t="s">
        <v>39</v>
      </c>
      <c r="E9" s="13">
        <v>0</v>
      </c>
      <c r="F9" s="13">
        <v>200</v>
      </c>
      <c r="G9" s="13">
        <v>0</v>
      </c>
      <c r="H9" s="121"/>
      <c r="I9" s="13">
        <v>0</v>
      </c>
      <c r="J9" s="121" t="e">
        <f t="shared" ref="J9:J14" si="0">F9/H9</f>
        <v>#DIV/0!</v>
      </c>
      <c r="K9" s="121">
        <f t="shared" ref="K9:K14" si="1">(H9-F9)*100/F9</f>
        <v>-100</v>
      </c>
      <c r="L9" s="13" t="s">
        <v>81</v>
      </c>
      <c r="M9" s="145" t="s">
        <v>56</v>
      </c>
      <c r="O9" s="103"/>
      <c r="P9" s="142" t="s">
        <v>64</v>
      </c>
      <c r="Q9" s="142"/>
      <c r="R9" s="142"/>
      <c r="S9" s="165" t="s">
        <v>82</v>
      </c>
      <c r="T9" s="165"/>
      <c r="U9" s="161"/>
      <c r="V9" s="161"/>
      <c r="W9" s="13" t="s">
        <v>81</v>
      </c>
      <c r="X9" s="145" t="s">
        <v>56</v>
      </c>
    </row>
    <row r="10" ht="15.75" spans="2:24">
      <c r="B10" s="103"/>
      <c r="C10" s="13" t="s">
        <v>63</v>
      </c>
      <c r="D10" s="13" t="s">
        <v>39</v>
      </c>
      <c r="E10" s="13">
        <v>0</v>
      </c>
      <c r="F10" s="13">
        <v>200</v>
      </c>
      <c r="G10" s="13">
        <v>0</v>
      </c>
      <c r="H10" s="121"/>
      <c r="I10" s="13">
        <v>0</v>
      </c>
      <c r="J10" s="121" t="e">
        <f t="shared" si="0"/>
        <v>#DIV/0!</v>
      </c>
      <c r="K10" s="121">
        <f t="shared" si="1"/>
        <v>-100</v>
      </c>
      <c r="L10" s="13" t="s">
        <v>81</v>
      </c>
      <c r="M10" s="145" t="s">
        <v>56</v>
      </c>
      <c r="O10" s="103"/>
      <c r="P10" s="142" t="s">
        <v>64</v>
      </c>
      <c r="Q10" s="142"/>
      <c r="R10" s="142"/>
      <c r="S10" s="165" t="s">
        <v>82</v>
      </c>
      <c r="T10" s="165"/>
      <c r="U10" s="161"/>
      <c r="V10" s="161"/>
      <c r="W10" s="13" t="s">
        <v>81</v>
      </c>
      <c r="X10" s="145" t="s">
        <v>56</v>
      </c>
    </row>
    <row r="11" ht="15.75" spans="2:24">
      <c r="B11" s="103"/>
      <c r="C11" s="13" t="s">
        <v>63</v>
      </c>
      <c r="D11" s="13" t="s">
        <v>39</v>
      </c>
      <c r="E11" s="13">
        <v>0</v>
      </c>
      <c r="F11" s="13">
        <v>200</v>
      </c>
      <c r="G11" s="13">
        <v>0</v>
      </c>
      <c r="H11" s="121"/>
      <c r="I11" s="13">
        <v>0</v>
      </c>
      <c r="J11" s="121" t="e">
        <f t="shared" si="0"/>
        <v>#DIV/0!</v>
      </c>
      <c r="K11" s="121">
        <f t="shared" si="1"/>
        <v>-100</v>
      </c>
      <c r="L11" s="13" t="s">
        <v>81</v>
      </c>
      <c r="M11" s="145" t="s">
        <v>56</v>
      </c>
      <c r="O11" s="103"/>
      <c r="P11" s="142" t="s">
        <v>64</v>
      </c>
      <c r="Q11" s="142"/>
      <c r="R11" s="142"/>
      <c r="S11" s="165" t="s">
        <v>82</v>
      </c>
      <c r="T11" s="165"/>
      <c r="U11" s="161"/>
      <c r="V11" s="161"/>
      <c r="W11" s="13" t="s">
        <v>81</v>
      </c>
      <c r="X11" s="145" t="s">
        <v>56</v>
      </c>
    </row>
    <row r="12" ht="15.75" spans="2:24">
      <c r="B12" s="103"/>
      <c r="C12" s="13" t="s">
        <v>63</v>
      </c>
      <c r="D12" s="13" t="s">
        <v>39</v>
      </c>
      <c r="E12" s="13">
        <v>0</v>
      </c>
      <c r="F12" s="13">
        <v>200</v>
      </c>
      <c r="G12" s="13">
        <v>0</v>
      </c>
      <c r="H12" s="121"/>
      <c r="I12" s="13">
        <v>0</v>
      </c>
      <c r="J12" s="121" t="e">
        <f t="shared" si="0"/>
        <v>#DIV/0!</v>
      </c>
      <c r="K12" s="121">
        <f t="shared" si="1"/>
        <v>-100</v>
      </c>
      <c r="L12" s="13" t="s">
        <v>81</v>
      </c>
      <c r="M12" s="145" t="s">
        <v>56</v>
      </c>
      <c r="O12" s="103"/>
      <c r="P12" s="142" t="s">
        <v>64</v>
      </c>
      <c r="Q12" s="142"/>
      <c r="R12" s="142"/>
      <c r="S12" s="165" t="s">
        <v>82</v>
      </c>
      <c r="T12" s="165"/>
      <c r="U12" s="161"/>
      <c r="V12" s="161"/>
      <c r="W12" s="13" t="s">
        <v>81</v>
      </c>
      <c r="X12" s="145" t="s">
        <v>56</v>
      </c>
    </row>
    <row r="13" ht="15.75" spans="2:24">
      <c r="B13" s="103"/>
      <c r="C13" s="13" t="s">
        <v>63</v>
      </c>
      <c r="D13" s="13" t="s">
        <v>39</v>
      </c>
      <c r="E13" s="13">
        <v>0</v>
      </c>
      <c r="F13" s="13">
        <v>200</v>
      </c>
      <c r="G13" s="13">
        <v>0</v>
      </c>
      <c r="H13" s="121"/>
      <c r="I13" s="13">
        <v>0</v>
      </c>
      <c r="J13" s="121" t="e">
        <f t="shared" si="0"/>
        <v>#DIV/0!</v>
      </c>
      <c r="K13" s="121">
        <f t="shared" si="1"/>
        <v>-100</v>
      </c>
      <c r="L13" s="13" t="s">
        <v>81</v>
      </c>
      <c r="M13" s="145" t="s">
        <v>56</v>
      </c>
      <c r="O13" s="103"/>
      <c r="P13" s="142" t="s">
        <v>64</v>
      </c>
      <c r="Q13" s="142"/>
      <c r="R13" s="142"/>
      <c r="S13" s="165" t="s">
        <v>82</v>
      </c>
      <c r="T13" s="165"/>
      <c r="U13" s="161"/>
      <c r="V13" s="161"/>
      <c r="W13" s="13" t="s">
        <v>81</v>
      </c>
      <c r="X13" s="145" t="s">
        <v>56</v>
      </c>
    </row>
    <row r="14" ht="15.75" spans="2:24">
      <c r="B14" s="103"/>
      <c r="C14" s="13" t="s">
        <v>63</v>
      </c>
      <c r="D14" s="13" t="s">
        <v>39</v>
      </c>
      <c r="E14" s="13">
        <v>0</v>
      </c>
      <c r="F14" s="13">
        <v>200</v>
      </c>
      <c r="G14" s="13">
        <v>0</v>
      </c>
      <c r="H14" s="121"/>
      <c r="I14" s="13">
        <v>0</v>
      </c>
      <c r="J14" s="121" t="e">
        <f t="shared" si="0"/>
        <v>#DIV/0!</v>
      </c>
      <c r="K14" s="121">
        <f t="shared" si="1"/>
        <v>-100</v>
      </c>
      <c r="L14" s="13" t="s">
        <v>81</v>
      </c>
      <c r="M14" s="145" t="s">
        <v>56</v>
      </c>
      <c r="O14" s="103"/>
      <c r="P14" s="142" t="s">
        <v>64</v>
      </c>
      <c r="Q14" s="142"/>
      <c r="R14" s="142"/>
      <c r="S14" s="165" t="s">
        <v>82</v>
      </c>
      <c r="T14" s="165"/>
      <c r="U14" s="161"/>
      <c r="V14" s="161"/>
      <c r="W14" s="13" t="s">
        <v>81</v>
      </c>
      <c r="X14" s="145" t="s">
        <v>56</v>
      </c>
    </row>
    <row r="15" ht="15.75" spans="2:24">
      <c r="B15" s="103"/>
      <c r="C15" s="13"/>
      <c r="D15" s="13"/>
      <c r="E15" s="13"/>
      <c r="F15" s="13"/>
      <c r="G15" s="13"/>
      <c r="H15" s="121"/>
      <c r="I15" s="13"/>
      <c r="J15" s="121"/>
      <c r="K15" s="121"/>
      <c r="L15" s="13"/>
      <c r="M15" s="146"/>
      <c r="O15" s="103"/>
      <c r="P15" s="142" t="s">
        <v>64</v>
      </c>
      <c r="Q15" s="142"/>
      <c r="R15" s="142"/>
      <c r="S15" s="165" t="s">
        <v>82</v>
      </c>
      <c r="T15" s="165"/>
      <c r="U15" s="161"/>
      <c r="V15" s="161"/>
      <c r="W15" s="13" t="s">
        <v>81</v>
      </c>
      <c r="X15" s="145"/>
    </row>
    <row r="16" ht="15.75" spans="2:24">
      <c r="B16" s="103"/>
      <c r="C16" s="13"/>
      <c r="D16" s="13"/>
      <c r="E16" s="13"/>
      <c r="F16" s="13"/>
      <c r="G16" s="13"/>
      <c r="H16" s="121"/>
      <c r="I16" s="13"/>
      <c r="J16" s="121"/>
      <c r="K16" s="121"/>
      <c r="L16" s="13"/>
      <c r="M16" s="146"/>
      <c r="O16" s="103"/>
      <c r="P16" s="142" t="s">
        <v>64</v>
      </c>
      <c r="Q16" s="142"/>
      <c r="R16" s="142"/>
      <c r="S16" s="165" t="s">
        <v>82</v>
      </c>
      <c r="T16" s="165"/>
      <c r="U16" s="161"/>
      <c r="V16" s="161"/>
      <c r="W16" s="13" t="s">
        <v>81</v>
      </c>
      <c r="X16" s="145"/>
    </row>
    <row r="17" ht="15.75" spans="2:24">
      <c r="B17" s="103"/>
      <c r="C17" s="13"/>
      <c r="D17" s="13"/>
      <c r="E17" s="13"/>
      <c r="F17" s="13"/>
      <c r="G17" s="13"/>
      <c r="H17" s="121"/>
      <c r="I17" s="13"/>
      <c r="J17" s="121"/>
      <c r="K17" s="121"/>
      <c r="L17" s="13"/>
      <c r="M17" s="146"/>
      <c r="O17" s="103"/>
      <c r="P17" s="142" t="s">
        <v>64</v>
      </c>
      <c r="Q17" s="142"/>
      <c r="R17" s="142"/>
      <c r="S17" s="165" t="s">
        <v>82</v>
      </c>
      <c r="T17" s="165"/>
      <c r="U17" s="161"/>
      <c r="V17" s="161"/>
      <c r="W17" s="13"/>
      <c r="X17" s="145"/>
    </row>
    <row r="18" ht="15.75" spans="2:24">
      <c r="B18" s="104"/>
      <c r="C18" s="13"/>
      <c r="D18" s="13"/>
      <c r="E18" s="13"/>
      <c r="F18" s="13"/>
      <c r="G18" s="13"/>
      <c r="H18" s="121"/>
      <c r="I18" s="13"/>
      <c r="J18" s="121"/>
      <c r="K18" s="121"/>
      <c r="L18" s="13"/>
      <c r="M18" s="146"/>
      <c r="O18" s="147"/>
      <c r="P18" s="142"/>
      <c r="Q18" s="142"/>
      <c r="R18" s="142"/>
      <c r="S18" s="165"/>
      <c r="T18" s="165"/>
      <c r="U18" s="161"/>
      <c r="V18" s="161"/>
      <c r="W18" s="13"/>
      <c r="X18" s="145"/>
    </row>
    <row r="19" ht="15.75" spans="2:24">
      <c r="B19" s="104"/>
      <c r="C19" s="13"/>
      <c r="D19" s="13"/>
      <c r="E19" s="13"/>
      <c r="F19" s="13"/>
      <c r="G19" s="13"/>
      <c r="H19" s="121"/>
      <c r="I19" s="13"/>
      <c r="J19" s="121"/>
      <c r="K19" s="121"/>
      <c r="L19" s="13"/>
      <c r="M19" s="146"/>
      <c r="O19" s="148"/>
      <c r="P19" s="142"/>
      <c r="Q19" s="142"/>
      <c r="R19" s="142"/>
      <c r="S19" s="165"/>
      <c r="T19" s="165"/>
      <c r="U19" s="161"/>
      <c r="V19" s="161"/>
      <c r="W19" s="13"/>
      <c r="X19" s="145"/>
    </row>
    <row r="20" ht="15.75" spans="2:24">
      <c r="B20" s="104"/>
      <c r="C20" s="13"/>
      <c r="D20" s="13"/>
      <c r="E20" s="13"/>
      <c r="F20" s="13"/>
      <c r="G20" s="13"/>
      <c r="H20" s="121"/>
      <c r="I20" s="13"/>
      <c r="J20" s="121"/>
      <c r="K20" s="121"/>
      <c r="L20" s="13"/>
      <c r="M20" s="146"/>
      <c r="O20" s="148"/>
      <c r="P20" s="142"/>
      <c r="Q20" s="142"/>
      <c r="R20" s="142"/>
      <c r="S20" s="165"/>
      <c r="T20" s="165"/>
      <c r="U20" s="161"/>
      <c r="V20" s="161"/>
      <c r="W20" s="13"/>
      <c r="X20" s="145"/>
    </row>
    <row r="21" ht="15.75" spans="2:24">
      <c r="B21" s="125"/>
      <c r="C21" s="126" t="s">
        <v>83</v>
      </c>
      <c r="D21" s="126"/>
      <c r="E21" s="126"/>
      <c r="F21" s="126"/>
      <c r="G21" s="126"/>
      <c r="H21" s="126"/>
      <c r="I21" s="149">
        <f>COUNT(B8:B20)</f>
        <v>0</v>
      </c>
      <c r="J21" s="150"/>
      <c r="K21" s="150"/>
      <c r="L21" s="134"/>
      <c r="M21" s="151"/>
      <c r="O21" s="152"/>
      <c r="P21" s="153" t="s">
        <v>84</v>
      </c>
      <c r="Q21" s="153"/>
      <c r="R21" s="153"/>
      <c r="S21" s="153"/>
      <c r="T21" s="166">
        <f>COUNT(O8:O20)</f>
        <v>0</v>
      </c>
      <c r="U21" s="167"/>
      <c r="V21" s="167"/>
      <c r="W21" s="168"/>
      <c r="X21" s="169"/>
    </row>
    <row r="22" spans="3:24">
      <c r="C22" s="127"/>
      <c r="D22" s="127"/>
      <c r="E22" s="127"/>
      <c r="F22" s="127"/>
      <c r="G22" s="127"/>
      <c r="H22" s="128"/>
      <c r="J22" s="110"/>
      <c r="K22" s="110"/>
      <c r="S22" s="111"/>
      <c r="T22" s="111"/>
      <c r="U22" s="112"/>
      <c r="V22" s="112"/>
      <c r="W22" s="111"/>
      <c r="X22" s="111"/>
    </row>
    <row r="23" ht="15.75" spans="10:24">
      <c r="J23" s="110"/>
      <c r="K23" s="110"/>
      <c r="S23" s="111"/>
      <c r="T23" s="111"/>
      <c r="U23" s="112"/>
      <c r="V23" s="112"/>
      <c r="W23" s="111"/>
      <c r="X23" s="111"/>
    </row>
    <row r="24" s="2" customFormat="1" spans="2:24">
      <c r="B24" s="117"/>
      <c r="C24" s="129"/>
      <c r="D24" s="129"/>
      <c r="E24" s="129"/>
      <c r="F24" s="129"/>
      <c r="G24" s="130" t="s">
        <v>85</v>
      </c>
      <c r="H24" s="130"/>
      <c r="I24" s="118"/>
      <c r="J24" s="154"/>
      <c r="K24" s="154"/>
      <c r="L24" s="118"/>
      <c r="M24" s="137"/>
      <c r="O24" s="138"/>
      <c r="P24" s="139"/>
      <c r="Q24" s="139"/>
      <c r="R24" s="139"/>
      <c r="S24" s="158" t="s">
        <v>29</v>
      </c>
      <c r="T24" s="139"/>
      <c r="U24" s="159"/>
      <c r="V24" s="159"/>
      <c r="W24" s="139"/>
      <c r="X24" s="160"/>
    </row>
    <row r="25" s="2" customFormat="1" spans="2:24">
      <c r="B25" s="131"/>
      <c r="C25" s="132"/>
      <c r="D25" s="132"/>
      <c r="E25" s="132"/>
      <c r="F25" s="132"/>
      <c r="G25" s="133"/>
      <c r="H25" s="133"/>
      <c r="I25" s="133"/>
      <c r="J25" s="155"/>
      <c r="K25" s="155"/>
      <c r="L25" s="133"/>
      <c r="M25" s="156"/>
      <c r="O25" s="141"/>
      <c r="P25" s="142"/>
      <c r="Q25" s="142"/>
      <c r="R25" s="142"/>
      <c r="S25" s="142"/>
      <c r="T25" s="142"/>
      <c r="U25" s="161"/>
      <c r="V25" s="161"/>
      <c r="W25" s="142"/>
      <c r="X25" s="162"/>
    </row>
    <row r="26" s="2" customFormat="1" spans="2:24">
      <c r="B26" s="122" t="s">
        <v>65</v>
      </c>
      <c r="C26" s="123" t="s">
        <v>66</v>
      </c>
      <c r="D26" s="123" t="s">
        <v>67</v>
      </c>
      <c r="E26" s="123" t="s">
        <v>68</v>
      </c>
      <c r="F26" s="123" t="s">
        <v>69</v>
      </c>
      <c r="G26" s="123" t="s">
        <v>70</v>
      </c>
      <c r="H26" s="124" t="s">
        <v>71</v>
      </c>
      <c r="I26" s="123" t="s">
        <v>72</v>
      </c>
      <c r="J26" s="123" t="s">
        <v>73</v>
      </c>
      <c r="K26" s="123" t="s">
        <v>74</v>
      </c>
      <c r="L26" s="123" t="s">
        <v>54</v>
      </c>
      <c r="M26" s="56" t="s">
        <v>75</v>
      </c>
      <c r="O26" s="143" t="s">
        <v>65</v>
      </c>
      <c r="P26" s="144" t="s">
        <v>66</v>
      </c>
      <c r="Q26" s="144" t="s">
        <v>76</v>
      </c>
      <c r="R26" s="144" t="s">
        <v>11</v>
      </c>
      <c r="S26" s="144" t="s">
        <v>77</v>
      </c>
      <c r="T26" s="144" t="s">
        <v>78</v>
      </c>
      <c r="U26" s="163" t="s">
        <v>79</v>
      </c>
      <c r="V26" s="163" t="s">
        <v>80</v>
      </c>
      <c r="W26" s="144" t="s">
        <v>54</v>
      </c>
      <c r="X26" s="164" t="s">
        <v>75</v>
      </c>
    </row>
    <row r="27" s="2" customFormat="1" ht="15.75" spans="2:24">
      <c r="B27" s="103"/>
      <c r="C27" s="13" t="s">
        <v>86</v>
      </c>
      <c r="D27" s="13" t="s">
        <v>39</v>
      </c>
      <c r="E27" s="13">
        <v>0</v>
      </c>
      <c r="F27" s="13">
        <v>200</v>
      </c>
      <c r="G27" s="13"/>
      <c r="H27" s="121"/>
      <c r="I27" s="13">
        <v>0</v>
      </c>
      <c r="J27" s="121" t="e">
        <f>F27/H27</f>
        <v>#DIV/0!</v>
      </c>
      <c r="K27" s="121">
        <f>(H27-F27)*100/F27</f>
        <v>-100</v>
      </c>
      <c r="L27" s="13" t="s">
        <v>81</v>
      </c>
      <c r="M27" s="145" t="s">
        <v>56</v>
      </c>
      <c r="O27" s="103"/>
      <c r="P27" s="142" t="s">
        <v>29</v>
      </c>
      <c r="Q27" s="142"/>
      <c r="R27" s="142"/>
      <c r="S27" s="165" t="s">
        <v>87</v>
      </c>
      <c r="T27" s="165"/>
      <c r="U27" s="161"/>
      <c r="V27" s="161"/>
      <c r="W27" s="13" t="s">
        <v>81</v>
      </c>
      <c r="X27" s="145" t="s">
        <v>56</v>
      </c>
    </row>
    <row r="28" s="2" customFormat="1" ht="15.75" spans="2:24">
      <c r="B28" s="103"/>
      <c r="C28" s="13" t="s">
        <v>86</v>
      </c>
      <c r="D28" s="13" t="s">
        <v>39</v>
      </c>
      <c r="E28" s="13">
        <v>0</v>
      </c>
      <c r="F28" s="13">
        <v>200</v>
      </c>
      <c r="G28" s="13"/>
      <c r="H28" s="121"/>
      <c r="I28" s="13">
        <v>0</v>
      </c>
      <c r="J28" s="121" t="e">
        <f t="shared" ref="J28:J33" si="2">F28/H28</f>
        <v>#DIV/0!</v>
      </c>
      <c r="K28" s="121">
        <f t="shared" ref="K28:K33" si="3">(H28-F28)*100/F28</f>
        <v>-100</v>
      </c>
      <c r="L28" s="13" t="s">
        <v>81</v>
      </c>
      <c r="M28" s="145" t="s">
        <v>56</v>
      </c>
      <c r="O28" s="103"/>
      <c r="P28" s="142" t="s">
        <v>29</v>
      </c>
      <c r="Q28" s="142"/>
      <c r="R28" s="142"/>
      <c r="S28" s="165" t="s">
        <v>87</v>
      </c>
      <c r="T28" s="165"/>
      <c r="U28" s="161"/>
      <c r="V28" s="161"/>
      <c r="W28" s="13" t="s">
        <v>81</v>
      </c>
      <c r="X28" s="145" t="s">
        <v>56</v>
      </c>
    </row>
    <row r="29" s="2" customFormat="1" ht="15.75" spans="2:24">
      <c r="B29" s="103"/>
      <c r="C29" s="13" t="s">
        <v>86</v>
      </c>
      <c r="D29" s="13" t="s">
        <v>39</v>
      </c>
      <c r="E29" s="13">
        <v>0</v>
      </c>
      <c r="F29" s="13">
        <v>200</v>
      </c>
      <c r="G29" s="13"/>
      <c r="H29" s="121"/>
      <c r="I29" s="13">
        <v>0</v>
      </c>
      <c r="J29" s="121" t="e">
        <f t="shared" si="2"/>
        <v>#DIV/0!</v>
      </c>
      <c r="K29" s="121">
        <f t="shared" si="3"/>
        <v>-100</v>
      </c>
      <c r="L29" s="13" t="s">
        <v>81</v>
      </c>
      <c r="M29" s="145" t="s">
        <v>56</v>
      </c>
      <c r="O29" s="103"/>
      <c r="P29" s="142" t="s">
        <v>29</v>
      </c>
      <c r="Q29" s="142"/>
      <c r="R29" s="142"/>
      <c r="S29" s="165" t="s">
        <v>87</v>
      </c>
      <c r="T29" s="165"/>
      <c r="U29" s="161"/>
      <c r="V29" s="161"/>
      <c r="W29" s="13" t="s">
        <v>81</v>
      </c>
      <c r="X29" s="145" t="s">
        <v>56</v>
      </c>
    </row>
    <row r="30" s="2" customFormat="1" ht="15.75" spans="2:24">
      <c r="B30" s="103"/>
      <c r="C30" s="13" t="s">
        <v>86</v>
      </c>
      <c r="D30" s="13" t="s">
        <v>39</v>
      </c>
      <c r="E30" s="13">
        <v>0</v>
      </c>
      <c r="F30" s="13">
        <v>200</v>
      </c>
      <c r="G30" s="13"/>
      <c r="H30" s="121"/>
      <c r="I30" s="13">
        <v>0</v>
      </c>
      <c r="J30" s="121" t="e">
        <f t="shared" si="2"/>
        <v>#DIV/0!</v>
      </c>
      <c r="K30" s="121">
        <f t="shared" si="3"/>
        <v>-100</v>
      </c>
      <c r="L30" s="13" t="s">
        <v>81</v>
      </c>
      <c r="M30" s="145" t="s">
        <v>56</v>
      </c>
      <c r="O30" s="103"/>
      <c r="P30" s="142" t="s">
        <v>29</v>
      </c>
      <c r="Q30" s="142"/>
      <c r="R30" s="142"/>
      <c r="S30" s="165" t="s">
        <v>87</v>
      </c>
      <c r="T30" s="165"/>
      <c r="U30" s="161"/>
      <c r="V30" s="161"/>
      <c r="W30" s="13" t="s">
        <v>81</v>
      </c>
      <c r="X30" s="145" t="s">
        <v>56</v>
      </c>
    </row>
    <row r="31" s="2" customFormat="1" ht="15.75" spans="2:24">
      <c r="B31" s="103"/>
      <c r="C31" s="13" t="s">
        <v>86</v>
      </c>
      <c r="D31" s="13" t="s">
        <v>39</v>
      </c>
      <c r="E31" s="13">
        <v>0</v>
      </c>
      <c r="F31" s="13">
        <v>200</v>
      </c>
      <c r="G31" s="13"/>
      <c r="H31" s="121"/>
      <c r="I31" s="13">
        <v>0</v>
      </c>
      <c r="J31" s="121" t="e">
        <f t="shared" si="2"/>
        <v>#DIV/0!</v>
      </c>
      <c r="K31" s="121">
        <f t="shared" si="3"/>
        <v>-100</v>
      </c>
      <c r="L31" s="13" t="s">
        <v>81</v>
      </c>
      <c r="M31" s="145" t="s">
        <v>56</v>
      </c>
      <c r="O31" s="103"/>
      <c r="P31" s="142" t="s">
        <v>29</v>
      </c>
      <c r="Q31" s="142"/>
      <c r="R31" s="142"/>
      <c r="S31" s="165" t="s">
        <v>87</v>
      </c>
      <c r="T31" s="165"/>
      <c r="U31" s="161"/>
      <c r="V31" s="161"/>
      <c r="W31" s="13" t="s">
        <v>81</v>
      </c>
      <c r="X31" s="145" t="s">
        <v>56</v>
      </c>
    </row>
    <row r="32" s="2" customFormat="1" ht="15.75" spans="2:24">
      <c r="B32" s="103"/>
      <c r="C32" s="13" t="s">
        <v>86</v>
      </c>
      <c r="D32" s="13" t="s">
        <v>39</v>
      </c>
      <c r="E32" s="13">
        <v>0</v>
      </c>
      <c r="F32" s="13">
        <v>200</v>
      </c>
      <c r="G32" s="13"/>
      <c r="H32" s="121"/>
      <c r="I32" s="13">
        <v>0</v>
      </c>
      <c r="J32" s="121" t="e">
        <f t="shared" si="2"/>
        <v>#DIV/0!</v>
      </c>
      <c r="K32" s="121">
        <f t="shared" si="3"/>
        <v>-100</v>
      </c>
      <c r="L32" s="13" t="s">
        <v>81</v>
      </c>
      <c r="M32" s="145" t="s">
        <v>56</v>
      </c>
      <c r="O32" s="103"/>
      <c r="P32" s="142" t="s">
        <v>29</v>
      </c>
      <c r="Q32" s="142"/>
      <c r="R32" s="142"/>
      <c r="S32" s="165" t="s">
        <v>87</v>
      </c>
      <c r="T32" s="165"/>
      <c r="U32" s="161"/>
      <c r="V32" s="161"/>
      <c r="W32" s="13" t="s">
        <v>81</v>
      </c>
      <c r="X32" s="145" t="s">
        <v>56</v>
      </c>
    </row>
    <row r="33" s="2" customFormat="1" ht="15.75" spans="2:24">
      <c r="B33" s="103"/>
      <c r="C33" s="13" t="s">
        <v>86</v>
      </c>
      <c r="D33" s="13" t="s">
        <v>39</v>
      </c>
      <c r="E33" s="13">
        <v>0</v>
      </c>
      <c r="F33" s="13">
        <v>200</v>
      </c>
      <c r="G33" s="13"/>
      <c r="H33" s="121"/>
      <c r="I33" s="13">
        <v>0</v>
      </c>
      <c r="J33" s="121" t="e">
        <f t="shared" si="2"/>
        <v>#DIV/0!</v>
      </c>
      <c r="K33" s="121">
        <f t="shared" si="3"/>
        <v>-100</v>
      </c>
      <c r="L33" s="13" t="s">
        <v>81</v>
      </c>
      <c r="M33" s="145" t="s">
        <v>56</v>
      </c>
      <c r="O33" s="103"/>
      <c r="P33" s="142" t="s">
        <v>29</v>
      </c>
      <c r="Q33" s="142"/>
      <c r="R33" s="142"/>
      <c r="S33" s="165" t="s">
        <v>87</v>
      </c>
      <c r="T33" s="165"/>
      <c r="U33" s="161"/>
      <c r="V33" s="161"/>
      <c r="W33" s="13" t="s">
        <v>81</v>
      </c>
      <c r="X33" s="145" t="s">
        <v>56</v>
      </c>
    </row>
    <row r="34" s="2" customFormat="1" ht="15.75" spans="2:24">
      <c r="B34" s="103"/>
      <c r="C34" s="13"/>
      <c r="D34" s="13"/>
      <c r="E34" s="13"/>
      <c r="F34" s="13"/>
      <c r="G34" s="13"/>
      <c r="H34" s="121"/>
      <c r="I34" s="13"/>
      <c r="J34" s="121"/>
      <c r="K34" s="121"/>
      <c r="L34" s="13"/>
      <c r="M34" s="146"/>
      <c r="O34" s="103"/>
      <c r="P34" s="142" t="s">
        <v>29</v>
      </c>
      <c r="Q34" s="142"/>
      <c r="R34" s="142"/>
      <c r="S34" s="165" t="s">
        <v>87</v>
      </c>
      <c r="T34" s="165"/>
      <c r="U34" s="161"/>
      <c r="V34" s="161"/>
      <c r="W34" s="13" t="s">
        <v>81</v>
      </c>
      <c r="X34" s="145"/>
    </row>
    <row r="35" s="2" customFormat="1" ht="15.75" spans="2:24">
      <c r="B35" s="103"/>
      <c r="C35" s="13"/>
      <c r="D35" s="13"/>
      <c r="E35" s="13"/>
      <c r="F35" s="13"/>
      <c r="G35" s="13"/>
      <c r="H35" s="121"/>
      <c r="I35" s="13"/>
      <c r="J35" s="121"/>
      <c r="K35" s="121"/>
      <c r="L35" s="13"/>
      <c r="M35" s="146"/>
      <c r="O35" s="103"/>
      <c r="P35" s="142" t="s">
        <v>29</v>
      </c>
      <c r="Q35" s="142"/>
      <c r="R35" s="142"/>
      <c r="S35" s="165" t="s">
        <v>87</v>
      </c>
      <c r="T35" s="165"/>
      <c r="U35" s="161"/>
      <c r="V35" s="161"/>
      <c r="W35" s="13" t="s">
        <v>81</v>
      </c>
      <c r="X35" s="145"/>
    </row>
    <row r="36" s="2" customFormat="1" ht="15.75" spans="2:24">
      <c r="B36" s="103"/>
      <c r="C36" s="13"/>
      <c r="D36" s="13"/>
      <c r="E36" s="13"/>
      <c r="F36" s="13"/>
      <c r="G36" s="13"/>
      <c r="H36" s="121"/>
      <c r="I36" s="13"/>
      <c r="J36" s="121"/>
      <c r="K36" s="121"/>
      <c r="L36" s="13"/>
      <c r="M36" s="146"/>
      <c r="O36" s="103"/>
      <c r="P36" s="142" t="s">
        <v>29</v>
      </c>
      <c r="Q36" s="142"/>
      <c r="R36" s="142"/>
      <c r="S36" s="165" t="s">
        <v>87</v>
      </c>
      <c r="T36" s="165"/>
      <c r="U36" s="161"/>
      <c r="V36" s="161"/>
      <c r="W36" s="13"/>
      <c r="X36" s="145"/>
    </row>
    <row r="37" s="2" customFormat="1" ht="15.75" spans="2:24">
      <c r="B37" s="104"/>
      <c r="C37" s="13"/>
      <c r="D37" s="13"/>
      <c r="E37" s="13"/>
      <c r="F37" s="13"/>
      <c r="G37" s="13"/>
      <c r="H37" s="121"/>
      <c r="I37" s="13"/>
      <c r="J37" s="121"/>
      <c r="K37" s="121"/>
      <c r="L37" s="13"/>
      <c r="M37" s="146"/>
      <c r="O37" s="147"/>
      <c r="P37" s="142" t="s">
        <v>29</v>
      </c>
      <c r="Q37" s="142"/>
      <c r="R37" s="142"/>
      <c r="S37" s="165" t="s">
        <v>87</v>
      </c>
      <c r="T37" s="165"/>
      <c r="U37" s="161"/>
      <c r="V37" s="161"/>
      <c r="W37" s="13"/>
      <c r="X37" s="145"/>
    </row>
    <row r="38" s="2" customFormat="1" ht="15.75" spans="2:24">
      <c r="B38" s="104"/>
      <c r="C38" s="13"/>
      <c r="D38" s="13"/>
      <c r="E38" s="13"/>
      <c r="F38" s="13"/>
      <c r="G38" s="13"/>
      <c r="H38" s="121"/>
      <c r="I38" s="13"/>
      <c r="J38" s="121"/>
      <c r="K38" s="121"/>
      <c r="L38" s="13"/>
      <c r="M38" s="146"/>
      <c r="O38" s="148"/>
      <c r="P38" s="142"/>
      <c r="Q38" s="142"/>
      <c r="R38" s="142"/>
      <c r="S38" s="165"/>
      <c r="T38" s="165"/>
      <c r="U38" s="161"/>
      <c r="V38" s="161"/>
      <c r="W38" s="13"/>
      <c r="X38" s="145"/>
    </row>
    <row r="39" s="2" customFormat="1" ht="15.75" spans="2:24">
      <c r="B39" s="104"/>
      <c r="C39" s="13"/>
      <c r="D39" s="13"/>
      <c r="E39" s="13"/>
      <c r="F39" s="13"/>
      <c r="G39" s="13"/>
      <c r="H39" s="121"/>
      <c r="I39" s="13"/>
      <c r="J39" s="121"/>
      <c r="K39" s="121"/>
      <c r="L39" s="13"/>
      <c r="M39" s="146"/>
      <c r="O39" s="148"/>
      <c r="P39" s="142"/>
      <c r="Q39" s="142"/>
      <c r="R39" s="142"/>
      <c r="S39" s="165"/>
      <c r="T39" s="165"/>
      <c r="U39" s="161"/>
      <c r="V39" s="161"/>
      <c r="W39" s="13"/>
      <c r="X39" s="145"/>
    </row>
    <row r="40" s="2" customFormat="1" ht="16.5" spans="2:24">
      <c r="B40" s="120"/>
      <c r="C40" s="13"/>
      <c r="D40" s="13"/>
      <c r="E40" s="13"/>
      <c r="F40" s="13"/>
      <c r="G40" s="13"/>
      <c r="H40" s="121"/>
      <c r="I40" s="13"/>
      <c r="J40" s="121"/>
      <c r="K40" s="121"/>
      <c r="L40" s="13"/>
      <c r="M40" s="146"/>
      <c r="O40" s="152"/>
      <c r="P40" s="153" t="s">
        <v>88</v>
      </c>
      <c r="Q40" s="153"/>
      <c r="R40" s="153"/>
      <c r="S40" s="153"/>
      <c r="T40" s="166">
        <f>COUNT(O27:O39)</f>
        <v>0</v>
      </c>
      <c r="U40" s="167"/>
      <c r="V40" s="167"/>
      <c r="W40" s="168"/>
      <c r="X40" s="169"/>
    </row>
    <row r="41" s="2" customFormat="1" ht="15.75" spans="2:24">
      <c r="B41" s="125"/>
      <c r="C41" s="134"/>
      <c r="D41" s="126" t="s">
        <v>89</v>
      </c>
      <c r="E41" s="126"/>
      <c r="F41" s="126"/>
      <c r="G41" s="126"/>
      <c r="H41" s="126"/>
      <c r="I41" s="126"/>
      <c r="J41" s="157">
        <f>COUNT(B27:B39)</f>
        <v>0</v>
      </c>
      <c r="K41" s="150"/>
      <c r="L41" s="134"/>
      <c r="M41" s="151"/>
      <c r="O41" s="111"/>
      <c r="P41" s="111"/>
      <c r="Q41" s="111"/>
      <c r="R41" s="111"/>
      <c r="S41" s="111"/>
      <c r="T41" s="111"/>
      <c r="U41" s="112"/>
      <c r="V41" s="112"/>
      <c r="W41" s="111"/>
      <c r="X41" s="111"/>
    </row>
    <row r="42" s="2" customFormat="1" spans="2:22">
      <c r="B42" s="107"/>
      <c r="H42" s="110"/>
      <c r="O42" s="111"/>
      <c r="P42" s="111"/>
      <c r="Q42" s="111"/>
      <c r="R42" s="111"/>
      <c r="S42" s="112"/>
      <c r="T42" s="112"/>
      <c r="U42" s="111"/>
      <c r="V42" s="111"/>
    </row>
    <row r="43" ht="15.75"/>
    <row r="44" spans="2:13">
      <c r="B44" s="117"/>
      <c r="C44" s="129"/>
      <c r="D44" s="129"/>
      <c r="E44" s="129"/>
      <c r="F44" s="129"/>
      <c r="G44" s="130" t="s">
        <v>38</v>
      </c>
      <c r="H44" s="130"/>
      <c r="I44" s="118"/>
      <c r="J44" s="154"/>
      <c r="K44" s="154"/>
      <c r="L44" s="118"/>
      <c r="M44" s="137"/>
    </row>
    <row r="45" s="2" customFormat="1" spans="2:22">
      <c r="B45" s="120"/>
      <c r="C45" s="13"/>
      <c r="D45" s="13"/>
      <c r="E45" s="13"/>
      <c r="F45" s="13"/>
      <c r="G45" s="13"/>
      <c r="H45" s="121"/>
      <c r="I45" s="13"/>
      <c r="J45" s="121"/>
      <c r="K45" s="121"/>
      <c r="L45" s="13"/>
      <c r="M45" s="140"/>
      <c r="O45" s="111"/>
      <c r="P45" s="111"/>
      <c r="Q45" s="111"/>
      <c r="R45" s="111"/>
      <c r="S45" s="112"/>
      <c r="T45" s="112"/>
      <c r="U45" s="111"/>
      <c r="V45" s="111"/>
    </row>
    <row r="46" s="2" customFormat="1" spans="2:22">
      <c r="B46" s="122" t="s">
        <v>65</v>
      </c>
      <c r="C46" s="123" t="s">
        <v>66</v>
      </c>
      <c r="D46" s="123" t="s">
        <v>67</v>
      </c>
      <c r="E46" s="123" t="s">
        <v>68</v>
      </c>
      <c r="F46" s="123" t="s">
        <v>69</v>
      </c>
      <c r="G46" s="123" t="s">
        <v>70</v>
      </c>
      <c r="H46" s="124" t="s">
        <v>71</v>
      </c>
      <c r="I46" s="123" t="s">
        <v>72</v>
      </c>
      <c r="J46" s="123" t="s">
        <v>73</v>
      </c>
      <c r="K46" s="123" t="s">
        <v>74</v>
      </c>
      <c r="L46" s="123" t="s">
        <v>54</v>
      </c>
      <c r="M46" s="56" t="s">
        <v>75</v>
      </c>
      <c r="O46" s="111"/>
      <c r="P46" s="111"/>
      <c r="Q46" s="111"/>
      <c r="R46" s="111"/>
      <c r="S46" s="112"/>
      <c r="T46" s="112"/>
      <c r="U46" s="111"/>
      <c r="V46" s="111"/>
    </row>
    <row r="47" s="2" customFormat="1" ht="15.75" spans="2:22">
      <c r="B47" s="103"/>
      <c r="C47" s="13" t="s">
        <v>38</v>
      </c>
      <c r="D47" s="13" t="s">
        <v>39</v>
      </c>
      <c r="E47" s="13">
        <v>0</v>
      </c>
      <c r="F47" s="13">
        <v>400</v>
      </c>
      <c r="G47" s="13">
        <v>0</v>
      </c>
      <c r="H47" s="121"/>
      <c r="I47" s="13">
        <v>0</v>
      </c>
      <c r="J47" s="121" t="e">
        <f>F47/H47</f>
        <v>#DIV/0!</v>
      </c>
      <c r="K47" s="121">
        <f>(H47-F47)*100/F47</f>
        <v>-100</v>
      </c>
      <c r="L47" s="13" t="s">
        <v>81</v>
      </c>
      <c r="M47" s="145" t="s">
        <v>56</v>
      </c>
      <c r="O47" s="111"/>
      <c r="P47" s="111"/>
      <c r="Q47" s="111"/>
      <c r="R47" s="111"/>
      <c r="S47" s="112"/>
      <c r="T47" s="112"/>
      <c r="U47" s="111"/>
      <c r="V47" s="111"/>
    </row>
    <row r="48" s="2" customFormat="1" ht="15.75" spans="2:22">
      <c r="B48" s="103"/>
      <c r="C48" s="13" t="s">
        <v>38</v>
      </c>
      <c r="D48" s="13" t="s">
        <v>39</v>
      </c>
      <c r="E48" s="13">
        <v>0</v>
      </c>
      <c r="F48" s="13">
        <v>400</v>
      </c>
      <c r="G48" s="13">
        <v>0</v>
      </c>
      <c r="H48" s="121"/>
      <c r="I48" s="13">
        <v>0</v>
      </c>
      <c r="J48" s="121" t="e">
        <f>F48/H48</f>
        <v>#DIV/0!</v>
      </c>
      <c r="K48" s="121">
        <f>(H48-F48)*100/F48</f>
        <v>-100</v>
      </c>
      <c r="L48" s="13" t="s">
        <v>81</v>
      </c>
      <c r="M48" s="145" t="s">
        <v>56</v>
      </c>
      <c r="O48" s="111"/>
      <c r="P48" s="111"/>
      <c r="Q48" s="111"/>
      <c r="R48" s="111"/>
      <c r="S48" s="112"/>
      <c r="T48" s="112"/>
      <c r="U48" s="111"/>
      <c r="V48" s="111"/>
    </row>
    <row r="49" s="2" customFormat="1" ht="15.75" spans="2:22">
      <c r="B49" s="103"/>
      <c r="C49" s="13" t="s">
        <v>38</v>
      </c>
      <c r="D49" s="13" t="s">
        <v>39</v>
      </c>
      <c r="E49" s="13">
        <v>0</v>
      </c>
      <c r="F49" s="13">
        <v>400</v>
      </c>
      <c r="G49" s="13">
        <v>0</v>
      </c>
      <c r="H49" s="121"/>
      <c r="I49" s="13">
        <v>0</v>
      </c>
      <c r="J49" s="121" t="e">
        <f>F49/H49</f>
        <v>#DIV/0!</v>
      </c>
      <c r="K49" s="121">
        <f>(H49-F49)*100/F49</f>
        <v>-100</v>
      </c>
      <c r="L49" s="13" t="s">
        <v>81</v>
      </c>
      <c r="M49" s="145" t="s">
        <v>56</v>
      </c>
      <c r="O49" s="111"/>
      <c r="P49" s="111"/>
      <c r="Q49" s="111"/>
      <c r="R49" s="111"/>
      <c r="S49" s="112"/>
      <c r="T49" s="112"/>
      <c r="U49" s="111"/>
      <c r="V49" s="111"/>
    </row>
    <row r="50" s="2" customFormat="1" ht="15.75" spans="2:22">
      <c r="B50" s="103"/>
      <c r="C50" s="13" t="s">
        <v>38</v>
      </c>
      <c r="D50" s="13" t="s">
        <v>39</v>
      </c>
      <c r="E50" s="13">
        <v>0</v>
      </c>
      <c r="F50" s="13">
        <v>400</v>
      </c>
      <c r="G50" s="13">
        <v>0</v>
      </c>
      <c r="H50" s="121"/>
      <c r="I50" s="13">
        <v>0</v>
      </c>
      <c r="J50" s="121" t="e">
        <f>F50/H50</f>
        <v>#DIV/0!</v>
      </c>
      <c r="K50" s="121">
        <f>(H50-F50)*100/F50</f>
        <v>-100</v>
      </c>
      <c r="L50" s="13" t="s">
        <v>81</v>
      </c>
      <c r="M50" s="145" t="s">
        <v>56</v>
      </c>
      <c r="O50" s="111"/>
      <c r="P50" s="111"/>
      <c r="Q50" s="111"/>
      <c r="R50" s="111"/>
      <c r="S50" s="112"/>
      <c r="T50" s="112"/>
      <c r="U50" s="111"/>
      <c r="V50" s="111"/>
    </row>
    <row r="51" s="2" customFormat="1" ht="15.75" spans="2:22">
      <c r="B51" s="103"/>
      <c r="C51" s="13" t="s">
        <v>38</v>
      </c>
      <c r="D51" s="13" t="s">
        <v>39</v>
      </c>
      <c r="E51" s="13">
        <v>0</v>
      </c>
      <c r="F51" s="13">
        <v>400</v>
      </c>
      <c r="G51" s="13">
        <v>0</v>
      </c>
      <c r="H51" s="121"/>
      <c r="I51" s="13">
        <v>0</v>
      </c>
      <c r="J51" s="121" t="e">
        <f>F51/H51</f>
        <v>#DIV/0!</v>
      </c>
      <c r="K51" s="121">
        <f>(H51-F51)*100/F51</f>
        <v>-100</v>
      </c>
      <c r="L51" s="13" t="s">
        <v>81</v>
      </c>
      <c r="M51" s="145" t="s">
        <v>56</v>
      </c>
      <c r="O51" s="111"/>
      <c r="P51" s="111"/>
      <c r="Q51" s="111"/>
      <c r="R51" s="111"/>
      <c r="S51" s="112"/>
      <c r="T51" s="112"/>
      <c r="U51" s="111"/>
      <c r="V51" s="111"/>
    </row>
    <row r="52" s="2" customFormat="1" ht="15.75" spans="2:22">
      <c r="B52" s="104"/>
      <c r="C52" s="13"/>
      <c r="D52" s="13"/>
      <c r="E52" s="13"/>
      <c r="F52" s="13"/>
      <c r="G52" s="13"/>
      <c r="H52" s="121"/>
      <c r="I52" s="13"/>
      <c r="J52" s="121"/>
      <c r="K52" s="121"/>
      <c r="L52" s="13"/>
      <c r="M52" s="145" t="s">
        <v>56</v>
      </c>
      <c r="O52" s="111"/>
      <c r="P52" s="111"/>
      <c r="Q52" s="111"/>
      <c r="R52" s="111"/>
      <c r="S52" s="112"/>
      <c r="T52" s="112"/>
      <c r="U52" s="111"/>
      <c r="V52" s="111"/>
    </row>
    <row r="53" s="2" customFormat="1" ht="15.75" spans="2:22">
      <c r="B53" s="104"/>
      <c r="C53" s="13"/>
      <c r="D53" s="13"/>
      <c r="E53" s="13"/>
      <c r="F53" s="13"/>
      <c r="G53" s="13"/>
      <c r="H53" s="121"/>
      <c r="I53" s="13"/>
      <c r="J53" s="121"/>
      <c r="K53" s="121"/>
      <c r="L53" s="13"/>
      <c r="M53" s="145" t="s">
        <v>56</v>
      </c>
      <c r="O53" s="111"/>
      <c r="P53" s="111"/>
      <c r="Q53" s="111"/>
      <c r="R53" s="111"/>
      <c r="S53" s="112"/>
      <c r="T53" s="112"/>
      <c r="U53" s="111"/>
      <c r="V53" s="111"/>
    </row>
    <row r="54" s="2" customFormat="1" ht="15.75" spans="2:22">
      <c r="B54" s="104"/>
      <c r="C54" s="13"/>
      <c r="D54" s="13"/>
      <c r="E54" s="13"/>
      <c r="F54" s="13"/>
      <c r="G54" s="13"/>
      <c r="H54" s="121"/>
      <c r="I54" s="13"/>
      <c r="J54" s="121"/>
      <c r="K54" s="121"/>
      <c r="L54" s="13"/>
      <c r="M54" s="146"/>
      <c r="O54" s="111"/>
      <c r="P54" s="111"/>
      <c r="Q54" s="111"/>
      <c r="R54" s="111"/>
      <c r="S54" s="112"/>
      <c r="T54" s="112"/>
      <c r="U54" s="111"/>
      <c r="V54" s="111"/>
    </row>
    <row r="55" s="2" customFormat="1" ht="15.75" spans="2:22">
      <c r="B55" s="104"/>
      <c r="C55" s="13"/>
      <c r="D55" s="13"/>
      <c r="E55" s="13"/>
      <c r="F55" s="13"/>
      <c r="G55" s="13"/>
      <c r="H55" s="121"/>
      <c r="I55" s="13"/>
      <c r="J55" s="121"/>
      <c r="K55" s="121"/>
      <c r="L55" s="13"/>
      <c r="M55" s="146"/>
      <c r="O55" s="111"/>
      <c r="P55" s="111"/>
      <c r="Q55" s="111"/>
      <c r="R55" s="111"/>
      <c r="S55" s="112"/>
      <c r="T55" s="112"/>
      <c r="U55" s="111"/>
      <c r="V55" s="111"/>
    </row>
    <row r="56" s="2" customFormat="1" ht="15.75" spans="2:22">
      <c r="B56" s="104"/>
      <c r="C56" s="13"/>
      <c r="D56" s="13"/>
      <c r="E56" s="13"/>
      <c r="F56" s="13"/>
      <c r="G56" s="13"/>
      <c r="H56" s="121"/>
      <c r="I56" s="13"/>
      <c r="J56" s="121"/>
      <c r="K56" s="121"/>
      <c r="L56" s="13"/>
      <c r="M56" s="146"/>
      <c r="O56" s="111"/>
      <c r="P56" s="111"/>
      <c r="Q56" s="111"/>
      <c r="R56" s="111"/>
      <c r="S56" s="112"/>
      <c r="T56" s="112"/>
      <c r="U56" s="111"/>
      <c r="V56" s="111"/>
    </row>
    <row r="57" s="2" customFormat="1" ht="15.75" spans="2:22">
      <c r="B57" s="104"/>
      <c r="C57" s="13"/>
      <c r="D57" s="13"/>
      <c r="E57" s="13"/>
      <c r="F57" s="13"/>
      <c r="G57" s="13"/>
      <c r="H57" s="121"/>
      <c r="I57" s="13"/>
      <c r="J57" s="121"/>
      <c r="K57" s="121"/>
      <c r="L57" s="13"/>
      <c r="M57" s="146"/>
      <c r="O57" s="111"/>
      <c r="P57" s="111"/>
      <c r="Q57" s="111"/>
      <c r="R57" s="111"/>
      <c r="S57" s="112"/>
      <c r="T57" s="112"/>
      <c r="U57" s="111"/>
      <c r="V57" s="111"/>
    </row>
    <row r="58" s="2" customFormat="1" ht="15.75" spans="2:22">
      <c r="B58" s="104"/>
      <c r="C58" s="13"/>
      <c r="D58" s="13"/>
      <c r="E58" s="13"/>
      <c r="F58" s="13"/>
      <c r="G58" s="13"/>
      <c r="H58" s="121"/>
      <c r="I58" s="13"/>
      <c r="J58" s="121"/>
      <c r="K58" s="121"/>
      <c r="L58" s="13"/>
      <c r="M58" s="146"/>
      <c r="O58" s="111"/>
      <c r="P58" s="111"/>
      <c r="Q58" s="111"/>
      <c r="R58" s="111"/>
      <c r="S58" s="112"/>
      <c r="T58" s="112"/>
      <c r="U58" s="111"/>
      <c r="V58" s="111"/>
    </row>
    <row r="59" s="2" customFormat="1" ht="15.75" spans="2:22">
      <c r="B59" s="104"/>
      <c r="C59" s="13"/>
      <c r="D59" s="13"/>
      <c r="E59" s="13"/>
      <c r="F59" s="13"/>
      <c r="G59" s="13"/>
      <c r="H59" s="121"/>
      <c r="I59" s="13"/>
      <c r="J59" s="121"/>
      <c r="K59" s="121"/>
      <c r="L59" s="13"/>
      <c r="M59" s="146"/>
      <c r="O59" s="111"/>
      <c r="P59" s="111"/>
      <c r="Q59" s="111"/>
      <c r="R59" s="111"/>
      <c r="S59" s="112"/>
      <c r="T59" s="112"/>
      <c r="U59" s="111"/>
      <c r="V59" s="111"/>
    </row>
    <row r="60" s="2" customFormat="1" ht="15.75" spans="2:22">
      <c r="B60" s="120"/>
      <c r="C60" s="13"/>
      <c r="D60" s="13"/>
      <c r="E60" s="13"/>
      <c r="F60" s="13"/>
      <c r="G60" s="13"/>
      <c r="H60" s="121"/>
      <c r="I60" s="13"/>
      <c r="J60" s="121"/>
      <c r="K60" s="121"/>
      <c r="L60" s="13"/>
      <c r="M60" s="146"/>
      <c r="O60" s="111"/>
      <c r="P60" s="111"/>
      <c r="Q60" s="111"/>
      <c r="R60" s="111"/>
      <c r="S60" s="112"/>
      <c r="T60" s="112"/>
      <c r="U60" s="111"/>
      <c r="V60" s="111"/>
    </row>
    <row r="61" s="2" customFormat="1" ht="15.75" spans="2:22">
      <c r="B61" s="125"/>
      <c r="C61" s="134"/>
      <c r="D61" s="126" t="s">
        <v>90</v>
      </c>
      <c r="E61" s="126"/>
      <c r="F61" s="126"/>
      <c r="G61" s="126"/>
      <c r="H61" s="126"/>
      <c r="I61" s="126"/>
      <c r="J61" s="157">
        <f>COUNT(B47:B59)</f>
        <v>0</v>
      </c>
      <c r="K61" s="150"/>
      <c r="L61" s="134"/>
      <c r="M61" s="151"/>
      <c r="O61" s="111"/>
      <c r="P61" s="111"/>
      <c r="Q61" s="111"/>
      <c r="R61" s="111"/>
      <c r="S61" s="112"/>
      <c r="T61" s="112"/>
      <c r="U61" s="111"/>
      <c r="V61" s="111"/>
    </row>
    <row r="62" s="2" customFormat="1" spans="2:22">
      <c r="B62" s="107"/>
      <c r="H62" s="110"/>
      <c r="O62" s="111"/>
      <c r="P62" s="111"/>
      <c r="Q62" s="111"/>
      <c r="R62" s="111"/>
      <c r="S62" s="112"/>
      <c r="T62" s="112"/>
      <c r="U62" s="111"/>
      <c r="V62" s="111"/>
    </row>
    <row r="63" ht="15.75"/>
    <row r="64" spans="2:13">
      <c r="B64" s="117"/>
      <c r="C64" s="129"/>
      <c r="D64" s="129"/>
      <c r="E64" s="129"/>
      <c r="F64" s="129"/>
      <c r="G64" s="130" t="s">
        <v>37</v>
      </c>
      <c r="H64" s="130"/>
      <c r="I64" s="118"/>
      <c r="J64" s="154"/>
      <c r="K64" s="154"/>
      <c r="L64" s="118"/>
      <c r="M64" s="137"/>
    </row>
    <row r="65" spans="2:13">
      <c r="B65" s="120"/>
      <c r="C65" s="13"/>
      <c r="D65" s="13"/>
      <c r="E65" s="13"/>
      <c r="F65" s="13"/>
      <c r="G65" s="13"/>
      <c r="H65" s="121"/>
      <c r="I65" s="13"/>
      <c r="J65" s="121"/>
      <c r="K65" s="121"/>
      <c r="L65" s="13"/>
      <c r="M65" s="140"/>
    </row>
    <row r="66" spans="2:13">
      <c r="B66" s="122" t="s">
        <v>65</v>
      </c>
      <c r="C66" s="123" t="s">
        <v>66</v>
      </c>
      <c r="D66" s="123" t="s">
        <v>67</v>
      </c>
      <c r="E66" s="123" t="s">
        <v>68</v>
      </c>
      <c r="F66" s="123" t="s">
        <v>69</v>
      </c>
      <c r="G66" s="123" t="s">
        <v>70</v>
      </c>
      <c r="H66" s="124" t="s">
        <v>71</v>
      </c>
      <c r="I66" s="123" t="s">
        <v>72</v>
      </c>
      <c r="J66" s="123" t="s">
        <v>73</v>
      </c>
      <c r="K66" s="123" t="s">
        <v>74</v>
      </c>
      <c r="L66" s="123" t="s">
        <v>54</v>
      </c>
      <c r="M66" s="56" t="s">
        <v>75</v>
      </c>
    </row>
    <row r="67" ht="15.75" spans="2:13">
      <c r="B67" s="103"/>
      <c r="C67" s="13" t="s">
        <v>37</v>
      </c>
      <c r="D67" s="13" t="s">
        <v>47</v>
      </c>
      <c r="E67" s="13">
        <v>0</v>
      </c>
      <c r="F67" s="13">
        <v>5</v>
      </c>
      <c r="G67" s="13">
        <v>0</v>
      </c>
      <c r="H67" s="170"/>
      <c r="I67" s="13">
        <v>0</v>
      </c>
      <c r="J67" s="121" t="e">
        <f>F67/H67</f>
        <v>#DIV/0!</v>
      </c>
      <c r="K67" s="121">
        <f>(H67-F67)*100/F67</f>
        <v>-100</v>
      </c>
      <c r="L67" s="13" t="s">
        <v>81</v>
      </c>
      <c r="M67" s="145" t="s">
        <v>56</v>
      </c>
    </row>
    <row r="68" ht="15.75" spans="2:13">
      <c r="B68" s="103"/>
      <c r="C68" s="13" t="s">
        <v>37</v>
      </c>
      <c r="D68" s="13" t="s">
        <v>47</v>
      </c>
      <c r="E68" s="13">
        <v>0</v>
      </c>
      <c r="F68" s="13">
        <v>5</v>
      </c>
      <c r="G68" s="13">
        <v>0</v>
      </c>
      <c r="H68" s="121"/>
      <c r="I68" s="13">
        <v>0</v>
      </c>
      <c r="J68" s="121" t="e">
        <f t="shared" ref="J68:J73" si="4">F68/H68</f>
        <v>#DIV/0!</v>
      </c>
      <c r="K68" s="121">
        <f t="shared" ref="K68:K73" si="5">(H68-F68)*100/F68</f>
        <v>-100</v>
      </c>
      <c r="L68" s="13" t="s">
        <v>81</v>
      </c>
      <c r="M68" s="145" t="s">
        <v>56</v>
      </c>
    </row>
    <row r="69" ht="15.75" spans="2:13">
      <c r="B69" s="103"/>
      <c r="C69" s="13" t="s">
        <v>37</v>
      </c>
      <c r="D69" s="13" t="s">
        <v>47</v>
      </c>
      <c r="E69" s="13">
        <v>0</v>
      </c>
      <c r="F69" s="13">
        <v>5</v>
      </c>
      <c r="G69" s="13">
        <v>0</v>
      </c>
      <c r="H69" s="121"/>
      <c r="I69" s="13">
        <v>0</v>
      </c>
      <c r="J69" s="121" t="e">
        <f t="shared" si="4"/>
        <v>#DIV/0!</v>
      </c>
      <c r="K69" s="121">
        <f t="shared" si="5"/>
        <v>-100</v>
      </c>
      <c r="L69" s="13" t="s">
        <v>81</v>
      </c>
      <c r="M69" s="145" t="s">
        <v>56</v>
      </c>
    </row>
    <row r="70" ht="15.75" spans="2:13">
      <c r="B70" s="103"/>
      <c r="C70" s="13" t="s">
        <v>37</v>
      </c>
      <c r="D70" s="13" t="s">
        <v>47</v>
      </c>
      <c r="E70" s="13">
        <v>0</v>
      </c>
      <c r="F70" s="13">
        <v>5</v>
      </c>
      <c r="G70" s="13">
        <v>0</v>
      </c>
      <c r="H70" s="121"/>
      <c r="I70" s="13">
        <v>0</v>
      </c>
      <c r="J70" s="121" t="e">
        <f t="shared" si="4"/>
        <v>#DIV/0!</v>
      </c>
      <c r="K70" s="121">
        <f t="shared" si="5"/>
        <v>-100</v>
      </c>
      <c r="L70" s="13" t="s">
        <v>81</v>
      </c>
      <c r="M70" s="145" t="s">
        <v>56</v>
      </c>
    </row>
    <row r="71" ht="15.75" spans="2:13">
      <c r="B71" s="103"/>
      <c r="C71" s="13" t="s">
        <v>37</v>
      </c>
      <c r="D71" s="13" t="s">
        <v>47</v>
      </c>
      <c r="E71" s="13">
        <v>0</v>
      </c>
      <c r="F71" s="13">
        <v>5</v>
      </c>
      <c r="G71" s="13">
        <v>0</v>
      </c>
      <c r="H71" s="170"/>
      <c r="I71" s="13">
        <v>0</v>
      </c>
      <c r="J71" s="121" t="e">
        <f t="shared" si="4"/>
        <v>#DIV/0!</v>
      </c>
      <c r="K71" s="121">
        <f t="shared" si="5"/>
        <v>-100</v>
      </c>
      <c r="L71" s="13" t="s">
        <v>81</v>
      </c>
      <c r="M71" s="145" t="s">
        <v>56</v>
      </c>
    </row>
    <row r="72" ht="15.75" spans="2:13">
      <c r="B72" s="103"/>
      <c r="C72" s="13" t="s">
        <v>37</v>
      </c>
      <c r="D72" s="13" t="s">
        <v>47</v>
      </c>
      <c r="E72" s="13">
        <v>0</v>
      </c>
      <c r="F72" s="13">
        <v>5</v>
      </c>
      <c r="G72" s="13">
        <v>0</v>
      </c>
      <c r="H72" s="170"/>
      <c r="I72" s="13">
        <v>0</v>
      </c>
      <c r="J72" s="121" t="e">
        <f t="shared" si="4"/>
        <v>#DIV/0!</v>
      </c>
      <c r="K72" s="121">
        <f t="shared" si="5"/>
        <v>-100</v>
      </c>
      <c r="L72" s="13" t="s">
        <v>81</v>
      </c>
      <c r="M72" s="145" t="s">
        <v>56</v>
      </c>
    </row>
    <row r="73" ht="15.75" spans="2:13">
      <c r="B73" s="103"/>
      <c r="C73" s="13" t="s">
        <v>37</v>
      </c>
      <c r="D73" s="13" t="s">
        <v>47</v>
      </c>
      <c r="E73" s="13">
        <v>0</v>
      </c>
      <c r="F73" s="13">
        <v>5</v>
      </c>
      <c r="G73" s="13">
        <v>0</v>
      </c>
      <c r="H73" s="170"/>
      <c r="I73" s="13">
        <v>0</v>
      </c>
      <c r="J73" s="121" t="e">
        <f t="shared" si="4"/>
        <v>#DIV/0!</v>
      </c>
      <c r="K73" s="121">
        <f t="shared" si="5"/>
        <v>-100</v>
      </c>
      <c r="L73" s="13" t="s">
        <v>81</v>
      </c>
      <c r="M73" s="145" t="s">
        <v>56</v>
      </c>
    </row>
    <row r="74" ht="15.75" spans="2:13">
      <c r="B74" s="103"/>
      <c r="C74" s="13"/>
      <c r="D74" s="13"/>
      <c r="E74" s="13"/>
      <c r="F74" s="13"/>
      <c r="G74" s="13"/>
      <c r="H74" s="170"/>
      <c r="I74" s="13"/>
      <c r="J74" s="121"/>
      <c r="K74" s="121"/>
      <c r="L74" s="13"/>
      <c r="M74" s="146"/>
    </row>
    <row r="75" ht="15.75" spans="2:13">
      <c r="B75" s="103"/>
      <c r="C75" s="13"/>
      <c r="D75" s="13"/>
      <c r="E75" s="13"/>
      <c r="F75" s="13"/>
      <c r="G75" s="13"/>
      <c r="H75" s="170"/>
      <c r="I75" s="13"/>
      <c r="J75" s="121"/>
      <c r="K75" s="121"/>
      <c r="L75" s="13"/>
      <c r="M75" s="146"/>
    </row>
    <row r="76" ht="15.75" spans="2:13">
      <c r="B76" s="103"/>
      <c r="C76" s="13"/>
      <c r="D76" s="13"/>
      <c r="E76" s="13"/>
      <c r="F76" s="13"/>
      <c r="G76" s="13"/>
      <c r="H76" s="170"/>
      <c r="I76" s="13"/>
      <c r="J76" s="121"/>
      <c r="K76" s="121"/>
      <c r="L76" s="13"/>
      <c r="M76" s="146"/>
    </row>
    <row r="77" ht="15.75" spans="2:13">
      <c r="B77" s="104"/>
      <c r="C77" s="13"/>
      <c r="D77" s="13"/>
      <c r="E77" s="13"/>
      <c r="F77" s="13"/>
      <c r="G77" s="13"/>
      <c r="H77" s="170"/>
      <c r="I77" s="13"/>
      <c r="J77" s="121"/>
      <c r="K77" s="121"/>
      <c r="L77" s="13"/>
      <c r="M77" s="146"/>
    </row>
    <row r="78" ht="15.75" spans="2:13">
      <c r="B78" s="104"/>
      <c r="C78" s="13"/>
      <c r="D78" s="13"/>
      <c r="E78" s="13"/>
      <c r="F78" s="13"/>
      <c r="G78" s="13"/>
      <c r="H78" s="170"/>
      <c r="I78" s="13"/>
      <c r="J78" s="121"/>
      <c r="K78" s="121"/>
      <c r="L78" s="13"/>
      <c r="M78" s="146"/>
    </row>
    <row r="79" ht="15.75" spans="2:13">
      <c r="B79" s="104"/>
      <c r="C79" s="13"/>
      <c r="D79" s="13"/>
      <c r="E79" s="13"/>
      <c r="F79" s="13"/>
      <c r="G79" s="13"/>
      <c r="H79" s="170"/>
      <c r="I79" s="13"/>
      <c r="J79" s="121"/>
      <c r="K79" s="121"/>
      <c r="L79" s="13"/>
      <c r="M79" s="146"/>
    </row>
    <row r="80" ht="15.75" spans="2:13">
      <c r="B80" s="120"/>
      <c r="C80" s="13"/>
      <c r="D80" s="13"/>
      <c r="E80" s="13"/>
      <c r="F80" s="13"/>
      <c r="G80" s="13"/>
      <c r="H80" s="170"/>
      <c r="I80" s="13"/>
      <c r="J80" s="121"/>
      <c r="K80" s="121"/>
      <c r="L80" s="13"/>
      <c r="M80" s="146"/>
    </row>
    <row r="81" ht="15.75" spans="2:13">
      <c r="B81" s="125"/>
      <c r="C81" s="134"/>
      <c r="D81" s="126" t="s">
        <v>91</v>
      </c>
      <c r="E81" s="126"/>
      <c r="F81" s="126"/>
      <c r="G81" s="126"/>
      <c r="H81" s="126"/>
      <c r="I81" s="126"/>
      <c r="J81" s="157">
        <f>COUNT(B67:B79)</f>
        <v>0</v>
      </c>
      <c r="K81" s="150"/>
      <c r="L81" s="134"/>
      <c r="M81" s="151"/>
    </row>
    <row r="83" ht="15.75"/>
    <row r="84" spans="2:13">
      <c r="B84" s="117"/>
      <c r="C84" s="129"/>
      <c r="D84" s="129"/>
      <c r="E84" s="129"/>
      <c r="F84" s="129"/>
      <c r="G84" s="130" t="s">
        <v>92</v>
      </c>
      <c r="H84" s="130"/>
      <c r="I84" s="118"/>
      <c r="J84" s="154"/>
      <c r="K84" s="154"/>
      <c r="L84" s="118"/>
      <c r="M84" s="137"/>
    </row>
    <row r="85" spans="2:13">
      <c r="B85" s="120"/>
      <c r="C85" s="13"/>
      <c r="D85" s="13"/>
      <c r="E85" s="13"/>
      <c r="F85" s="13"/>
      <c r="G85" s="13"/>
      <c r="H85" s="121"/>
      <c r="I85" s="13"/>
      <c r="J85" s="121"/>
      <c r="K85" s="121"/>
      <c r="L85" s="13"/>
      <c r="M85" s="140"/>
    </row>
    <row r="86" spans="2:13">
      <c r="B86" s="122" t="s">
        <v>65</v>
      </c>
      <c r="C86" s="123" t="s">
        <v>66</v>
      </c>
      <c r="D86" s="123" t="s">
        <v>67</v>
      </c>
      <c r="E86" s="123" t="s">
        <v>68</v>
      </c>
      <c r="F86" s="123" t="s">
        <v>69</v>
      </c>
      <c r="G86" s="123" t="s">
        <v>70</v>
      </c>
      <c r="H86" s="124" t="s">
        <v>71</v>
      </c>
      <c r="I86" s="123" t="s">
        <v>72</v>
      </c>
      <c r="J86" s="123" t="s">
        <v>73</v>
      </c>
      <c r="K86" s="123" t="s">
        <v>74</v>
      </c>
      <c r="L86" s="123" t="s">
        <v>54</v>
      </c>
      <c r="M86" s="56" t="s">
        <v>75</v>
      </c>
    </row>
    <row r="87" ht="15.75" spans="2:13">
      <c r="B87" s="103"/>
      <c r="C87" s="13" t="s">
        <v>92</v>
      </c>
      <c r="D87" s="13" t="s">
        <v>39</v>
      </c>
      <c r="E87" s="13">
        <v>0</v>
      </c>
      <c r="F87" s="13">
        <v>60</v>
      </c>
      <c r="G87" s="13">
        <v>0</v>
      </c>
      <c r="H87" s="121"/>
      <c r="I87" s="13">
        <v>0</v>
      </c>
      <c r="J87" s="121" t="e">
        <f t="shared" ref="J87:J92" si="6">F87/H87</f>
        <v>#DIV/0!</v>
      </c>
      <c r="K87" s="121">
        <f t="shared" ref="K87:K92" si="7">(H87-F87)*100/F87</f>
        <v>-100</v>
      </c>
      <c r="L87" s="13" t="s">
        <v>81</v>
      </c>
      <c r="M87" s="145" t="s">
        <v>56</v>
      </c>
    </row>
    <row r="88" ht="15.75" spans="2:13">
      <c r="B88" s="103"/>
      <c r="C88" s="13" t="s">
        <v>92</v>
      </c>
      <c r="D88" s="13" t="s">
        <v>39</v>
      </c>
      <c r="E88" s="13">
        <v>0</v>
      </c>
      <c r="F88" s="13">
        <v>60</v>
      </c>
      <c r="G88" s="13">
        <v>0</v>
      </c>
      <c r="H88" s="121"/>
      <c r="I88" s="13">
        <v>0</v>
      </c>
      <c r="J88" s="121" t="e">
        <f t="shared" si="6"/>
        <v>#DIV/0!</v>
      </c>
      <c r="K88" s="121">
        <f t="shared" si="7"/>
        <v>-100</v>
      </c>
      <c r="L88" s="13" t="s">
        <v>81</v>
      </c>
      <c r="M88" s="145" t="s">
        <v>56</v>
      </c>
    </row>
    <row r="89" ht="15.75" spans="2:13">
      <c r="B89" s="103"/>
      <c r="C89" s="13" t="s">
        <v>92</v>
      </c>
      <c r="D89" s="13" t="s">
        <v>39</v>
      </c>
      <c r="E89" s="13">
        <v>0</v>
      </c>
      <c r="F89" s="13">
        <v>60</v>
      </c>
      <c r="G89" s="13">
        <v>0</v>
      </c>
      <c r="H89" s="121"/>
      <c r="I89" s="13">
        <v>0</v>
      </c>
      <c r="J89" s="121" t="e">
        <f t="shared" si="6"/>
        <v>#DIV/0!</v>
      </c>
      <c r="K89" s="121">
        <f t="shared" si="7"/>
        <v>-100</v>
      </c>
      <c r="L89" s="13" t="s">
        <v>81</v>
      </c>
      <c r="M89" s="145" t="s">
        <v>56</v>
      </c>
    </row>
    <row r="90" ht="15.75" spans="2:13">
      <c r="B90" s="103"/>
      <c r="C90" s="13" t="s">
        <v>92</v>
      </c>
      <c r="D90" s="13" t="s">
        <v>39</v>
      </c>
      <c r="E90" s="13">
        <v>0</v>
      </c>
      <c r="F90" s="13">
        <v>60</v>
      </c>
      <c r="G90" s="13">
        <v>0</v>
      </c>
      <c r="H90" s="121"/>
      <c r="I90" s="13">
        <v>0</v>
      </c>
      <c r="J90" s="121" t="e">
        <f t="shared" si="6"/>
        <v>#DIV/0!</v>
      </c>
      <c r="K90" s="121">
        <f t="shared" si="7"/>
        <v>-100</v>
      </c>
      <c r="L90" s="13" t="s">
        <v>81</v>
      </c>
      <c r="M90" s="145" t="s">
        <v>56</v>
      </c>
    </row>
    <row r="91" ht="15.75" spans="2:13">
      <c r="B91" s="103"/>
      <c r="C91" s="13" t="s">
        <v>92</v>
      </c>
      <c r="D91" s="13" t="s">
        <v>39</v>
      </c>
      <c r="E91" s="13">
        <v>0</v>
      </c>
      <c r="F91" s="13">
        <v>60</v>
      </c>
      <c r="G91" s="13">
        <v>0</v>
      </c>
      <c r="H91" s="121"/>
      <c r="I91" s="13">
        <v>0</v>
      </c>
      <c r="J91" s="121" t="e">
        <f t="shared" si="6"/>
        <v>#DIV/0!</v>
      </c>
      <c r="K91" s="121">
        <f t="shared" si="7"/>
        <v>-100</v>
      </c>
      <c r="L91" s="13" t="s">
        <v>81</v>
      </c>
      <c r="M91" s="145" t="s">
        <v>56</v>
      </c>
    </row>
    <row r="92" ht="15.75" spans="2:13">
      <c r="B92" s="103"/>
      <c r="C92" s="13" t="s">
        <v>92</v>
      </c>
      <c r="D92" s="13" t="s">
        <v>39</v>
      </c>
      <c r="E92" s="13">
        <v>0</v>
      </c>
      <c r="F92" s="13">
        <v>60</v>
      </c>
      <c r="G92" s="13">
        <v>0</v>
      </c>
      <c r="H92" s="121"/>
      <c r="I92" s="13">
        <v>0</v>
      </c>
      <c r="J92" s="121" t="e">
        <f t="shared" si="6"/>
        <v>#DIV/0!</v>
      </c>
      <c r="K92" s="121">
        <f t="shared" si="7"/>
        <v>-100</v>
      </c>
      <c r="L92" s="13" t="s">
        <v>81</v>
      </c>
      <c r="M92" s="145" t="s">
        <v>56</v>
      </c>
    </row>
    <row r="93" ht="15.75" spans="2:13">
      <c r="B93" s="104"/>
      <c r="C93" s="13"/>
      <c r="D93" s="13"/>
      <c r="E93" s="13"/>
      <c r="F93" s="13"/>
      <c r="G93" s="13"/>
      <c r="H93" s="121"/>
      <c r="I93" s="13"/>
      <c r="J93" s="121"/>
      <c r="K93" s="121"/>
      <c r="L93" s="13"/>
      <c r="M93" s="145" t="s">
        <v>56</v>
      </c>
    </row>
    <row r="94" ht="15.75" spans="2:13">
      <c r="B94" s="104"/>
      <c r="C94" s="13"/>
      <c r="D94" s="13"/>
      <c r="E94" s="13"/>
      <c r="F94" s="13"/>
      <c r="G94" s="13"/>
      <c r="H94" s="121"/>
      <c r="I94" s="13"/>
      <c r="J94" s="121"/>
      <c r="K94" s="121"/>
      <c r="L94" s="13"/>
      <c r="M94" s="146"/>
    </row>
    <row r="95" ht="15.75" spans="2:13">
      <c r="B95" s="104"/>
      <c r="C95" s="13"/>
      <c r="D95" s="13"/>
      <c r="E95" s="13"/>
      <c r="F95" s="13"/>
      <c r="G95" s="13"/>
      <c r="H95" s="121"/>
      <c r="I95" s="13"/>
      <c r="J95" s="121"/>
      <c r="K95" s="121"/>
      <c r="L95" s="13"/>
      <c r="M95" s="146"/>
    </row>
    <row r="96" ht="15.75" spans="2:13">
      <c r="B96" s="104"/>
      <c r="C96" s="13"/>
      <c r="D96" s="13"/>
      <c r="E96" s="13"/>
      <c r="F96" s="13"/>
      <c r="G96" s="13"/>
      <c r="H96" s="121"/>
      <c r="I96" s="13"/>
      <c r="J96" s="121"/>
      <c r="K96" s="121"/>
      <c r="L96" s="13"/>
      <c r="M96" s="146"/>
    </row>
    <row r="97" ht="15.75" spans="2:13">
      <c r="B97" s="104"/>
      <c r="C97" s="13"/>
      <c r="D97" s="13"/>
      <c r="E97" s="13"/>
      <c r="F97" s="13"/>
      <c r="G97" s="13"/>
      <c r="H97" s="121"/>
      <c r="I97" s="13"/>
      <c r="J97" s="121"/>
      <c r="K97" s="121"/>
      <c r="L97" s="13"/>
      <c r="M97" s="146"/>
    </row>
    <row r="98" ht="15.75" spans="2:13">
      <c r="B98" s="104"/>
      <c r="C98" s="13"/>
      <c r="D98" s="13"/>
      <c r="E98" s="13"/>
      <c r="F98" s="13"/>
      <c r="G98" s="13"/>
      <c r="H98" s="121"/>
      <c r="I98" s="13"/>
      <c r="J98" s="121"/>
      <c r="K98" s="121"/>
      <c r="L98" s="13"/>
      <c r="M98" s="146"/>
    </row>
    <row r="99" ht="15.75" spans="2:13">
      <c r="B99" s="104"/>
      <c r="C99" s="13"/>
      <c r="D99" s="13"/>
      <c r="E99" s="13"/>
      <c r="F99" s="13"/>
      <c r="G99" s="13"/>
      <c r="H99" s="121"/>
      <c r="I99" s="13"/>
      <c r="J99" s="121"/>
      <c r="K99" s="121"/>
      <c r="L99" s="13"/>
      <c r="M99" s="146"/>
    </row>
    <row r="100" ht="15.75" spans="2:13">
      <c r="B100" s="120"/>
      <c r="C100" s="13"/>
      <c r="D100" s="13"/>
      <c r="E100" s="13"/>
      <c r="F100" s="13"/>
      <c r="G100" s="13"/>
      <c r="H100" s="121"/>
      <c r="I100" s="13"/>
      <c r="J100" s="121"/>
      <c r="K100" s="121"/>
      <c r="L100" s="13"/>
      <c r="M100" s="146"/>
    </row>
    <row r="101" ht="15.75" spans="2:13">
      <c r="B101" s="125"/>
      <c r="C101" s="134"/>
      <c r="D101" s="126" t="s">
        <v>93</v>
      </c>
      <c r="E101" s="126"/>
      <c r="F101" s="126"/>
      <c r="G101" s="126"/>
      <c r="H101" s="126"/>
      <c r="I101" s="126"/>
      <c r="J101" s="157">
        <f>COUNT(B87:B99)</f>
        <v>0</v>
      </c>
      <c r="K101" s="150"/>
      <c r="L101" s="134"/>
      <c r="M101" s="151"/>
    </row>
    <row r="103" ht="15.75"/>
    <row r="104" spans="2:13">
      <c r="B104" s="117"/>
      <c r="C104" s="118"/>
      <c r="D104" s="118"/>
      <c r="E104" s="118"/>
      <c r="F104" s="118"/>
      <c r="G104" s="119" t="s">
        <v>94</v>
      </c>
      <c r="H104" s="119"/>
      <c r="I104" s="118"/>
      <c r="J104" s="118"/>
      <c r="K104" s="118"/>
      <c r="L104" s="118"/>
      <c r="M104" s="137"/>
    </row>
    <row r="105" spans="2:13">
      <c r="B105" s="120"/>
      <c r="C105" s="13"/>
      <c r="D105" s="13"/>
      <c r="E105" s="13"/>
      <c r="F105" s="13"/>
      <c r="G105" s="13"/>
      <c r="H105" s="121"/>
      <c r="I105" s="13"/>
      <c r="J105" s="13"/>
      <c r="K105" s="13"/>
      <c r="L105" s="13"/>
      <c r="M105" s="140"/>
    </row>
    <row r="106" spans="2:13">
      <c r="B106" s="171" t="s">
        <v>65</v>
      </c>
      <c r="C106" s="123" t="s">
        <v>66</v>
      </c>
      <c r="D106" s="123" t="s">
        <v>67</v>
      </c>
      <c r="E106" s="123" t="s">
        <v>68</v>
      </c>
      <c r="F106" s="123" t="s">
        <v>69</v>
      </c>
      <c r="G106" s="123" t="s">
        <v>70</v>
      </c>
      <c r="H106" s="124" t="s">
        <v>71</v>
      </c>
      <c r="I106" s="123" t="s">
        <v>72</v>
      </c>
      <c r="J106" s="123" t="s">
        <v>73</v>
      </c>
      <c r="K106" s="123" t="s">
        <v>74</v>
      </c>
      <c r="L106" s="123" t="s">
        <v>54</v>
      </c>
      <c r="M106" s="172" t="s">
        <v>75</v>
      </c>
    </row>
    <row r="107" ht="15.75" spans="2:13">
      <c r="B107" s="103"/>
      <c r="C107" s="13" t="s">
        <v>94</v>
      </c>
      <c r="D107" s="13" t="s">
        <v>39</v>
      </c>
      <c r="E107" s="13">
        <v>0</v>
      </c>
      <c r="F107" s="13">
        <v>320</v>
      </c>
      <c r="G107" s="13">
        <v>0</v>
      </c>
      <c r="H107" s="121"/>
      <c r="I107" s="13">
        <f>G107-E107</f>
        <v>0</v>
      </c>
      <c r="J107" s="121" t="e">
        <f>F107/H107</f>
        <v>#DIV/0!</v>
      </c>
      <c r="K107" s="121">
        <f>(H107-F107)*100/F107</f>
        <v>-100</v>
      </c>
      <c r="L107" s="13" t="s">
        <v>81</v>
      </c>
      <c r="M107" s="145" t="s">
        <v>56</v>
      </c>
    </row>
    <row r="108" ht="15.75" spans="2:13">
      <c r="B108" s="103"/>
      <c r="C108" s="13" t="s">
        <v>94</v>
      </c>
      <c r="D108" s="13" t="s">
        <v>39</v>
      </c>
      <c r="E108" s="13">
        <v>0</v>
      </c>
      <c r="F108" s="13">
        <v>320</v>
      </c>
      <c r="G108" s="13">
        <v>0</v>
      </c>
      <c r="H108" s="121"/>
      <c r="I108" s="13">
        <f>G108-E108</f>
        <v>0</v>
      </c>
      <c r="J108" s="121" t="e">
        <f>F108/H108</f>
        <v>#DIV/0!</v>
      </c>
      <c r="K108" s="121">
        <f>(H108-F108)*100/F108</f>
        <v>-100</v>
      </c>
      <c r="L108" s="13" t="s">
        <v>81</v>
      </c>
      <c r="M108" s="145" t="s">
        <v>56</v>
      </c>
    </row>
    <row r="109" ht="15.75" spans="2:13">
      <c r="B109" s="103"/>
      <c r="C109" s="13" t="s">
        <v>94</v>
      </c>
      <c r="D109" s="13" t="s">
        <v>39</v>
      </c>
      <c r="E109" s="13">
        <v>0</v>
      </c>
      <c r="F109" s="13">
        <v>320</v>
      </c>
      <c r="G109" s="13">
        <v>0</v>
      </c>
      <c r="H109" s="121"/>
      <c r="I109" s="13">
        <f t="shared" ref="I109:I115" si="8">G109-E109</f>
        <v>0</v>
      </c>
      <c r="J109" s="121" t="e">
        <f t="shared" ref="J109:J115" si="9">F109/H109</f>
        <v>#DIV/0!</v>
      </c>
      <c r="K109" s="121">
        <f t="shared" ref="K109:K115" si="10">(H109-F109)*100/F109</f>
        <v>-100</v>
      </c>
      <c r="L109" s="13" t="s">
        <v>81</v>
      </c>
      <c r="M109" s="145" t="s">
        <v>56</v>
      </c>
    </row>
    <row r="110" ht="15.75" spans="2:13">
      <c r="B110" s="103"/>
      <c r="C110" s="13" t="s">
        <v>94</v>
      </c>
      <c r="D110" s="13" t="s">
        <v>39</v>
      </c>
      <c r="E110" s="13">
        <v>0</v>
      </c>
      <c r="F110" s="13">
        <v>320</v>
      </c>
      <c r="G110" s="13">
        <v>0</v>
      </c>
      <c r="H110" s="121"/>
      <c r="I110" s="13">
        <f t="shared" si="8"/>
        <v>0</v>
      </c>
      <c r="J110" s="121" t="e">
        <f t="shared" si="9"/>
        <v>#DIV/0!</v>
      </c>
      <c r="K110" s="121">
        <f t="shared" si="10"/>
        <v>-100</v>
      </c>
      <c r="L110" s="13" t="s">
        <v>81</v>
      </c>
      <c r="M110" s="145" t="s">
        <v>56</v>
      </c>
    </row>
    <row r="111" ht="15.75" spans="2:13">
      <c r="B111" s="103"/>
      <c r="C111" s="13" t="s">
        <v>94</v>
      </c>
      <c r="D111" s="13" t="s">
        <v>39</v>
      </c>
      <c r="E111" s="13">
        <v>0</v>
      </c>
      <c r="F111" s="13">
        <v>320</v>
      </c>
      <c r="G111" s="13">
        <v>0</v>
      </c>
      <c r="H111" s="121"/>
      <c r="I111" s="13">
        <f t="shared" si="8"/>
        <v>0</v>
      </c>
      <c r="J111" s="121" t="e">
        <f t="shared" si="9"/>
        <v>#DIV/0!</v>
      </c>
      <c r="K111" s="121">
        <f t="shared" si="10"/>
        <v>-100</v>
      </c>
      <c r="L111" s="13" t="s">
        <v>81</v>
      </c>
      <c r="M111" s="145" t="s">
        <v>56</v>
      </c>
    </row>
    <row r="112" ht="15.75" spans="2:13">
      <c r="B112" s="103"/>
      <c r="C112" s="13" t="s">
        <v>94</v>
      </c>
      <c r="D112" s="13" t="s">
        <v>39</v>
      </c>
      <c r="E112" s="13">
        <v>0</v>
      </c>
      <c r="F112" s="13">
        <v>320</v>
      </c>
      <c r="G112" s="13">
        <v>0</v>
      </c>
      <c r="H112" s="121"/>
      <c r="I112" s="13">
        <f t="shared" si="8"/>
        <v>0</v>
      </c>
      <c r="J112" s="121" t="e">
        <f t="shared" si="9"/>
        <v>#DIV/0!</v>
      </c>
      <c r="K112" s="121">
        <f t="shared" si="10"/>
        <v>-100</v>
      </c>
      <c r="L112" s="13" t="s">
        <v>81</v>
      </c>
      <c r="M112" s="145" t="s">
        <v>56</v>
      </c>
    </row>
    <row r="113" ht="15.75" spans="2:13">
      <c r="B113" s="103"/>
      <c r="C113" s="13" t="s">
        <v>94</v>
      </c>
      <c r="D113" s="13" t="s">
        <v>39</v>
      </c>
      <c r="E113" s="13">
        <v>0</v>
      </c>
      <c r="F113" s="13">
        <v>320</v>
      </c>
      <c r="G113" s="13">
        <v>0</v>
      </c>
      <c r="H113" s="121"/>
      <c r="I113" s="13">
        <f t="shared" si="8"/>
        <v>0</v>
      </c>
      <c r="J113" s="121" t="e">
        <f t="shared" si="9"/>
        <v>#DIV/0!</v>
      </c>
      <c r="K113" s="121">
        <f t="shared" si="10"/>
        <v>-100</v>
      </c>
      <c r="L113" s="13" t="s">
        <v>81</v>
      </c>
      <c r="M113" s="145" t="s">
        <v>56</v>
      </c>
    </row>
    <row r="114" ht="15.75" spans="2:13">
      <c r="B114" s="103"/>
      <c r="C114" s="13" t="s">
        <v>94</v>
      </c>
      <c r="D114" s="13" t="s">
        <v>39</v>
      </c>
      <c r="E114" s="13">
        <v>0</v>
      </c>
      <c r="F114" s="13">
        <v>320</v>
      </c>
      <c r="G114" s="13">
        <v>0</v>
      </c>
      <c r="H114" s="121"/>
      <c r="I114" s="13">
        <f t="shared" si="8"/>
        <v>0</v>
      </c>
      <c r="J114" s="121" t="e">
        <f t="shared" si="9"/>
        <v>#DIV/0!</v>
      </c>
      <c r="K114" s="121">
        <f t="shared" si="10"/>
        <v>-100</v>
      </c>
      <c r="L114" s="13" t="s">
        <v>81</v>
      </c>
      <c r="M114" s="146"/>
    </row>
    <row r="115" ht="15.75" spans="2:13">
      <c r="B115" s="103"/>
      <c r="C115" s="13" t="s">
        <v>94</v>
      </c>
      <c r="D115" s="13" t="s">
        <v>39</v>
      </c>
      <c r="E115" s="13">
        <v>0</v>
      </c>
      <c r="F115" s="13">
        <v>320</v>
      </c>
      <c r="G115" s="13">
        <v>0</v>
      </c>
      <c r="H115" s="121"/>
      <c r="I115" s="13">
        <f t="shared" si="8"/>
        <v>0</v>
      </c>
      <c r="J115" s="121" t="e">
        <f t="shared" si="9"/>
        <v>#DIV/0!</v>
      </c>
      <c r="K115" s="121">
        <f t="shared" si="10"/>
        <v>-100</v>
      </c>
      <c r="L115" s="13" t="s">
        <v>81</v>
      </c>
      <c r="M115" s="146"/>
    </row>
    <row r="116" ht="15.75" spans="2:13">
      <c r="B116" s="104"/>
      <c r="C116" s="13"/>
      <c r="D116" s="13"/>
      <c r="E116" s="13"/>
      <c r="F116" s="13"/>
      <c r="G116" s="13"/>
      <c r="H116" s="121"/>
      <c r="I116" s="13"/>
      <c r="J116" s="121"/>
      <c r="K116" s="121"/>
      <c r="L116" s="13"/>
      <c r="M116" s="146"/>
    </row>
    <row r="117" ht="15.75" spans="2:13">
      <c r="B117" s="104"/>
      <c r="C117" s="13"/>
      <c r="D117" s="13"/>
      <c r="E117" s="13"/>
      <c r="F117" s="13"/>
      <c r="G117" s="13"/>
      <c r="H117" s="121"/>
      <c r="I117" s="13"/>
      <c r="J117" s="121"/>
      <c r="K117" s="121"/>
      <c r="L117" s="13"/>
      <c r="M117" s="146"/>
    </row>
    <row r="118" ht="15.75" spans="2:13">
      <c r="B118" s="120"/>
      <c r="C118" s="13"/>
      <c r="D118" s="13"/>
      <c r="E118" s="13"/>
      <c r="F118" s="13"/>
      <c r="G118" s="13"/>
      <c r="H118" s="121"/>
      <c r="I118" s="13"/>
      <c r="J118" s="121"/>
      <c r="K118" s="121"/>
      <c r="L118" s="13"/>
      <c r="M118" s="146"/>
    </row>
    <row r="119" ht="15.75" spans="2:13">
      <c r="B119" s="125"/>
      <c r="C119" s="126" t="s">
        <v>95</v>
      </c>
      <c r="D119" s="126"/>
      <c r="E119" s="126"/>
      <c r="F119" s="126"/>
      <c r="G119" s="126"/>
      <c r="H119" s="126"/>
      <c r="I119" s="157">
        <f>COUNT(B107:B118)</f>
        <v>0</v>
      </c>
      <c r="J119" s="150"/>
      <c r="K119" s="150"/>
      <c r="L119" s="134"/>
      <c r="M119" s="151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G64:H64"/>
    <mergeCell ref="D81:I81"/>
    <mergeCell ref="G84:H84"/>
    <mergeCell ref="D101:I101"/>
    <mergeCell ref="G104:H104"/>
    <mergeCell ref="C119:H119"/>
  </mergeCells>
  <pageMargins left="0.7" right="0.7" top="0.75" bottom="0.75" header="0.3" footer="0.3"/>
  <pageSetup paperSize="9" orientation="portrait" horizontalDpi="300" verticalDpi="3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56"/>
  <sheetViews>
    <sheetView workbookViewId="0">
      <selection activeCell="D2" sqref="D2:E3"/>
    </sheetView>
  </sheetViews>
  <sheetFormatPr defaultColWidth="9" defaultRowHeight="15" outlineLevelCol="4"/>
  <cols>
    <col min="1" max="1" width="9.14285714285714" customWidth="1"/>
    <col min="2" max="2" width="28.2857142857143" customWidth="1"/>
    <col min="3" max="3" width="30" customWidth="1"/>
    <col min="4" max="4" width="27.8571428571429" customWidth="1"/>
  </cols>
  <sheetData>
    <row r="2" spans="2:5">
      <c r="B2" s="62" t="s">
        <v>96</v>
      </c>
      <c r="C2" s="62"/>
      <c r="D2" s="98">
        <f>'MONTHLY 31'!$B$2</f>
        <v>0</v>
      </c>
      <c r="E2" s="98"/>
    </row>
    <row r="3" spans="2:5">
      <c r="B3" s="62" t="s">
        <v>97</v>
      </c>
      <c r="C3" s="62"/>
      <c r="D3" s="98"/>
      <c r="E3" s="98"/>
    </row>
    <row r="7" s="2" customFormat="1" spans="2:4">
      <c r="B7" s="99" t="s">
        <v>98</v>
      </c>
      <c r="C7" s="99" t="s">
        <v>99</v>
      </c>
      <c r="D7" s="100" t="s">
        <v>100</v>
      </c>
    </row>
    <row r="8" s="2" customFormat="1" spans="2:4">
      <c r="B8" s="101"/>
      <c r="C8" s="101"/>
      <c r="D8" s="102">
        <f t="shared" ref="D8:D13" si="0">C8-B8</f>
        <v>0</v>
      </c>
    </row>
    <row r="9" s="2" customFormat="1" spans="2:4">
      <c r="B9" s="101"/>
      <c r="C9" s="101"/>
      <c r="D9" s="102">
        <f t="shared" si="0"/>
        <v>0</v>
      </c>
    </row>
    <row r="10" s="2" customFormat="1" spans="2:4">
      <c r="B10" s="103"/>
      <c r="C10" s="103"/>
      <c r="D10" s="102">
        <f t="shared" si="0"/>
        <v>0</v>
      </c>
    </row>
    <row r="11" s="2" customFormat="1" spans="2:4">
      <c r="B11" s="104"/>
      <c r="C11" s="104"/>
      <c r="D11" s="102">
        <f t="shared" si="0"/>
        <v>0</v>
      </c>
    </row>
    <row r="12" spans="2:4">
      <c r="B12" s="104"/>
      <c r="C12" s="104"/>
      <c r="D12" s="102">
        <f t="shared" si="0"/>
        <v>0</v>
      </c>
    </row>
    <row r="13" spans="2:4">
      <c r="B13" s="104"/>
      <c r="C13" s="104"/>
      <c r="D13" s="102">
        <f t="shared" si="0"/>
        <v>0</v>
      </c>
    </row>
    <row r="14" customFormat="1" spans="2:4">
      <c r="B14" s="104"/>
      <c r="C14" s="104"/>
      <c r="D14" s="102">
        <f t="shared" ref="D14:D23" si="1">C14-B14</f>
        <v>0</v>
      </c>
    </row>
    <row r="15" customFormat="1" spans="2:4">
      <c r="B15" s="103"/>
      <c r="C15" s="103"/>
      <c r="D15" s="102">
        <f t="shared" si="1"/>
        <v>0</v>
      </c>
    </row>
    <row r="16" customFormat="1" spans="2:4">
      <c r="B16" s="103"/>
      <c r="C16" s="103"/>
      <c r="D16" s="102">
        <f t="shared" si="1"/>
        <v>0</v>
      </c>
    </row>
    <row r="17" spans="2:4">
      <c r="B17" s="103"/>
      <c r="C17" s="103"/>
      <c r="D17" s="102">
        <f t="shared" si="1"/>
        <v>0</v>
      </c>
    </row>
    <row r="18" spans="2:4">
      <c r="B18" s="103"/>
      <c r="C18" s="103"/>
      <c r="D18" s="102">
        <f t="shared" si="1"/>
        <v>0</v>
      </c>
    </row>
    <row r="19" spans="2:4">
      <c r="B19" s="104"/>
      <c r="C19" s="103"/>
      <c r="D19" s="102">
        <f t="shared" si="1"/>
        <v>0</v>
      </c>
    </row>
    <row r="20" spans="2:4">
      <c r="B20" s="104"/>
      <c r="C20" s="103"/>
      <c r="D20" s="102">
        <f t="shared" si="1"/>
        <v>0</v>
      </c>
    </row>
    <row r="21" spans="2:4">
      <c r="B21" s="104"/>
      <c r="C21" s="103"/>
      <c r="D21" s="102">
        <f t="shared" si="1"/>
        <v>0</v>
      </c>
    </row>
    <row r="22" customFormat="1" spans="2:4">
      <c r="B22" s="104"/>
      <c r="C22" s="103"/>
      <c r="D22" s="102">
        <f t="shared" si="1"/>
        <v>0</v>
      </c>
    </row>
    <row r="23" customFormat="1" spans="2:4">
      <c r="B23" s="104"/>
      <c r="C23" s="103"/>
      <c r="D23" s="102">
        <f t="shared" si="1"/>
        <v>0</v>
      </c>
    </row>
    <row r="24" customFormat="1" spans="2:4">
      <c r="B24" s="105" t="s">
        <v>101</v>
      </c>
      <c r="C24" s="103"/>
      <c r="D24" s="102">
        <f>SUM(D7:D23)</f>
        <v>0</v>
      </c>
    </row>
    <row r="25" customFormat="1" spans="2:4">
      <c r="B25" s="106"/>
      <c r="C25" s="107"/>
      <c r="D25" s="108"/>
    </row>
    <row r="26" customFormat="1" spans="2:4">
      <c r="B26" s="106"/>
      <c r="C26" s="107"/>
      <c r="D26" s="108"/>
    </row>
    <row r="27" customFormat="1" spans="2:4">
      <c r="B27" s="106"/>
      <c r="C27" s="107"/>
      <c r="D27" s="108"/>
    </row>
    <row r="28" customFormat="1" spans="2:4">
      <c r="B28" s="106"/>
      <c r="C28" s="107"/>
      <c r="D28" s="108"/>
    </row>
    <row r="29" customFormat="1" spans="2:4">
      <c r="B29" s="106"/>
      <c r="C29" s="107"/>
      <c r="D29" s="108"/>
    </row>
    <row r="30" customFormat="1" spans="2:4">
      <c r="B30" s="106"/>
      <c r="C30" s="107"/>
      <c r="D30" s="108"/>
    </row>
    <row r="31" customFormat="1" spans="2:4">
      <c r="B31" s="106"/>
      <c r="C31" s="107"/>
      <c r="D31" s="108"/>
    </row>
    <row r="32" customFormat="1" spans="2:4">
      <c r="B32" s="106"/>
      <c r="C32" s="107"/>
      <c r="D32" s="108"/>
    </row>
    <row r="33" customFormat="1" spans="2:4">
      <c r="B33" s="106"/>
      <c r="C33" s="107"/>
      <c r="D33" s="108"/>
    </row>
    <row r="34" customFormat="1" spans="2:4">
      <c r="B34" s="106"/>
      <c r="C34" s="107"/>
      <c r="D34" s="108"/>
    </row>
    <row r="35" customFormat="1" spans="2:4">
      <c r="B35" s="106"/>
      <c r="C35" s="107"/>
      <c r="D35" s="108"/>
    </row>
    <row r="36" customFormat="1" spans="2:4">
      <c r="B36" s="106"/>
      <c r="C36" s="107"/>
      <c r="D36" s="108"/>
    </row>
    <row r="37" customFormat="1" spans="2:4">
      <c r="B37" s="106"/>
      <c r="C37" s="107"/>
      <c r="D37" s="108"/>
    </row>
    <row r="38" customFormat="1" spans="2:4">
      <c r="B38" s="106"/>
      <c r="C38" s="107"/>
      <c r="D38" s="108"/>
    </row>
    <row r="39" customFormat="1" spans="2:4">
      <c r="B39" s="106"/>
      <c r="C39" s="107"/>
      <c r="D39" s="108"/>
    </row>
    <row r="40" customFormat="1" spans="2:4">
      <c r="B40" s="106"/>
      <c r="C40" s="107"/>
      <c r="D40" s="108"/>
    </row>
    <row r="41" customFormat="1" spans="2:4">
      <c r="B41" s="106"/>
      <c r="C41" s="107"/>
      <c r="D41" s="108"/>
    </row>
    <row r="42" customFormat="1" spans="2:4">
      <c r="B42" s="106"/>
      <c r="C42" s="107"/>
      <c r="D42" s="108"/>
    </row>
    <row r="43" customFormat="1" spans="2:4">
      <c r="B43" s="106"/>
      <c r="C43" s="107"/>
      <c r="D43" s="108"/>
    </row>
    <row r="44" customFormat="1" ht="15.75" spans="2:4">
      <c r="B44" s="109" t="s">
        <v>101</v>
      </c>
      <c r="C44" s="109"/>
      <c r="D44" s="108">
        <f>SUM(D11:D42)</f>
        <v>0</v>
      </c>
    </row>
    <row r="45" customFormat="1" spans="2:4">
      <c r="B45" s="106"/>
      <c r="C45" s="107"/>
      <c r="D45" s="108"/>
    </row>
    <row r="46" customFormat="1" spans="2:4">
      <c r="B46" s="107"/>
      <c r="C46" s="107"/>
      <c r="D46" s="108"/>
    </row>
    <row r="47" spans="2:4">
      <c r="B47" s="107"/>
      <c r="C47" s="107"/>
      <c r="D47" s="108"/>
    </row>
    <row r="48" spans="2:4">
      <c r="B48" s="107"/>
      <c r="C48" s="107"/>
      <c r="D48" s="108"/>
    </row>
    <row r="49" customFormat="1" spans="2:4">
      <c r="B49" s="107"/>
      <c r="C49" s="107"/>
      <c r="D49" s="108"/>
    </row>
    <row r="50" customFormat="1" spans="2:4">
      <c r="B50" s="106"/>
      <c r="C50" s="107"/>
      <c r="D50" s="108"/>
    </row>
    <row r="51" customFormat="1" spans="2:4">
      <c r="B51" s="106"/>
      <c r="C51" s="107"/>
      <c r="D51" s="108"/>
    </row>
    <row r="52" customFormat="1" spans="2:4">
      <c r="B52" s="106"/>
      <c r="C52" s="107"/>
      <c r="D52" s="108"/>
    </row>
    <row r="53" customFormat="1" spans="2:4">
      <c r="B53" s="106"/>
      <c r="C53" s="107"/>
      <c r="D53" s="108"/>
    </row>
    <row r="54" customFormat="1" spans="2:4">
      <c r="B54" s="107"/>
      <c r="C54" s="107"/>
      <c r="D54" s="108"/>
    </row>
    <row r="55" spans="4:4">
      <c r="D55" s="108"/>
    </row>
    <row r="56" spans="4:4">
      <c r="D56" s="108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86"/>
  <sheetViews>
    <sheetView workbookViewId="0">
      <selection activeCell="F4" sqref="F4"/>
    </sheetView>
  </sheetViews>
  <sheetFormatPr defaultColWidth="9" defaultRowHeight="15"/>
  <cols>
    <col min="1" max="1" width="7" style="2" customWidth="1"/>
    <col min="2" max="2" width="13.4285714285714" style="2" customWidth="1"/>
    <col min="3" max="3" width="14" style="2" customWidth="1"/>
    <col min="4" max="4" width="14.1428571428571" style="2" customWidth="1"/>
    <col min="5" max="5" width="18" style="2" customWidth="1"/>
    <col min="6" max="6" width="12.5714285714286" style="2" customWidth="1"/>
    <col min="7" max="8" width="12" style="2" customWidth="1"/>
    <col min="9" max="9" width="12.5714285714286" style="2" customWidth="1"/>
    <col min="10" max="10" width="12" style="2" customWidth="1"/>
    <col min="11" max="11" width="13.1428571428571" style="2" customWidth="1"/>
    <col min="12" max="12" width="12.5714285714286" style="2" customWidth="1"/>
    <col min="13" max="13" width="12" style="2" customWidth="1"/>
    <col min="14" max="14" width="14" style="2" customWidth="1"/>
    <col min="15" max="15" width="14.5714285714286" style="2" customWidth="1"/>
    <col min="16" max="16" width="11.1428571428571" style="2" customWidth="1"/>
    <col min="17" max="17" width="11.7142857142857" style="2" customWidth="1"/>
    <col min="18" max="18" width="11.8571428571429" style="2" customWidth="1"/>
    <col min="19" max="19" width="12.5714285714286" style="2" customWidth="1"/>
    <col min="20" max="20" width="12" style="2" customWidth="1"/>
    <col min="21" max="21" width="14" style="2" customWidth="1"/>
    <col min="22" max="22" width="14.5714285714286" style="2" customWidth="1"/>
    <col min="23" max="23" width="9.14285714285714" style="2"/>
    <col min="24" max="24" width="12.2857142857143" style="2" customWidth="1"/>
    <col min="25" max="25" width="11.7142857142857" style="2" customWidth="1"/>
    <col min="26" max="16384" width="9.14285714285714" style="2"/>
  </cols>
  <sheetData>
    <row r="2" customFormat="1" customHeight="1" spans="2:8">
      <c r="B2" s="3" t="s">
        <v>102</v>
      </c>
      <c r="C2" s="3"/>
      <c r="D2" s="3"/>
      <c r="E2" s="3"/>
      <c r="F2" s="4">
        <v>1</v>
      </c>
      <c r="G2" s="5"/>
      <c r="H2" s="5"/>
    </row>
    <row r="3" customFormat="1" customHeight="1" spans="2:8">
      <c r="B3" s="3"/>
      <c r="C3" s="3"/>
      <c r="D3" s="3"/>
      <c r="E3" s="3"/>
      <c r="F3" s="5"/>
      <c r="G3" s="5"/>
      <c r="H3" s="5"/>
    </row>
    <row r="8" spans="10:21">
      <c r="J8" s="48"/>
      <c r="K8" s="48"/>
      <c r="L8" s="48"/>
      <c r="U8" s="62"/>
    </row>
    <row r="9" ht="15.75" spans="10:21">
      <c r="J9" s="49"/>
      <c r="K9" s="49"/>
      <c r="L9" s="48"/>
      <c r="U9" s="62"/>
    </row>
    <row r="10" spans="21:21">
      <c r="U10" s="62"/>
    </row>
    <row r="11" ht="15.75" spans="21:21">
      <c r="U11" s="62"/>
    </row>
    <row r="12" ht="15.75" customHeight="1" spans="2:21">
      <c r="B12" s="6" t="s">
        <v>94</v>
      </c>
      <c r="C12" s="7" t="s">
        <v>103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63"/>
      <c r="U12" s="62"/>
    </row>
    <row r="13" customHeight="1" spans="2:21">
      <c r="B13" s="9"/>
      <c r="C13" s="10" t="s">
        <v>104</v>
      </c>
      <c r="D13" s="11" t="s">
        <v>105</v>
      </c>
      <c r="E13" s="11" t="s">
        <v>106</v>
      </c>
      <c r="F13" s="11" t="s">
        <v>107</v>
      </c>
      <c r="G13" s="11" t="s">
        <v>108</v>
      </c>
      <c r="H13" s="11" t="s">
        <v>109</v>
      </c>
      <c r="I13" s="11" t="s">
        <v>110</v>
      </c>
      <c r="J13" s="11" t="s">
        <v>111</v>
      </c>
      <c r="K13" s="11" t="s">
        <v>112</v>
      </c>
      <c r="L13" s="11" t="s">
        <v>113</v>
      </c>
      <c r="M13" s="11" t="s">
        <v>114</v>
      </c>
      <c r="N13" s="11" t="s">
        <v>115</v>
      </c>
      <c r="O13" s="11" t="s">
        <v>116</v>
      </c>
      <c r="P13" s="50" t="s">
        <v>117</v>
      </c>
      <c r="Q13" s="11" t="s">
        <v>118</v>
      </c>
      <c r="R13" s="64"/>
      <c r="U13" s="62"/>
    </row>
    <row r="14" customHeight="1" spans="2:24">
      <c r="B14" s="9"/>
      <c r="C14" s="12"/>
      <c r="D14" s="13"/>
      <c r="E14" s="13"/>
      <c r="F14" s="13"/>
      <c r="G14" s="13"/>
      <c r="H14" s="13"/>
      <c r="I14" s="13"/>
      <c r="J14" s="13"/>
      <c r="K14" s="16"/>
      <c r="L14" s="16"/>
      <c r="M14" s="13"/>
      <c r="N14" s="13"/>
      <c r="O14" s="13"/>
      <c r="P14" s="13"/>
      <c r="Q14" s="13"/>
      <c r="R14" s="13"/>
      <c r="X14" s="65"/>
    </row>
    <row r="15" customHeight="1" spans="2:24">
      <c r="B15" s="9"/>
      <c r="C15" s="14" t="s">
        <v>119</v>
      </c>
      <c r="D15" s="15" t="s">
        <v>120</v>
      </c>
      <c r="E15" s="15" t="s">
        <v>121</v>
      </c>
      <c r="F15" s="15" t="s">
        <v>122</v>
      </c>
      <c r="G15" s="15" t="s">
        <v>123</v>
      </c>
      <c r="H15" s="15" t="s">
        <v>124</v>
      </c>
      <c r="I15" s="15" t="s">
        <v>125</v>
      </c>
      <c r="J15" s="15" t="s">
        <v>126</v>
      </c>
      <c r="K15" s="15" t="s">
        <v>127</v>
      </c>
      <c r="L15" s="15" t="s">
        <v>128</v>
      </c>
      <c r="M15" s="15" t="s">
        <v>129</v>
      </c>
      <c r="N15" s="15" t="s">
        <v>130</v>
      </c>
      <c r="O15" s="15" t="s">
        <v>131</v>
      </c>
      <c r="P15" s="51" t="s">
        <v>132</v>
      </c>
      <c r="Q15" s="15" t="s">
        <v>133</v>
      </c>
      <c r="R15" s="66" t="s">
        <v>75</v>
      </c>
      <c r="X15" s="65"/>
    </row>
    <row r="16" ht="15.75" customHeight="1" spans="2:24">
      <c r="B16" s="9"/>
      <c r="C16" s="16"/>
      <c r="D16" s="16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67"/>
      <c r="X16" s="65"/>
    </row>
    <row r="17" ht="15.75" customHeight="1" spans="2:24">
      <c r="B17" s="9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52"/>
      <c r="Q17" s="52"/>
      <c r="R17" s="68"/>
      <c r="X17" s="65"/>
    </row>
    <row r="18" ht="15.75" customHeight="1" spans="2:18">
      <c r="B18" s="9"/>
      <c r="C18" s="19" t="s">
        <v>104</v>
      </c>
      <c r="D18" s="19" t="s">
        <v>105</v>
      </c>
      <c r="E18" s="19" t="s">
        <v>106</v>
      </c>
      <c r="F18" s="19" t="s">
        <v>134</v>
      </c>
      <c r="G18" s="19" t="s">
        <v>108</v>
      </c>
      <c r="H18" s="19" t="s">
        <v>109</v>
      </c>
      <c r="I18" s="19" t="s">
        <v>110</v>
      </c>
      <c r="J18" s="19" t="s">
        <v>111</v>
      </c>
      <c r="K18" s="19" t="s">
        <v>112</v>
      </c>
      <c r="L18" s="19" t="s">
        <v>113</v>
      </c>
      <c r="M18" s="19" t="s">
        <v>114</v>
      </c>
      <c r="N18" s="19" t="s">
        <v>115</v>
      </c>
      <c r="O18" s="19" t="s">
        <v>116</v>
      </c>
      <c r="P18" s="53" t="s">
        <v>117</v>
      </c>
      <c r="Q18" s="19" t="s">
        <v>118</v>
      </c>
      <c r="R18" s="68"/>
    </row>
    <row r="19" ht="15.75" spans="2:18">
      <c r="B19" s="20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68"/>
    </row>
    <row r="20" spans="2:18">
      <c r="B20" s="20"/>
      <c r="C20" s="19" t="s">
        <v>119</v>
      </c>
      <c r="D20" s="15" t="s">
        <v>120</v>
      </c>
      <c r="E20" s="15" t="s">
        <v>121</v>
      </c>
      <c r="F20" s="15" t="s">
        <v>122</v>
      </c>
      <c r="G20" s="15" t="s">
        <v>123</v>
      </c>
      <c r="H20" s="15" t="s">
        <v>124</v>
      </c>
      <c r="I20" s="15" t="s">
        <v>125</v>
      </c>
      <c r="J20" s="15" t="s">
        <v>126</v>
      </c>
      <c r="K20" s="15" t="s">
        <v>127</v>
      </c>
      <c r="L20" s="15" t="s">
        <v>128</v>
      </c>
      <c r="M20" s="15" t="s">
        <v>129</v>
      </c>
      <c r="N20" s="15" t="s">
        <v>130</v>
      </c>
      <c r="O20" s="15" t="s">
        <v>131</v>
      </c>
      <c r="P20" s="51" t="s">
        <v>132</v>
      </c>
      <c r="Q20" s="15" t="s">
        <v>133</v>
      </c>
      <c r="R20" s="69" t="s">
        <v>75</v>
      </c>
    </row>
    <row r="21" ht="16.5" spans="2:19">
      <c r="B21" s="21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70"/>
      <c r="R21" s="71"/>
      <c r="S21" s="72"/>
    </row>
    <row r="22" spans="10:10">
      <c r="J22" s="48"/>
    </row>
    <row r="23" s="1" customFormat="1" ht="15.75" customHeight="1" spans="2:27">
      <c r="B23" s="2"/>
      <c r="C23" s="2"/>
      <c r="D23" s="2"/>
      <c r="E23" s="2"/>
      <c r="F23" s="2"/>
      <c r="G23" s="2"/>
      <c r="H23" s="2"/>
      <c r="I23" s="2"/>
      <c r="J23" s="48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customHeight="1" spans="10:10">
      <c r="J24" s="48"/>
    </row>
    <row r="25" customHeight="1" spans="2:20">
      <c r="B25" s="22" t="s">
        <v>85</v>
      </c>
      <c r="C25" s="23" t="s">
        <v>103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73"/>
      <c r="S25" s="74"/>
      <c r="T25" s="75"/>
    </row>
    <row r="26" customHeight="1" spans="2:28">
      <c r="B26" s="22"/>
      <c r="C26" s="25" t="s">
        <v>104</v>
      </c>
      <c r="D26" s="26" t="s">
        <v>135</v>
      </c>
      <c r="E26" s="26" t="s">
        <v>136</v>
      </c>
      <c r="F26" s="26" t="s">
        <v>137</v>
      </c>
      <c r="G26" s="26" t="s">
        <v>138</v>
      </c>
      <c r="H26" s="26" t="s">
        <v>139</v>
      </c>
      <c r="I26" s="26" t="s">
        <v>140</v>
      </c>
      <c r="J26" s="26" t="s">
        <v>141</v>
      </c>
      <c r="K26" s="26" t="s">
        <v>142</v>
      </c>
      <c r="L26" s="26" t="s">
        <v>143</v>
      </c>
      <c r="M26" s="26" t="s">
        <v>144</v>
      </c>
      <c r="N26" s="26" t="s">
        <v>145</v>
      </c>
      <c r="O26" s="26" t="s">
        <v>146</v>
      </c>
      <c r="P26" s="26" t="s">
        <v>147</v>
      </c>
      <c r="Q26" s="26" t="s">
        <v>148</v>
      </c>
      <c r="R26" s="26" t="s">
        <v>149</v>
      </c>
      <c r="S26" s="26" t="s">
        <v>150</v>
      </c>
      <c r="T26" s="76" t="s">
        <v>75</v>
      </c>
      <c r="Z26" s="1"/>
      <c r="AA26" s="1"/>
      <c r="AB26" s="1"/>
    </row>
    <row r="27" ht="15.75" customHeight="1" spans="2:20">
      <c r="B27" s="2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57"/>
    </row>
    <row r="28" customHeight="1" spans="2:20">
      <c r="B28" s="22"/>
      <c r="C28" s="27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77"/>
      <c r="T28" s="77"/>
    </row>
    <row r="29" ht="15.75" customHeight="1" spans="2:20">
      <c r="B29" s="29"/>
      <c r="C29" s="30" t="s">
        <v>104</v>
      </c>
      <c r="D29" s="31" t="s">
        <v>135</v>
      </c>
      <c r="E29" s="31" t="s">
        <v>136</v>
      </c>
      <c r="F29" s="31" t="s">
        <v>137</v>
      </c>
      <c r="G29" s="31" t="s">
        <v>138</v>
      </c>
      <c r="H29" s="31" t="s">
        <v>139</v>
      </c>
      <c r="I29" s="31" t="s">
        <v>140</v>
      </c>
      <c r="J29" s="31" t="s">
        <v>141</v>
      </c>
      <c r="K29" s="31" t="s">
        <v>142</v>
      </c>
      <c r="L29" s="31" t="s">
        <v>143</v>
      </c>
      <c r="M29" s="31" t="s">
        <v>144</v>
      </c>
      <c r="N29" s="31" t="s">
        <v>145</v>
      </c>
      <c r="O29" s="31" t="s">
        <v>146</v>
      </c>
      <c r="P29" s="31" t="s">
        <v>147</v>
      </c>
      <c r="Q29" s="31" t="s">
        <v>148</v>
      </c>
      <c r="R29" s="31" t="s">
        <v>149</v>
      </c>
      <c r="S29" s="31" t="s">
        <v>150</v>
      </c>
      <c r="T29" s="78" t="s">
        <v>75</v>
      </c>
    </row>
    <row r="30" spans="2:20">
      <c r="B30" s="3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57"/>
    </row>
    <row r="31" spans="3:3">
      <c r="C31" s="33"/>
    </row>
    <row r="32" spans="3:3">
      <c r="C32" s="33"/>
    </row>
    <row r="33" customHeight="1" spans="3:3">
      <c r="C33" s="33"/>
    </row>
    <row r="34" ht="15.75" customHeight="1"/>
    <row r="35" customHeight="1"/>
    <row r="36" ht="15.75" customHeight="1" spans="2:15">
      <c r="B36" s="34" t="s">
        <v>37</v>
      </c>
      <c r="C36" s="35" t="s">
        <v>103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54"/>
    </row>
    <row r="37" ht="15.75" customHeight="1" spans="2:15">
      <c r="B37" s="36"/>
      <c r="C37" s="37" t="s">
        <v>104</v>
      </c>
      <c r="D37" s="19" t="s">
        <v>135</v>
      </c>
      <c r="E37" s="19" t="s">
        <v>136</v>
      </c>
      <c r="F37" s="19" t="s">
        <v>151</v>
      </c>
      <c r="G37" s="19" t="s">
        <v>152</v>
      </c>
      <c r="H37" s="19" t="s">
        <v>153</v>
      </c>
      <c r="I37" s="19" t="s">
        <v>154</v>
      </c>
      <c r="J37" s="19" t="s">
        <v>155</v>
      </c>
      <c r="K37" s="19" t="s">
        <v>156</v>
      </c>
      <c r="L37" s="19" t="s">
        <v>157</v>
      </c>
      <c r="M37" s="19" t="s">
        <v>158</v>
      </c>
      <c r="N37" s="19" t="s">
        <v>159</v>
      </c>
      <c r="O37" s="55" t="s">
        <v>160</v>
      </c>
    </row>
    <row r="38" spans="2:25">
      <c r="B38" s="36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W38" s="1"/>
      <c r="X38" s="1"/>
      <c r="Y38" s="1"/>
    </row>
    <row r="39" spans="2:25">
      <c r="B39" s="36"/>
      <c r="C39" s="37" t="s">
        <v>161</v>
      </c>
      <c r="D39" s="19" t="s">
        <v>162</v>
      </c>
      <c r="E39" s="19" t="s">
        <v>163</v>
      </c>
      <c r="F39" s="19" t="s">
        <v>164</v>
      </c>
      <c r="G39" s="15" t="s">
        <v>165</v>
      </c>
      <c r="H39" s="15" t="s">
        <v>166</v>
      </c>
      <c r="I39" s="15" t="s">
        <v>167</v>
      </c>
      <c r="J39" s="15" t="s">
        <v>168</v>
      </c>
      <c r="K39" s="15" t="s">
        <v>169</v>
      </c>
      <c r="L39" s="15" t="s">
        <v>170</v>
      </c>
      <c r="M39" s="15" t="s">
        <v>171</v>
      </c>
      <c r="N39" s="15" t="s">
        <v>172</v>
      </c>
      <c r="O39" s="56" t="s">
        <v>75</v>
      </c>
      <c r="W39" s="1"/>
      <c r="X39" s="1"/>
      <c r="Y39" s="1"/>
    </row>
    <row r="40" spans="2:25">
      <c r="B40" s="36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57"/>
      <c r="W40" s="1"/>
      <c r="X40" s="1"/>
      <c r="Y40" s="1"/>
    </row>
    <row r="41" spans="2:15">
      <c r="B41" s="38"/>
      <c r="C41" s="39"/>
      <c r="D41" s="18"/>
      <c r="E41" s="18"/>
      <c r="F41" s="18"/>
      <c r="G41" s="18"/>
      <c r="H41" s="18"/>
      <c r="I41" s="18"/>
      <c r="J41" s="58"/>
      <c r="K41" s="18"/>
      <c r="L41" s="18"/>
      <c r="M41" s="18"/>
      <c r="N41" s="18"/>
      <c r="O41" s="59"/>
    </row>
    <row r="42" ht="15.75" customHeight="1" spans="2:15">
      <c r="B42" s="38"/>
      <c r="C42" s="37" t="s">
        <v>104</v>
      </c>
      <c r="D42" s="19" t="s">
        <v>135</v>
      </c>
      <c r="E42" s="19" t="s">
        <v>136</v>
      </c>
      <c r="F42" s="19" t="s">
        <v>151</v>
      </c>
      <c r="G42" s="19" t="s">
        <v>152</v>
      </c>
      <c r="H42" s="19" t="s">
        <v>153</v>
      </c>
      <c r="I42" s="19" t="s">
        <v>154</v>
      </c>
      <c r="J42" s="19" t="s">
        <v>155</v>
      </c>
      <c r="K42" s="19" t="s">
        <v>156</v>
      </c>
      <c r="L42" s="19" t="s">
        <v>157</v>
      </c>
      <c r="M42" s="19" t="s">
        <v>158</v>
      </c>
      <c r="N42" s="19" t="s">
        <v>159</v>
      </c>
      <c r="O42" s="55" t="s">
        <v>160</v>
      </c>
    </row>
    <row r="43" customHeight="1" spans="2:15">
      <c r="B43" s="38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customHeight="1" spans="2:18">
      <c r="B44" s="38"/>
      <c r="C44" s="37" t="s">
        <v>161</v>
      </c>
      <c r="D44" s="19" t="s">
        <v>162</v>
      </c>
      <c r="E44" s="19" t="s">
        <v>163</v>
      </c>
      <c r="F44" s="19" t="s">
        <v>164</v>
      </c>
      <c r="G44" s="15" t="s">
        <v>165</v>
      </c>
      <c r="H44" s="15" t="s">
        <v>166</v>
      </c>
      <c r="I44" s="15" t="s">
        <v>167</v>
      </c>
      <c r="J44" s="15" t="s">
        <v>168</v>
      </c>
      <c r="K44" s="15" t="s">
        <v>169</v>
      </c>
      <c r="L44" s="15" t="s">
        <v>170</v>
      </c>
      <c r="M44" s="15" t="s">
        <v>171</v>
      </c>
      <c r="N44" s="15" t="s">
        <v>172</v>
      </c>
      <c r="O44" s="56" t="s">
        <v>75</v>
      </c>
      <c r="R44" s="79"/>
    </row>
    <row r="45" customHeight="1" spans="2:18">
      <c r="B45" s="40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60"/>
      <c r="R45" s="80"/>
    </row>
    <row r="46" ht="15.75" customHeight="1" spans="10:25">
      <c r="J46" s="61"/>
      <c r="R46" s="81"/>
      <c r="Y46" s="1"/>
    </row>
    <row r="47" ht="16.5" spans="10:18">
      <c r="J47" s="61"/>
      <c r="R47" s="80"/>
    </row>
    <row r="48" spans="2:18">
      <c r="B48" s="41" t="s">
        <v>63</v>
      </c>
      <c r="C48" s="42" t="s">
        <v>103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82"/>
      <c r="R48" s="81"/>
    </row>
    <row r="49" spans="2:17">
      <c r="B49" s="44"/>
      <c r="C49" s="37" t="s">
        <v>104</v>
      </c>
      <c r="D49" s="19" t="s">
        <v>126</v>
      </c>
      <c r="E49" s="19" t="s">
        <v>173</v>
      </c>
      <c r="F49" s="19" t="s">
        <v>174</v>
      </c>
      <c r="G49" s="19" t="s">
        <v>175</v>
      </c>
      <c r="H49" s="19" t="s">
        <v>176</v>
      </c>
      <c r="I49" s="19" t="s">
        <v>177</v>
      </c>
      <c r="J49" s="19" t="s">
        <v>111</v>
      </c>
      <c r="K49" s="19" t="s">
        <v>178</v>
      </c>
      <c r="L49" s="19" t="s">
        <v>179</v>
      </c>
      <c r="M49" s="19" t="s">
        <v>180</v>
      </c>
      <c r="N49" s="19" t="s">
        <v>181</v>
      </c>
      <c r="O49" s="19" t="s">
        <v>182</v>
      </c>
      <c r="P49" s="19" t="s">
        <v>183</v>
      </c>
      <c r="Q49" s="55" t="s">
        <v>184</v>
      </c>
    </row>
    <row r="50" spans="2:17">
      <c r="B50" s="44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</row>
    <row r="51" spans="2:17">
      <c r="B51" s="44"/>
      <c r="C51" s="37" t="s">
        <v>185</v>
      </c>
      <c r="D51" s="19" t="s">
        <v>186</v>
      </c>
      <c r="E51" s="19" t="s">
        <v>187</v>
      </c>
      <c r="F51" s="19" t="s">
        <v>188</v>
      </c>
      <c r="G51" s="19" t="s">
        <v>189</v>
      </c>
      <c r="H51" s="19" t="s">
        <v>190</v>
      </c>
      <c r="I51" s="15" t="s">
        <v>191</v>
      </c>
      <c r="J51" s="15" t="s">
        <v>192</v>
      </c>
      <c r="K51" s="15" t="s">
        <v>193</v>
      </c>
      <c r="L51" s="15" t="s">
        <v>136</v>
      </c>
      <c r="M51" s="15" t="s">
        <v>194</v>
      </c>
      <c r="N51" s="15" t="s">
        <v>132</v>
      </c>
      <c r="O51" s="15" t="s">
        <v>195</v>
      </c>
      <c r="P51" s="15" t="s">
        <v>196</v>
      </c>
      <c r="Q51" s="56" t="s">
        <v>75</v>
      </c>
    </row>
    <row r="52" ht="15.75" spans="2:17">
      <c r="B52" s="4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60"/>
    </row>
    <row r="53" spans="2:17">
      <c r="B53" s="3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59"/>
    </row>
    <row r="54" spans="2:17">
      <c r="B54" s="38"/>
      <c r="C54" s="37" t="s">
        <v>104</v>
      </c>
      <c r="D54" s="19" t="s">
        <v>126</v>
      </c>
      <c r="E54" s="19" t="s">
        <v>173</v>
      </c>
      <c r="F54" s="19" t="s">
        <v>174</v>
      </c>
      <c r="G54" s="19" t="s">
        <v>175</v>
      </c>
      <c r="H54" s="19" t="s">
        <v>176</v>
      </c>
      <c r="I54" s="19" t="s">
        <v>177</v>
      </c>
      <c r="J54" s="19" t="s">
        <v>111</v>
      </c>
      <c r="K54" s="19" t="s">
        <v>178</v>
      </c>
      <c r="L54" s="19" t="s">
        <v>179</v>
      </c>
      <c r="M54" s="19" t="s">
        <v>180</v>
      </c>
      <c r="N54" s="19" t="s">
        <v>181</v>
      </c>
      <c r="O54" s="19" t="s">
        <v>182</v>
      </c>
      <c r="P54" s="19" t="s">
        <v>183</v>
      </c>
      <c r="Q54" s="55" t="s">
        <v>184</v>
      </c>
    </row>
    <row r="55" spans="2:17">
      <c r="B55" s="38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2:17">
      <c r="B56" s="38"/>
      <c r="C56" s="37" t="s">
        <v>185</v>
      </c>
      <c r="D56" s="19" t="s">
        <v>186</v>
      </c>
      <c r="E56" s="19" t="s">
        <v>187</v>
      </c>
      <c r="F56" s="19" t="s">
        <v>188</v>
      </c>
      <c r="G56" s="19" t="s">
        <v>189</v>
      </c>
      <c r="H56" s="19" t="s">
        <v>190</v>
      </c>
      <c r="I56" s="15" t="s">
        <v>191</v>
      </c>
      <c r="J56" s="15" t="s">
        <v>192</v>
      </c>
      <c r="K56" s="15" t="s">
        <v>193</v>
      </c>
      <c r="L56" s="15" t="s">
        <v>136</v>
      </c>
      <c r="M56" s="15" t="s">
        <v>194</v>
      </c>
      <c r="N56" s="15" t="s">
        <v>132</v>
      </c>
      <c r="O56" s="15" t="s">
        <v>195</v>
      </c>
      <c r="P56" s="15" t="s">
        <v>196</v>
      </c>
      <c r="Q56" s="56" t="s">
        <v>75</v>
      </c>
    </row>
    <row r="57" ht="16.5" spans="2:17">
      <c r="B57" s="21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60"/>
    </row>
    <row r="61" spans="2:20">
      <c r="B61" s="22" t="s">
        <v>197</v>
      </c>
      <c r="C61" s="23" t="s">
        <v>103</v>
      </c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73"/>
      <c r="S61" s="83"/>
      <c r="T61" s="84"/>
    </row>
    <row r="62" spans="2:20">
      <c r="B62" s="22"/>
      <c r="C62" s="45" t="s">
        <v>104</v>
      </c>
      <c r="D62" s="45" t="s">
        <v>198</v>
      </c>
      <c r="E62" s="45" t="s">
        <v>199</v>
      </c>
      <c r="F62" s="45" t="s">
        <v>200</v>
      </c>
      <c r="G62" s="45" t="s">
        <v>201</v>
      </c>
      <c r="H62" s="45" t="s">
        <v>202</v>
      </c>
      <c r="I62" s="45" t="s">
        <v>203</v>
      </c>
      <c r="J62" s="45" t="s">
        <v>204</v>
      </c>
      <c r="K62" s="45" t="s">
        <v>205</v>
      </c>
      <c r="L62" s="45" t="s">
        <v>206</v>
      </c>
      <c r="M62" s="45" t="s">
        <v>207</v>
      </c>
      <c r="N62" s="45" t="s">
        <v>208</v>
      </c>
      <c r="O62" s="45" t="s">
        <v>209</v>
      </c>
      <c r="P62" s="45" t="s">
        <v>210</v>
      </c>
      <c r="Q62" s="45" t="s">
        <v>211</v>
      </c>
      <c r="R62" s="45" t="s">
        <v>212</v>
      </c>
      <c r="S62" s="85" t="s">
        <v>213</v>
      </c>
      <c r="T62" s="76" t="s">
        <v>75</v>
      </c>
    </row>
    <row r="63" ht="15.75" spans="2:20">
      <c r="B63" s="46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60"/>
    </row>
    <row r="64" spans="2:20">
      <c r="B64" s="46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86"/>
      <c r="T64" s="86"/>
    </row>
    <row r="65" spans="2:20">
      <c r="B65" s="29"/>
      <c r="C65" s="87" t="s">
        <v>104</v>
      </c>
      <c r="D65" s="87" t="s">
        <v>198</v>
      </c>
      <c r="E65" s="87" t="s">
        <v>199</v>
      </c>
      <c r="F65" s="87" t="s">
        <v>200</v>
      </c>
      <c r="G65" s="87" t="s">
        <v>201</v>
      </c>
      <c r="H65" s="87" t="s">
        <v>202</v>
      </c>
      <c r="I65" s="87" t="s">
        <v>203</v>
      </c>
      <c r="J65" s="87" t="s">
        <v>204</v>
      </c>
      <c r="K65" s="87" t="s">
        <v>205</v>
      </c>
      <c r="L65" s="87" t="s">
        <v>206</v>
      </c>
      <c r="M65" s="87" t="s">
        <v>207</v>
      </c>
      <c r="N65" s="87" t="s">
        <v>208</v>
      </c>
      <c r="O65" s="87" t="s">
        <v>209</v>
      </c>
      <c r="P65" s="87" t="s">
        <v>210</v>
      </c>
      <c r="Q65" s="87" t="s">
        <v>211</v>
      </c>
      <c r="R65" s="87" t="s">
        <v>212</v>
      </c>
      <c r="S65" s="95" t="s">
        <v>213</v>
      </c>
      <c r="T65" s="78" t="s">
        <v>75</v>
      </c>
    </row>
    <row r="66" ht="15.75" spans="2:20">
      <c r="B66" s="32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60"/>
    </row>
    <row r="69" spans="2:20">
      <c r="B69" s="22" t="s">
        <v>214</v>
      </c>
      <c r="C69" s="23" t="s">
        <v>103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73"/>
      <c r="S69" s="83"/>
      <c r="T69" s="84"/>
    </row>
    <row r="70" spans="2:20">
      <c r="B70" s="22"/>
      <c r="C70" s="87" t="s">
        <v>104</v>
      </c>
      <c r="D70" s="87" t="s">
        <v>198</v>
      </c>
      <c r="E70" s="87" t="s">
        <v>199</v>
      </c>
      <c r="F70" s="87" t="s">
        <v>200</v>
      </c>
      <c r="G70" s="87" t="s">
        <v>201</v>
      </c>
      <c r="H70" s="87" t="s">
        <v>202</v>
      </c>
      <c r="I70" s="87" t="s">
        <v>203</v>
      </c>
      <c r="J70" s="87" t="s">
        <v>204</v>
      </c>
      <c r="K70" s="87" t="s">
        <v>205</v>
      </c>
      <c r="L70" s="87" t="s">
        <v>206</v>
      </c>
      <c r="M70" s="87" t="s">
        <v>207</v>
      </c>
      <c r="N70" s="87" t="s">
        <v>208</v>
      </c>
      <c r="O70" s="87" t="s">
        <v>209</v>
      </c>
      <c r="P70" s="87" t="s">
        <v>210</v>
      </c>
      <c r="Q70" s="87" t="s">
        <v>211</v>
      </c>
      <c r="R70" s="87" t="s">
        <v>212</v>
      </c>
      <c r="S70" s="95" t="s">
        <v>213</v>
      </c>
      <c r="T70" s="78" t="s">
        <v>75</v>
      </c>
    </row>
    <row r="71" ht="15.75" spans="2:20">
      <c r="B71" s="22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60"/>
    </row>
    <row r="72" spans="2:20">
      <c r="B72" s="46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86"/>
      <c r="T72" s="86"/>
    </row>
    <row r="73" spans="2:20">
      <c r="B73" s="29"/>
      <c r="C73" s="87" t="s">
        <v>104</v>
      </c>
      <c r="D73" s="87" t="s">
        <v>198</v>
      </c>
      <c r="E73" s="87" t="s">
        <v>199</v>
      </c>
      <c r="F73" s="87" t="s">
        <v>200</v>
      </c>
      <c r="G73" s="87" t="s">
        <v>201</v>
      </c>
      <c r="H73" s="87" t="s">
        <v>202</v>
      </c>
      <c r="I73" s="87" t="s">
        <v>203</v>
      </c>
      <c r="J73" s="87" t="s">
        <v>204</v>
      </c>
      <c r="K73" s="87" t="s">
        <v>205</v>
      </c>
      <c r="L73" s="87" t="s">
        <v>206</v>
      </c>
      <c r="M73" s="87" t="s">
        <v>207</v>
      </c>
      <c r="N73" s="87" t="s">
        <v>208</v>
      </c>
      <c r="O73" s="87" t="s">
        <v>209</v>
      </c>
      <c r="P73" s="87" t="s">
        <v>210</v>
      </c>
      <c r="Q73" s="87" t="s">
        <v>211</v>
      </c>
      <c r="R73" s="87" t="s">
        <v>212</v>
      </c>
      <c r="S73" s="95" t="s">
        <v>213</v>
      </c>
      <c r="T73" s="78" t="s">
        <v>75</v>
      </c>
    </row>
    <row r="74" ht="15.75" spans="2:20">
      <c r="B74" s="32"/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60"/>
    </row>
    <row r="77" spans="2:20">
      <c r="B77" s="88" t="s">
        <v>92</v>
      </c>
      <c r="C77" s="73" t="s">
        <v>103</v>
      </c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23"/>
    </row>
    <row r="78" spans="2:20">
      <c r="B78" s="90"/>
      <c r="C78" s="26" t="s">
        <v>104</v>
      </c>
      <c r="D78" s="26" t="s">
        <v>215</v>
      </c>
      <c r="E78" s="26" t="s">
        <v>216</v>
      </c>
      <c r="F78" s="26" t="s">
        <v>217</v>
      </c>
      <c r="G78" s="26" t="s">
        <v>218</v>
      </c>
      <c r="H78" s="91" t="s">
        <v>219</v>
      </c>
      <c r="I78" s="91" t="s">
        <v>220</v>
      </c>
      <c r="J78" s="91" t="s">
        <v>221</v>
      </c>
      <c r="K78" s="91" t="s">
        <v>222</v>
      </c>
      <c r="L78" s="91" t="s">
        <v>135</v>
      </c>
      <c r="M78" s="26" t="s">
        <v>223</v>
      </c>
      <c r="N78" s="91" t="s">
        <v>224</v>
      </c>
      <c r="O78" s="91" t="s">
        <v>216</v>
      </c>
      <c r="P78" s="91" t="s">
        <v>225</v>
      </c>
      <c r="Q78" s="91" t="s">
        <v>226</v>
      </c>
      <c r="R78" s="91" t="s">
        <v>216</v>
      </c>
      <c r="S78" s="91" t="s">
        <v>227</v>
      </c>
      <c r="T78" s="87" t="s">
        <v>216</v>
      </c>
    </row>
    <row r="79" spans="2:20">
      <c r="B79" s="90"/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 spans="2:20">
      <c r="B80" s="90"/>
      <c r="C80" s="87" t="s">
        <v>228</v>
      </c>
      <c r="D80" s="87" t="s">
        <v>229</v>
      </c>
      <c r="E80" s="87" t="s">
        <v>230</v>
      </c>
      <c r="F80" s="87" t="s">
        <v>216</v>
      </c>
      <c r="G80" s="87" t="s">
        <v>225</v>
      </c>
      <c r="H80" s="87" t="s">
        <v>231</v>
      </c>
      <c r="I80" s="87" t="s">
        <v>216</v>
      </c>
      <c r="J80" s="87" t="s">
        <v>232</v>
      </c>
      <c r="K80" s="87" t="s">
        <v>233</v>
      </c>
      <c r="L80" s="87" t="s">
        <v>234</v>
      </c>
      <c r="M80" s="87" t="s">
        <v>216</v>
      </c>
      <c r="N80" s="87" t="s">
        <v>235</v>
      </c>
      <c r="O80" s="95" t="s">
        <v>216</v>
      </c>
      <c r="P80" s="95" t="s">
        <v>236</v>
      </c>
      <c r="Q80" s="95" t="s">
        <v>216</v>
      </c>
      <c r="R80" s="95" t="s">
        <v>237</v>
      </c>
      <c r="S80" s="95" t="s">
        <v>216</v>
      </c>
      <c r="T80" s="78" t="s">
        <v>75</v>
      </c>
    </row>
    <row r="81" ht="15.75" spans="2:20">
      <c r="B81" s="90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60" t="s">
        <v>238</v>
      </c>
    </row>
    <row r="82" spans="2:20">
      <c r="B82" s="90"/>
      <c r="C82" s="92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47"/>
      <c r="Q82" s="47"/>
      <c r="R82" s="96"/>
      <c r="S82" s="86"/>
      <c r="T82" s="97"/>
    </row>
    <row r="83" spans="2:20">
      <c r="B83" s="90"/>
      <c r="C83" s="31" t="s">
        <v>104</v>
      </c>
      <c r="D83" s="31" t="s">
        <v>215</v>
      </c>
      <c r="E83" s="31" t="s">
        <v>216</v>
      </c>
      <c r="F83" s="31" t="s">
        <v>217</v>
      </c>
      <c r="G83" s="31" t="s">
        <v>218</v>
      </c>
      <c r="H83" s="87" t="s">
        <v>219</v>
      </c>
      <c r="I83" s="87" t="s">
        <v>220</v>
      </c>
      <c r="J83" s="87" t="s">
        <v>221</v>
      </c>
      <c r="K83" s="87" t="s">
        <v>222</v>
      </c>
      <c r="L83" s="87" t="s">
        <v>135</v>
      </c>
      <c r="M83" s="31" t="s">
        <v>223</v>
      </c>
      <c r="N83" s="87" t="s">
        <v>224</v>
      </c>
      <c r="O83" s="87" t="s">
        <v>216</v>
      </c>
      <c r="P83" s="87" t="s">
        <v>225</v>
      </c>
      <c r="Q83" s="87" t="s">
        <v>226</v>
      </c>
      <c r="R83" s="87" t="s">
        <v>216</v>
      </c>
      <c r="S83" s="87" t="s">
        <v>227</v>
      </c>
      <c r="T83" s="87" t="s">
        <v>216</v>
      </c>
    </row>
    <row r="84" spans="2:20">
      <c r="B84" s="93"/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 spans="2:20">
      <c r="B85" s="93"/>
      <c r="C85" s="87" t="s">
        <v>228</v>
      </c>
      <c r="D85" s="87" t="s">
        <v>229</v>
      </c>
      <c r="E85" s="87" t="s">
        <v>230</v>
      </c>
      <c r="F85" s="87" t="s">
        <v>216</v>
      </c>
      <c r="G85" s="87" t="s">
        <v>225</v>
      </c>
      <c r="H85" s="87" t="s">
        <v>231</v>
      </c>
      <c r="I85" s="87" t="s">
        <v>216</v>
      </c>
      <c r="J85" s="87" t="s">
        <v>232</v>
      </c>
      <c r="K85" s="87" t="s">
        <v>233</v>
      </c>
      <c r="L85" s="87" t="s">
        <v>234</v>
      </c>
      <c r="M85" s="87" t="s">
        <v>216</v>
      </c>
      <c r="N85" s="87" t="s">
        <v>235</v>
      </c>
      <c r="O85" s="95" t="s">
        <v>216</v>
      </c>
      <c r="P85" s="95" t="s">
        <v>236</v>
      </c>
      <c r="Q85" s="95" t="s">
        <v>216</v>
      </c>
      <c r="R85" s="95" t="s">
        <v>237</v>
      </c>
      <c r="S85" s="95" t="s">
        <v>216</v>
      </c>
      <c r="T85" s="76" t="s">
        <v>75</v>
      </c>
    </row>
    <row r="86" ht="15.75" spans="2:20">
      <c r="B86" s="94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60"/>
    </row>
  </sheetData>
  <mergeCells count="15">
    <mergeCell ref="C12:Q12"/>
    <mergeCell ref="C25:R25"/>
    <mergeCell ref="C36:O36"/>
    <mergeCell ref="C61:R61"/>
    <mergeCell ref="C69:R69"/>
    <mergeCell ref="C77:Q77"/>
    <mergeCell ref="B12:B18"/>
    <mergeCell ref="B25:B29"/>
    <mergeCell ref="B36:B40"/>
    <mergeCell ref="B48:B52"/>
    <mergeCell ref="B61:B65"/>
    <mergeCell ref="B69:B73"/>
    <mergeCell ref="B77:B83"/>
    <mergeCell ref="B2:E3"/>
    <mergeCell ref="F2:H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wbpcb</Company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dcterms:created xsi:type="dcterms:W3CDTF">2013-08-23T16:44:00Z</dcterms:created>
  <cp:lastPrinted>2018-05-18T12:00:00Z</cp:lastPrinted>
  <dcterms:modified xsi:type="dcterms:W3CDTF">2023-03-06T10:48:14Z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