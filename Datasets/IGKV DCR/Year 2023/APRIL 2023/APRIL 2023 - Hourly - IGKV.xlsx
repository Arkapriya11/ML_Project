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worksheets/sheet1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sharedStrings.xml" ContentType="application/vnd.openxmlformats-officedocument.spreadsheetml.sharedStrings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155" yWindow="510" windowWidth="20730" windowHeight="11760" tabRatio="913" activeTab="30"/>
  </bookViews>
  <sheets>
    <sheet name="01" sheetId="2" r:id="rId1"/>
    <sheet name="02" sheetId="3" r:id="rId2"/>
    <sheet name="03" sheetId="8" r:id="rId3"/>
    <sheet name="04" sheetId="9" r:id="rId4"/>
    <sheet name="05" sheetId="10" r:id="rId5"/>
    <sheet name="06" sheetId="11" r:id="rId6"/>
    <sheet name="07" sheetId="12" r:id="rId7"/>
    <sheet name="08" sheetId="13" r:id="rId8"/>
    <sheet name="09" sheetId="14" r:id="rId9"/>
    <sheet name="10" sheetId="15" r:id="rId10"/>
    <sheet name="11" sheetId="16" r:id="rId11"/>
    <sheet name="12" sheetId="17" r:id="rId12"/>
    <sheet name="13" sheetId="18" r:id="rId13"/>
    <sheet name="14" sheetId="19" r:id="rId14"/>
    <sheet name="15" sheetId="20" r:id="rId15"/>
    <sheet name="16" sheetId="21" r:id="rId16"/>
    <sheet name="17" sheetId="22" r:id="rId17"/>
    <sheet name="18" sheetId="23" r:id="rId18"/>
    <sheet name="19" sheetId="24" r:id="rId19"/>
    <sheet name="20" sheetId="25" r:id="rId20"/>
    <sheet name="21" sheetId="26" r:id="rId21"/>
    <sheet name="22" sheetId="27" r:id="rId22"/>
    <sheet name="23" sheetId="28" r:id="rId23"/>
    <sheet name="24" sheetId="29" r:id="rId24"/>
    <sheet name="25" sheetId="30" r:id="rId25"/>
    <sheet name="26" sheetId="31" r:id="rId26"/>
    <sheet name="27" sheetId="32" r:id="rId27"/>
    <sheet name="28" sheetId="33" r:id="rId28"/>
    <sheet name="29" sheetId="43" r:id="rId29"/>
    <sheet name="30" sheetId="40" r:id="rId30"/>
    <sheet name="MONTHLY 31" sheetId="39" r:id="rId31"/>
  </sheets>
  <calcPr calcId="124519"/>
</workbook>
</file>

<file path=xl/calcChain.xml><?xml version="1.0" encoding="utf-8"?>
<calcChain xmlns="http://schemas.openxmlformats.org/spreadsheetml/2006/main">
  <c r="B2" i="8"/>
  <c r="B2" i="2"/>
  <c r="C34" i="8"/>
  <c r="D34"/>
  <c r="E34"/>
  <c r="F34"/>
  <c r="G34"/>
  <c r="H34"/>
  <c r="I34"/>
  <c r="J34"/>
  <c r="K34"/>
  <c r="L34"/>
  <c r="M34"/>
  <c r="N34"/>
  <c r="O34"/>
  <c r="P34"/>
  <c r="Q34"/>
  <c r="C35"/>
  <c r="D35"/>
  <c r="E35"/>
  <c r="F35"/>
  <c r="G35"/>
  <c r="H35"/>
  <c r="I35"/>
  <c r="J35"/>
  <c r="K35"/>
  <c r="L35"/>
  <c r="M35"/>
  <c r="N35"/>
  <c r="O35"/>
  <c r="P35"/>
  <c r="Q35"/>
  <c r="C36"/>
  <c r="D36"/>
  <c r="E36"/>
  <c r="F36"/>
  <c r="G36"/>
  <c r="H36"/>
  <c r="I36"/>
  <c r="J36"/>
  <c r="K36"/>
  <c r="L36"/>
  <c r="M36"/>
  <c r="N36"/>
  <c r="O36"/>
  <c r="P36"/>
  <c r="Q36"/>
  <c r="C37"/>
  <c r="D37"/>
  <c r="E37"/>
  <c r="F37"/>
  <c r="G37"/>
  <c r="H37"/>
  <c r="I37"/>
  <c r="J37"/>
  <c r="K37"/>
  <c r="L37"/>
  <c r="M37"/>
  <c r="N37"/>
  <c r="O37"/>
  <c r="P37"/>
  <c r="Q37"/>
  <c r="C38"/>
  <c r="D38"/>
  <c r="E38"/>
  <c r="F38"/>
  <c r="G38"/>
  <c r="H38"/>
  <c r="I38"/>
  <c r="J38"/>
  <c r="K38"/>
  <c r="L38"/>
  <c r="M38"/>
  <c r="N38"/>
  <c r="O38"/>
  <c r="P38"/>
  <c r="Q38"/>
  <c r="B38"/>
  <c r="B37"/>
  <c r="B36"/>
  <c r="B35"/>
  <c r="B34"/>
  <c r="F20" i="39" l="1"/>
  <c r="Q17"/>
  <c r="P18"/>
  <c r="O19"/>
  <c r="H20"/>
  <c r="L20"/>
  <c r="P20"/>
  <c r="L22"/>
  <c r="D23"/>
  <c r="J23"/>
  <c r="K23"/>
  <c r="H25"/>
  <c r="I25"/>
  <c r="F26"/>
  <c r="I26"/>
  <c r="M26"/>
  <c r="P26"/>
  <c r="Q26"/>
  <c r="C28"/>
  <c r="J28"/>
  <c r="K28"/>
  <c r="D31"/>
  <c r="H31"/>
  <c r="M31"/>
  <c r="O31"/>
  <c r="P31"/>
  <c r="H32"/>
  <c r="K32"/>
  <c r="L32"/>
  <c r="O32"/>
  <c r="F33"/>
  <c r="N33"/>
  <c r="C34"/>
  <c r="F34"/>
  <c r="M34"/>
  <c r="N34"/>
  <c r="H35"/>
  <c r="L35"/>
  <c r="Q35"/>
  <c r="M36"/>
  <c r="D37"/>
  <c r="E37"/>
  <c r="H37"/>
  <c r="L37"/>
  <c r="M37"/>
  <c r="Q37"/>
  <c r="D38"/>
  <c r="G38"/>
  <c r="H38"/>
  <c r="O38"/>
  <c r="F15"/>
  <c r="I15"/>
  <c r="O15"/>
  <c r="P15"/>
  <c r="D16"/>
  <c r="K16"/>
  <c r="O16"/>
  <c r="C14"/>
  <c r="E14"/>
  <c r="K14"/>
  <c r="N14"/>
  <c r="C13"/>
  <c r="K13"/>
  <c r="B38"/>
  <c r="B33"/>
  <c r="B32"/>
  <c r="B25"/>
  <c r="B22"/>
  <c r="B19"/>
  <c r="B13"/>
  <c r="C12"/>
  <c r="K12"/>
  <c r="B12"/>
  <c r="L9"/>
  <c r="O9"/>
  <c r="C9"/>
  <c r="A37"/>
  <c r="A36"/>
  <c r="A26"/>
  <c r="A25"/>
  <c r="A13"/>
  <c r="Q38" i="40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38" i="39" s="1"/>
  <c r="P36" i="40"/>
  <c r="P38" i="39" s="1"/>
  <c r="O36" i="40"/>
  <c r="N36"/>
  <c r="N38" i="39" s="1"/>
  <c r="M36" i="40"/>
  <c r="M38" i="39" s="1"/>
  <c r="L36" i="40"/>
  <c r="L38" i="39" s="1"/>
  <c r="K36" i="40"/>
  <c r="K38" i="39" s="1"/>
  <c r="J36" i="40"/>
  <c r="J38" i="39" s="1"/>
  <c r="I36" i="40"/>
  <c r="I38" i="39" s="1"/>
  <c r="H36" i="40"/>
  <c r="G36"/>
  <c r="F36"/>
  <c r="F38" i="39" s="1"/>
  <c r="E36" i="40"/>
  <c r="E38" i="39" s="1"/>
  <c r="D36" i="40"/>
  <c r="C36"/>
  <c r="C38" i="39" s="1"/>
  <c r="B36" i="40"/>
  <c r="Q35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38" i="39" s="1"/>
  <c r="Q40" i="43"/>
  <c r="M39"/>
  <c r="Q38"/>
  <c r="Q39" s="1"/>
  <c r="P38"/>
  <c r="P39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P36"/>
  <c r="P37" i="39" s="1"/>
  <c r="O36" i="43"/>
  <c r="O37" i="39" s="1"/>
  <c r="N36" i="43"/>
  <c r="N37" i="39" s="1"/>
  <c r="M36" i="43"/>
  <c r="L36"/>
  <c r="K36"/>
  <c r="K37" i="39" s="1"/>
  <c r="J36" i="43"/>
  <c r="J37" i="39" s="1"/>
  <c r="I36" i="43"/>
  <c r="I37" i="39" s="1"/>
  <c r="H36" i="43"/>
  <c r="G36"/>
  <c r="G37" i="39" s="1"/>
  <c r="F36" i="43"/>
  <c r="F37" i="39" s="1"/>
  <c r="E36" i="43"/>
  <c r="D36"/>
  <c r="C36"/>
  <c r="C37" i="39" s="1"/>
  <c r="B36" i="43"/>
  <c r="B37" i="39" s="1"/>
  <c r="Q35" i="43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Q39" i="33"/>
  <c r="P39"/>
  <c r="O40"/>
  <c r="N40"/>
  <c r="M40"/>
  <c r="L40"/>
  <c r="K40"/>
  <c r="J40"/>
  <c r="I40"/>
  <c r="H40"/>
  <c r="G40"/>
  <c r="F40"/>
  <c r="E40"/>
  <c r="D40"/>
  <c r="C40"/>
  <c r="B40"/>
  <c r="Q37"/>
  <c r="P37"/>
  <c r="O37"/>
  <c r="N37"/>
  <c r="M37"/>
  <c r="L37"/>
  <c r="K37"/>
  <c r="J37"/>
  <c r="I37"/>
  <c r="H37"/>
  <c r="G37"/>
  <c r="F37"/>
  <c r="E37"/>
  <c r="D37"/>
  <c r="C37"/>
  <c r="B37"/>
  <c r="Q36"/>
  <c r="Q36" i="39" s="1"/>
  <c r="P36" i="33"/>
  <c r="P36" i="39" s="1"/>
  <c r="O36" i="33"/>
  <c r="O36" i="39" s="1"/>
  <c r="N36" i="33"/>
  <c r="N36" i="39" s="1"/>
  <c r="M36" i="33"/>
  <c r="L36"/>
  <c r="L36" i="39" s="1"/>
  <c r="K36" i="33"/>
  <c r="K36" i="39" s="1"/>
  <c r="J36" i="33"/>
  <c r="J36" i="39" s="1"/>
  <c r="I36" i="33"/>
  <c r="I36" i="39" s="1"/>
  <c r="H36" i="33"/>
  <c r="H36" i="39" s="1"/>
  <c r="G36" i="33"/>
  <c r="G36" i="39" s="1"/>
  <c r="F36" i="33"/>
  <c r="F36" i="39" s="1"/>
  <c r="E36" i="33"/>
  <c r="E36" i="39" s="1"/>
  <c r="D36" i="33"/>
  <c r="D36" i="39" s="1"/>
  <c r="C36" i="33"/>
  <c r="C36" i="39" s="1"/>
  <c r="B36" i="33"/>
  <c r="B36" i="39" s="1"/>
  <c r="Q35" i="33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Q38" i="32"/>
  <c r="Q39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P36"/>
  <c r="P35" i="39" s="1"/>
  <c r="O36" i="32"/>
  <c r="O35" i="39" s="1"/>
  <c r="N36" i="32"/>
  <c r="N35" i="39" s="1"/>
  <c r="M36" i="32"/>
  <c r="M35" i="39" s="1"/>
  <c r="L36" i="32"/>
  <c r="K36"/>
  <c r="K35" i="39" s="1"/>
  <c r="J36" i="32"/>
  <c r="J35" i="39" s="1"/>
  <c r="I36" i="32"/>
  <c r="I35" i="39" s="1"/>
  <c r="H36" i="32"/>
  <c r="G36"/>
  <c r="G35" i="39" s="1"/>
  <c r="F36" i="32"/>
  <c r="F35" i="39" s="1"/>
  <c r="E36" i="32"/>
  <c r="E35" i="39" s="1"/>
  <c r="D36" i="32"/>
  <c r="D35" i="39" s="1"/>
  <c r="C36" i="32"/>
  <c r="C35" i="39" s="1"/>
  <c r="B36" i="32"/>
  <c r="B35" i="39" s="1"/>
  <c r="Q35" i="32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35" i="39" s="1"/>
  <c r="Q38" i="31"/>
  <c r="Q40" s="1"/>
  <c r="P38"/>
  <c r="P39" s="1"/>
  <c r="O38"/>
  <c r="O40" s="1"/>
  <c r="N38"/>
  <c r="N40" s="1"/>
  <c r="M38"/>
  <c r="M39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34" i="39" s="1"/>
  <c r="P36" i="31"/>
  <c r="P34" i="39" s="1"/>
  <c r="O36" i="31"/>
  <c r="O34" i="39" s="1"/>
  <c r="N36" i="31"/>
  <c r="M36"/>
  <c r="L36"/>
  <c r="L34" i="39" s="1"/>
  <c r="K36" i="31"/>
  <c r="K34" i="39" s="1"/>
  <c r="J36" i="31"/>
  <c r="J34" i="39" s="1"/>
  <c r="I36" i="31"/>
  <c r="I34" i="39" s="1"/>
  <c r="H36" i="31"/>
  <c r="H34" i="39" s="1"/>
  <c r="G36" i="31"/>
  <c r="G34" i="39" s="1"/>
  <c r="F36" i="31"/>
  <c r="E36"/>
  <c r="E34" i="39" s="1"/>
  <c r="D36" i="31"/>
  <c r="D34" i="39" s="1"/>
  <c r="C36" i="31"/>
  <c r="B36"/>
  <c r="B34" i="39" s="1"/>
  <c r="Q35" i="31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34" i="39" s="1"/>
  <c r="Q38" i="30"/>
  <c r="Q39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33" i="39" s="1"/>
  <c r="P36" i="30"/>
  <c r="P33" i="39" s="1"/>
  <c r="O36" i="30"/>
  <c r="O33" i="39" s="1"/>
  <c r="N36" i="30"/>
  <c r="M36"/>
  <c r="M33" i="39" s="1"/>
  <c r="L36" i="30"/>
  <c r="L33" i="39" s="1"/>
  <c r="K36" i="30"/>
  <c r="K33" i="39" s="1"/>
  <c r="J36" i="30"/>
  <c r="J33" i="39" s="1"/>
  <c r="I36" i="30"/>
  <c r="I33" i="39" s="1"/>
  <c r="H36" i="30"/>
  <c r="H33" i="39" s="1"/>
  <c r="G36" i="30"/>
  <c r="G33" i="39" s="1"/>
  <c r="F36" i="30"/>
  <c r="E36"/>
  <c r="E33" i="39" s="1"/>
  <c r="D36" i="30"/>
  <c r="D33" i="39" s="1"/>
  <c r="C36" i="30"/>
  <c r="C33" i="39" s="1"/>
  <c r="B36" i="30"/>
  <c r="Q35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33" i="39" s="1"/>
  <c r="Q38" i="29"/>
  <c r="Q39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32" i="39" s="1"/>
  <c r="P36" i="29"/>
  <c r="P32" i="39" s="1"/>
  <c r="O36" i="29"/>
  <c r="N36"/>
  <c r="N32" i="39" s="1"/>
  <c r="M36" i="29"/>
  <c r="M32" i="39" s="1"/>
  <c r="L36" i="29"/>
  <c r="K36"/>
  <c r="J36"/>
  <c r="J32" i="39" s="1"/>
  <c r="I36" i="29"/>
  <c r="I32" i="39" s="1"/>
  <c r="H36" i="29"/>
  <c r="G36"/>
  <c r="G32" i="39" s="1"/>
  <c r="F36" i="29"/>
  <c r="F32" i="39" s="1"/>
  <c r="E36" i="29"/>
  <c r="E32" i="39" s="1"/>
  <c r="D36" i="29"/>
  <c r="D32" i="39" s="1"/>
  <c r="C36" i="29"/>
  <c r="C32" i="39" s="1"/>
  <c r="B36" i="29"/>
  <c r="Q35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32" i="39" s="1"/>
  <c r="P40" i="28"/>
  <c r="Q38"/>
  <c r="Q40" s="1"/>
  <c r="P38"/>
  <c r="P39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31" i="39" s="1"/>
  <c r="P36" i="28"/>
  <c r="O36"/>
  <c r="N36"/>
  <c r="N31" i="39" s="1"/>
  <c r="M36" i="28"/>
  <c r="L36"/>
  <c r="L31" i="39" s="1"/>
  <c r="K36" i="28"/>
  <c r="K31" i="39" s="1"/>
  <c r="J36" i="28"/>
  <c r="J31" i="39" s="1"/>
  <c r="I36" i="28"/>
  <c r="I31" i="39" s="1"/>
  <c r="H36" i="28"/>
  <c r="G36"/>
  <c r="G31" i="39" s="1"/>
  <c r="F36" i="28"/>
  <c r="F31" i="39" s="1"/>
  <c r="E36" i="28"/>
  <c r="E31" i="39" s="1"/>
  <c r="D36" i="28"/>
  <c r="C36"/>
  <c r="C31" i="39" s="1"/>
  <c r="B36" i="28"/>
  <c r="B31" i="39" s="1"/>
  <c r="Q35" i="28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31" i="39" s="1"/>
  <c r="Q38" i="27"/>
  <c r="Q39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30" i="39" s="1"/>
  <c r="P36" i="27"/>
  <c r="P30" i="39" s="1"/>
  <c r="O36" i="27"/>
  <c r="O30" i="39" s="1"/>
  <c r="N36" i="27"/>
  <c r="N30" i="39" s="1"/>
  <c r="M36" i="27"/>
  <c r="M30" i="39" s="1"/>
  <c r="L36" i="27"/>
  <c r="L30" i="39" s="1"/>
  <c r="K36" i="27"/>
  <c r="K30" i="39" s="1"/>
  <c r="J36" i="27"/>
  <c r="J30" i="39" s="1"/>
  <c r="I36" i="27"/>
  <c r="I30" i="39" s="1"/>
  <c r="H36" i="27"/>
  <c r="H30" i="39" s="1"/>
  <c r="G36" i="27"/>
  <c r="G30" i="39" s="1"/>
  <c r="F36" i="27"/>
  <c r="F30" i="39" s="1"/>
  <c r="E36" i="27"/>
  <c r="E30" i="39" s="1"/>
  <c r="D36" i="27"/>
  <c r="D30" i="39" s="1"/>
  <c r="C36" i="27"/>
  <c r="C30" i="39" s="1"/>
  <c r="B36" i="27"/>
  <c r="B30" i="39" s="1"/>
  <c r="Q35" i="27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30" i="39" s="1"/>
  <c r="Q38" i="26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29" i="39" s="1"/>
  <c r="P36" i="26"/>
  <c r="P29" i="39" s="1"/>
  <c r="O36" i="26"/>
  <c r="O29" i="39" s="1"/>
  <c r="N36" i="26"/>
  <c r="N29" i="39" s="1"/>
  <c r="M36" i="26"/>
  <c r="M29" i="39" s="1"/>
  <c r="L36" i="26"/>
  <c r="L29" i="39" s="1"/>
  <c r="K36" i="26"/>
  <c r="K29" i="39" s="1"/>
  <c r="J36" i="26"/>
  <c r="J29" i="39" s="1"/>
  <c r="I36" i="26"/>
  <c r="I29" i="39" s="1"/>
  <c r="H36" i="26"/>
  <c r="H29" i="39" s="1"/>
  <c r="G36" i="26"/>
  <c r="G29" i="39" s="1"/>
  <c r="F36" i="26"/>
  <c r="F29" i="39" s="1"/>
  <c r="E36" i="26"/>
  <c r="E29" i="39" s="1"/>
  <c r="D36" i="26"/>
  <c r="D29" i="39" s="1"/>
  <c r="C36" i="26"/>
  <c r="C29" i="39" s="1"/>
  <c r="B36" i="26"/>
  <c r="B29" i="39" s="1"/>
  <c r="Q35" i="26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29" i="39" s="1"/>
  <c r="Q38" i="25"/>
  <c r="Q39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28" i="39" s="1"/>
  <c r="P36" i="25"/>
  <c r="P28" i="39" s="1"/>
  <c r="O36" i="25"/>
  <c r="O28" i="39" s="1"/>
  <c r="N36" i="25"/>
  <c r="N28" i="39" s="1"/>
  <c r="M36" i="25"/>
  <c r="M28" i="39" s="1"/>
  <c r="L36" i="25"/>
  <c r="L28" i="39" s="1"/>
  <c r="K36" i="25"/>
  <c r="J36"/>
  <c r="I36"/>
  <c r="I28" i="39" s="1"/>
  <c r="H36" i="25"/>
  <c r="H28" i="39" s="1"/>
  <c r="G36" i="25"/>
  <c r="G28" i="39" s="1"/>
  <c r="F36" i="25"/>
  <c r="F28" i="39" s="1"/>
  <c r="E36" i="25"/>
  <c r="E28" i="39" s="1"/>
  <c r="D36" i="25"/>
  <c r="D28" i="39" s="1"/>
  <c r="C36" i="25"/>
  <c r="B36"/>
  <c r="B28" i="39" s="1"/>
  <c r="Q35" i="25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28" i="39" s="1"/>
  <c r="Q38" i="24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27" i="39" s="1"/>
  <c r="P36" i="24"/>
  <c r="P27" i="39" s="1"/>
  <c r="O36" i="24"/>
  <c r="O27" i="39" s="1"/>
  <c r="N36" i="24"/>
  <c r="N27" i="39" s="1"/>
  <c r="M36" i="24"/>
  <c r="M27" i="39" s="1"/>
  <c r="L36" i="24"/>
  <c r="L27" i="39" s="1"/>
  <c r="K36" i="24"/>
  <c r="K27" i="39" s="1"/>
  <c r="J36" i="24"/>
  <c r="J27" i="39" s="1"/>
  <c r="I36" i="24"/>
  <c r="I27" i="39" s="1"/>
  <c r="H36" i="24"/>
  <c r="H27" i="39" s="1"/>
  <c r="G36" i="24"/>
  <c r="G27" i="39" s="1"/>
  <c r="F36" i="24"/>
  <c r="F27" i="39" s="1"/>
  <c r="E36" i="24"/>
  <c r="E27" i="39" s="1"/>
  <c r="D36" i="24"/>
  <c r="D27" i="39" s="1"/>
  <c r="C36" i="24"/>
  <c r="C27" i="39" s="1"/>
  <c r="B36" i="24"/>
  <c r="B27" i="39" s="1"/>
  <c r="Q35" i="24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27" i="39" s="1"/>
  <c r="Q38" i="23"/>
  <c r="Q39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P36"/>
  <c r="O36"/>
  <c r="O26" i="39" s="1"/>
  <c r="N36" i="23"/>
  <c r="N26" i="39" s="1"/>
  <c r="M36" i="23"/>
  <c r="L36"/>
  <c r="L26" i="39" s="1"/>
  <c r="K36" i="23"/>
  <c r="K26" i="39" s="1"/>
  <c r="J36" i="23"/>
  <c r="J26" i="39" s="1"/>
  <c r="I36" i="23"/>
  <c r="H36"/>
  <c r="H26" i="39" s="1"/>
  <c r="G36" i="23"/>
  <c r="G26" i="39" s="1"/>
  <c r="F36" i="23"/>
  <c r="E36"/>
  <c r="E26" i="39" s="1"/>
  <c r="D36" i="23"/>
  <c r="D26" i="39" s="1"/>
  <c r="C36" i="23"/>
  <c r="C26" i="39" s="1"/>
  <c r="B36" i="23"/>
  <c r="B26" i="39" s="1"/>
  <c r="Q35" i="23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P40" i="22"/>
  <c r="Q38"/>
  <c r="Q39" s="1"/>
  <c r="P38"/>
  <c r="P39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25" i="39" s="1"/>
  <c r="P36" i="22"/>
  <c r="P25" i="39" s="1"/>
  <c r="O36" i="22"/>
  <c r="O25" i="39" s="1"/>
  <c r="N36" i="22"/>
  <c r="N25" i="39" s="1"/>
  <c r="M36" i="22"/>
  <c r="M25" i="39" s="1"/>
  <c r="L36" i="22"/>
  <c r="L25" i="39" s="1"/>
  <c r="K36" i="22"/>
  <c r="K25" i="39" s="1"/>
  <c r="J36" i="22"/>
  <c r="J25" i="39" s="1"/>
  <c r="I36" i="22"/>
  <c r="H36"/>
  <c r="G36"/>
  <c r="G25" i="39" s="1"/>
  <c r="F36" i="22"/>
  <c r="F25" i="39" s="1"/>
  <c r="E36" i="22"/>
  <c r="E25" i="39" s="1"/>
  <c r="D36" i="22"/>
  <c r="D25" i="39" s="1"/>
  <c r="C36" i="22"/>
  <c r="C25" i="39" s="1"/>
  <c r="B36" i="22"/>
  <c r="Q35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Q38" i="21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24" i="39" s="1"/>
  <c r="P36" i="21"/>
  <c r="P24" i="39" s="1"/>
  <c r="O36" i="21"/>
  <c r="O24" i="39" s="1"/>
  <c r="N36" i="21"/>
  <c r="N24" i="39" s="1"/>
  <c r="M36" i="21"/>
  <c r="M24" i="39" s="1"/>
  <c r="L36" i="21"/>
  <c r="L24" i="39" s="1"/>
  <c r="K36" i="21"/>
  <c r="K24" i="39" s="1"/>
  <c r="J36" i="21"/>
  <c r="J24" i="39" s="1"/>
  <c r="I36" i="21"/>
  <c r="I24" i="39" s="1"/>
  <c r="H36" i="21"/>
  <c r="H24" i="39" s="1"/>
  <c r="G36" i="21"/>
  <c r="G24" i="39" s="1"/>
  <c r="F36" i="21"/>
  <c r="F24" i="39" s="1"/>
  <c r="E36" i="21"/>
  <c r="E24" i="39" s="1"/>
  <c r="D36" i="21"/>
  <c r="D24" i="39" s="1"/>
  <c r="C36" i="21"/>
  <c r="C24" i="39" s="1"/>
  <c r="B36" i="21"/>
  <c r="B24" i="39" s="1"/>
  <c r="Q35" i="21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24" i="39" s="1"/>
  <c r="Q38" i="20"/>
  <c r="Q39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23" i="39" s="1"/>
  <c r="P36" i="20"/>
  <c r="P23" i="39" s="1"/>
  <c r="O36" i="20"/>
  <c r="O23" i="39" s="1"/>
  <c r="N36" i="20"/>
  <c r="N23" i="39" s="1"/>
  <c r="M36" i="20"/>
  <c r="M23" i="39" s="1"/>
  <c r="L36" i="20"/>
  <c r="L23" i="39" s="1"/>
  <c r="K36" i="20"/>
  <c r="J36"/>
  <c r="I36"/>
  <c r="I23" i="39" s="1"/>
  <c r="H36" i="20"/>
  <c r="H23" i="39" s="1"/>
  <c r="G36" i="20"/>
  <c r="G23" i="39" s="1"/>
  <c r="F36" i="20"/>
  <c r="F23" i="39" s="1"/>
  <c r="E36" i="20"/>
  <c r="E23" i="39" s="1"/>
  <c r="D36" i="20"/>
  <c r="C36"/>
  <c r="C23" i="39" s="1"/>
  <c r="B36" i="20"/>
  <c r="B23" i="39" s="1"/>
  <c r="Q35" i="20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23" i="39" s="1"/>
  <c r="Q38" i="19"/>
  <c r="Q40" s="1"/>
  <c r="P38"/>
  <c r="P39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22" i="39" s="1"/>
  <c r="P36" i="19"/>
  <c r="P22" i="39" s="1"/>
  <c r="O36" i="19"/>
  <c r="O22" i="39" s="1"/>
  <c r="N36" i="19"/>
  <c r="N22" i="39" s="1"/>
  <c r="M36" i="19"/>
  <c r="M22" i="39" s="1"/>
  <c r="L36" i="19"/>
  <c r="K36"/>
  <c r="K22" i="39" s="1"/>
  <c r="J36" i="19"/>
  <c r="J22" i="39" s="1"/>
  <c r="I36" i="19"/>
  <c r="I22" i="39" s="1"/>
  <c r="H36" i="19"/>
  <c r="H22" i="39" s="1"/>
  <c r="G36" i="19"/>
  <c r="G22" i="39" s="1"/>
  <c r="F36" i="19"/>
  <c r="F22" i="39" s="1"/>
  <c r="E36" i="19"/>
  <c r="E22" i="39" s="1"/>
  <c r="D36" i="19"/>
  <c r="D22" i="39" s="1"/>
  <c r="C36" i="19"/>
  <c r="C22" i="39" s="1"/>
  <c r="B36" i="19"/>
  <c r="Q35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22" i="39" s="1"/>
  <c r="Q38" i="18"/>
  <c r="Q40" s="1"/>
  <c r="P38"/>
  <c r="P40" s="1"/>
  <c r="O38"/>
  <c r="O39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39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21" i="39" s="1"/>
  <c r="P36" i="18"/>
  <c r="P21" i="39" s="1"/>
  <c r="O36" i="18"/>
  <c r="O21" i="39" s="1"/>
  <c r="N36" i="18"/>
  <c r="N21" i="39" s="1"/>
  <c r="M36" i="18"/>
  <c r="M21" i="39" s="1"/>
  <c r="L36" i="18"/>
  <c r="L21" i="39" s="1"/>
  <c r="K36" i="18"/>
  <c r="K21" i="39" s="1"/>
  <c r="J36" i="18"/>
  <c r="J21" i="39" s="1"/>
  <c r="I36" i="18"/>
  <c r="I21" i="39" s="1"/>
  <c r="H36" i="18"/>
  <c r="H21" i="39" s="1"/>
  <c r="G36" i="18"/>
  <c r="G21" i="39" s="1"/>
  <c r="F36" i="18"/>
  <c r="F21" i="39" s="1"/>
  <c r="E36" i="18"/>
  <c r="E21" i="39" s="1"/>
  <c r="D36" i="18"/>
  <c r="D21" i="39" s="1"/>
  <c r="C36" i="18"/>
  <c r="C21" i="39" s="1"/>
  <c r="B36" i="18"/>
  <c r="B21" i="39" s="1"/>
  <c r="Q35" i="18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21" i="39" s="1"/>
  <c r="Q38" i="17"/>
  <c r="Q39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20" i="39" s="1"/>
  <c r="P36" i="17"/>
  <c r="O36"/>
  <c r="O20" i="39" s="1"/>
  <c r="N36" i="17"/>
  <c r="N20" i="39" s="1"/>
  <c r="M36" i="17"/>
  <c r="M20" i="39" s="1"/>
  <c r="L36" i="17"/>
  <c r="K36"/>
  <c r="K20" i="39" s="1"/>
  <c r="J36" i="17"/>
  <c r="J20" i="39" s="1"/>
  <c r="I36" i="17"/>
  <c r="I20" i="39" s="1"/>
  <c r="H36" i="17"/>
  <c r="G36"/>
  <c r="G20" i="39" s="1"/>
  <c r="F36" i="17"/>
  <c r="E36"/>
  <c r="E20" i="39" s="1"/>
  <c r="D36" i="17"/>
  <c r="D20" i="39" s="1"/>
  <c r="C36" i="17"/>
  <c r="C20" i="39" s="1"/>
  <c r="B36" i="17"/>
  <c r="B20" i="39" s="1"/>
  <c r="Q35" i="17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20" i="39" s="1"/>
  <c r="Q38" i="16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19" i="39" s="1"/>
  <c r="P36" i="16"/>
  <c r="P19" i="39" s="1"/>
  <c r="O36" i="16"/>
  <c r="N36"/>
  <c r="N19" i="39" s="1"/>
  <c r="M36" i="16"/>
  <c r="M19" i="39" s="1"/>
  <c r="L36" i="16"/>
  <c r="L19" i="39" s="1"/>
  <c r="K36" i="16"/>
  <c r="K19" i="39" s="1"/>
  <c r="J36" i="16"/>
  <c r="J19" i="39" s="1"/>
  <c r="I36" i="16"/>
  <c r="I19" i="39" s="1"/>
  <c r="H36" i="16"/>
  <c r="H19" i="39" s="1"/>
  <c r="G36" i="16"/>
  <c r="G19" i="39" s="1"/>
  <c r="F36" i="16"/>
  <c r="F19" i="39" s="1"/>
  <c r="E36" i="16"/>
  <c r="E19" i="39" s="1"/>
  <c r="D36" i="16"/>
  <c r="D19" i="39" s="1"/>
  <c r="C36" i="16"/>
  <c r="C19" i="39" s="1"/>
  <c r="B36" i="16"/>
  <c r="Q35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19" i="39" s="1"/>
  <c r="Q38" i="15"/>
  <c r="Q40" s="1"/>
  <c r="P38"/>
  <c r="P40" s="1"/>
  <c r="O38"/>
  <c r="O39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18" i="39" s="1"/>
  <c r="P36" i="15"/>
  <c r="O36"/>
  <c r="O18" i="39" s="1"/>
  <c r="N36" i="15"/>
  <c r="N18" i="39" s="1"/>
  <c r="M36" i="15"/>
  <c r="M18" i="39" s="1"/>
  <c r="L36" i="15"/>
  <c r="L18" i="39" s="1"/>
  <c r="K36" i="15"/>
  <c r="K18" i="39" s="1"/>
  <c r="J36" i="15"/>
  <c r="J18" i="39" s="1"/>
  <c r="I36" i="15"/>
  <c r="I18" i="39" s="1"/>
  <c r="H36" i="15"/>
  <c r="H18" i="39" s="1"/>
  <c r="G36" i="15"/>
  <c r="G18" i="39" s="1"/>
  <c r="F36" i="15"/>
  <c r="F18" i="39" s="1"/>
  <c r="E36" i="15"/>
  <c r="E18" i="39" s="1"/>
  <c r="D36" i="15"/>
  <c r="D18" i="39" s="1"/>
  <c r="C36" i="15"/>
  <c r="C18" i="39" s="1"/>
  <c r="B36" i="15"/>
  <c r="B18" i="39" s="1"/>
  <c r="Q35" i="15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18" i="39" s="1"/>
  <c r="Q38" i="14"/>
  <c r="Q39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P36"/>
  <c r="P17" i="39" s="1"/>
  <c r="O36" i="14"/>
  <c r="O17" i="39" s="1"/>
  <c r="N36" i="14"/>
  <c r="N17" i="39" s="1"/>
  <c r="M36" i="14"/>
  <c r="M17" i="39" s="1"/>
  <c r="L36" i="14"/>
  <c r="L17" i="39" s="1"/>
  <c r="K36" i="14"/>
  <c r="K17" i="39" s="1"/>
  <c r="J36" i="14"/>
  <c r="J17" i="39" s="1"/>
  <c r="I36" i="14"/>
  <c r="I17" i="39" s="1"/>
  <c r="H36" i="14"/>
  <c r="H17" i="39" s="1"/>
  <c r="G36" i="14"/>
  <c r="G17" i="39" s="1"/>
  <c r="F36" i="14"/>
  <c r="F17" i="39" s="1"/>
  <c r="E36" i="14"/>
  <c r="E17" i="39" s="1"/>
  <c r="D36" i="14"/>
  <c r="D17" i="39" s="1"/>
  <c r="C36" i="14"/>
  <c r="C17" i="39" s="1"/>
  <c r="B36" i="14"/>
  <c r="B17" i="39" s="1"/>
  <c r="Q35" i="14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17" i="39" s="1"/>
  <c r="Q39" i="13"/>
  <c r="P38"/>
  <c r="P40" s="1"/>
  <c r="O38"/>
  <c r="O40" s="1"/>
  <c r="N38"/>
  <c r="N40" s="1"/>
  <c r="M38"/>
  <c r="M39" s="1"/>
  <c r="L38"/>
  <c r="L40" s="1"/>
  <c r="K38"/>
  <c r="K40" s="1"/>
  <c r="J38"/>
  <c r="J40" s="1"/>
  <c r="I38"/>
  <c r="I40" s="1"/>
  <c r="H38"/>
  <c r="H40" s="1"/>
  <c r="G38"/>
  <c r="G40" s="1"/>
  <c r="F38"/>
  <c r="F40" s="1"/>
  <c r="E40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16" i="39" s="1"/>
  <c r="P36" i="13"/>
  <c r="P16" i="39" s="1"/>
  <c r="O36" i="13"/>
  <c r="N36"/>
  <c r="N16" i="39" s="1"/>
  <c r="M36" i="13"/>
  <c r="M16" i="39" s="1"/>
  <c r="L36" i="13"/>
  <c r="L16" i="39" s="1"/>
  <c r="K36" i="13"/>
  <c r="J36"/>
  <c r="J16" i="39" s="1"/>
  <c r="I36" i="13"/>
  <c r="I16" i="39" s="1"/>
  <c r="H36" i="13"/>
  <c r="H16" i="39" s="1"/>
  <c r="G36" i="13"/>
  <c r="G16" i="39" s="1"/>
  <c r="F36" i="13"/>
  <c r="F16" i="39" s="1"/>
  <c r="E36" i="13"/>
  <c r="E16" i="39" s="1"/>
  <c r="D36" i="13"/>
  <c r="C36"/>
  <c r="C16" i="39" s="1"/>
  <c r="B36" i="13"/>
  <c r="B16" i="39" s="1"/>
  <c r="Q35" i="13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16" i="39" s="1"/>
  <c r="Q38" i="12"/>
  <c r="Q39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15" i="39" s="1"/>
  <c r="P36" i="12"/>
  <c r="O36"/>
  <c r="N36"/>
  <c r="N15" i="39" s="1"/>
  <c r="M36" i="12"/>
  <c r="M15" i="39" s="1"/>
  <c r="L36" i="12"/>
  <c r="L15" i="39" s="1"/>
  <c r="K36" i="12"/>
  <c r="K15" i="39" s="1"/>
  <c r="J36" i="12"/>
  <c r="J15" i="39" s="1"/>
  <c r="I36" i="12"/>
  <c r="H36"/>
  <c r="H15" i="39" s="1"/>
  <c r="G36" i="12"/>
  <c r="G15" i="39" s="1"/>
  <c r="F36" i="12"/>
  <c r="E36"/>
  <c r="E15" i="39" s="1"/>
  <c r="D36" i="12"/>
  <c r="D15" i="39" s="1"/>
  <c r="C36" i="12"/>
  <c r="C15" i="39" s="1"/>
  <c r="B36" i="12"/>
  <c r="B15" i="39" s="1"/>
  <c r="Q35" i="12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15" i="39" s="1"/>
  <c r="Q38" i="11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14" i="39" s="1"/>
  <c r="P36" i="11"/>
  <c r="P14" i="39" s="1"/>
  <c r="O36" i="11"/>
  <c r="O14" i="39" s="1"/>
  <c r="N36" i="11"/>
  <c r="M36"/>
  <c r="M14" i="39" s="1"/>
  <c r="L36" i="11"/>
  <c r="L14" i="39" s="1"/>
  <c r="K36" i="11"/>
  <c r="J36"/>
  <c r="J14" i="39" s="1"/>
  <c r="I36" i="11"/>
  <c r="I14" i="39" s="1"/>
  <c r="H36" i="11"/>
  <c r="H14" i="39" s="1"/>
  <c r="G36" i="11"/>
  <c r="G14" i="39" s="1"/>
  <c r="F36" i="11"/>
  <c r="F14" i="39" s="1"/>
  <c r="E36" i="11"/>
  <c r="D36"/>
  <c r="D14" i="39" s="1"/>
  <c r="C36" i="11"/>
  <c r="B36"/>
  <c r="B14" i="39" s="1"/>
  <c r="Q35" i="11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14" i="39" s="1"/>
  <c r="Q38" i="10"/>
  <c r="Q40" s="1"/>
  <c r="P38"/>
  <c r="P39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13" i="39" s="1"/>
  <c r="P36" i="10"/>
  <c r="P13" i="39" s="1"/>
  <c r="O36" i="10"/>
  <c r="O13" i="39" s="1"/>
  <c r="N36" i="10"/>
  <c r="N13" i="39" s="1"/>
  <c r="M36" i="10"/>
  <c r="M13" i="39" s="1"/>
  <c r="L36" i="10"/>
  <c r="L13" i="39" s="1"/>
  <c r="K36" i="10"/>
  <c r="J36"/>
  <c r="J13" i="39" s="1"/>
  <c r="I36" i="10"/>
  <c r="I13" i="39" s="1"/>
  <c r="H36" i="10"/>
  <c r="H13" i="39" s="1"/>
  <c r="G36" i="10"/>
  <c r="G13" i="39" s="1"/>
  <c r="F36" i="10"/>
  <c r="F13" i="39" s="1"/>
  <c r="E36" i="10"/>
  <c r="E13" i="39" s="1"/>
  <c r="D36" i="10"/>
  <c r="D13" i="39" s="1"/>
  <c r="C36" i="10"/>
  <c r="B36"/>
  <c r="Q35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Q38" i="9"/>
  <c r="Q39" s="1"/>
  <c r="P38"/>
  <c r="P40" s="1"/>
  <c r="O38"/>
  <c r="O40" s="1"/>
  <c r="N38"/>
  <c r="N40" s="1"/>
  <c r="M38"/>
  <c r="M39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12" i="39" s="1"/>
  <c r="P36" i="9"/>
  <c r="P12" i="39" s="1"/>
  <c r="O36" i="9"/>
  <c r="O12" i="39" s="1"/>
  <c r="N36" i="9"/>
  <c r="N12" i="39" s="1"/>
  <c r="M36" i="9"/>
  <c r="M12" i="39" s="1"/>
  <c r="L36" i="9"/>
  <c r="L12" i="39" s="1"/>
  <c r="K36" i="9"/>
  <c r="J36"/>
  <c r="J12" i="39" s="1"/>
  <c r="I36" i="9"/>
  <c r="I12" i="39" s="1"/>
  <c r="H36" i="9"/>
  <c r="H12" i="39" s="1"/>
  <c r="G36" i="9"/>
  <c r="G12" i="39" s="1"/>
  <c r="F36" i="9"/>
  <c r="F12" i="39" s="1"/>
  <c r="E36" i="9"/>
  <c r="E12" i="39" s="1"/>
  <c r="D36" i="9"/>
  <c r="D12" i="39" s="1"/>
  <c r="C36" i="9"/>
  <c r="B36"/>
  <c r="Q35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12" i="39" s="1"/>
  <c r="Q40" i="8"/>
  <c r="P40"/>
  <c r="O40"/>
  <c r="N40"/>
  <c r="M40"/>
  <c r="L40"/>
  <c r="K40"/>
  <c r="J40"/>
  <c r="I40"/>
  <c r="H40"/>
  <c r="G40"/>
  <c r="F40"/>
  <c r="E40"/>
  <c r="D40"/>
  <c r="C40"/>
  <c r="B40"/>
  <c r="Q11" i="39"/>
  <c r="P11"/>
  <c r="O11"/>
  <c r="N11"/>
  <c r="M11"/>
  <c r="L11"/>
  <c r="K11"/>
  <c r="J11"/>
  <c r="I11"/>
  <c r="H11"/>
  <c r="G11"/>
  <c r="F11"/>
  <c r="E11"/>
  <c r="D11"/>
  <c r="C11"/>
  <c r="B11"/>
  <c r="A11"/>
  <c r="Q38" i="3"/>
  <c r="Q40" s="1"/>
  <c r="P38"/>
  <c r="P40" s="1"/>
  <c r="O38"/>
  <c r="O39" s="1"/>
  <c r="N38"/>
  <c r="N39" s="1"/>
  <c r="M38"/>
  <c r="M39" s="1"/>
  <c r="L38"/>
  <c r="L39" s="1"/>
  <c r="K38"/>
  <c r="K39" s="1"/>
  <c r="J38"/>
  <c r="J39" s="1"/>
  <c r="I38"/>
  <c r="I39" s="1"/>
  <c r="H38"/>
  <c r="H40" s="1"/>
  <c r="G38"/>
  <c r="G40" s="1"/>
  <c r="F38"/>
  <c r="F40" s="1"/>
  <c r="E38"/>
  <c r="E39" s="1"/>
  <c r="D38"/>
  <c r="D39" s="1"/>
  <c r="C38"/>
  <c r="C39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10" i="39" s="1"/>
  <c r="P36" i="3"/>
  <c r="P10" i="39" s="1"/>
  <c r="O36" i="3"/>
  <c r="O10" i="39" s="1"/>
  <c r="N36" i="3"/>
  <c r="N10" i="39" s="1"/>
  <c r="M36" i="3"/>
  <c r="M10" i="39" s="1"/>
  <c r="L36" i="3"/>
  <c r="L10" i="39" s="1"/>
  <c r="K36" i="3"/>
  <c r="K10" i="39" s="1"/>
  <c r="J36" i="3"/>
  <c r="J10" i="39" s="1"/>
  <c r="I36" i="3"/>
  <c r="I10" i="39" s="1"/>
  <c r="H36" i="3"/>
  <c r="H10" i="39" s="1"/>
  <c r="G36" i="3"/>
  <c r="G10" i="39" s="1"/>
  <c r="F36" i="3"/>
  <c r="F10" i="39" s="1"/>
  <c r="E36" i="3"/>
  <c r="E10" i="39" s="1"/>
  <c r="D36" i="3"/>
  <c r="D10" i="39" s="1"/>
  <c r="C36" i="3"/>
  <c r="C10" i="39" s="1"/>
  <c r="B36" i="3"/>
  <c r="B10" i="39" s="1"/>
  <c r="Q35" i="3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10" i="39" s="1"/>
  <c r="H39" i="2"/>
  <c r="G39"/>
  <c r="F38"/>
  <c r="F39" s="1"/>
  <c r="G35"/>
  <c r="N37"/>
  <c r="O37"/>
  <c r="P37"/>
  <c r="N36"/>
  <c r="N9" i="39" s="1"/>
  <c r="O36" i="2"/>
  <c r="P36"/>
  <c r="P9" i="39" s="1"/>
  <c r="N35" i="2"/>
  <c r="O35"/>
  <c r="P35"/>
  <c r="N34"/>
  <c r="O34"/>
  <c r="P34"/>
  <c r="C38"/>
  <c r="C40" s="1"/>
  <c r="D38"/>
  <c r="D40" s="1"/>
  <c r="E38"/>
  <c r="E40" s="1"/>
  <c r="I38"/>
  <c r="I40" s="1"/>
  <c r="J38"/>
  <c r="J40" s="1"/>
  <c r="K38"/>
  <c r="K40" s="1"/>
  <c r="L38"/>
  <c r="L40" s="1"/>
  <c r="M38"/>
  <c r="M39" s="1"/>
  <c r="N38"/>
  <c r="N40" s="1"/>
  <c r="O38"/>
  <c r="P38"/>
  <c r="P39" s="1"/>
  <c r="Q38"/>
  <c r="Q39" s="1"/>
  <c r="B38"/>
  <c r="B40" s="1"/>
  <c r="O40"/>
  <c r="Q37"/>
  <c r="M37"/>
  <c r="L37"/>
  <c r="K37"/>
  <c r="J37"/>
  <c r="I37"/>
  <c r="H37"/>
  <c r="G37"/>
  <c r="F37"/>
  <c r="E37"/>
  <c r="D37"/>
  <c r="C37"/>
  <c r="B37"/>
  <c r="Q36"/>
  <c r="Q9" i="39" s="1"/>
  <c r="M36" i="2"/>
  <c r="M9" i="39" s="1"/>
  <c r="L36" i="2"/>
  <c r="K36"/>
  <c r="K9" i="39" s="1"/>
  <c r="J36" i="2"/>
  <c r="J9" i="39" s="1"/>
  <c r="I36" i="2"/>
  <c r="I9" i="39" s="1"/>
  <c r="H36" i="2"/>
  <c r="H9" i="39" s="1"/>
  <c r="G36" i="2"/>
  <c r="G9" i="39" s="1"/>
  <c r="F36" i="2"/>
  <c r="F9" i="39" s="1"/>
  <c r="E36" i="2"/>
  <c r="E9" i="39" s="1"/>
  <c r="D36" i="2"/>
  <c r="D9" i="39" s="1"/>
  <c r="C36" i="2"/>
  <c r="B36"/>
  <c r="B9" i="39" s="1"/>
  <c r="Q35" i="2"/>
  <c r="M35"/>
  <c r="L35"/>
  <c r="K35"/>
  <c r="J35"/>
  <c r="I35"/>
  <c r="H35"/>
  <c r="F35"/>
  <c r="E35"/>
  <c r="D35"/>
  <c r="C35"/>
  <c r="B35"/>
  <c r="Q34"/>
  <c r="M34"/>
  <c r="L34"/>
  <c r="K34"/>
  <c r="J34"/>
  <c r="I34"/>
  <c r="H34"/>
  <c r="G34"/>
  <c r="F34"/>
  <c r="E34"/>
  <c r="D34"/>
  <c r="C34"/>
  <c r="B34"/>
  <c r="K39"/>
  <c r="O39"/>
  <c r="B39"/>
  <c r="P40" i="31" l="1"/>
  <c r="Q40" i="22"/>
  <c r="Q40" i="20"/>
  <c r="O40" i="18"/>
  <c r="J39"/>
  <c r="P39" i="12"/>
  <c r="M40" i="9"/>
  <c r="Q39" i="3"/>
  <c r="H39"/>
  <c r="H40" i="2"/>
  <c r="D39"/>
  <c r="B2" i="39"/>
  <c r="A9"/>
  <c r="Q39" i="40"/>
  <c r="P39"/>
  <c r="F39"/>
  <c r="O39"/>
  <c r="N39"/>
  <c r="M39"/>
  <c r="L39"/>
  <c r="K39"/>
  <c r="J39"/>
  <c r="I39"/>
  <c r="H39"/>
  <c r="G39"/>
  <c r="E39"/>
  <c r="D39"/>
  <c r="C39"/>
  <c r="B39"/>
  <c r="P40" i="43"/>
  <c r="O39"/>
  <c r="N39"/>
  <c r="L39"/>
  <c r="K39"/>
  <c r="J39"/>
  <c r="I39"/>
  <c r="H39"/>
  <c r="G39"/>
  <c r="F39"/>
  <c r="E39"/>
  <c r="D39"/>
  <c r="C39"/>
  <c r="B39"/>
  <c r="P40" i="33"/>
  <c r="O39"/>
  <c r="N39"/>
  <c r="M39"/>
  <c r="L39"/>
  <c r="K39"/>
  <c r="J39"/>
  <c r="I39"/>
  <c r="Q40"/>
  <c r="H39"/>
  <c r="G39"/>
  <c r="F39"/>
  <c r="E39"/>
  <c r="D39"/>
  <c r="C39"/>
  <c r="B39"/>
  <c r="Q40" i="32"/>
  <c r="P39"/>
  <c r="O39"/>
  <c r="N39"/>
  <c r="M39"/>
  <c r="L39"/>
  <c r="K39"/>
  <c r="J39"/>
  <c r="I39"/>
  <c r="H39"/>
  <c r="G39"/>
  <c r="F39"/>
  <c r="E39"/>
  <c r="D39"/>
  <c r="C39"/>
  <c r="B39"/>
  <c r="O39" i="31"/>
  <c r="N39"/>
  <c r="M40"/>
  <c r="L39"/>
  <c r="K39"/>
  <c r="J39"/>
  <c r="I39"/>
  <c r="H39"/>
  <c r="G39"/>
  <c r="F39"/>
  <c r="E39"/>
  <c r="Q39"/>
  <c r="D39"/>
  <c r="C39"/>
  <c r="B39"/>
  <c r="Q40" i="30"/>
  <c r="P39"/>
  <c r="O39"/>
  <c r="N39"/>
  <c r="M39"/>
  <c r="L39"/>
  <c r="K39"/>
  <c r="J39"/>
  <c r="I39"/>
  <c r="H39"/>
  <c r="G39"/>
  <c r="F39"/>
  <c r="E39"/>
  <c r="D39"/>
  <c r="C39"/>
  <c r="B39"/>
  <c r="Q40" i="29"/>
  <c r="P39"/>
  <c r="O39"/>
  <c r="N39"/>
  <c r="M39"/>
  <c r="L39"/>
  <c r="K39"/>
  <c r="J39"/>
  <c r="I39"/>
  <c r="H39"/>
  <c r="G39"/>
  <c r="F39"/>
  <c r="E39"/>
  <c r="D39"/>
  <c r="C39"/>
  <c r="B39"/>
  <c r="O39" i="28"/>
  <c r="N39"/>
  <c r="M39"/>
  <c r="L39"/>
  <c r="K39"/>
  <c r="J39"/>
  <c r="I39"/>
  <c r="H39"/>
  <c r="Q39"/>
  <c r="G39"/>
  <c r="F39"/>
  <c r="E39"/>
  <c r="D39"/>
  <c r="C39"/>
  <c r="B39"/>
  <c r="Q40" i="27"/>
  <c r="P39"/>
  <c r="O39"/>
  <c r="N39"/>
  <c r="M39"/>
  <c r="L39"/>
  <c r="K39"/>
  <c r="J39"/>
  <c r="I39"/>
  <c r="H39"/>
  <c r="G39"/>
  <c r="F39"/>
  <c r="E39"/>
  <c r="D39"/>
  <c r="C39"/>
  <c r="B39"/>
  <c r="Q39" i="26"/>
  <c r="P39"/>
  <c r="O39"/>
  <c r="N39"/>
  <c r="M39"/>
  <c r="L39"/>
  <c r="K39"/>
  <c r="J39"/>
  <c r="I39"/>
  <c r="H39"/>
  <c r="G39"/>
  <c r="F39"/>
  <c r="E39"/>
  <c r="D39"/>
  <c r="C39"/>
  <c r="B39"/>
  <c r="Q40" i="25"/>
  <c r="P39"/>
  <c r="O39"/>
  <c r="N39"/>
  <c r="M39"/>
  <c r="L39"/>
  <c r="K39"/>
  <c r="J39"/>
  <c r="I39"/>
  <c r="H39"/>
  <c r="G39"/>
  <c r="F39"/>
  <c r="E39"/>
  <c r="D39"/>
  <c r="C39"/>
  <c r="B39"/>
  <c r="Q39" i="24"/>
  <c r="P39"/>
  <c r="O39"/>
  <c r="N39"/>
  <c r="M39"/>
  <c r="L39"/>
  <c r="K39"/>
  <c r="J39"/>
  <c r="I39"/>
  <c r="H39"/>
  <c r="G39"/>
  <c r="F39"/>
  <c r="E39"/>
  <c r="D39"/>
  <c r="C39"/>
  <c r="B39"/>
  <c r="Q40" i="23"/>
  <c r="P39"/>
  <c r="O39"/>
  <c r="N39"/>
  <c r="M39"/>
  <c r="L39"/>
  <c r="K39"/>
  <c r="J39"/>
  <c r="I39"/>
  <c r="H39"/>
  <c r="G39"/>
  <c r="F39"/>
  <c r="E39"/>
  <c r="D39"/>
  <c r="C39"/>
  <c r="B39"/>
  <c r="O39" i="22"/>
  <c r="N39"/>
  <c r="M39"/>
  <c r="L39"/>
  <c r="K39"/>
  <c r="J39"/>
  <c r="I39"/>
  <c r="H39"/>
  <c r="G39"/>
  <c r="F39"/>
  <c r="E39"/>
  <c r="D39"/>
  <c r="C39"/>
  <c r="B39"/>
  <c r="P39" i="21"/>
  <c r="O39"/>
  <c r="N39"/>
  <c r="M39"/>
  <c r="L39"/>
  <c r="K39"/>
  <c r="J39"/>
  <c r="I39"/>
  <c r="H39"/>
  <c r="G39"/>
  <c r="Q39"/>
  <c r="F39"/>
  <c r="E39"/>
  <c r="D39"/>
  <c r="C39"/>
  <c r="B39"/>
  <c r="P39" i="20"/>
  <c r="O39"/>
  <c r="N39"/>
  <c r="M39"/>
  <c r="L39"/>
  <c r="K39"/>
  <c r="J39"/>
  <c r="I39"/>
  <c r="H39"/>
  <c r="G39"/>
  <c r="F39"/>
  <c r="E39"/>
  <c r="D39"/>
  <c r="C39"/>
  <c r="B39"/>
  <c r="P40" i="19"/>
  <c r="O39"/>
  <c r="N39"/>
  <c r="M39"/>
  <c r="L39"/>
  <c r="K39"/>
  <c r="J39"/>
  <c r="Q39"/>
  <c r="I39"/>
  <c r="H39"/>
  <c r="G39"/>
  <c r="F39"/>
  <c r="E39"/>
  <c r="D39"/>
  <c r="C39"/>
  <c r="B39"/>
  <c r="Q39" i="18"/>
  <c r="P39"/>
  <c r="N39"/>
  <c r="M39"/>
  <c r="L39"/>
  <c r="K39"/>
  <c r="I39"/>
  <c r="H39"/>
  <c r="G39"/>
  <c r="F39"/>
  <c r="E39"/>
  <c r="D40"/>
  <c r="C39"/>
  <c r="B39"/>
  <c r="Q40" i="17"/>
  <c r="P39"/>
  <c r="O39"/>
  <c r="N39"/>
  <c r="M39"/>
  <c r="L39"/>
  <c r="K39"/>
  <c r="J39"/>
  <c r="I39"/>
  <c r="H39"/>
  <c r="G39"/>
  <c r="F39"/>
  <c r="E39"/>
  <c r="D39"/>
  <c r="C39"/>
  <c r="B39"/>
  <c r="Q39" i="16"/>
  <c r="P39"/>
  <c r="O39"/>
  <c r="N39"/>
  <c r="M39"/>
  <c r="L39"/>
  <c r="K39"/>
  <c r="J39"/>
  <c r="I39"/>
  <c r="H39"/>
  <c r="G39"/>
  <c r="F39"/>
  <c r="E39"/>
  <c r="D39"/>
  <c r="C39"/>
  <c r="B39"/>
  <c r="O40" i="15"/>
  <c r="N39"/>
  <c r="M39"/>
  <c r="L39"/>
  <c r="K39"/>
  <c r="Q39"/>
  <c r="J39"/>
  <c r="I39"/>
  <c r="H39"/>
  <c r="G39"/>
  <c r="P39"/>
  <c r="F39"/>
  <c r="E39"/>
  <c r="D39"/>
  <c r="C39"/>
  <c r="B39"/>
  <c r="Q40" i="14"/>
  <c r="P39"/>
  <c r="O39"/>
  <c r="N39"/>
  <c r="M39"/>
  <c r="L39"/>
  <c r="K39"/>
  <c r="J39"/>
  <c r="I39"/>
  <c r="H39"/>
  <c r="G39"/>
  <c r="F39"/>
  <c r="E39"/>
  <c r="D39"/>
  <c r="C39"/>
  <c r="B39"/>
  <c r="Q40" i="13"/>
  <c r="P39"/>
  <c r="O39"/>
  <c r="N39"/>
  <c r="M40"/>
  <c r="L39"/>
  <c r="K39"/>
  <c r="J39"/>
  <c r="I39"/>
  <c r="H39"/>
  <c r="G39"/>
  <c r="F39"/>
  <c r="E39"/>
  <c r="D39"/>
  <c r="C39"/>
  <c r="B39"/>
  <c r="O39" i="12"/>
  <c r="N39"/>
  <c r="M39"/>
  <c r="L39"/>
  <c r="K39"/>
  <c r="J39"/>
  <c r="Q40"/>
  <c r="I39"/>
  <c r="H39"/>
  <c r="G39"/>
  <c r="F39"/>
  <c r="E39"/>
  <c r="D39"/>
  <c r="C39"/>
  <c r="B39"/>
  <c r="Q39" i="11"/>
  <c r="P39"/>
  <c r="O39"/>
  <c r="N39"/>
  <c r="M39"/>
  <c r="L39"/>
  <c r="K39"/>
  <c r="J39"/>
  <c r="I39"/>
  <c r="H39"/>
  <c r="G39"/>
  <c r="F39"/>
  <c r="E39"/>
  <c r="D39"/>
  <c r="C39"/>
  <c r="B39"/>
  <c r="P40" i="10"/>
  <c r="O39"/>
  <c r="N39"/>
  <c r="M39"/>
  <c r="L39"/>
  <c r="K39"/>
  <c r="J39"/>
  <c r="I39"/>
  <c r="H39"/>
  <c r="Q39"/>
  <c r="G39"/>
  <c r="F39"/>
  <c r="E39"/>
  <c r="D39"/>
  <c r="C39"/>
  <c r="B39"/>
  <c r="Q40" i="9"/>
  <c r="P39"/>
  <c r="O39"/>
  <c r="N39"/>
  <c r="L39"/>
  <c r="K39"/>
  <c r="J39"/>
  <c r="I39"/>
  <c r="H39"/>
  <c r="G39"/>
  <c r="F39"/>
  <c r="E39"/>
  <c r="D39"/>
  <c r="C39"/>
  <c r="B39"/>
  <c r="Q39" i="8"/>
  <c r="P39"/>
  <c r="O39"/>
  <c r="N39"/>
  <c r="M39"/>
  <c r="L39"/>
  <c r="K39"/>
  <c r="J39"/>
  <c r="I39"/>
  <c r="H39"/>
  <c r="G39"/>
  <c r="F39"/>
  <c r="E39"/>
  <c r="D39"/>
  <c r="C39"/>
  <c r="B39"/>
  <c r="P39" i="3"/>
  <c r="O40"/>
  <c r="N40"/>
  <c r="M40"/>
  <c r="L40"/>
  <c r="K40"/>
  <c r="J40"/>
  <c r="I40"/>
  <c r="G39"/>
  <c r="F39"/>
  <c r="E40"/>
  <c r="D40"/>
  <c r="C40"/>
  <c r="B39"/>
  <c r="J39" i="2"/>
  <c r="F40"/>
  <c r="Q42" i="39"/>
  <c r="L39" i="2"/>
  <c r="C39"/>
  <c r="Q40"/>
  <c r="M40"/>
  <c r="I39"/>
  <c r="K43" i="39"/>
  <c r="K41"/>
  <c r="P40" i="2"/>
  <c r="G40"/>
  <c r="K42" i="39"/>
  <c r="N39" i="2"/>
  <c r="E39"/>
  <c r="Q41" i="39"/>
  <c r="N41"/>
  <c r="Q44"/>
  <c r="Q45" s="1"/>
  <c r="Q43"/>
  <c r="Q40"/>
  <c r="K44"/>
  <c r="K46" s="1"/>
  <c r="J44"/>
  <c r="J45" s="1"/>
  <c r="K40"/>
  <c r="G41"/>
  <c r="C40"/>
  <c r="J43"/>
  <c r="N44"/>
  <c r="N45" s="1"/>
  <c r="P41"/>
  <c r="P42"/>
  <c r="P40"/>
  <c r="P43"/>
  <c r="O40"/>
  <c r="O41"/>
  <c r="O43"/>
  <c r="O42"/>
  <c r="P44"/>
  <c r="P46" s="1"/>
  <c r="O44"/>
  <c r="O46" s="1"/>
  <c r="N42"/>
  <c r="N43"/>
  <c r="N40"/>
  <c r="C43"/>
  <c r="E40"/>
  <c r="D41"/>
  <c r="D42"/>
  <c r="D44"/>
  <c r="D45" s="1"/>
  <c r="D40"/>
  <c r="D43"/>
  <c r="L42"/>
  <c r="B44"/>
  <c r="B45" s="1"/>
  <c r="J40"/>
  <c r="B43"/>
  <c r="B40"/>
  <c r="B41"/>
  <c r="B42"/>
  <c r="E41"/>
  <c r="E42"/>
  <c r="G42"/>
  <c r="L43"/>
  <c r="E43"/>
  <c r="G44"/>
  <c r="L41"/>
  <c r="I40"/>
  <c r="E44"/>
  <c r="G40"/>
  <c r="L40"/>
  <c r="F44"/>
  <c r="F46" s="1"/>
  <c r="G43"/>
  <c r="L44"/>
  <c r="J41"/>
  <c r="J42"/>
  <c r="M42"/>
  <c r="M44"/>
  <c r="M43"/>
  <c r="M41"/>
  <c r="M40"/>
  <c r="H42"/>
  <c r="H40"/>
  <c r="H43"/>
  <c r="H41"/>
  <c r="H44"/>
  <c r="C42"/>
  <c r="C44"/>
  <c r="F40"/>
  <c r="C41"/>
  <c r="F41"/>
  <c r="F43"/>
  <c r="F42"/>
  <c r="I44"/>
  <c r="I43"/>
  <c r="I41"/>
  <c r="I42"/>
  <c r="J46" l="1"/>
  <c r="K45"/>
  <c r="Q46"/>
  <c r="O45"/>
  <c r="N46"/>
  <c r="P45"/>
  <c r="B46"/>
  <c r="D46"/>
  <c r="F45"/>
  <c r="E45"/>
  <c r="E46"/>
  <c r="G45"/>
  <c r="G46"/>
  <c r="L46"/>
  <c r="L45"/>
  <c r="M46"/>
  <c r="M45"/>
  <c r="H45"/>
  <c r="H46"/>
  <c r="I46"/>
  <c r="I45"/>
  <c r="C46"/>
  <c r="C45"/>
</calcChain>
</file>

<file path=xl/sharedStrings.xml><?xml version="1.0" encoding="utf-8"?>
<sst xmlns="http://schemas.openxmlformats.org/spreadsheetml/2006/main" count="2882" uniqueCount="789">
  <si>
    <t>Date:</t>
  </si>
  <si>
    <t>Status</t>
  </si>
  <si>
    <t>Station:</t>
  </si>
  <si>
    <t>Power Off</t>
  </si>
  <si>
    <t>Pw.Off</t>
  </si>
  <si>
    <t>Link Fail</t>
  </si>
  <si>
    <t>Link F</t>
  </si>
  <si>
    <t>Maintenance</t>
  </si>
  <si>
    <t>Maint.</t>
  </si>
  <si>
    <t>Report Type:</t>
  </si>
  <si>
    <t>Mean</t>
  </si>
  <si>
    <t>Calibration</t>
  </si>
  <si>
    <t>Calib.</t>
  </si>
  <si>
    <t>Data Fail</t>
  </si>
  <si>
    <t>Data F</t>
  </si>
  <si>
    <t>Invalid</t>
  </si>
  <si>
    <t>Time Base:</t>
  </si>
  <si>
    <t>Zero Referrence</t>
  </si>
  <si>
    <t>Z.Ref</t>
  </si>
  <si>
    <t>Warm Up</t>
  </si>
  <si>
    <t>Wm. Up</t>
  </si>
  <si>
    <t>Date &amp; Time</t>
  </si>
  <si>
    <t>ug/m3</t>
  </si>
  <si>
    <t>mg/m3</t>
  </si>
  <si>
    <t>m/sec</t>
  </si>
  <si>
    <t>deg</t>
  </si>
  <si>
    <t>%</t>
  </si>
  <si>
    <t>degreC</t>
  </si>
  <si>
    <t>w/m2</t>
  </si>
  <si>
    <t>mm</t>
  </si>
  <si>
    <t>Min</t>
  </si>
  <si>
    <t>Max</t>
  </si>
  <si>
    <t>Avg</t>
  </si>
  <si>
    <t>Num</t>
  </si>
  <si>
    <t>DCR</t>
  </si>
  <si>
    <t>Done by</t>
  </si>
  <si>
    <t>Comment</t>
  </si>
  <si>
    <t>24 HRS</t>
  </si>
  <si>
    <t>Stdev</t>
  </si>
  <si>
    <t xml:space="preserve"> 01 Hour</t>
  </si>
  <si>
    <t>NO-IGKV</t>
  </si>
  <si>
    <t>NO2_IGKV</t>
  </si>
  <si>
    <t>NOX_IGKV</t>
  </si>
  <si>
    <t>SO2_IGKV</t>
  </si>
  <si>
    <t>O3_IGKV</t>
  </si>
  <si>
    <t>PM10_IGKV</t>
  </si>
  <si>
    <t>BENZ_IGKV</t>
  </si>
  <si>
    <t>WS_IGKV</t>
  </si>
  <si>
    <t>WD_IGKV</t>
  </si>
  <si>
    <t>TEMP_IGKV</t>
  </si>
  <si>
    <t>HUM-IGKV</t>
  </si>
  <si>
    <t>SR_IGKV</t>
  </si>
  <si>
    <t>RG_IGKV</t>
  </si>
  <si>
    <t>CO_IGKV</t>
  </si>
  <si>
    <t>NH3_IGKV</t>
  </si>
  <si>
    <t>IGKV ,RAIPUR</t>
  </si>
  <si>
    <t>PM2.5_IGKV</t>
  </si>
  <si>
    <t>IGKV, RAIPUR</t>
  </si>
  <si>
    <t>AKASH</t>
  </si>
  <si>
    <t xml:space="preserve">NO </t>
  </si>
  <si>
    <t xml:space="preserve">NO2 </t>
  </si>
  <si>
    <t xml:space="preserve">NOX </t>
  </si>
  <si>
    <t xml:space="preserve">SO2 </t>
  </si>
  <si>
    <t xml:space="preserve">O3 </t>
  </si>
  <si>
    <t xml:space="preserve">PM10 </t>
  </si>
  <si>
    <t xml:space="preserve">BENZ </t>
  </si>
  <si>
    <t xml:space="preserve">WS </t>
  </si>
  <si>
    <t xml:space="preserve">WD </t>
  </si>
  <si>
    <t xml:space="preserve">TEMP </t>
  </si>
  <si>
    <t xml:space="preserve">HUM </t>
  </si>
  <si>
    <t xml:space="preserve">SR </t>
  </si>
  <si>
    <t xml:space="preserve">RG </t>
  </si>
  <si>
    <t xml:space="preserve">CO </t>
  </si>
  <si>
    <t xml:space="preserve">NH3 </t>
  </si>
  <si>
    <t xml:space="preserve">PM 2.5 </t>
  </si>
  <si>
    <t>01/04/2023 01:00</t>
  </si>
  <si>
    <t>01/04/2023 02:00</t>
  </si>
  <si>
    <t>01/04/2023 03:00</t>
  </si>
  <si>
    <t>01/04/2023 05:00</t>
  </si>
  <si>
    <t>01/04/2023 06:00</t>
  </si>
  <si>
    <t>01/04/2023 07:00</t>
  </si>
  <si>
    <t>01/04/2023 08:00</t>
  </si>
  <si>
    <t>01/04/2023 09:00</t>
  </si>
  <si>
    <t>01/04/2023 10:00</t>
  </si>
  <si>
    <t>01/04/2023 11:00</t>
  </si>
  <si>
    <t>01/04/2023 12:00</t>
  </si>
  <si>
    <t>01/04/2023 13:00</t>
  </si>
  <si>
    <t>01/04/2023 14:00</t>
  </si>
  <si>
    <t>01/04/2023 15:00</t>
  </si>
  <si>
    <t>01/04/2023 16:00</t>
  </si>
  <si>
    <t>01/04/2023 17:00</t>
  </si>
  <si>
    <t>01/04/2023 18:00</t>
  </si>
  <si>
    <t>01/04/2023 19:00</t>
  </si>
  <si>
    <t>01/04/2023 20:00</t>
  </si>
  <si>
    <t>01/04/2023 21:00</t>
  </si>
  <si>
    <t>01/04/2023 22:00</t>
  </si>
  <si>
    <t>01/04/2023 23:00</t>
  </si>
  <si>
    <t>01/04/2023 24:00</t>
  </si>
  <si>
    <t>02/04/2023 01:00</t>
  </si>
  <si>
    <t>02/04/2023 02:00</t>
  </si>
  <si>
    <t>02/04/2023 03:00</t>
  </si>
  <si>
    <t>02/04/2023 04:00</t>
  </si>
  <si>
    <t>02/04/2023 05:00</t>
  </si>
  <si>
    <t>02/04/2023 06:00</t>
  </si>
  <si>
    <t>02/04/2023 07:00</t>
  </si>
  <si>
    <t>02/04/2023 08:00</t>
  </si>
  <si>
    <t>02/04/2023 09:00</t>
  </si>
  <si>
    <t>02/04/2023 10:00</t>
  </si>
  <si>
    <t>02/04/2023 11:00</t>
  </si>
  <si>
    <t>02/04/2023 12:00</t>
  </si>
  <si>
    <t>02/04/2023 13:00</t>
  </si>
  <si>
    <t>02/04/2023 14:00</t>
  </si>
  <si>
    <t>02/04/2023 15:00</t>
  </si>
  <si>
    <t>02/04/2023 16:00</t>
  </si>
  <si>
    <t>02/04/2023 17:00</t>
  </si>
  <si>
    <t>02/04/2023 18:00</t>
  </si>
  <si>
    <t>02/04/2023 19:00</t>
  </si>
  <si>
    <t>02/04/2023 20:00</t>
  </si>
  <si>
    <t>02/04/2023 21:00</t>
  </si>
  <si>
    <t>02/04/2023 22:00</t>
  </si>
  <si>
    <t>02/04/2023 23:00</t>
  </si>
  <si>
    <t>02/04/2023 24:00</t>
  </si>
  <si>
    <t>03/04/2023 24:00</t>
  </si>
  <si>
    <t>03/04/2023 23:00</t>
  </si>
  <si>
    <t>03/04/2023 22:00</t>
  </si>
  <si>
    <t>03/04/2023 21:00</t>
  </si>
  <si>
    <t>03/04/2023 20:00</t>
  </si>
  <si>
    <t>03/04/2023 19:00</t>
  </si>
  <si>
    <t>03/04/2023 18:00</t>
  </si>
  <si>
    <t>03/04/2023 17:00</t>
  </si>
  <si>
    <t>03/04/2023 16:00</t>
  </si>
  <si>
    <t>03/04/2023 15:00</t>
  </si>
  <si>
    <t>03/04/2023 14:00</t>
  </si>
  <si>
    <t>03/04/2023 13:00</t>
  </si>
  <si>
    <t>03/04/2023 12:00</t>
  </si>
  <si>
    <t>03/04/2023 11:00</t>
  </si>
  <si>
    <t>03/04/2023 10:00</t>
  </si>
  <si>
    <t>03/04/2023 09:00</t>
  </si>
  <si>
    <t>03/04/2023 08:00</t>
  </si>
  <si>
    <t>03/04/2023 07:00</t>
  </si>
  <si>
    <t>03/04/2023 06:00</t>
  </si>
  <si>
    <t>03/04/2023 05:00</t>
  </si>
  <si>
    <t>03/04/2023 04:00</t>
  </si>
  <si>
    <t>03/04/2023 03:00</t>
  </si>
  <si>
    <t>03/04/2023 02:00</t>
  </si>
  <si>
    <t>03/04/2023 01:00</t>
  </si>
  <si>
    <t>04/04/2023 01:00</t>
  </si>
  <si>
    <t>04/04/2023 02:00</t>
  </si>
  <si>
    <t>04/04/2023 03:00</t>
  </si>
  <si>
    <t>04/04/2023 04:00</t>
  </si>
  <si>
    <t>04/04/2023 05:00</t>
  </si>
  <si>
    <t>04/04/2023 06:00</t>
  </si>
  <si>
    <t>04/04/2023 07:00</t>
  </si>
  <si>
    <t>04/04/2023 08:00</t>
  </si>
  <si>
    <t>04/04/2023 09:00</t>
  </si>
  <si>
    <t>04/04/2023 10:00</t>
  </si>
  <si>
    <t>04/04/2023 11:00</t>
  </si>
  <si>
    <t>04/04/2023 12:00</t>
  </si>
  <si>
    <t>04/04/2023 13:00</t>
  </si>
  <si>
    <t>04/04/2023 14:00</t>
  </si>
  <si>
    <t>04/04/2023 15:00</t>
  </si>
  <si>
    <t>04/04/2023 16:00</t>
  </si>
  <si>
    <t>04/04/2023 17:00</t>
  </si>
  <si>
    <t>04/04/2023 18:00</t>
  </si>
  <si>
    <t>04/04/2023 19:00</t>
  </si>
  <si>
    <t>04/04/2023 20:00</t>
  </si>
  <si>
    <t>04/04/2023 21:00</t>
  </si>
  <si>
    <t>04/04/2023 22:00</t>
  </si>
  <si>
    <t>04/04/2023 23:00</t>
  </si>
  <si>
    <t>04/04/2023 24:00</t>
  </si>
  <si>
    <t>05/04/2023 01:00</t>
  </si>
  <si>
    <t>05/04/2023 02:00</t>
  </si>
  <si>
    <t>05/04/2023 03:00</t>
  </si>
  <si>
    <t>05/04/2023 04:00</t>
  </si>
  <si>
    <t>05/04/2023 05:00</t>
  </si>
  <si>
    <t>05/04/2023 06:00</t>
  </si>
  <si>
    <t>05/04/2023 07:00</t>
  </si>
  <si>
    <t>05/04/2023 08:00</t>
  </si>
  <si>
    <t>05/04/2023 09:00</t>
  </si>
  <si>
    <t>05/04/2023 10:00</t>
  </si>
  <si>
    <t>05/04/2023 11:00</t>
  </si>
  <si>
    <t>05/04/2023 12:00</t>
  </si>
  <si>
    <t>05/04/2023 13:00</t>
  </si>
  <si>
    <t>05/04/2023 14:00</t>
  </si>
  <si>
    <t>05/04/2023 15:00</t>
  </si>
  <si>
    <t>05/04/2023 16:00</t>
  </si>
  <si>
    <t>05/04/2023 17:00</t>
  </si>
  <si>
    <t>05/04/2023 18:00</t>
  </si>
  <si>
    <t>05/04/2023 19:00</t>
  </si>
  <si>
    <t>05/04/2023 20:00</t>
  </si>
  <si>
    <t>05/04/2023 21:00</t>
  </si>
  <si>
    <t>05/04/2023 22:00</t>
  </si>
  <si>
    <t>05/04/2023 23:00</t>
  </si>
  <si>
    <t>05/04/2023 24:00</t>
  </si>
  <si>
    <t>06/04/2023 01:00</t>
  </si>
  <si>
    <t>06/04/2023 02:00</t>
  </si>
  <si>
    <t>06/04/2023 03:00</t>
  </si>
  <si>
    <t>06/04/2023 04:00</t>
  </si>
  <si>
    <t>06/04/2023 05:00</t>
  </si>
  <si>
    <t>06/04/2023 06:00</t>
  </si>
  <si>
    <t>06/04/2023 07:00</t>
  </si>
  <si>
    <t>06/04/2023 08:00</t>
  </si>
  <si>
    <t>06/04/2023 09:00</t>
  </si>
  <si>
    <t>06/04/2023 10:00</t>
  </si>
  <si>
    <t>06/04/2023 11:00</t>
  </si>
  <si>
    <t>06/04/2023 12:00</t>
  </si>
  <si>
    <t>06/04/2023 13:00</t>
  </si>
  <si>
    <t>06/04/2023 14:00</t>
  </si>
  <si>
    <t>06/04/2023 15:00</t>
  </si>
  <si>
    <t>06/04/2023 16:00</t>
  </si>
  <si>
    <t>06/04/2023 17:00</t>
  </si>
  <si>
    <t>06/04/2023 18:00</t>
  </si>
  <si>
    <t>06/04/2023 19:00</t>
  </si>
  <si>
    <t>06/04/2023 20:00</t>
  </si>
  <si>
    <t>06/04/2023 21:00</t>
  </si>
  <si>
    <t>06/04/2023 22:00</t>
  </si>
  <si>
    <t>06/04/2023 23:00</t>
  </si>
  <si>
    <t>06/04/2023 24:00</t>
  </si>
  <si>
    <t>07/04/2023 01:00</t>
  </si>
  <si>
    <t>07/04/2023 02:00</t>
  </si>
  <si>
    <t>07/04/2023 03:00</t>
  </si>
  <si>
    <t>07/04/2023 04:00</t>
  </si>
  <si>
    <t>07/04/2023 05:00</t>
  </si>
  <si>
    <t>07/04/2023 06:00</t>
  </si>
  <si>
    <t>07/04/2023 07:00</t>
  </si>
  <si>
    <t>07/04/2023 08:00</t>
  </si>
  <si>
    <t>07/04/2023 09:00</t>
  </si>
  <si>
    <t>07/04/2023 10:00</t>
  </si>
  <si>
    <t>07/04/2023 11:00</t>
  </si>
  <si>
    <t>07/04/2023 12:00</t>
  </si>
  <si>
    <t>07/04/2023 13:00</t>
  </si>
  <si>
    <t>07/04/2023 14:00</t>
  </si>
  <si>
    <t>07/04/2023 15:00</t>
  </si>
  <si>
    <t>07/04/2023 16:00</t>
  </si>
  <si>
    <t>07/04/2023 17:00</t>
  </si>
  <si>
    <t>07/04/2023 18:00</t>
  </si>
  <si>
    <t>07/04/2023 19:00</t>
  </si>
  <si>
    <t>07/04/2023 20:00</t>
  </si>
  <si>
    <t>07/04/2023 21:00</t>
  </si>
  <si>
    <t>07/04/2023 22:00</t>
  </si>
  <si>
    <t>07/04/2023 23:00</t>
  </si>
  <si>
    <t>07/04/2023 24:00</t>
  </si>
  <si>
    <t>08/04/2023 01:00</t>
  </si>
  <si>
    <t>08/04/2023 02:00</t>
  </si>
  <si>
    <t>08/04/2023 03:00</t>
  </si>
  <si>
    <t>08/04/2023 04:00</t>
  </si>
  <si>
    <t>08/04/2023 06:00</t>
  </si>
  <si>
    <t>08/04/2023 07:00</t>
  </si>
  <si>
    <t>08/04/2023 08:00</t>
  </si>
  <si>
    <t>08/04/2023 09:00</t>
  </si>
  <si>
    <t>08/04/2023 10:00</t>
  </si>
  <si>
    <t>08/04/2023 11:00</t>
  </si>
  <si>
    <t>08/04/2023 12:00</t>
  </si>
  <si>
    <t>08/04/2023 13:00</t>
  </si>
  <si>
    <t>08/04/2023 14:00</t>
  </si>
  <si>
    <t>08/04/2023 15:00</t>
  </si>
  <si>
    <t>08/04/2023 16:00</t>
  </si>
  <si>
    <t>08/04/2023 17:00</t>
  </si>
  <si>
    <t>08/04/2023 18:00</t>
  </si>
  <si>
    <t>08/04/2023 19:00</t>
  </si>
  <si>
    <t>08/04/2023 20:00</t>
  </si>
  <si>
    <t>08/04/2023 21:00</t>
  </si>
  <si>
    <t>08/04/2023 22:00</t>
  </si>
  <si>
    <t>08/04/2023 23:00</t>
  </si>
  <si>
    <t>08/04/2023 24:00</t>
  </si>
  <si>
    <t>09/04/2023 01:00</t>
  </si>
  <si>
    <t>09/04/2023 02:00</t>
  </si>
  <si>
    <t>09/04/2023 03:00</t>
  </si>
  <si>
    <t>09/04/2023 04:00</t>
  </si>
  <si>
    <t>09/04/2023 05:00</t>
  </si>
  <si>
    <t>09/04/2023 06:00</t>
  </si>
  <si>
    <t>09/04/2023 07:00</t>
  </si>
  <si>
    <t>09/04/2023 08:00</t>
  </si>
  <si>
    <t>09/04/2023 09:00</t>
  </si>
  <si>
    <t>09/04/2023 10:00</t>
  </si>
  <si>
    <t>09/04/2023 11:00</t>
  </si>
  <si>
    <t>09/04/2023 12:00</t>
  </si>
  <si>
    <t>09/04/2023 13:00</t>
  </si>
  <si>
    <t>09/04/2023 14:00</t>
  </si>
  <si>
    <t>09/04/2023 15:00</t>
  </si>
  <si>
    <t>09/04/2023 16:00</t>
  </si>
  <si>
    <t>09/04/2023 17:00</t>
  </si>
  <si>
    <t>09/04/2023 18:00</t>
  </si>
  <si>
    <t>09/04/2023 19:00</t>
  </si>
  <si>
    <t>09/04/2023 20:00</t>
  </si>
  <si>
    <t>09/04/2023 21:00</t>
  </si>
  <si>
    <t>09/04/2023 22:00</t>
  </si>
  <si>
    <t>09/04/2023 23:00</t>
  </si>
  <si>
    <t>09/04/2023 24:00</t>
  </si>
  <si>
    <t>10/04/2023 01:00</t>
  </si>
  <si>
    <t>10/04/2023 02:00</t>
  </si>
  <si>
    <t>10/04/2023 03:00</t>
  </si>
  <si>
    <t>10/04/2023 04:00</t>
  </si>
  <si>
    <t>10/04/2023 05:00</t>
  </si>
  <si>
    <t>10/04/2023 06:00</t>
  </si>
  <si>
    <t>10/04/2023 07:00</t>
  </si>
  <si>
    <t>10/04/2023 08:00</t>
  </si>
  <si>
    <t>10/04/2023 09:00</t>
  </si>
  <si>
    <t>10/04/2023 10:00</t>
  </si>
  <si>
    <t>10/04/2023 11:00</t>
  </si>
  <si>
    <t>10/04/2023 12:00</t>
  </si>
  <si>
    <t>10/04/2023 13:00</t>
  </si>
  <si>
    <t>10/04/2023 14:00</t>
  </si>
  <si>
    <t>10/04/2023 15:00</t>
  </si>
  <si>
    <t>10/04/2023 16:00</t>
  </si>
  <si>
    <t>10/04/2023 17:00</t>
  </si>
  <si>
    <t>10/04/2023 18:00</t>
  </si>
  <si>
    <t>10/04/2023 19:00</t>
  </si>
  <si>
    <t>10/04/2023 20:00</t>
  </si>
  <si>
    <t>10/04/2023 21:00</t>
  </si>
  <si>
    <t>10/04/2023 22:00</t>
  </si>
  <si>
    <t>10/04/2023 23:00</t>
  </si>
  <si>
    <t>10/04/2023 24:00</t>
  </si>
  <si>
    <t>11/04/2023 01:00</t>
  </si>
  <si>
    <t>11/04/2023 02:00</t>
  </si>
  <si>
    <t>11/04/2023 03:00</t>
  </si>
  <si>
    <t>11/04/2023 04:00</t>
  </si>
  <si>
    <t>11/04/2023 05:00</t>
  </si>
  <si>
    <t>11/04/2023 06:00</t>
  </si>
  <si>
    <t>11/04/2023 07:00</t>
  </si>
  <si>
    <t>11/04/2023 08:00</t>
  </si>
  <si>
    <t>11/04/2023 09:00</t>
  </si>
  <si>
    <t>11/04/2023 10:00</t>
  </si>
  <si>
    <t>11/04/2023 11:00</t>
  </si>
  <si>
    <t>11/04/2023 12:00</t>
  </si>
  <si>
    <t>11/04/2023 13:00</t>
  </si>
  <si>
    <t>11/04/2023 14:00</t>
  </si>
  <si>
    <t>11/04/2023 15:00</t>
  </si>
  <si>
    <t>11/04/2023 16:00</t>
  </si>
  <si>
    <t>11/04/2023 17:00</t>
  </si>
  <si>
    <t>11/04/2023 18:00</t>
  </si>
  <si>
    <t>11/04/2023 19:00</t>
  </si>
  <si>
    <t>11/04/2023 20:00</t>
  </si>
  <si>
    <t>11/04/2023 21:00</t>
  </si>
  <si>
    <t>11/04/2023 22:00</t>
  </si>
  <si>
    <t>11/04/2023 23:00</t>
  </si>
  <si>
    <t>11/04/2023 24:00</t>
  </si>
  <si>
    <t>12/04/2023 01:00</t>
  </si>
  <si>
    <t>12/04/2023 02:00</t>
  </si>
  <si>
    <t>12/04/2023 03:00</t>
  </si>
  <si>
    <t>12/04/2023 04:00</t>
  </si>
  <si>
    <t>12/04/2023 05:00</t>
  </si>
  <si>
    <t>12/04/2023 06:00</t>
  </si>
  <si>
    <t>12/04/2023 07:00</t>
  </si>
  <si>
    <t>12/04/2023 08:00</t>
  </si>
  <si>
    <t>12/04/2023 09:00</t>
  </si>
  <si>
    <t>12/04/2023 10:00</t>
  </si>
  <si>
    <t>12/04/2023 11:00</t>
  </si>
  <si>
    <t>12/04/2023 12:00</t>
  </si>
  <si>
    <t>12/04/2023 13:00</t>
  </si>
  <si>
    <t>12/04/2023 14:00</t>
  </si>
  <si>
    <t>12/04/2023 15:00</t>
  </si>
  <si>
    <t>12/04/2023 16:00</t>
  </si>
  <si>
    <t>12/04/2023 17:00</t>
  </si>
  <si>
    <t>12/04/2023 18:00</t>
  </si>
  <si>
    <t>12/04/2023 19:00</t>
  </si>
  <si>
    <t>12/04/2023 20:00</t>
  </si>
  <si>
    <t>12/04/2023 21:00</t>
  </si>
  <si>
    <t>12/04/2023 22:00</t>
  </si>
  <si>
    <t>12/04/2023 23:00</t>
  </si>
  <si>
    <t>12/04/2023 24:00</t>
  </si>
  <si>
    <t>13/04/2023 02:00</t>
  </si>
  <si>
    <t>13/04/2023 04:00</t>
  </si>
  <si>
    <t>13/04/2023 05:00</t>
  </si>
  <si>
    <t>13/04/2023 06:00</t>
  </si>
  <si>
    <t>13/04/2023 07:00</t>
  </si>
  <si>
    <t>13/04/2023 08:00</t>
  </si>
  <si>
    <t>13/04/2023 09:00</t>
  </si>
  <si>
    <t>13/04/2023 10:00</t>
  </si>
  <si>
    <t>13/04/2023 11:00</t>
  </si>
  <si>
    <t>13/04/2023 12:00</t>
  </si>
  <si>
    <t>13/04/2023 13:00</t>
  </si>
  <si>
    <t>13/04/2023 14:00</t>
  </si>
  <si>
    <t>13/04/2023 15:00</t>
  </si>
  <si>
    <t>13/04/2023 16:00</t>
  </si>
  <si>
    <t>13/04/2023 17:00</t>
  </si>
  <si>
    <t>13/04/2023 18:00</t>
  </si>
  <si>
    <t>13/04/2023 19:00</t>
  </si>
  <si>
    <t>13/04/2023 20:00</t>
  </si>
  <si>
    <t>13/04/2023 21:00</t>
  </si>
  <si>
    <t>13/04/2023 22:00</t>
  </si>
  <si>
    <t>13/04/2023 23:00</t>
  </si>
  <si>
    <t>13/04/2023 24:00</t>
  </si>
  <si>
    <t>14/04/2023 01:00</t>
  </si>
  <si>
    <t>14/04/2023 02:00</t>
  </si>
  <si>
    <t>14/04/2023 03:00</t>
  </si>
  <si>
    <t>14/04/2023 04:00</t>
  </si>
  <si>
    <t>14/04/2023 05:00</t>
  </si>
  <si>
    <t>14/04/2023 06:00</t>
  </si>
  <si>
    <t>14/04/2023 07:00</t>
  </si>
  <si>
    <t>14/04/2023 08:00</t>
  </si>
  <si>
    <t>14/04/2023 09:00</t>
  </si>
  <si>
    <t>14/04/2023 10:00</t>
  </si>
  <si>
    <t>14/04/2023 11:00</t>
  </si>
  <si>
    <t>14/04/2023 12:00</t>
  </si>
  <si>
    <t>14/04/2023 13:00</t>
  </si>
  <si>
    <t>14/04/2023 14:00</t>
  </si>
  <si>
    <t>14/04/2023 15:00</t>
  </si>
  <si>
    <t>14/04/2023 16:00</t>
  </si>
  <si>
    <t>14/04/2023 17:00</t>
  </si>
  <si>
    <t>14/04/2023 18:00</t>
  </si>
  <si>
    <t>14/04/2023 19:00</t>
  </si>
  <si>
    <t>14/04/2023 20:00</t>
  </si>
  <si>
    <t>14/04/2023 21:00</t>
  </si>
  <si>
    <t>14/04/2023 22:00</t>
  </si>
  <si>
    <t>14/04/2023 23:00</t>
  </si>
  <si>
    <t>14/04/2023 24:00</t>
  </si>
  <si>
    <t>15/04/2023 01:00</t>
  </si>
  <si>
    <t>15/04/2023 02:00</t>
  </si>
  <si>
    <t>15/04/2023 03:00</t>
  </si>
  <si>
    <t>15/04/2023 04:00</t>
  </si>
  <si>
    <t>15/04/2023 05:00</t>
  </si>
  <si>
    <t>15/04/2023 06:00</t>
  </si>
  <si>
    <t>15/04/2023 07:00</t>
  </si>
  <si>
    <t>15/04/2023 08:00</t>
  </si>
  <si>
    <t>15/04/2023 09:00</t>
  </si>
  <si>
    <t>15/04/2023 10:00</t>
  </si>
  <si>
    <t>15/04/2023 11:00</t>
  </si>
  <si>
    <t>15/04/2023 12:00</t>
  </si>
  <si>
    <t>15/04/2023 13:00</t>
  </si>
  <si>
    <t>15/04/2023 14:00</t>
  </si>
  <si>
    <t>15/04/2023 15:00</t>
  </si>
  <si>
    <t>15/04/2023 16:00</t>
  </si>
  <si>
    <t>15/04/2023 17:00</t>
  </si>
  <si>
    <t>15/04/2023 18:00</t>
  </si>
  <si>
    <t>15/04/2023 19:00</t>
  </si>
  <si>
    <t>15/04/2023 20:00</t>
  </si>
  <si>
    <t>15/04/2023 21:00</t>
  </si>
  <si>
    <t>15/04/2023 22:00</t>
  </si>
  <si>
    <t>15/04/2023 23:00</t>
  </si>
  <si>
    <t>15/04/2023 24:00</t>
  </si>
  <si>
    <t>16/04/2023 01:00</t>
  </si>
  <si>
    <t>16/04/2023 02:00</t>
  </si>
  <si>
    <t>16/04/2023 03:00</t>
  </si>
  <si>
    <t>16/04/2023 04:00</t>
  </si>
  <si>
    <t>16/04/2023 05:00</t>
  </si>
  <si>
    <t>16/04/2023 06:00</t>
  </si>
  <si>
    <t>16/04/2023 07:00</t>
  </si>
  <si>
    <t>16/04/2023 08:00</t>
  </si>
  <si>
    <t>16/04/2023 09:00</t>
  </si>
  <si>
    <t>16/04/2023 10:00</t>
  </si>
  <si>
    <t>16/04/2023 11:00</t>
  </si>
  <si>
    <t>16/04/2023 12:00</t>
  </si>
  <si>
    <t>16/04/2023 13:00</t>
  </si>
  <si>
    <t>16/04/2023 14:00</t>
  </si>
  <si>
    <t>16/04/2023 15:00</t>
  </si>
  <si>
    <t>16/04/2023 16:00</t>
  </si>
  <si>
    <t>16/04/2023 17:00</t>
  </si>
  <si>
    <t>16/04/2023 18:00</t>
  </si>
  <si>
    <t>16/04/2023 19:00</t>
  </si>
  <si>
    <t>16/04/2023 20:00</t>
  </si>
  <si>
    <t>16/04/2023 21:00</t>
  </si>
  <si>
    <t>16/04/2023 22:00</t>
  </si>
  <si>
    <t>16/04/2023 23:00</t>
  </si>
  <si>
    <t>16/04/2023 24:00</t>
  </si>
  <si>
    <t>17/04/2023 01:00</t>
  </si>
  <si>
    <t>17/04/2023 02:00</t>
  </si>
  <si>
    <t>17/04/2023 03:00</t>
  </si>
  <si>
    <t>17/04/2023 04:00</t>
  </si>
  <si>
    <t>17/04/2023 05:00</t>
  </si>
  <si>
    <t>17/04/2023 06:00</t>
  </si>
  <si>
    <t>17/04/2023 07:00</t>
  </si>
  <si>
    <t>17/04/2023 08:00</t>
  </si>
  <si>
    <t>17/04/2023 09:00</t>
  </si>
  <si>
    <t>17/04/2023 10:00</t>
  </si>
  <si>
    <t>17/04/2023 11:00</t>
  </si>
  <si>
    <t>17/04/2023 12:00</t>
  </si>
  <si>
    <t>17/04/2023 13:00</t>
  </si>
  <si>
    <t>17/04/2023 14:00</t>
  </si>
  <si>
    <t>17/04/2023 15:00</t>
  </si>
  <si>
    <t>17/04/2023 16:00</t>
  </si>
  <si>
    <t>17/04/2023 17:00</t>
  </si>
  <si>
    <t>17/04/2023 18:00</t>
  </si>
  <si>
    <t>17/04/2023 19:00</t>
  </si>
  <si>
    <t>17/04/2023 20:00</t>
  </si>
  <si>
    <t>17/04/2023 21:00</t>
  </si>
  <si>
    <t>17/04/2023 22:00</t>
  </si>
  <si>
    <t>17/04/2023 23:00</t>
  </si>
  <si>
    <t>17/04/2023 24:00</t>
  </si>
  <si>
    <t>18/04/2023 01:00</t>
  </si>
  <si>
    <t>18/04/2023 02:00</t>
  </si>
  <si>
    <t>18/04/2023 03:00</t>
  </si>
  <si>
    <t>18/04/2023 04:00</t>
  </si>
  <si>
    <t>18/04/2023 05:00</t>
  </si>
  <si>
    <t>18/04/2023 06:00</t>
  </si>
  <si>
    <t>18/04/2023 07:00</t>
  </si>
  <si>
    <t>18/04/2023 08:00</t>
  </si>
  <si>
    <t>18/04/2023 09:00</t>
  </si>
  <si>
    <t>18/04/2023 10:00</t>
  </si>
  <si>
    <t>18/04/2023 11:00</t>
  </si>
  <si>
    <t>18/04/2023 12:00</t>
  </si>
  <si>
    <t>18/04/2023 13:00</t>
  </si>
  <si>
    <t>18/04/2023 14:00</t>
  </si>
  <si>
    <t>18/04/2023 15:00</t>
  </si>
  <si>
    <t>18/04/2023 16:00</t>
  </si>
  <si>
    <t>18/04/2023 17:00</t>
  </si>
  <si>
    <t>18/04/2023 18:00</t>
  </si>
  <si>
    <t>18/04/2023 19:00</t>
  </si>
  <si>
    <t>18/04/2023 20:00</t>
  </si>
  <si>
    <t>18/04/2023 21:00</t>
  </si>
  <si>
    <t>18/04/2023 22:00</t>
  </si>
  <si>
    <t>18/04/2023 23:00</t>
  </si>
  <si>
    <t>18/04/2023 24:00</t>
  </si>
  <si>
    <t>19/04/2023 01:00</t>
  </si>
  <si>
    <t>19/04/2023 03:00</t>
  </si>
  <si>
    <t>19/04/2023 04:00</t>
  </si>
  <si>
    <t>19/04/2023 05:00</t>
  </si>
  <si>
    <t>19/04/2023 06:00</t>
  </si>
  <si>
    <t>19/04/2023 07:00</t>
  </si>
  <si>
    <t>19/04/2023 08:00</t>
  </si>
  <si>
    <t>19/04/2023 09:00</t>
  </si>
  <si>
    <t>19/04/2023 10:00</t>
  </si>
  <si>
    <t>19/04/2023 11:00</t>
  </si>
  <si>
    <t>19/04/2023 12:00</t>
  </si>
  <si>
    <t>19/04/2023 13:00</t>
  </si>
  <si>
    <t>19/04/2023 14:00</t>
  </si>
  <si>
    <t>19/04/2023 15:00</t>
  </si>
  <si>
    <t>19/04/2023 16:00</t>
  </si>
  <si>
    <t>19/04/2023 17:00</t>
  </si>
  <si>
    <t>19/04/2023 18:00</t>
  </si>
  <si>
    <t>19/04/2023 19:00</t>
  </si>
  <si>
    <t>19/04/2023 20:00</t>
  </si>
  <si>
    <t>19/04/2023 21:00</t>
  </si>
  <si>
    <t>19/04/2023 22:00</t>
  </si>
  <si>
    <t>19/04/2023 23:00</t>
  </si>
  <si>
    <t>19/04/2023 24:00</t>
  </si>
  <si>
    <t>20/04/2023 01:00</t>
  </si>
  <si>
    <t>20/04/2023 02:00</t>
  </si>
  <si>
    <t>20/04/2023 03:00</t>
  </si>
  <si>
    <t>20/04/2023 04:00</t>
  </si>
  <si>
    <t>20/04/2023 05:00</t>
  </si>
  <si>
    <t>20/04/2023 06:00</t>
  </si>
  <si>
    <t>20/04/2023 07:00</t>
  </si>
  <si>
    <t>20/04/2023 08:00</t>
  </si>
  <si>
    <t>20/04/2023 09:00</t>
  </si>
  <si>
    <t>20/04/2023 10:00</t>
  </si>
  <si>
    <t>20/04/2023 11:00</t>
  </si>
  <si>
    <t>20/04/2023 12:00</t>
  </si>
  <si>
    <t>20/04/2023 13:00</t>
  </si>
  <si>
    <t>20/04/2023 14:00</t>
  </si>
  <si>
    <t>20/04/2023 15:00</t>
  </si>
  <si>
    <t>20/04/2023 16:00</t>
  </si>
  <si>
    <t>20/04/2023 17:00</t>
  </si>
  <si>
    <t>20/04/2023 18:00</t>
  </si>
  <si>
    <t>20/04/2023 19:00</t>
  </si>
  <si>
    <t>20/04/2023 20:00</t>
  </si>
  <si>
    <t>20/04/2023 21:00</t>
  </si>
  <si>
    <t>20/04/2023 22:00</t>
  </si>
  <si>
    <t>20/04/2023 23:00</t>
  </si>
  <si>
    <t>20/04/2023 24:00</t>
  </si>
  <si>
    <t>21/04/2023 01:00</t>
  </si>
  <si>
    <t>21/04/2023 02:00</t>
  </si>
  <si>
    <t>21/04/2023 03:00</t>
  </si>
  <si>
    <t>21/04/2023 04:00</t>
  </si>
  <si>
    <t>21/04/2023 05:00</t>
  </si>
  <si>
    <t>21/04/2023 06:00</t>
  </si>
  <si>
    <t>21/04/2023 07:00</t>
  </si>
  <si>
    <t>21/04/2023 08:00</t>
  </si>
  <si>
    <t>21/04/2023 09:00</t>
  </si>
  <si>
    <t>21/04/2023 10:00</t>
  </si>
  <si>
    <t>21/04/2023 11:00</t>
  </si>
  <si>
    <t>21/04/2023 12:00</t>
  </si>
  <si>
    <t>21/04/2023 13:00</t>
  </si>
  <si>
    <t>21/04/2023 14:00</t>
  </si>
  <si>
    <t>21/04/2023 15:00</t>
  </si>
  <si>
    <t>21/04/2023 16:00</t>
  </si>
  <si>
    <t>21/04/2023 17:00</t>
  </si>
  <si>
    <t>21/04/2023 18:00</t>
  </si>
  <si>
    <t>21/04/2023 19:00</t>
  </si>
  <si>
    <t>21/04/2023 20:00</t>
  </si>
  <si>
    <t>21/04/2023 21:00</t>
  </si>
  <si>
    <t>21/04/2023 22:00</t>
  </si>
  <si>
    <t>21/04/2023 23:00</t>
  </si>
  <si>
    <t>21/04/2023 24:00</t>
  </si>
  <si>
    <t>22/04/2023 01:00</t>
  </si>
  <si>
    <t>22/04/2023 02:00</t>
  </si>
  <si>
    <t>22/04/2023 03:00</t>
  </si>
  <si>
    <t>22/04/2023 04:00</t>
  </si>
  <si>
    <t>22/04/2023 05:00</t>
  </si>
  <si>
    <t>22/04/2023 06:00</t>
  </si>
  <si>
    <t>22/04/2023 07:00</t>
  </si>
  <si>
    <t>22/04/2023 08:00</t>
  </si>
  <si>
    <t>22/04/2023 09:00</t>
  </si>
  <si>
    <t>22/04/2023 10:00</t>
  </si>
  <si>
    <t>22/04/2023 11:00</t>
  </si>
  <si>
    <t>22/04/2023 12:00</t>
  </si>
  <si>
    <t>22/04/2023 13:00</t>
  </si>
  <si>
    <t>22/04/2023 14:00</t>
  </si>
  <si>
    <t>22/04/2023 15:00</t>
  </si>
  <si>
    <t>22/04/2023 16:00</t>
  </si>
  <si>
    <t>22/04/2023 17:00</t>
  </si>
  <si>
    <t>22/04/2023 18:00</t>
  </si>
  <si>
    <t>22/04/2023 19:00</t>
  </si>
  <si>
    <t>22/04/2023 20:00</t>
  </si>
  <si>
    <t>22/04/2023 21:00</t>
  </si>
  <si>
    <t>22/04/2023 22:00</t>
  </si>
  <si>
    <t>22/04/2023 23:00</t>
  </si>
  <si>
    <t>22/04/2023 24:00</t>
  </si>
  <si>
    <t>23/04/2023 01:00</t>
  </si>
  <si>
    <t>23/04/2023 02:00</t>
  </si>
  <si>
    <t>23/04/2023 03:00</t>
  </si>
  <si>
    <t>23/04/2023 04:00</t>
  </si>
  <si>
    <t>23/04/2023 05:00</t>
  </si>
  <si>
    <t>23/04/2023 06:00</t>
  </si>
  <si>
    <t>23/04/2023 07:00</t>
  </si>
  <si>
    <t>23/04/2023 08:00</t>
  </si>
  <si>
    <t>23/04/2023 09:00</t>
  </si>
  <si>
    <t>23/04/2023 10:00</t>
  </si>
  <si>
    <t>23/04/2023 11:00</t>
  </si>
  <si>
    <t>23/04/2023 12:00</t>
  </si>
  <si>
    <t>23/04/2023 13:00</t>
  </si>
  <si>
    <t>23/04/2023 14:00</t>
  </si>
  <si>
    <t>23/04/2023 15:00</t>
  </si>
  <si>
    <t>23/04/2023 16:00</t>
  </si>
  <si>
    <t>23/04/2023 17:00</t>
  </si>
  <si>
    <t>23/04/2023 18:00</t>
  </si>
  <si>
    <t>23/04/2023 19:00</t>
  </si>
  <si>
    <t>23/04/2023 20:00</t>
  </si>
  <si>
    <t>23/04/2023 21:00</t>
  </si>
  <si>
    <t>23/04/2023 22:00</t>
  </si>
  <si>
    <t>23/04/2023 23:00</t>
  </si>
  <si>
    <t>23/04/2023 24:00</t>
  </si>
  <si>
    <t>24/04/2023 01:00</t>
  </si>
  <si>
    <t>24/04/2023 02:00</t>
  </si>
  <si>
    <t>24/04/2023 03:00</t>
  </si>
  <si>
    <t>24/04/2023 04:00</t>
  </si>
  <si>
    <t>24/04/2023 05:00</t>
  </si>
  <si>
    <t>24/04/2023 06:00</t>
  </si>
  <si>
    <t>24/04/2023 07:00</t>
  </si>
  <si>
    <t>24/04/2023 08:00</t>
  </si>
  <si>
    <t>24/04/2023 09:00</t>
  </si>
  <si>
    <t>24/04/2023 10:00</t>
  </si>
  <si>
    <t>24/04/2023 11:00</t>
  </si>
  <si>
    <t>24/04/2023 12:00</t>
  </si>
  <si>
    <t>24/04/2023 13:00</t>
  </si>
  <si>
    <t>24/04/2023 14:00</t>
  </si>
  <si>
    <t>24/04/2023 15:00</t>
  </si>
  <si>
    <t>24/04/2023 16:00</t>
  </si>
  <si>
    <t>24/04/2023 17:00</t>
  </si>
  <si>
    <t>24/04/2023 18:00</t>
  </si>
  <si>
    <t>24/04/2023 19:00</t>
  </si>
  <si>
    <t>24/04/2023 20:00</t>
  </si>
  <si>
    <t>24/04/2023 21:00</t>
  </si>
  <si>
    <t>24/04/2023 22:00</t>
  </si>
  <si>
    <t>24/04/2023 23:00</t>
  </si>
  <si>
    <t>24/04/2023 24:00</t>
  </si>
  <si>
    <t>25/04/2023 01:00</t>
  </si>
  <si>
    <t>25/04/2023 02:00</t>
  </si>
  <si>
    <t>25/04/2023 03:00</t>
  </si>
  <si>
    <t>25/04/2023 04:00</t>
  </si>
  <si>
    <t>25/04/2023 05:00</t>
  </si>
  <si>
    <t>25/04/2023 06:00</t>
  </si>
  <si>
    <t>25/04/2023 07:00</t>
  </si>
  <si>
    <t>25/04/2023 08:00</t>
  </si>
  <si>
    <t>25/04/2023 09:00</t>
  </si>
  <si>
    <t>25/04/2023 10:00</t>
  </si>
  <si>
    <t>25/04/2023 11:00</t>
  </si>
  <si>
    <t>25/04/2023 12:00</t>
  </si>
  <si>
    <t>25/04/2023 13:00</t>
  </si>
  <si>
    <t>25/04/2023 14:00</t>
  </si>
  <si>
    <t>25/04/2023 15:00</t>
  </si>
  <si>
    <t>25/04/2023 16:00</t>
  </si>
  <si>
    <t>25/04/2023 17:00</t>
  </si>
  <si>
    <t>25/04/2023 18:00</t>
  </si>
  <si>
    <t>25/04/2023 19:00</t>
  </si>
  <si>
    <t>25/04/2023 20:00</t>
  </si>
  <si>
    <t>25/04/2023 21:00</t>
  </si>
  <si>
    <t>25/04/2023 22:00</t>
  </si>
  <si>
    <t>25/04/2023 23:00</t>
  </si>
  <si>
    <t>25/04/2023 24:00</t>
  </si>
  <si>
    <t>26/04/2023 01:00</t>
  </si>
  <si>
    <t>26/04/2023 02:00</t>
  </si>
  <si>
    <t>26/04/2023 03:00</t>
  </si>
  <si>
    <t>26/04/2023 04:00</t>
  </si>
  <si>
    <t>26/04/2023 05:00</t>
  </si>
  <si>
    <t>26/04/2023 06:00</t>
  </si>
  <si>
    <t>26/04/2023 07:00</t>
  </si>
  <si>
    <t>26/04/2023 08:00</t>
  </si>
  <si>
    <t>26/04/2023 09:00</t>
  </si>
  <si>
    <t>26/04/2023 10:00</t>
  </si>
  <si>
    <t>26/04/2023 11:00</t>
  </si>
  <si>
    <t>26/04/2023 12:00</t>
  </si>
  <si>
    <t>26/04/2023 13:00</t>
  </si>
  <si>
    <t>26/04/2023 14:00</t>
  </si>
  <si>
    <t>26/04/2023 15:00</t>
  </si>
  <si>
    <t>26/04/2023 16:00</t>
  </si>
  <si>
    <t>26/04/2023 17:00</t>
  </si>
  <si>
    <t>26/04/2023 18:00</t>
  </si>
  <si>
    <t>26/04/2023 19:00</t>
  </si>
  <si>
    <t>26/04/2023 20:00</t>
  </si>
  <si>
    <t>26/04/2023 21:00</t>
  </si>
  <si>
    <t>26/04/2023 22:00</t>
  </si>
  <si>
    <t>26/04/2023 23:00</t>
  </si>
  <si>
    <t>26/04/2023 24:00</t>
  </si>
  <si>
    <t>27/04/2023 01:00</t>
  </si>
  <si>
    <t>27/04/2023 02:00</t>
  </si>
  <si>
    <t>27/04/2023 03:00</t>
  </si>
  <si>
    <t>27/04/2023 04:00</t>
  </si>
  <si>
    <t>27/04/2023 05:00</t>
  </si>
  <si>
    <t>27/04/2023 06:00</t>
  </si>
  <si>
    <t>27/04/2023 07:00</t>
  </si>
  <si>
    <t>27/04/2023 08:00</t>
  </si>
  <si>
    <t>27/04/2023 09:00</t>
  </si>
  <si>
    <t>27/04/2023 10:00</t>
  </si>
  <si>
    <t>27/04/2023 11:00</t>
  </si>
  <si>
    <t>27/04/2023 12:00</t>
  </si>
  <si>
    <t>27/04/2023 13:00</t>
  </si>
  <si>
    <t>27/04/2023 14:00</t>
  </si>
  <si>
    <t>27/04/2023 15:00</t>
  </si>
  <si>
    <t>27/04/2023 16:00</t>
  </si>
  <si>
    <t>27/04/2023 17:00</t>
  </si>
  <si>
    <t>27/04/2023 18:00</t>
  </si>
  <si>
    <t>27/04/2023 19:00</t>
  </si>
  <si>
    <t>27/04/2023 20:00</t>
  </si>
  <si>
    <t>27/04/2023 21:00</t>
  </si>
  <si>
    <t>27/04/2023 22:00</t>
  </si>
  <si>
    <t>27/04/2023 23:00</t>
  </si>
  <si>
    <t>27/04/2023 24:00</t>
  </si>
  <si>
    <t>28/04/2023 01:00</t>
  </si>
  <si>
    <t>28/04/2023 02:00</t>
  </si>
  <si>
    <t>28/04/2023 03:00</t>
  </si>
  <si>
    <t>28/04/2023 04:00</t>
  </si>
  <si>
    <t>28/04/2023 06:00</t>
  </si>
  <si>
    <t>28/04/2023 07:00</t>
  </si>
  <si>
    <t>28/04/2023 08:00</t>
  </si>
  <si>
    <t>28/04/2023 09:00</t>
  </si>
  <si>
    <t>28/04/2023 10:00</t>
  </si>
  <si>
    <t>28/04/2023 11:00</t>
  </si>
  <si>
    <t>28/04/2023 12:00</t>
  </si>
  <si>
    <t>28/04/2023 13:00</t>
  </si>
  <si>
    <t>28/04/2023 14:00</t>
  </si>
  <si>
    <t>28/04/2023 15:00</t>
  </si>
  <si>
    <t>28/04/2023 16:00</t>
  </si>
  <si>
    <t>28/04/2023 17:00</t>
  </si>
  <si>
    <t>28/04/2023 18:00</t>
  </si>
  <si>
    <t>28/04/2023 19:00</t>
  </si>
  <si>
    <t>28/04/2023 20:00</t>
  </si>
  <si>
    <t>28/04/2023 21:00</t>
  </si>
  <si>
    <t>28/04/2023 22:00</t>
  </si>
  <si>
    <t>28/04/2023 23:00</t>
  </si>
  <si>
    <t>28/04/2023 24:00</t>
  </si>
  <si>
    <t>29/04/2023 01:00</t>
  </si>
  <si>
    <t>29/04/2023 02:00</t>
  </si>
  <si>
    <t>29/04/2023 03:00</t>
  </si>
  <si>
    <t>29/04/2023 04:00</t>
  </si>
  <si>
    <t>29/04/2023 05:00</t>
  </si>
  <si>
    <t>29/04/2023 06:00</t>
  </si>
  <si>
    <t>29/04/2023 07:00</t>
  </si>
  <si>
    <t>29/04/2023 08:00</t>
  </si>
  <si>
    <t>29/04/2023 09:00</t>
  </si>
  <si>
    <t>29/04/2023 10:00</t>
  </si>
  <si>
    <t>29/04/2023 11:00</t>
  </si>
  <si>
    <t>29/04/2023 12:00</t>
  </si>
  <si>
    <t>29/04/2023 13:00</t>
  </si>
  <si>
    <t>29/04/2023 14:00</t>
  </si>
  <si>
    <t>29/04/2023 15:00</t>
  </si>
  <si>
    <t>29/04/2023 16:00</t>
  </si>
  <si>
    <t>29/04/2023 17:00</t>
  </si>
  <si>
    <t>29/04/2023 18:00</t>
  </si>
  <si>
    <t>29/04/2023 19:00</t>
  </si>
  <si>
    <t>29/04/2023 20:00</t>
  </si>
  <si>
    <t>29/04/2023 21:00</t>
  </si>
  <si>
    <t>29/04/2023 22:00</t>
  </si>
  <si>
    <t>29/04/2023 23:00</t>
  </si>
  <si>
    <t>29/04/2023 24:00</t>
  </si>
  <si>
    <t>30/04/2023 01:00</t>
  </si>
  <si>
    <t>30/04/2023 02:00</t>
  </si>
  <si>
    <t>30/04/2023 03:00</t>
  </si>
  <si>
    <t>30/04/2023 04:00</t>
  </si>
  <si>
    <t>30/04/2023 05:00</t>
  </si>
  <si>
    <t>30/04/2023 06:00</t>
  </si>
  <si>
    <t>30/04/2023 07:00</t>
  </si>
  <si>
    <t>30/04/2023 08:00</t>
  </si>
  <si>
    <t>30/04/2023 09:00</t>
  </si>
  <si>
    <t>30/04/2023 10:00</t>
  </si>
  <si>
    <t>30/04/2023 11:00</t>
  </si>
  <si>
    <t>30/04/2023 12:00</t>
  </si>
  <si>
    <t>30/04/2023 13:00</t>
  </si>
  <si>
    <t>30/04/2023 14:00</t>
  </si>
  <si>
    <t>30/04/2023 15:00</t>
  </si>
  <si>
    <t>30/04/2023 16:00</t>
  </si>
  <si>
    <t>30/04/2023 17:00</t>
  </si>
  <si>
    <t>30/04/2023 18:00</t>
  </si>
  <si>
    <t>30/04/2023 19:00</t>
  </si>
  <si>
    <t>30/04/2023 20:00</t>
  </si>
  <si>
    <t>30/04/2023 21:00</t>
  </si>
  <si>
    <t>30/04/2023 22:00</t>
  </si>
  <si>
    <t>30/04/2023 23:00</t>
  </si>
  <si>
    <t>30/04/2023 24:00</t>
  </si>
</sst>
</file>

<file path=xl/styles.xml><?xml version="1.0" encoding="utf-8"?>
<styleSheet xmlns="http://schemas.openxmlformats.org/spreadsheetml/2006/main">
  <fonts count="15"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i/>
      <sz val="10"/>
      <name val="Arial"/>
      <family val="2"/>
    </font>
    <font>
      <sz val="10"/>
      <color indexed="12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b/>
      <sz val="10"/>
      <color rgb="FF00B050"/>
      <name val="Arial"/>
      <family val="2"/>
    </font>
    <font>
      <b/>
      <sz val="10"/>
      <color rgb="FFFF0000"/>
      <name val="Arial"/>
      <family val="2"/>
    </font>
    <font>
      <b/>
      <sz val="10"/>
      <color theme="5" tint="-0.249977111117893"/>
      <name val="Arial"/>
      <family val="2"/>
    </font>
    <font>
      <b/>
      <sz val="11"/>
      <color theme="1"/>
      <name val="Arial"/>
      <family val="2"/>
    </font>
    <font>
      <sz val="11"/>
      <name val="Calibri"/>
      <family val="2"/>
      <scheme val="minor"/>
    </font>
    <font>
      <b/>
      <sz val="11"/>
      <color theme="0"/>
      <name val="Arial"/>
      <family val="2"/>
    </font>
    <font>
      <b/>
      <sz val="12"/>
      <color theme="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70C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3" fillId="0" borderId="0" xfId="0" applyFont="1" applyFill="1" applyAlignment="1">
      <alignment horizontal="center"/>
    </xf>
    <xf numFmtId="0" fontId="1" fillId="0" borderId="0" xfId="0" applyFont="1" applyAlignment="1">
      <alignment horizontal="right"/>
    </xf>
    <xf numFmtId="0" fontId="7" fillId="2" borderId="0" xfId="0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7" fillId="4" borderId="0" xfId="0" applyFont="1" applyFill="1" applyAlignment="1">
      <alignment horizontal="center"/>
    </xf>
    <xf numFmtId="0" fontId="7" fillId="5" borderId="0" xfId="0" applyFont="1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7" borderId="0" xfId="0" applyFont="1" applyFill="1" applyAlignment="1">
      <alignment horizontal="center"/>
    </xf>
    <xf numFmtId="0" fontId="9" fillId="8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Fill="1" applyAlignment="1">
      <alignment horizontal="center"/>
    </xf>
    <xf numFmtId="0" fontId="1" fillId="0" borderId="0" xfId="0" applyFont="1" applyFill="1" applyAlignment="1">
      <alignment horizontal="center"/>
    </xf>
    <xf numFmtId="2" fontId="1" fillId="0" borderId="0" xfId="0" applyNumberFormat="1" applyFont="1" applyAlignment="1">
      <alignment horizontal="center"/>
    </xf>
    <xf numFmtId="0" fontId="10" fillId="0" borderId="0" xfId="0" applyFont="1" applyAlignment="1">
      <alignment horizontal="center"/>
    </xf>
    <xf numFmtId="0" fontId="11" fillId="0" borderId="0" xfId="0" applyFont="1" applyFill="1" applyAlignment="1">
      <alignment horizontal="center"/>
    </xf>
    <xf numFmtId="0" fontId="7" fillId="9" borderId="0" xfId="0" applyFont="1" applyFill="1" applyAlignment="1">
      <alignment horizontal="center"/>
    </xf>
    <xf numFmtId="0" fontId="7" fillId="0" borderId="0" xfId="0" applyFont="1" applyFill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Alignment="1">
      <alignment horizontal="center"/>
    </xf>
    <xf numFmtId="17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 wrapText="1"/>
    </xf>
    <xf numFmtId="2" fontId="0" fillId="0" borderId="1" xfId="0" applyNumberFormat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2" fontId="1" fillId="0" borderId="0" xfId="0" applyNumberFormat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2" fontId="4" fillId="0" borderId="1" xfId="0" applyNumberFormat="1" applyFont="1" applyFill="1" applyBorder="1" applyAlignment="1">
      <alignment horizontal="center"/>
    </xf>
    <xf numFmtId="1" fontId="1" fillId="0" borderId="0" xfId="0" applyNumberFormat="1" applyFont="1" applyFill="1" applyBorder="1" applyAlignment="1">
      <alignment horizontal="center"/>
    </xf>
    <xf numFmtId="1" fontId="1" fillId="0" borderId="0" xfId="0" applyNumberFormat="1" applyFont="1" applyBorder="1" applyAlignment="1">
      <alignment horizontal="center"/>
    </xf>
    <xf numFmtId="2" fontId="12" fillId="0" borderId="1" xfId="0" applyNumberFormat="1" applyFont="1" applyFill="1" applyBorder="1" applyAlignment="1">
      <alignment horizontal="center"/>
    </xf>
    <xf numFmtId="0" fontId="12" fillId="0" borderId="0" xfId="0" applyFont="1" applyFill="1"/>
    <xf numFmtId="2" fontId="12" fillId="0" borderId="0" xfId="0" applyNumberFormat="1" applyFont="1" applyFill="1"/>
    <xf numFmtId="17" fontId="5" fillId="0" borderId="0" xfId="0" applyNumberFormat="1" applyFont="1" applyAlignment="1">
      <alignment horizontal="center"/>
    </xf>
    <xf numFmtId="14" fontId="5" fillId="0" borderId="0" xfId="0" applyNumberFormat="1" applyFont="1" applyAlignment="1">
      <alignment horizontal="center"/>
    </xf>
    <xf numFmtId="0" fontId="1" fillId="0" borderId="0" xfId="0" applyFont="1" applyAlignment="1">
      <alignment horizontal="left" vertical="center"/>
    </xf>
    <xf numFmtId="0" fontId="13" fillId="9" borderId="0" xfId="0" applyFont="1" applyFill="1" applyAlignment="1">
      <alignment horizontal="center" vertical="center"/>
    </xf>
    <xf numFmtId="0" fontId="14" fillId="9" borderId="0" xfId="0" applyFont="1" applyFill="1" applyAlignment="1"/>
    <xf numFmtId="0" fontId="13" fillId="0" borderId="0" xfId="0" applyFont="1" applyFill="1" applyAlignment="1">
      <alignment vertical="center"/>
    </xf>
    <xf numFmtId="0" fontId="6" fillId="0" borderId="0" xfId="0" applyFont="1" applyBorder="1" applyAlignment="1">
      <alignment horizontal="center"/>
    </xf>
    <xf numFmtId="2" fontId="0" fillId="0" borderId="0" xfId="0" applyNumberFormat="1" applyBorder="1" applyAlignment="1">
      <alignment horizontal="center"/>
    </xf>
    <xf numFmtId="2" fontId="0" fillId="0" borderId="0" xfId="0" applyNumberFormat="1" applyFill="1" applyBorder="1" applyAlignment="1">
      <alignment horizontal="center"/>
    </xf>
    <xf numFmtId="2" fontId="12" fillId="0" borderId="0" xfId="0" applyNumberFormat="1" applyFont="1" applyFill="1" applyBorder="1" applyAlignment="1">
      <alignment horizontal="center"/>
    </xf>
    <xf numFmtId="2" fontId="4" fillId="0" borderId="0" xfId="0" applyNumberFormat="1" applyFont="1" applyFill="1" applyBorder="1" applyAlignment="1">
      <alignment horizontal="center"/>
    </xf>
    <xf numFmtId="0" fontId="0" fillId="0" borderId="0" xfId="0" applyBorder="1"/>
    <xf numFmtId="0" fontId="6" fillId="0" borderId="1" xfId="0" applyFont="1" applyBorder="1" applyAlignment="1">
      <alignment horizontal="center"/>
    </xf>
    <xf numFmtId="0" fontId="6" fillId="0" borderId="1" xfId="0" applyFont="1" applyBorder="1"/>
    <xf numFmtId="0" fontId="1" fillId="0" borderId="1" xfId="0" applyFont="1" applyBorder="1" applyAlignment="1">
      <alignment horizontal="center"/>
    </xf>
    <xf numFmtId="22" fontId="4" fillId="0" borderId="1" xfId="0" applyNumberFormat="1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22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NumberFormat="1" applyBorder="1" applyAlignment="1">
      <alignment horizontal="center"/>
    </xf>
    <xf numFmtId="22" fontId="0" fillId="0" borderId="1" xfId="0" applyNumberFormat="1" applyBorder="1" applyAlignment="1">
      <alignment horizontal="center"/>
    </xf>
    <xf numFmtId="0" fontId="14" fillId="9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2" ySplit="8" topLeftCell="E9" activePane="bottomRight" state="frozen"/>
      <selection activeCell="U32" sqref="A9:U32"/>
      <selection pane="topRight" activeCell="U32" sqref="A9:U32"/>
      <selection pane="bottomLeft" activeCell="U32" sqref="A9:U32"/>
      <selection pane="bottomRight" activeCell="B2" sqref="B2"/>
    </sheetView>
  </sheetViews>
  <sheetFormatPr defaultColWidth="8.85546875" defaultRowHeight="15"/>
  <cols>
    <col min="1" max="1" width="19.5703125" style="26" customWidth="1"/>
    <col min="2" max="2" width="16.5703125" style="20" customWidth="1"/>
    <col min="3" max="3" width="10.42578125" style="20" customWidth="1"/>
    <col min="4" max="4" width="10.140625" style="20" customWidth="1"/>
    <col min="5" max="5" width="10.28515625" style="20" customWidth="1"/>
    <col min="6" max="6" width="9.85546875" style="20" customWidth="1"/>
    <col min="7" max="7" width="11.28515625" style="20" customWidth="1"/>
    <col min="8" max="8" width="12" style="20" customWidth="1"/>
    <col min="9" max="9" width="11.5703125" style="20" customWidth="1"/>
    <col min="10" max="10" width="10.5703125" style="20" customWidth="1"/>
    <col min="11" max="11" width="10" style="20" customWidth="1"/>
    <col min="12" max="12" width="11.140625" style="20" customWidth="1"/>
    <col min="13" max="13" width="11.28515625" style="20" customWidth="1"/>
    <col min="14" max="14" width="9.7109375" style="20" customWidth="1"/>
    <col min="15" max="15" width="10" style="20" customWidth="1"/>
    <col min="16" max="16" width="9.7109375" style="20" customWidth="1"/>
    <col min="17" max="17" width="10.140625" style="20" customWidth="1"/>
    <col min="18" max="19" width="9.140625" style="20" customWidth="1"/>
    <col min="20" max="20" width="11.42578125" style="20" customWidth="1"/>
    <col min="21" max="16384" width="8.85546875" style="20"/>
  </cols>
  <sheetData>
    <row r="1" spans="1:21" s="21" customFormat="1">
      <c r="A1" s="14" t="s">
        <v>2</v>
      </c>
      <c r="B1" s="23" t="s">
        <v>55</v>
      </c>
      <c r="C1" s="36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>
      <c r="A2" s="14" t="s">
        <v>0</v>
      </c>
      <c r="B2" s="37" t="str">
        <f>$A$9</f>
        <v>01/04/2023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8" t="s">
        <v>7</v>
      </c>
      <c r="Q2" s="12"/>
      <c r="R2" s="8" t="s">
        <v>8</v>
      </c>
      <c r="S2" s="11"/>
      <c r="T2" s="11"/>
      <c r="U2" s="11"/>
    </row>
    <row r="3" spans="1:21" s="21" customFormat="1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8" t="s">
        <v>15</v>
      </c>
      <c r="Q3" s="12"/>
      <c r="R3" s="9" t="s">
        <v>15</v>
      </c>
      <c r="S3" s="11"/>
      <c r="T3" s="11"/>
      <c r="U3" s="11"/>
    </row>
    <row r="4" spans="1:21" s="21" customFormat="1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>
      <c r="A7" s="25" t="s">
        <v>21</v>
      </c>
      <c r="B7" s="48" t="s">
        <v>40</v>
      </c>
      <c r="C7" s="49" t="s">
        <v>41</v>
      </c>
      <c r="D7" s="49" t="s">
        <v>42</v>
      </c>
      <c r="E7" s="49" t="s">
        <v>43</v>
      </c>
      <c r="F7" s="49" t="s">
        <v>44</v>
      </c>
      <c r="G7" s="49" t="s">
        <v>45</v>
      </c>
      <c r="H7" s="49" t="s">
        <v>56</v>
      </c>
      <c r="I7" s="49" t="s">
        <v>46</v>
      </c>
      <c r="J7" s="49" t="s">
        <v>47</v>
      </c>
      <c r="K7" s="49" t="s">
        <v>48</v>
      </c>
      <c r="L7" s="49" t="s">
        <v>49</v>
      </c>
      <c r="M7" s="49" t="s">
        <v>50</v>
      </c>
      <c r="N7" s="49" t="s">
        <v>51</v>
      </c>
      <c r="O7" s="49" t="s">
        <v>52</v>
      </c>
      <c r="P7" s="49" t="s">
        <v>53</v>
      </c>
      <c r="Q7" s="49" t="s">
        <v>54</v>
      </c>
      <c r="R7" s="27"/>
      <c r="S7" s="29"/>
      <c r="T7" s="27"/>
      <c r="U7" s="27"/>
    </row>
    <row r="8" spans="1:21" s="21" customFormat="1">
      <c r="A8" s="25"/>
      <c r="B8" s="50" t="s">
        <v>22</v>
      </c>
      <c r="C8" s="50" t="s">
        <v>22</v>
      </c>
      <c r="D8" s="50" t="s">
        <v>22</v>
      </c>
      <c r="E8" s="50" t="s">
        <v>22</v>
      </c>
      <c r="F8" s="50" t="s">
        <v>22</v>
      </c>
      <c r="G8" s="50" t="s">
        <v>23</v>
      </c>
      <c r="H8" s="50" t="s">
        <v>22</v>
      </c>
      <c r="I8" s="50" t="s">
        <v>22</v>
      </c>
      <c r="J8" s="50" t="s">
        <v>24</v>
      </c>
      <c r="K8" s="50" t="s">
        <v>25</v>
      </c>
      <c r="L8" s="25" t="s">
        <v>27</v>
      </c>
      <c r="M8" s="50" t="s">
        <v>26</v>
      </c>
      <c r="N8" s="50" t="s">
        <v>28</v>
      </c>
      <c r="O8" s="25" t="s">
        <v>29</v>
      </c>
      <c r="P8" s="50" t="s">
        <v>22</v>
      </c>
      <c r="Q8" s="50" t="s">
        <v>22</v>
      </c>
      <c r="R8" s="27"/>
      <c r="S8" s="29"/>
      <c r="T8" s="27"/>
      <c r="U8" s="27"/>
    </row>
    <row r="9" spans="1:21" s="11" customFormat="1">
      <c r="A9" s="52" t="s">
        <v>75</v>
      </c>
      <c r="B9" s="53">
        <v>30.78</v>
      </c>
      <c r="C9" s="53">
        <v>68.72</v>
      </c>
      <c r="D9" s="53">
        <v>60.03</v>
      </c>
      <c r="E9" s="53">
        <v>7.63</v>
      </c>
      <c r="F9" s="53">
        <v>3.2</v>
      </c>
      <c r="G9" s="53">
        <v>29.01</v>
      </c>
      <c r="H9" s="53">
        <v>5.48</v>
      </c>
      <c r="I9" s="53">
        <v>4.79</v>
      </c>
      <c r="J9" s="53">
        <v>0.23</v>
      </c>
      <c r="K9" s="53">
        <v>278.88</v>
      </c>
      <c r="L9" s="53">
        <v>23.54</v>
      </c>
      <c r="M9" s="53">
        <v>78.06</v>
      </c>
      <c r="N9" s="53">
        <v>0</v>
      </c>
      <c r="O9" s="53">
        <v>0</v>
      </c>
      <c r="P9" s="53">
        <v>0.62</v>
      </c>
      <c r="Q9" s="53">
        <v>7.34</v>
      </c>
      <c r="R9" s="42"/>
      <c r="S9" s="42"/>
      <c r="T9" s="42"/>
      <c r="U9" s="42"/>
    </row>
    <row r="10" spans="1:21" s="11" customFormat="1">
      <c r="A10" s="52" t="s">
        <v>76</v>
      </c>
      <c r="B10" s="53">
        <v>34.75</v>
      </c>
      <c r="C10" s="53">
        <v>68.41</v>
      </c>
      <c r="D10" s="53">
        <v>63.82</v>
      </c>
      <c r="E10" s="53">
        <v>7.89</v>
      </c>
      <c r="F10" s="53">
        <v>3.04</v>
      </c>
      <c r="G10" s="53">
        <v>27.47</v>
      </c>
      <c r="H10" s="53">
        <v>7.59</v>
      </c>
      <c r="I10" s="53">
        <v>4.79</v>
      </c>
      <c r="J10" s="53">
        <v>0.4</v>
      </c>
      <c r="K10" s="53">
        <v>170.93</v>
      </c>
      <c r="L10" s="53">
        <v>22.79</v>
      </c>
      <c r="M10" s="53">
        <v>81.180000000000007</v>
      </c>
      <c r="N10" s="53">
        <v>0</v>
      </c>
      <c r="O10" s="53">
        <v>0</v>
      </c>
      <c r="P10" s="53">
        <v>0.62</v>
      </c>
      <c r="Q10" s="53">
        <v>7.58</v>
      </c>
      <c r="R10" s="42"/>
      <c r="S10" s="42"/>
      <c r="T10" s="42"/>
      <c r="U10" s="42"/>
    </row>
    <row r="11" spans="1:21" s="11" customFormat="1">
      <c r="A11" s="52" t="s">
        <v>77</v>
      </c>
      <c r="B11" s="53">
        <v>38.39</v>
      </c>
      <c r="C11" s="53">
        <v>66.98</v>
      </c>
      <c r="D11" s="53">
        <v>66.12</v>
      </c>
      <c r="E11" s="53">
        <v>8.32</v>
      </c>
      <c r="F11" s="53">
        <v>3.11</v>
      </c>
      <c r="G11" s="53">
        <v>29.87</v>
      </c>
      <c r="H11" s="53">
        <v>13.53</v>
      </c>
      <c r="I11" s="53">
        <v>4.87</v>
      </c>
      <c r="J11" s="53">
        <v>0.82</v>
      </c>
      <c r="K11" s="53">
        <v>57.56</v>
      </c>
      <c r="L11" s="53">
        <v>22.81</v>
      </c>
      <c r="M11" s="53">
        <v>83.68</v>
      </c>
      <c r="N11" s="53">
        <v>0</v>
      </c>
      <c r="O11" s="53">
        <v>0</v>
      </c>
      <c r="P11" s="53">
        <v>0.61</v>
      </c>
      <c r="Q11" s="53">
        <v>7.75</v>
      </c>
      <c r="R11" s="42"/>
      <c r="S11" s="42"/>
      <c r="T11" s="42"/>
      <c r="U11" s="42"/>
    </row>
    <row r="12" spans="1:21" s="11" customFormat="1">
      <c r="A12" s="54">
        <v>45017.166666666664</v>
      </c>
      <c r="B12" s="53">
        <v>40.42</v>
      </c>
      <c r="C12" s="53">
        <v>66.12</v>
      </c>
      <c r="D12" s="53">
        <v>67.83</v>
      </c>
      <c r="E12" s="53">
        <v>8.7200000000000006</v>
      </c>
      <c r="F12" s="53">
        <v>3.01</v>
      </c>
      <c r="G12" s="53">
        <v>32.619999999999997</v>
      </c>
      <c r="H12" s="53">
        <v>12.61</v>
      </c>
      <c r="I12" s="53">
        <v>4.9000000000000004</v>
      </c>
      <c r="J12" s="53">
        <v>1.25</v>
      </c>
      <c r="K12" s="53">
        <v>38.020000000000003</v>
      </c>
      <c r="L12" s="53">
        <v>22.2</v>
      </c>
      <c r="M12" s="53">
        <v>84.55</v>
      </c>
      <c r="N12" s="53">
        <v>0</v>
      </c>
      <c r="O12" s="53">
        <v>0</v>
      </c>
      <c r="P12" s="53">
        <v>0.61</v>
      </c>
      <c r="Q12" s="53">
        <v>7.96</v>
      </c>
      <c r="R12" s="42"/>
      <c r="S12" s="42"/>
      <c r="T12" s="42"/>
      <c r="U12" s="42"/>
    </row>
    <row r="13" spans="1:21" s="11" customFormat="1">
      <c r="A13" s="52" t="s">
        <v>78</v>
      </c>
      <c r="B13" s="53">
        <v>40.03</v>
      </c>
      <c r="C13" s="53">
        <v>67.91</v>
      </c>
      <c r="D13" s="53">
        <v>67.010000000000005</v>
      </c>
      <c r="E13" s="53">
        <v>8.3699999999999992</v>
      </c>
      <c r="F13" s="53">
        <v>3.92</v>
      </c>
      <c r="G13" s="53">
        <v>32</v>
      </c>
      <c r="H13" s="53">
        <v>15.56</v>
      </c>
      <c r="I13" s="53">
        <v>4.7699999999999996</v>
      </c>
      <c r="J13" s="53">
        <v>1.51</v>
      </c>
      <c r="K13" s="53">
        <v>352.66</v>
      </c>
      <c r="L13" s="53">
        <v>22.42</v>
      </c>
      <c r="M13" s="53">
        <v>86.4</v>
      </c>
      <c r="N13" s="53">
        <v>0</v>
      </c>
      <c r="O13" s="53">
        <v>0</v>
      </c>
      <c r="P13" s="53">
        <v>0.61</v>
      </c>
      <c r="Q13" s="53">
        <v>8.14</v>
      </c>
      <c r="R13" s="42"/>
      <c r="S13" s="42"/>
      <c r="T13" s="42"/>
      <c r="U13" s="42"/>
    </row>
    <row r="14" spans="1:21" s="11" customFormat="1">
      <c r="A14" s="52" t="s">
        <v>79</v>
      </c>
      <c r="B14" s="53">
        <v>32.659999999999997</v>
      </c>
      <c r="C14" s="53">
        <v>67.760000000000005</v>
      </c>
      <c r="D14" s="53">
        <v>62.28</v>
      </c>
      <c r="E14" s="53">
        <v>7.46</v>
      </c>
      <c r="F14" s="53">
        <v>3.05</v>
      </c>
      <c r="G14" s="53">
        <v>29.56</v>
      </c>
      <c r="H14" s="53">
        <v>12.56</v>
      </c>
      <c r="I14" s="53">
        <v>4.6399999999999997</v>
      </c>
      <c r="J14" s="53">
        <v>1.52</v>
      </c>
      <c r="K14" s="53">
        <v>104.19</v>
      </c>
      <c r="L14" s="53">
        <v>20.51</v>
      </c>
      <c r="M14" s="53">
        <v>88.19</v>
      </c>
      <c r="N14" s="53">
        <v>0</v>
      </c>
      <c r="O14" s="53">
        <v>0</v>
      </c>
      <c r="P14" s="53">
        <v>0.56000000000000005</v>
      </c>
      <c r="Q14" s="53">
        <v>7.94</v>
      </c>
      <c r="R14" s="42"/>
      <c r="S14" s="42"/>
      <c r="T14" s="42"/>
      <c r="U14" s="42"/>
    </row>
    <row r="15" spans="1:21" s="11" customFormat="1">
      <c r="A15" s="52" t="s">
        <v>80</v>
      </c>
      <c r="B15" s="53">
        <v>28.63</v>
      </c>
      <c r="C15" s="53">
        <v>68.77</v>
      </c>
      <c r="D15" s="53">
        <v>59.63</v>
      </c>
      <c r="E15" s="53">
        <v>7.24</v>
      </c>
      <c r="F15" s="53">
        <v>3.11</v>
      </c>
      <c r="G15" s="53">
        <v>27.17</v>
      </c>
      <c r="H15" s="53">
        <v>9.7799999999999994</v>
      </c>
      <c r="I15" s="53">
        <v>4.12</v>
      </c>
      <c r="J15" s="53">
        <v>0.46</v>
      </c>
      <c r="K15" s="53">
        <v>148.46</v>
      </c>
      <c r="L15" s="53">
        <v>21.63</v>
      </c>
      <c r="M15" s="53">
        <v>86.22</v>
      </c>
      <c r="N15" s="53">
        <v>51.6</v>
      </c>
      <c r="O15" s="53">
        <v>0</v>
      </c>
      <c r="P15" s="53">
        <v>0.53</v>
      </c>
      <c r="Q15" s="53">
        <v>7.67</v>
      </c>
      <c r="R15" s="42"/>
      <c r="S15" s="42"/>
      <c r="T15" s="42"/>
      <c r="U15" s="42"/>
    </row>
    <row r="16" spans="1:21" s="11" customFormat="1">
      <c r="A16" s="52" t="s">
        <v>81</v>
      </c>
      <c r="B16" s="53">
        <v>26.96</v>
      </c>
      <c r="C16" s="53">
        <v>68.5</v>
      </c>
      <c r="D16" s="53">
        <v>58.27</v>
      </c>
      <c r="E16" s="53">
        <v>6.91</v>
      </c>
      <c r="F16" s="53">
        <v>3.1</v>
      </c>
      <c r="G16" s="53">
        <v>22.24</v>
      </c>
      <c r="H16" s="53">
        <v>4.6900000000000004</v>
      </c>
      <c r="I16" s="53">
        <v>3.87</v>
      </c>
      <c r="J16" s="53">
        <v>0.34</v>
      </c>
      <c r="K16" s="53">
        <v>206.62</v>
      </c>
      <c r="L16" s="53">
        <v>23.53</v>
      </c>
      <c r="M16" s="53">
        <v>78.83</v>
      </c>
      <c r="N16" s="53">
        <v>179.4</v>
      </c>
      <c r="O16" s="53">
        <v>0</v>
      </c>
      <c r="P16" s="53">
        <v>0.48</v>
      </c>
      <c r="Q16" s="53">
        <v>7.55</v>
      </c>
      <c r="R16" s="42"/>
      <c r="S16" s="42"/>
      <c r="T16" s="42"/>
      <c r="U16" s="42"/>
    </row>
    <row r="17" spans="1:21" s="11" customFormat="1">
      <c r="A17" s="52" t="s">
        <v>82</v>
      </c>
      <c r="B17" s="53">
        <v>25.38</v>
      </c>
      <c r="C17" s="53">
        <v>69.28</v>
      </c>
      <c r="D17" s="53">
        <v>57.42</v>
      </c>
      <c r="E17" s="53">
        <v>7.05</v>
      </c>
      <c r="F17" s="53">
        <v>3.18</v>
      </c>
      <c r="G17" s="53">
        <v>19.47</v>
      </c>
      <c r="H17" s="53">
        <v>3.71</v>
      </c>
      <c r="I17" s="53">
        <v>3.71</v>
      </c>
      <c r="J17" s="53">
        <v>0.41</v>
      </c>
      <c r="K17" s="53">
        <v>105.87</v>
      </c>
      <c r="L17" s="53">
        <v>26</v>
      </c>
      <c r="M17" s="53">
        <v>72.98</v>
      </c>
      <c r="N17" s="53">
        <v>288.2</v>
      </c>
      <c r="O17" s="53">
        <v>0</v>
      </c>
      <c r="P17" s="53">
        <v>0.46</v>
      </c>
      <c r="Q17" s="53">
        <v>7.44</v>
      </c>
      <c r="R17" s="42"/>
      <c r="S17" s="42"/>
      <c r="T17" s="42"/>
      <c r="U17" s="42"/>
    </row>
    <row r="18" spans="1:21" s="11" customFormat="1">
      <c r="A18" s="52" t="s">
        <v>83</v>
      </c>
      <c r="B18" s="53">
        <v>24.55</v>
      </c>
      <c r="C18" s="53">
        <v>62.39</v>
      </c>
      <c r="D18" s="53">
        <v>52.47</v>
      </c>
      <c r="E18" s="53">
        <v>6.95</v>
      </c>
      <c r="F18" s="53">
        <v>3.94</v>
      </c>
      <c r="G18" s="53">
        <v>14.65</v>
      </c>
      <c r="H18" s="53">
        <v>2.5499999999999998</v>
      </c>
      <c r="I18" s="53">
        <v>3.52</v>
      </c>
      <c r="J18" s="53">
        <v>0.45</v>
      </c>
      <c r="K18" s="53">
        <v>256.08999999999997</v>
      </c>
      <c r="L18" s="53">
        <v>28.06</v>
      </c>
      <c r="M18" s="53">
        <v>64.84</v>
      </c>
      <c r="N18" s="53">
        <v>621.29999999999995</v>
      </c>
      <c r="O18" s="53">
        <v>0</v>
      </c>
      <c r="P18" s="53">
        <v>0.41</v>
      </c>
      <c r="Q18" s="53">
        <v>6.89</v>
      </c>
      <c r="R18" s="42"/>
      <c r="S18" s="42"/>
      <c r="T18" s="42"/>
      <c r="U18" s="42"/>
    </row>
    <row r="19" spans="1:21" s="11" customFormat="1">
      <c r="A19" s="52" t="s">
        <v>84</v>
      </c>
      <c r="B19" s="53">
        <v>22.41</v>
      </c>
      <c r="C19" s="53">
        <v>62.12</v>
      </c>
      <c r="D19" s="53">
        <v>50.95</v>
      </c>
      <c r="E19" s="53">
        <v>7.05</v>
      </c>
      <c r="F19" s="53">
        <v>4.37</v>
      </c>
      <c r="G19" s="53">
        <v>10.24</v>
      </c>
      <c r="H19" s="53">
        <v>16.73</v>
      </c>
      <c r="I19" s="53">
        <v>3.62</v>
      </c>
      <c r="J19" s="53">
        <v>0.68</v>
      </c>
      <c r="K19" s="53">
        <v>298.48</v>
      </c>
      <c r="L19" s="53">
        <v>28.25</v>
      </c>
      <c r="M19" s="53">
        <v>56.96</v>
      </c>
      <c r="N19" s="53">
        <v>595.70000000000005</v>
      </c>
      <c r="O19" s="53">
        <v>0</v>
      </c>
      <c r="P19" s="53">
        <v>0.43</v>
      </c>
      <c r="Q19" s="53">
        <v>6.67</v>
      </c>
      <c r="R19" s="42"/>
      <c r="S19" s="42"/>
      <c r="T19" s="42"/>
      <c r="U19" s="42"/>
    </row>
    <row r="20" spans="1:21" s="11" customFormat="1">
      <c r="A20" s="52" t="s">
        <v>85</v>
      </c>
      <c r="B20" s="53">
        <v>20.51</v>
      </c>
      <c r="C20" s="53">
        <v>63.01</v>
      </c>
      <c r="D20" s="53">
        <v>49.03</v>
      </c>
      <c r="E20" s="53">
        <v>8</v>
      </c>
      <c r="F20" s="53">
        <v>22.61</v>
      </c>
      <c r="G20" s="53">
        <v>12.52</v>
      </c>
      <c r="H20" s="53">
        <v>21.75</v>
      </c>
      <c r="I20" s="53">
        <v>3.69</v>
      </c>
      <c r="J20" s="53">
        <v>0.67</v>
      </c>
      <c r="K20" s="53">
        <v>299.19</v>
      </c>
      <c r="L20" s="53">
        <v>30.65</v>
      </c>
      <c r="M20" s="53">
        <v>49.36</v>
      </c>
      <c r="N20" s="53">
        <v>882.3</v>
      </c>
      <c r="O20" s="53">
        <v>0</v>
      </c>
      <c r="P20" s="53">
        <v>0.44</v>
      </c>
      <c r="Q20" s="53">
        <v>6.66</v>
      </c>
      <c r="R20" s="42"/>
      <c r="S20" s="42"/>
      <c r="T20" s="42"/>
      <c r="U20" s="42"/>
    </row>
    <row r="21" spans="1:21" s="11" customFormat="1">
      <c r="A21" s="52" t="s">
        <v>86</v>
      </c>
      <c r="B21" s="53">
        <v>6.92</v>
      </c>
      <c r="C21" s="53">
        <v>45.39</v>
      </c>
      <c r="D21" s="53">
        <v>28.22</v>
      </c>
      <c r="E21" s="53">
        <v>7.48</v>
      </c>
      <c r="F21" s="53">
        <v>33.56</v>
      </c>
      <c r="G21" s="18" t="s">
        <v>12</v>
      </c>
      <c r="H21" s="18" t="s">
        <v>12</v>
      </c>
      <c r="I21" s="53">
        <v>3.68</v>
      </c>
      <c r="J21" s="53">
        <v>0.82</v>
      </c>
      <c r="K21" s="53">
        <v>335.78</v>
      </c>
      <c r="L21" s="53">
        <v>32.299999999999997</v>
      </c>
      <c r="M21" s="53">
        <v>41.17</v>
      </c>
      <c r="N21" s="53">
        <v>888.2</v>
      </c>
      <c r="O21" s="53">
        <v>0</v>
      </c>
      <c r="P21" s="53">
        <v>0.43</v>
      </c>
      <c r="Q21" s="53">
        <v>5.81</v>
      </c>
      <c r="R21" s="42"/>
      <c r="S21" s="42"/>
      <c r="T21" s="42"/>
      <c r="U21" s="42"/>
    </row>
    <row r="22" spans="1:21" s="11" customFormat="1">
      <c r="A22" s="52" t="s">
        <v>87</v>
      </c>
      <c r="B22" s="53">
        <v>4.03</v>
      </c>
      <c r="C22" s="53">
        <v>35.79</v>
      </c>
      <c r="D22" s="53">
        <v>22.8</v>
      </c>
      <c r="E22" s="53">
        <v>7.31</v>
      </c>
      <c r="F22" s="53">
        <v>34.700000000000003</v>
      </c>
      <c r="G22" s="18" t="s">
        <v>12</v>
      </c>
      <c r="H22" s="18" t="s">
        <v>12</v>
      </c>
      <c r="I22" s="53">
        <v>3.17</v>
      </c>
      <c r="J22" s="53">
        <v>0.57999999999999996</v>
      </c>
      <c r="K22" s="53">
        <v>276.48</v>
      </c>
      <c r="L22" s="53">
        <v>34.19</v>
      </c>
      <c r="M22" s="53">
        <v>32.28</v>
      </c>
      <c r="N22" s="53">
        <v>869.8</v>
      </c>
      <c r="O22" s="53">
        <v>0</v>
      </c>
      <c r="P22" s="53">
        <v>0.41</v>
      </c>
      <c r="Q22" s="53">
        <v>5.15</v>
      </c>
      <c r="R22" s="42"/>
      <c r="S22" s="42"/>
      <c r="T22" s="42"/>
      <c r="U22" s="42"/>
    </row>
    <row r="23" spans="1:21" s="11" customFormat="1">
      <c r="A23" s="52" t="s">
        <v>88</v>
      </c>
      <c r="B23" s="53">
        <v>3.61</v>
      </c>
      <c r="C23" s="53">
        <v>42.36</v>
      </c>
      <c r="D23" s="53">
        <v>25.9</v>
      </c>
      <c r="E23" s="53">
        <v>7.2</v>
      </c>
      <c r="F23" s="53">
        <v>32.1</v>
      </c>
      <c r="G23" s="53">
        <v>17.489999999999998</v>
      </c>
      <c r="H23" s="18" t="s">
        <v>12</v>
      </c>
      <c r="I23" s="53">
        <v>2.71</v>
      </c>
      <c r="J23" s="53">
        <v>1.07</v>
      </c>
      <c r="K23" s="53">
        <v>297.14999999999998</v>
      </c>
      <c r="L23" s="53">
        <v>34.15</v>
      </c>
      <c r="M23" s="53">
        <v>31.52</v>
      </c>
      <c r="N23" s="53">
        <v>776.7</v>
      </c>
      <c r="O23" s="53">
        <v>0</v>
      </c>
      <c r="P23" s="53">
        <v>0.42</v>
      </c>
      <c r="Q23" s="53">
        <v>5.16</v>
      </c>
      <c r="R23" s="42"/>
      <c r="S23" s="42"/>
      <c r="T23" s="42"/>
      <c r="U23" s="42"/>
    </row>
    <row r="24" spans="1:21" s="11" customFormat="1">
      <c r="A24" s="52" t="s">
        <v>89</v>
      </c>
      <c r="B24" s="53">
        <v>4.95</v>
      </c>
      <c r="C24" s="53">
        <v>51.06</v>
      </c>
      <c r="D24" s="53">
        <v>31.52</v>
      </c>
      <c r="E24" s="53">
        <v>6.38</v>
      </c>
      <c r="F24" s="53">
        <v>8.65</v>
      </c>
      <c r="G24" s="53">
        <v>20.05</v>
      </c>
      <c r="H24" s="18" t="s">
        <v>12</v>
      </c>
      <c r="I24" s="53">
        <v>3.27</v>
      </c>
      <c r="J24" s="53">
        <v>0.71</v>
      </c>
      <c r="K24" s="53">
        <v>250.6</v>
      </c>
      <c r="L24" s="53">
        <v>33.880000000000003</v>
      </c>
      <c r="M24" s="53">
        <v>32.69</v>
      </c>
      <c r="N24" s="53">
        <v>572.9</v>
      </c>
      <c r="O24" s="53">
        <v>0</v>
      </c>
      <c r="P24" s="53">
        <v>0.49</v>
      </c>
      <c r="Q24" s="53">
        <v>5.54</v>
      </c>
      <c r="R24" s="42"/>
      <c r="S24" s="42"/>
      <c r="T24" s="42"/>
      <c r="U24" s="42"/>
    </row>
    <row r="25" spans="1:21" s="11" customFormat="1">
      <c r="A25" s="52" t="s">
        <v>90</v>
      </c>
      <c r="B25" s="53">
        <v>5.22</v>
      </c>
      <c r="C25" s="53">
        <v>55.53</v>
      </c>
      <c r="D25" s="53">
        <v>34.07</v>
      </c>
      <c r="E25" s="53">
        <v>6.86</v>
      </c>
      <c r="F25" s="53">
        <v>10.119999999999999</v>
      </c>
      <c r="G25" s="53">
        <v>27.19</v>
      </c>
      <c r="H25" s="18" t="s">
        <v>12</v>
      </c>
      <c r="I25" s="53">
        <v>4.41</v>
      </c>
      <c r="J25" s="53">
        <v>0.57999999999999996</v>
      </c>
      <c r="K25" s="53">
        <v>241.27</v>
      </c>
      <c r="L25" s="53">
        <v>33.380000000000003</v>
      </c>
      <c r="M25" s="53">
        <v>33.5</v>
      </c>
      <c r="N25" s="53">
        <v>344.9</v>
      </c>
      <c r="O25" s="53">
        <v>0</v>
      </c>
      <c r="P25" s="53">
        <v>0.57999999999999996</v>
      </c>
      <c r="Q25" s="53">
        <v>5.71</v>
      </c>
      <c r="R25" s="42"/>
      <c r="S25" s="42"/>
      <c r="T25" s="42"/>
      <c r="U25" s="42"/>
    </row>
    <row r="26" spans="1:21" s="11" customFormat="1">
      <c r="A26" s="52" t="s">
        <v>91</v>
      </c>
      <c r="B26" s="53">
        <v>6.45</v>
      </c>
      <c r="C26" s="53">
        <v>58.22</v>
      </c>
      <c r="D26" s="53">
        <v>36.46</v>
      </c>
      <c r="E26" s="53">
        <v>6.81</v>
      </c>
      <c r="F26" s="53">
        <v>10.73</v>
      </c>
      <c r="G26" s="53">
        <v>29.01</v>
      </c>
      <c r="H26" s="18" t="s">
        <v>12</v>
      </c>
      <c r="I26" s="53">
        <v>5.33</v>
      </c>
      <c r="J26" s="53">
        <v>0.47</v>
      </c>
      <c r="K26" s="53">
        <v>206.92</v>
      </c>
      <c r="L26" s="53">
        <v>31.85</v>
      </c>
      <c r="M26" s="53">
        <v>35.130000000000003</v>
      </c>
      <c r="N26" s="53">
        <v>91.2</v>
      </c>
      <c r="O26" s="53">
        <v>0</v>
      </c>
      <c r="P26" s="53">
        <v>0.57999999999999996</v>
      </c>
      <c r="Q26" s="53">
        <v>5.91</v>
      </c>
      <c r="R26" s="42"/>
      <c r="S26" s="42"/>
      <c r="T26" s="42"/>
      <c r="U26" s="42"/>
    </row>
    <row r="27" spans="1:21" s="11" customFormat="1">
      <c r="A27" s="52" t="s">
        <v>92</v>
      </c>
      <c r="B27" s="53">
        <v>9</v>
      </c>
      <c r="C27" s="53">
        <v>59.59</v>
      </c>
      <c r="D27" s="53">
        <v>38.33</v>
      </c>
      <c r="E27" s="53">
        <v>7.69</v>
      </c>
      <c r="F27" s="53">
        <v>10.24</v>
      </c>
      <c r="G27" s="53">
        <v>29.01</v>
      </c>
      <c r="H27" s="53">
        <v>10.35</v>
      </c>
      <c r="I27" s="53">
        <v>5.19</v>
      </c>
      <c r="J27" s="53">
        <v>0.19</v>
      </c>
      <c r="K27" s="53">
        <v>192.91</v>
      </c>
      <c r="L27" s="53">
        <v>29.91</v>
      </c>
      <c r="M27" s="53">
        <v>46.06</v>
      </c>
      <c r="N27" s="53">
        <v>0</v>
      </c>
      <c r="O27" s="53">
        <v>0</v>
      </c>
      <c r="P27" s="53">
        <v>0.55000000000000004</v>
      </c>
      <c r="Q27" s="53">
        <v>6.06</v>
      </c>
      <c r="R27" s="42"/>
      <c r="S27" s="42"/>
      <c r="T27" s="42"/>
      <c r="U27" s="42"/>
    </row>
    <row r="28" spans="1:21" s="11" customFormat="1">
      <c r="A28" s="52" t="s">
        <v>93</v>
      </c>
      <c r="B28" s="53">
        <v>13.14</v>
      </c>
      <c r="C28" s="53">
        <v>67.900000000000006</v>
      </c>
      <c r="D28" s="53">
        <v>46.88</v>
      </c>
      <c r="E28" s="53">
        <v>7.78</v>
      </c>
      <c r="F28" s="53">
        <v>5.09</v>
      </c>
      <c r="G28" s="53">
        <v>32.65</v>
      </c>
      <c r="H28" s="53">
        <v>22.34</v>
      </c>
      <c r="I28" s="53">
        <v>5.38</v>
      </c>
      <c r="J28" s="53">
        <v>0.22</v>
      </c>
      <c r="K28" s="53">
        <v>162.49</v>
      </c>
      <c r="L28" s="53">
        <v>27.61</v>
      </c>
      <c r="M28" s="53">
        <v>54.81</v>
      </c>
      <c r="N28" s="53">
        <v>0</v>
      </c>
      <c r="O28" s="53">
        <v>0</v>
      </c>
      <c r="P28" s="53">
        <v>0.52</v>
      </c>
      <c r="Q28" s="53">
        <v>6.32</v>
      </c>
      <c r="R28" s="42"/>
      <c r="S28" s="42"/>
      <c r="T28" s="42"/>
      <c r="U28" s="42"/>
    </row>
    <row r="29" spans="1:21" s="11" customFormat="1">
      <c r="A29" s="52" t="s">
        <v>94</v>
      </c>
      <c r="B29" s="53">
        <v>20.85</v>
      </c>
      <c r="C29" s="53">
        <v>67.040000000000006</v>
      </c>
      <c r="D29" s="53">
        <v>51.81</v>
      </c>
      <c r="E29" s="53">
        <v>8.1300000000000008</v>
      </c>
      <c r="F29" s="53">
        <v>4.71</v>
      </c>
      <c r="G29" s="53">
        <v>32.65</v>
      </c>
      <c r="H29" s="53">
        <v>22.34</v>
      </c>
      <c r="I29" s="53">
        <v>5.53</v>
      </c>
      <c r="J29" s="53">
        <v>0.23</v>
      </c>
      <c r="K29" s="53">
        <v>169.23</v>
      </c>
      <c r="L29" s="53">
        <v>26.64</v>
      </c>
      <c r="M29" s="53">
        <v>57.93</v>
      </c>
      <c r="N29" s="53">
        <v>0</v>
      </c>
      <c r="O29" s="53">
        <v>0</v>
      </c>
      <c r="P29" s="53">
        <v>0.55000000000000004</v>
      </c>
      <c r="Q29" s="53">
        <v>6.65</v>
      </c>
      <c r="R29" s="42"/>
      <c r="S29" s="42"/>
      <c r="T29" s="42"/>
      <c r="U29" s="42"/>
    </row>
    <row r="30" spans="1:21" s="11" customFormat="1">
      <c r="A30" s="52" t="s">
        <v>95</v>
      </c>
      <c r="B30" s="53">
        <v>28</v>
      </c>
      <c r="C30" s="53">
        <v>67.08</v>
      </c>
      <c r="D30" s="53">
        <v>58.22</v>
      </c>
      <c r="E30" s="53">
        <v>8.34</v>
      </c>
      <c r="F30" s="53">
        <v>3.77</v>
      </c>
      <c r="G30" s="53">
        <v>40.69</v>
      </c>
      <c r="H30" s="53">
        <v>20.83</v>
      </c>
      <c r="I30" s="53">
        <v>5.87</v>
      </c>
      <c r="J30" s="53">
        <v>0.25</v>
      </c>
      <c r="K30" s="53">
        <v>168.93</v>
      </c>
      <c r="L30" s="53">
        <v>25.67</v>
      </c>
      <c r="M30" s="53">
        <v>61.66</v>
      </c>
      <c r="N30" s="53">
        <v>0</v>
      </c>
      <c r="O30" s="53">
        <v>0</v>
      </c>
      <c r="P30" s="53">
        <v>0.61</v>
      </c>
      <c r="Q30" s="53">
        <v>7.29</v>
      </c>
      <c r="R30" s="42"/>
      <c r="S30" s="42"/>
      <c r="T30" s="42"/>
      <c r="U30" s="42"/>
    </row>
    <row r="31" spans="1:21" s="11" customFormat="1">
      <c r="A31" s="52" t="s">
        <v>96</v>
      </c>
      <c r="B31" s="53">
        <v>38</v>
      </c>
      <c r="C31" s="53">
        <v>68.72</v>
      </c>
      <c r="D31" s="53">
        <v>67.06</v>
      </c>
      <c r="E31" s="53">
        <v>8.41</v>
      </c>
      <c r="F31" s="53">
        <v>3.76</v>
      </c>
      <c r="G31" s="53">
        <v>49.45</v>
      </c>
      <c r="H31" s="53">
        <v>20.83</v>
      </c>
      <c r="I31" s="53">
        <v>6.27</v>
      </c>
      <c r="J31" s="53">
        <v>0.23</v>
      </c>
      <c r="K31" s="53">
        <v>167.66</v>
      </c>
      <c r="L31" s="53">
        <v>25.09</v>
      </c>
      <c r="M31" s="53">
        <v>64.16</v>
      </c>
      <c r="N31" s="53">
        <v>0</v>
      </c>
      <c r="O31" s="53">
        <v>0</v>
      </c>
      <c r="P31" s="53">
        <v>0.67</v>
      </c>
      <c r="Q31" s="53">
        <v>7.8</v>
      </c>
      <c r="R31" s="42"/>
      <c r="S31" s="42"/>
      <c r="T31" s="42"/>
      <c r="U31" s="42"/>
    </row>
    <row r="32" spans="1:21" s="11" customFormat="1">
      <c r="A32" s="52" t="s">
        <v>97</v>
      </c>
      <c r="B32" s="53">
        <v>40</v>
      </c>
      <c r="C32" s="53">
        <v>69.89</v>
      </c>
      <c r="D32" s="53">
        <v>69.430000000000007</v>
      </c>
      <c r="E32" s="53">
        <v>8.1300000000000008</v>
      </c>
      <c r="F32" s="53">
        <v>3.63</v>
      </c>
      <c r="G32" s="53">
        <v>54.59</v>
      </c>
      <c r="H32" s="53">
        <v>28.69</v>
      </c>
      <c r="I32" s="53">
        <v>6.65</v>
      </c>
      <c r="J32" s="53">
        <v>0.24</v>
      </c>
      <c r="K32" s="53">
        <v>189.7</v>
      </c>
      <c r="L32" s="53">
        <v>23.97</v>
      </c>
      <c r="M32" s="53">
        <v>72.97</v>
      </c>
      <c r="N32" s="53">
        <v>0</v>
      </c>
      <c r="O32" s="53">
        <v>0</v>
      </c>
      <c r="P32" s="53">
        <v>0.73</v>
      </c>
      <c r="Q32" s="53">
        <v>8.4</v>
      </c>
      <c r="R32" s="42"/>
      <c r="S32" s="42"/>
      <c r="T32" s="42"/>
      <c r="U32" s="42"/>
    </row>
    <row r="33" spans="1:21" s="21" customFormat="1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>
      <c r="A34" s="27" t="s">
        <v>30</v>
      </c>
      <c r="B34" s="28">
        <f t="shared" ref="B34:Q34" si="0">MIN(B9:B32)</f>
        <v>3.61</v>
      </c>
      <c r="C34" s="28">
        <f t="shared" si="0"/>
        <v>35.79</v>
      </c>
      <c r="D34" s="28">
        <f t="shared" si="0"/>
        <v>22.8</v>
      </c>
      <c r="E34" s="28">
        <f t="shared" si="0"/>
        <v>6.38</v>
      </c>
      <c r="F34" s="28">
        <f t="shared" si="0"/>
        <v>3.01</v>
      </c>
      <c r="G34" s="28">
        <f t="shared" si="0"/>
        <v>10.24</v>
      </c>
      <c r="H34" s="28">
        <f>MIN(H9:H32)</f>
        <v>2.5499999999999998</v>
      </c>
      <c r="I34" s="28">
        <f t="shared" si="0"/>
        <v>2.71</v>
      </c>
      <c r="J34" s="28">
        <f t="shared" si="0"/>
        <v>0.19</v>
      </c>
      <c r="K34" s="28">
        <f t="shared" si="0"/>
        <v>38.020000000000003</v>
      </c>
      <c r="L34" s="28">
        <f t="shared" si="0"/>
        <v>20.51</v>
      </c>
      <c r="M34" s="28">
        <f t="shared" si="0"/>
        <v>31.52</v>
      </c>
      <c r="N34" s="28">
        <f t="shared" si="0"/>
        <v>0</v>
      </c>
      <c r="O34" s="28">
        <f t="shared" si="0"/>
        <v>0</v>
      </c>
      <c r="P34" s="28">
        <f t="shared" si="0"/>
        <v>0.41</v>
      </c>
      <c r="Q34" s="28">
        <f t="shared" si="0"/>
        <v>5.15</v>
      </c>
      <c r="R34" s="28"/>
      <c r="S34" s="28"/>
      <c r="T34" s="28"/>
      <c r="U34" s="28"/>
    </row>
    <row r="35" spans="1:21" s="21" customFormat="1">
      <c r="A35" s="27" t="s">
        <v>31</v>
      </c>
      <c r="B35" s="29">
        <f t="shared" ref="B35:Q35" si="1">MAX(B9:B32)</f>
        <v>40.42</v>
      </c>
      <c r="C35" s="29">
        <f t="shared" si="1"/>
        <v>69.89</v>
      </c>
      <c r="D35" s="29">
        <f t="shared" si="1"/>
        <v>69.430000000000007</v>
      </c>
      <c r="E35" s="29">
        <f t="shared" si="1"/>
        <v>8.7200000000000006</v>
      </c>
      <c r="F35" s="29">
        <f t="shared" si="1"/>
        <v>34.700000000000003</v>
      </c>
      <c r="G35" s="29">
        <f>MAX(G9:G32)</f>
        <v>54.59</v>
      </c>
      <c r="H35" s="29">
        <f>MAX(H9:H32)</f>
        <v>28.69</v>
      </c>
      <c r="I35" s="29">
        <f t="shared" si="1"/>
        <v>6.65</v>
      </c>
      <c r="J35" s="29">
        <f t="shared" si="1"/>
        <v>1.52</v>
      </c>
      <c r="K35" s="29">
        <f t="shared" si="1"/>
        <v>352.66</v>
      </c>
      <c r="L35" s="29">
        <f t="shared" si="1"/>
        <v>34.19</v>
      </c>
      <c r="M35" s="29">
        <f t="shared" si="1"/>
        <v>88.19</v>
      </c>
      <c r="N35" s="29">
        <f t="shared" si="1"/>
        <v>888.2</v>
      </c>
      <c r="O35" s="29">
        <f t="shared" si="1"/>
        <v>0</v>
      </c>
      <c r="P35" s="29">
        <f t="shared" si="1"/>
        <v>0.73</v>
      </c>
      <c r="Q35" s="29">
        <f t="shared" si="1"/>
        <v>8.4</v>
      </c>
      <c r="R35" s="29"/>
      <c r="S35" s="29"/>
      <c r="T35" s="29"/>
      <c r="U35" s="29"/>
    </row>
    <row r="36" spans="1:21" s="21" customFormat="1">
      <c r="A36" s="27" t="s">
        <v>32</v>
      </c>
      <c r="B36" s="28">
        <f t="shared" ref="B36:Q36" si="2">AVERAGE(B9:B32)</f>
        <v>22.735000000000003</v>
      </c>
      <c r="C36" s="28">
        <f t="shared" si="2"/>
        <v>62.022500000000001</v>
      </c>
      <c r="D36" s="28">
        <f t="shared" si="2"/>
        <v>51.065000000000005</v>
      </c>
      <c r="E36" s="28">
        <f t="shared" si="2"/>
        <v>7.5879166666666658</v>
      </c>
      <c r="F36" s="28">
        <f t="shared" si="2"/>
        <v>9.1958333333333346</v>
      </c>
      <c r="G36" s="28">
        <f t="shared" si="2"/>
        <v>28.163636363636364</v>
      </c>
      <c r="H36" s="28">
        <f>AVERAGE(H9:H32)</f>
        <v>13.995555555555553</v>
      </c>
      <c r="I36" s="28">
        <f t="shared" si="2"/>
        <v>4.53125</v>
      </c>
      <c r="J36" s="28">
        <f t="shared" si="2"/>
        <v>0.59708333333333352</v>
      </c>
      <c r="K36" s="28">
        <f t="shared" si="2"/>
        <v>207.33624999999995</v>
      </c>
      <c r="L36" s="28">
        <f t="shared" si="2"/>
        <v>27.126249999999999</v>
      </c>
      <c r="M36" s="28">
        <f t="shared" si="2"/>
        <v>61.463750000000012</v>
      </c>
      <c r="N36" s="28">
        <f t="shared" si="2"/>
        <v>256.75833333333327</v>
      </c>
      <c r="O36" s="28">
        <f t="shared" si="2"/>
        <v>0</v>
      </c>
      <c r="P36" s="28">
        <f t="shared" si="2"/>
        <v>0.53833333333333344</v>
      </c>
      <c r="Q36" s="28">
        <f t="shared" si="2"/>
        <v>6.8912500000000003</v>
      </c>
      <c r="R36" s="28"/>
      <c r="S36" s="28"/>
      <c r="T36" s="28"/>
      <c r="U36" s="28"/>
    </row>
    <row r="37" spans="1:21" s="21" customFormat="1">
      <c r="A37" s="27" t="s">
        <v>38</v>
      </c>
      <c r="B37" s="28">
        <f>STDEV(B9:B32)</f>
        <v>13.07107493666836</v>
      </c>
      <c r="C37" s="28">
        <f t="shared" ref="C37:Q37" si="3">STDEV(C9:C32)</f>
        <v>9.468570550028641</v>
      </c>
      <c r="D37" s="28">
        <f t="shared" si="3"/>
        <v>14.693041535543838</v>
      </c>
      <c r="E37" s="28">
        <f t="shared" si="3"/>
        <v>0.62500768111222704</v>
      </c>
      <c r="F37" s="28">
        <f t="shared" si="3"/>
        <v>10.334008825513802</v>
      </c>
      <c r="G37" s="28">
        <f t="shared" si="3"/>
        <v>10.760720698759441</v>
      </c>
      <c r="H37" s="28">
        <f>STDEV(H9:H32)</f>
        <v>7.6344900228172934</v>
      </c>
      <c r="I37" s="28">
        <f t="shared" si="3"/>
        <v>1.019152727813009</v>
      </c>
      <c r="J37" s="28">
        <f t="shared" si="3"/>
        <v>0.39654463169678117</v>
      </c>
      <c r="K37" s="28">
        <f t="shared" si="3"/>
        <v>83.818331284028446</v>
      </c>
      <c r="L37" s="28">
        <f t="shared" si="3"/>
        <v>4.4571864907184793</v>
      </c>
      <c r="M37" s="28">
        <f t="shared" si="3"/>
        <v>19.944855893950031</v>
      </c>
      <c r="N37" s="28">
        <f t="shared" si="3"/>
        <v>340.02796933125416</v>
      </c>
      <c r="O37" s="28">
        <f t="shared" si="3"/>
        <v>0</v>
      </c>
      <c r="P37" s="28">
        <f t="shared" si="3"/>
        <v>8.9572252432307348E-2</v>
      </c>
      <c r="Q37" s="28">
        <f t="shared" si="3"/>
        <v>0.98637814646619115</v>
      </c>
      <c r="R37" s="28"/>
      <c r="S37" s="28"/>
      <c r="T37" s="28"/>
      <c r="U37" s="28"/>
    </row>
    <row r="38" spans="1:21" s="21" customFormat="1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>COUNT(F9:F32)</f>
        <v>24</v>
      </c>
      <c r="G38" s="32">
        <v>24</v>
      </c>
      <c r="H38" s="32"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>
      <c r="A42" s="13"/>
    </row>
    <row r="43" spans="1:21" s="21" customFormat="1">
      <c r="A43" s="14" t="s">
        <v>35</v>
      </c>
      <c r="B43" s="39" t="s">
        <v>58</v>
      </c>
      <c r="C43" s="41"/>
    </row>
    <row r="44" spans="1:21" s="21" customFormat="1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0"/>
      <c r="C45" s="40"/>
      <c r="D45" s="40"/>
      <c r="E45" s="40"/>
      <c r="F45" s="40"/>
      <c r="G45" s="40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</row>
    <row r="46" spans="1:21" s="21" customFormat="1"/>
    <row r="47" spans="1:21" s="21" customFormat="1"/>
    <row r="48" spans="1:21" s="21" customFormat="1"/>
    <row r="49" s="21" customFormat="1"/>
    <row r="50" s="21" customFormat="1"/>
    <row r="51" s="21" customFormat="1"/>
    <row r="52" s="21" customFormat="1"/>
    <row r="53" s="21" customFormat="1"/>
    <row r="54" s="21" customFormat="1"/>
    <row r="55" s="21" customFormat="1"/>
    <row r="56" s="21" customFormat="1"/>
    <row r="57" s="21" customFormat="1"/>
    <row r="58" s="21" customFormat="1"/>
    <row r="59" s="21" customFormat="1"/>
    <row r="60" s="21" customFormat="1"/>
    <row r="61" s="21" customFormat="1"/>
    <row r="62" s="21" customFormat="1"/>
    <row r="63" s="21" customFormat="1"/>
    <row r="64" s="21" customFormat="1"/>
    <row r="65" s="21" customFormat="1"/>
    <row r="66" s="21" customFormat="1"/>
    <row r="67" s="21" customFormat="1"/>
    <row r="68" s="21" customFormat="1"/>
    <row r="69" s="21" customFormat="1"/>
    <row r="70" s="21" customFormat="1"/>
    <row r="71" s="21" customFormat="1"/>
    <row r="72" s="21" customFormat="1"/>
    <row r="73" s="21" customFormat="1"/>
    <row r="74" s="21" customFormat="1"/>
    <row r="75" s="21" customFormat="1"/>
    <row r="76" s="21" customFormat="1"/>
    <row r="77" s="21" customFormat="1"/>
    <row r="78" s="21" customFormat="1"/>
    <row r="79" s="21" customFormat="1"/>
    <row r="80" s="21" customFormat="1"/>
    <row r="81" s="21" customFormat="1"/>
    <row r="82" s="21" customFormat="1"/>
    <row r="83" s="21" customFormat="1"/>
    <row r="84" s="21" customFormat="1"/>
    <row r="85" s="21" customFormat="1"/>
    <row r="86" s="21" customFormat="1"/>
    <row r="87" s="21" customFormat="1"/>
    <row r="88" s="21" customFormat="1"/>
    <row r="89" s="21" customFormat="1"/>
    <row r="90" s="21" customFormat="1"/>
    <row r="91" s="21" customFormat="1"/>
    <row r="92" s="21" customFormat="1"/>
    <row r="93" s="21" customFormat="1"/>
    <row r="94" s="21" customFormat="1"/>
    <row r="95" s="21" customFormat="1"/>
    <row r="96" s="21" customFormat="1"/>
    <row r="97" spans="1:1" s="21" customFormat="1"/>
    <row r="98" spans="1:1" s="21" customFormat="1"/>
    <row r="99" spans="1:1" s="21" customFormat="1"/>
    <row r="100" spans="1:1" s="21" customFormat="1"/>
    <row r="101" spans="1:1" s="21" customFormat="1"/>
    <row r="102" spans="1:1" s="21" customFormat="1"/>
    <row r="103" spans="1:1" s="21" customFormat="1"/>
    <row r="104" spans="1:1" s="21" customFormat="1"/>
    <row r="105" spans="1:1" s="21" customFormat="1"/>
    <row r="106" spans="1:1">
      <c r="A106" s="20"/>
    </row>
    <row r="107" spans="1:1" s="21" customFormat="1"/>
    <row r="108" spans="1:1" s="21" customFormat="1"/>
    <row r="109" spans="1:1" s="21" customFormat="1"/>
    <row r="110" spans="1:1" s="21" customFormat="1"/>
    <row r="111" spans="1:1" s="21" customFormat="1"/>
    <row r="112" spans="1:1" s="21" customFormat="1"/>
    <row r="113" spans="1:1" s="21" customFormat="1"/>
    <row r="114" spans="1:1" s="21" customFormat="1"/>
    <row r="115" spans="1:1" s="21" customFormat="1"/>
    <row r="116" spans="1:1" s="21" customFormat="1"/>
    <row r="117" spans="1:1" s="21" customFormat="1"/>
    <row r="118" spans="1:1">
      <c r="A118" s="20"/>
    </row>
    <row r="119" spans="1:1">
      <c r="A119" s="20"/>
    </row>
  </sheetData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2" ySplit="8" topLeftCell="C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B2" sqref="B2"/>
    </sheetView>
  </sheetViews>
  <sheetFormatPr defaultColWidth="8.85546875" defaultRowHeight="15"/>
  <cols>
    <col min="1" max="1" width="18.28515625" style="26" customWidth="1"/>
    <col min="2" max="2" width="13.85546875" style="20" customWidth="1"/>
    <col min="3" max="3" width="11" style="20" customWidth="1"/>
    <col min="4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>
      <c r="A1" s="14" t="s">
        <v>2</v>
      </c>
      <c r="B1" s="23" t="s">
        <v>55</v>
      </c>
      <c r="C1" s="36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>
      <c r="A2" s="14" t="s">
        <v>0</v>
      </c>
      <c r="B2" s="37" t="str">
        <f>$A$9</f>
        <v>02/04/2023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8" t="s">
        <v>7</v>
      </c>
      <c r="Q2" s="12"/>
      <c r="R2" s="8" t="s">
        <v>8</v>
      </c>
      <c r="S2" s="11"/>
      <c r="T2" s="11"/>
      <c r="U2" s="11"/>
    </row>
    <row r="3" spans="1:21" s="21" customFormat="1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8" t="s">
        <v>15</v>
      </c>
      <c r="Q3" s="12"/>
      <c r="R3" s="9" t="s">
        <v>15</v>
      </c>
      <c r="S3" s="11"/>
      <c r="T3" s="11"/>
      <c r="U3" s="11"/>
    </row>
    <row r="4" spans="1:21" s="21" customFormat="1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>
      <c r="A7" s="25" t="s">
        <v>21</v>
      </c>
      <c r="B7" s="48" t="s">
        <v>40</v>
      </c>
      <c r="C7" s="49" t="s">
        <v>41</v>
      </c>
      <c r="D7" s="49" t="s">
        <v>42</v>
      </c>
      <c r="E7" s="49" t="s">
        <v>43</v>
      </c>
      <c r="F7" s="49" t="s">
        <v>44</v>
      </c>
      <c r="G7" s="49" t="s">
        <v>45</v>
      </c>
      <c r="H7" s="49" t="s">
        <v>56</v>
      </c>
      <c r="I7" s="49" t="s">
        <v>46</v>
      </c>
      <c r="J7" s="49" t="s">
        <v>47</v>
      </c>
      <c r="K7" s="49" t="s">
        <v>48</v>
      </c>
      <c r="L7" s="49" t="s">
        <v>49</v>
      </c>
      <c r="M7" s="49" t="s">
        <v>50</v>
      </c>
      <c r="N7" s="49" t="s">
        <v>51</v>
      </c>
      <c r="O7" s="49" t="s">
        <v>52</v>
      </c>
      <c r="P7" s="49" t="s">
        <v>53</v>
      </c>
      <c r="Q7" s="49" t="s">
        <v>54</v>
      </c>
      <c r="R7" s="27"/>
      <c r="S7" s="29"/>
      <c r="T7" s="27"/>
      <c r="U7" s="27"/>
    </row>
    <row r="8" spans="1:21" s="21" customFormat="1">
      <c r="A8" s="25"/>
      <c r="B8" s="50" t="s">
        <v>22</v>
      </c>
      <c r="C8" s="50" t="s">
        <v>22</v>
      </c>
      <c r="D8" s="50" t="s">
        <v>22</v>
      </c>
      <c r="E8" s="50" t="s">
        <v>22</v>
      </c>
      <c r="F8" s="50" t="s">
        <v>22</v>
      </c>
      <c r="G8" s="50" t="s">
        <v>23</v>
      </c>
      <c r="H8" s="50" t="s">
        <v>22</v>
      </c>
      <c r="I8" s="50" t="s">
        <v>22</v>
      </c>
      <c r="J8" s="50" t="s">
        <v>24</v>
      </c>
      <c r="K8" s="50" t="s">
        <v>25</v>
      </c>
      <c r="L8" s="25" t="s">
        <v>27</v>
      </c>
      <c r="M8" s="50" t="s">
        <v>26</v>
      </c>
      <c r="N8" s="50" t="s">
        <v>28</v>
      </c>
      <c r="O8" s="25" t="s">
        <v>29</v>
      </c>
      <c r="P8" s="50" t="s">
        <v>22</v>
      </c>
      <c r="Q8" s="50" t="s">
        <v>22</v>
      </c>
      <c r="R8" s="27"/>
      <c r="S8" s="29"/>
      <c r="T8" s="27"/>
      <c r="U8" s="27"/>
    </row>
    <row r="9" spans="1:21" s="11" customFormat="1">
      <c r="A9" s="52" t="s">
        <v>98</v>
      </c>
      <c r="B9" s="53">
        <v>39.450000000000003</v>
      </c>
      <c r="C9" s="53">
        <v>70.25</v>
      </c>
      <c r="D9" s="53">
        <v>69.03</v>
      </c>
      <c r="E9" s="53">
        <v>8.1199999999999992</v>
      </c>
      <c r="F9" s="53">
        <v>3.76</v>
      </c>
      <c r="G9" s="53">
        <v>54.59</v>
      </c>
      <c r="H9" s="53">
        <v>28.69</v>
      </c>
      <c r="I9" s="53">
        <v>6.88</v>
      </c>
      <c r="J9" s="53">
        <v>0.3</v>
      </c>
      <c r="K9" s="53">
        <v>206.64</v>
      </c>
      <c r="L9" s="53">
        <v>23.38</v>
      </c>
      <c r="M9" s="53">
        <v>73.099999999999994</v>
      </c>
      <c r="N9" s="53">
        <v>0</v>
      </c>
      <c r="O9" s="53">
        <v>0</v>
      </c>
      <c r="P9" s="53">
        <v>0.74</v>
      </c>
      <c r="Q9" s="53">
        <v>8.35</v>
      </c>
      <c r="R9" s="42"/>
      <c r="S9" s="42"/>
      <c r="T9" s="42"/>
      <c r="U9" s="42"/>
    </row>
    <row r="10" spans="1:21" s="11" customFormat="1">
      <c r="A10" s="52" t="s">
        <v>99</v>
      </c>
      <c r="B10" s="53">
        <v>42.96</v>
      </c>
      <c r="C10" s="53">
        <v>68.239999999999995</v>
      </c>
      <c r="D10" s="53">
        <v>70.83</v>
      </c>
      <c r="E10" s="53">
        <v>7.82</v>
      </c>
      <c r="F10" s="53">
        <v>3.73</v>
      </c>
      <c r="G10" s="53">
        <v>53.98</v>
      </c>
      <c r="H10" s="53">
        <v>18.82</v>
      </c>
      <c r="I10" s="53">
        <v>7.03</v>
      </c>
      <c r="J10" s="53">
        <v>0.23</v>
      </c>
      <c r="K10" s="53">
        <v>168.29</v>
      </c>
      <c r="L10" s="53">
        <v>23.03</v>
      </c>
      <c r="M10" s="53">
        <v>74.989999999999995</v>
      </c>
      <c r="N10" s="53">
        <v>0</v>
      </c>
      <c r="O10" s="53">
        <v>0</v>
      </c>
      <c r="P10" s="53">
        <v>0.74</v>
      </c>
      <c r="Q10" s="53">
        <v>8.49</v>
      </c>
      <c r="R10" s="42"/>
      <c r="S10" s="42"/>
      <c r="T10" s="42"/>
      <c r="U10" s="42"/>
    </row>
    <row r="11" spans="1:21" s="11" customFormat="1">
      <c r="A11" s="52" t="s">
        <v>100</v>
      </c>
      <c r="B11" s="53">
        <v>46.13</v>
      </c>
      <c r="C11" s="53">
        <v>68.67</v>
      </c>
      <c r="D11" s="53">
        <v>73.75</v>
      </c>
      <c r="E11" s="53">
        <v>8.35</v>
      </c>
      <c r="F11" s="53">
        <v>3.8</v>
      </c>
      <c r="G11" s="53">
        <v>48.25</v>
      </c>
      <c r="H11" s="53">
        <v>18.149999999999999</v>
      </c>
      <c r="I11" s="53">
        <v>7.07</v>
      </c>
      <c r="J11" s="53">
        <v>0.28000000000000003</v>
      </c>
      <c r="K11" s="53">
        <v>211.01</v>
      </c>
      <c r="L11" s="53">
        <v>22.56</v>
      </c>
      <c r="M11" s="53">
        <v>78.69</v>
      </c>
      <c r="N11" s="53">
        <v>0</v>
      </c>
      <c r="O11" s="53">
        <v>0</v>
      </c>
      <c r="P11" s="53">
        <v>0.73</v>
      </c>
      <c r="Q11" s="53">
        <v>8.75</v>
      </c>
      <c r="R11" s="42"/>
      <c r="S11" s="42"/>
      <c r="T11" s="42"/>
      <c r="U11" s="42"/>
    </row>
    <row r="12" spans="1:21" s="11" customFormat="1">
      <c r="A12" s="52" t="s">
        <v>101</v>
      </c>
      <c r="B12" s="53">
        <v>45.41</v>
      </c>
      <c r="C12" s="53">
        <v>67.760000000000005</v>
      </c>
      <c r="D12" s="53">
        <v>72.680000000000007</v>
      </c>
      <c r="E12" s="53">
        <v>8.3800000000000008</v>
      </c>
      <c r="F12" s="53">
        <v>3.74</v>
      </c>
      <c r="G12" s="53">
        <v>48.03</v>
      </c>
      <c r="H12" s="53">
        <v>18.149999999999999</v>
      </c>
      <c r="I12" s="53">
        <v>7.04</v>
      </c>
      <c r="J12" s="53">
        <v>0.22</v>
      </c>
      <c r="K12" s="53">
        <v>186.38</v>
      </c>
      <c r="L12" s="53">
        <v>21.92</v>
      </c>
      <c r="M12" s="53">
        <v>80.010000000000005</v>
      </c>
      <c r="N12" s="53">
        <v>0</v>
      </c>
      <c r="O12" s="53">
        <v>0</v>
      </c>
      <c r="P12" s="53">
        <v>0.72</v>
      </c>
      <c r="Q12" s="53">
        <v>8.6999999999999993</v>
      </c>
      <c r="R12" s="42"/>
      <c r="S12" s="42"/>
      <c r="T12" s="42"/>
      <c r="U12" s="42"/>
    </row>
    <row r="13" spans="1:21" s="11" customFormat="1">
      <c r="A13" s="52" t="s">
        <v>102</v>
      </c>
      <c r="B13" s="53">
        <v>42.98</v>
      </c>
      <c r="C13" s="53">
        <v>66</v>
      </c>
      <c r="D13" s="53">
        <v>69.83</v>
      </c>
      <c r="E13" s="53">
        <v>8.11</v>
      </c>
      <c r="F13" s="53">
        <v>3.97</v>
      </c>
      <c r="G13" s="53">
        <v>44.15</v>
      </c>
      <c r="H13" s="53">
        <v>20.420000000000002</v>
      </c>
      <c r="I13" s="53">
        <v>6.94</v>
      </c>
      <c r="J13" s="53">
        <v>0.24</v>
      </c>
      <c r="K13" s="53">
        <v>163.71</v>
      </c>
      <c r="L13" s="53">
        <v>21.61</v>
      </c>
      <c r="M13" s="53">
        <v>82.71</v>
      </c>
      <c r="N13" s="53">
        <v>0</v>
      </c>
      <c r="O13" s="53">
        <v>0</v>
      </c>
      <c r="P13" s="53">
        <v>0.7</v>
      </c>
      <c r="Q13" s="53">
        <v>8.5299999999999994</v>
      </c>
      <c r="R13" s="42"/>
      <c r="S13" s="42"/>
      <c r="T13" s="42"/>
      <c r="U13" s="42"/>
    </row>
    <row r="14" spans="1:21" s="11" customFormat="1">
      <c r="A14" s="52" t="s">
        <v>103</v>
      </c>
      <c r="B14" s="53">
        <v>43.83</v>
      </c>
      <c r="C14" s="53">
        <v>63.28</v>
      </c>
      <c r="D14" s="53">
        <v>69.09</v>
      </c>
      <c r="E14" s="53">
        <v>8.7899999999999991</v>
      </c>
      <c r="F14" s="53">
        <v>3.68</v>
      </c>
      <c r="G14" s="53">
        <v>44.15</v>
      </c>
      <c r="H14" s="53">
        <v>20.420000000000002</v>
      </c>
      <c r="I14" s="53">
        <v>6.69</v>
      </c>
      <c r="J14" s="53">
        <v>0.25</v>
      </c>
      <c r="K14" s="53">
        <v>144.04</v>
      </c>
      <c r="L14" s="53">
        <v>21.32</v>
      </c>
      <c r="M14" s="53">
        <v>84.25</v>
      </c>
      <c r="N14" s="53">
        <v>0</v>
      </c>
      <c r="O14" s="53">
        <v>0</v>
      </c>
      <c r="P14" s="53">
        <v>0.65</v>
      </c>
      <c r="Q14" s="53">
        <v>8.17</v>
      </c>
      <c r="R14" s="42"/>
      <c r="S14" s="42"/>
      <c r="T14" s="42"/>
      <c r="U14" s="42"/>
    </row>
    <row r="15" spans="1:21" s="11" customFormat="1">
      <c r="A15" s="52" t="s">
        <v>104</v>
      </c>
      <c r="B15" s="53">
        <v>54.04</v>
      </c>
      <c r="C15" s="53">
        <v>65.11</v>
      </c>
      <c r="D15" s="53">
        <v>78.23</v>
      </c>
      <c r="E15" s="53">
        <v>8.81</v>
      </c>
      <c r="F15" s="53">
        <v>3.87</v>
      </c>
      <c r="G15" s="53">
        <v>48.66</v>
      </c>
      <c r="H15" s="53">
        <v>23.52</v>
      </c>
      <c r="I15" s="53">
        <v>6.91</v>
      </c>
      <c r="J15" s="53">
        <v>0.53</v>
      </c>
      <c r="K15" s="53">
        <v>154.63999999999999</v>
      </c>
      <c r="L15" s="53">
        <v>23.03</v>
      </c>
      <c r="M15" s="53">
        <v>76.55</v>
      </c>
      <c r="N15" s="53">
        <v>40.799999999999997</v>
      </c>
      <c r="O15" s="53">
        <v>0</v>
      </c>
      <c r="P15" s="53">
        <v>0.7</v>
      </c>
      <c r="Q15" s="53">
        <v>8.82</v>
      </c>
      <c r="R15" s="42"/>
      <c r="S15" s="42"/>
      <c r="T15" s="42"/>
      <c r="U15" s="42"/>
    </row>
    <row r="16" spans="1:21" s="11" customFormat="1">
      <c r="A16" s="52" t="s">
        <v>105</v>
      </c>
      <c r="B16" s="53">
        <v>54.57</v>
      </c>
      <c r="C16" s="53">
        <v>65.55</v>
      </c>
      <c r="D16" s="53">
        <v>77.98</v>
      </c>
      <c r="E16" s="53">
        <v>8.75</v>
      </c>
      <c r="F16" s="53">
        <v>3.83</v>
      </c>
      <c r="G16" s="53">
        <v>58.16</v>
      </c>
      <c r="H16" s="53">
        <v>31.71</v>
      </c>
      <c r="I16" s="53">
        <v>8.14</v>
      </c>
      <c r="J16" s="53">
        <v>0.36</v>
      </c>
      <c r="K16" s="53">
        <v>149.19</v>
      </c>
      <c r="L16" s="53">
        <v>26.32</v>
      </c>
      <c r="M16" s="53">
        <v>76.5</v>
      </c>
      <c r="N16" s="53">
        <v>239.9</v>
      </c>
      <c r="O16" s="53">
        <v>0</v>
      </c>
      <c r="P16" s="53">
        <v>0.75</v>
      </c>
      <c r="Q16" s="53">
        <v>8.8800000000000008</v>
      </c>
      <c r="R16" s="42"/>
      <c r="S16" s="42"/>
      <c r="T16" s="42"/>
      <c r="U16" s="42"/>
    </row>
    <row r="17" spans="1:21" s="11" customFormat="1">
      <c r="A17" s="52" t="s">
        <v>106</v>
      </c>
      <c r="B17" s="53">
        <v>52.21</v>
      </c>
      <c r="C17" s="53">
        <v>66.48</v>
      </c>
      <c r="D17" s="53">
        <v>76.540000000000006</v>
      </c>
      <c r="E17" s="53">
        <v>9.1300000000000008</v>
      </c>
      <c r="F17" s="53">
        <v>4.21</v>
      </c>
      <c r="G17" s="53">
        <v>78.08</v>
      </c>
      <c r="H17" s="53">
        <v>31.71</v>
      </c>
      <c r="I17" s="53">
        <v>8.66</v>
      </c>
      <c r="J17" s="53">
        <v>0.44</v>
      </c>
      <c r="K17" s="53">
        <v>249.75</v>
      </c>
      <c r="L17" s="53">
        <v>29.15</v>
      </c>
      <c r="M17" s="53">
        <v>52.72</v>
      </c>
      <c r="N17" s="53">
        <v>264.2</v>
      </c>
      <c r="O17" s="53">
        <v>0</v>
      </c>
      <c r="P17" s="53">
        <v>0.75</v>
      </c>
      <c r="Q17" s="53">
        <v>8.81</v>
      </c>
      <c r="R17" s="42"/>
      <c r="S17" s="42"/>
      <c r="T17" s="42"/>
      <c r="U17" s="42"/>
    </row>
    <row r="18" spans="1:21" s="11" customFormat="1">
      <c r="A18" s="52" t="s">
        <v>107</v>
      </c>
      <c r="B18" s="53">
        <v>45.19</v>
      </c>
      <c r="C18" s="53">
        <v>63.04</v>
      </c>
      <c r="D18" s="53">
        <v>67.95</v>
      </c>
      <c r="E18" s="53">
        <v>9.06</v>
      </c>
      <c r="F18" s="53">
        <v>5.63</v>
      </c>
      <c r="G18" s="53">
        <v>78.08</v>
      </c>
      <c r="H18" s="53">
        <v>31.64</v>
      </c>
      <c r="I18" s="53">
        <v>8.67</v>
      </c>
      <c r="J18" s="53">
        <v>0.73</v>
      </c>
      <c r="K18" s="53">
        <v>263.48</v>
      </c>
      <c r="L18" s="53">
        <v>31.58</v>
      </c>
      <c r="M18" s="53">
        <v>38.32</v>
      </c>
      <c r="N18" s="53">
        <v>605.70000000000005</v>
      </c>
      <c r="O18" s="53">
        <v>0</v>
      </c>
      <c r="P18" s="53">
        <v>0.73</v>
      </c>
      <c r="Q18" s="53">
        <v>8.41</v>
      </c>
      <c r="R18" s="42"/>
      <c r="S18" s="42"/>
      <c r="T18" s="42"/>
      <c r="U18" s="42"/>
    </row>
    <row r="19" spans="1:21" s="11" customFormat="1">
      <c r="A19" s="52" t="s">
        <v>108</v>
      </c>
      <c r="B19" s="53">
        <v>30.97</v>
      </c>
      <c r="C19" s="53">
        <v>64.290000000000006</v>
      </c>
      <c r="D19" s="53">
        <v>58.74</v>
      </c>
      <c r="E19" s="53">
        <v>10.25</v>
      </c>
      <c r="F19" s="53">
        <v>7.33</v>
      </c>
      <c r="G19" s="53">
        <v>55.86</v>
      </c>
      <c r="H19" s="53">
        <v>28.76</v>
      </c>
      <c r="I19" s="53">
        <v>8.1199999999999992</v>
      </c>
      <c r="J19" s="53">
        <v>0.76</v>
      </c>
      <c r="K19" s="53">
        <v>270.89</v>
      </c>
      <c r="L19" s="53">
        <v>33.44</v>
      </c>
      <c r="M19" s="53">
        <v>34.950000000000003</v>
      </c>
      <c r="N19" s="53">
        <v>801</v>
      </c>
      <c r="O19" s="53">
        <v>0</v>
      </c>
      <c r="P19" s="53">
        <v>0.7</v>
      </c>
      <c r="Q19" s="53">
        <v>7.78</v>
      </c>
      <c r="R19" s="42"/>
      <c r="S19" s="42"/>
      <c r="T19" s="42"/>
      <c r="U19" s="42"/>
    </row>
    <row r="20" spans="1:21" s="11" customFormat="1">
      <c r="A20" s="52" t="s">
        <v>109</v>
      </c>
      <c r="B20" s="53">
        <v>19.47</v>
      </c>
      <c r="C20" s="53">
        <v>66.45</v>
      </c>
      <c r="D20" s="53">
        <v>50.84</v>
      </c>
      <c r="E20" s="53">
        <v>9.64</v>
      </c>
      <c r="F20" s="53">
        <v>9.98</v>
      </c>
      <c r="G20" s="53">
        <v>47.68</v>
      </c>
      <c r="H20" s="53">
        <v>25.82</v>
      </c>
      <c r="I20" s="53">
        <v>7.59</v>
      </c>
      <c r="J20" s="53">
        <v>1.02</v>
      </c>
      <c r="K20" s="53">
        <v>287.27</v>
      </c>
      <c r="L20" s="53">
        <v>34.08</v>
      </c>
      <c r="M20" s="53">
        <v>25.5</v>
      </c>
      <c r="N20" s="53">
        <v>854.5</v>
      </c>
      <c r="O20" s="53">
        <v>0</v>
      </c>
      <c r="P20" s="53">
        <v>0.64</v>
      </c>
      <c r="Q20" s="53">
        <v>7.23</v>
      </c>
      <c r="R20" s="42"/>
      <c r="S20" s="42"/>
      <c r="T20" s="42"/>
      <c r="U20" s="42"/>
    </row>
    <row r="21" spans="1:21" s="11" customFormat="1">
      <c r="A21" s="52" t="s">
        <v>110</v>
      </c>
      <c r="B21" s="53">
        <v>11.99</v>
      </c>
      <c r="C21" s="53">
        <v>63.64</v>
      </c>
      <c r="D21" s="53">
        <v>43.74</v>
      </c>
      <c r="E21" s="53">
        <v>9.4600000000000009</v>
      </c>
      <c r="F21" s="53">
        <v>12.55</v>
      </c>
      <c r="G21" s="53">
        <v>40.159999999999997</v>
      </c>
      <c r="H21" s="53">
        <v>17.510000000000002</v>
      </c>
      <c r="I21" s="53">
        <v>6.83</v>
      </c>
      <c r="J21" s="53">
        <v>1.18</v>
      </c>
      <c r="K21" s="53">
        <v>304</v>
      </c>
      <c r="L21" s="53">
        <v>34.549999999999997</v>
      </c>
      <c r="M21" s="53">
        <v>22.78</v>
      </c>
      <c r="N21" s="53">
        <v>884.6</v>
      </c>
      <c r="O21" s="53">
        <v>0</v>
      </c>
      <c r="P21" s="53">
        <v>0.6</v>
      </c>
      <c r="Q21" s="53">
        <v>6.76</v>
      </c>
      <c r="R21" s="42"/>
      <c r="S21" s="42"/>
      <c r="T21" s="42"/>
      <c r="U21" s="42"/>
    </row>
    <row r="22" spans="1:21" s="11" customFormat="1">
      <c r="A22" s="52" t="s">
        <v>111</v>
      </c>
      <c r="B22" s="53">
        <v>12.38</v>
      </c>
      <c r="C22" s="53">
        <v>49.76</v>
      </c>
      <c r="D22" s="53">
        <v>36.799999999999997</v>
      </c>
      <c r="E22" s="53">
        <v>6.64</v>
      </c>
      <c r="F22" s="53">
        <v>9.52</v>
      </c>
      <c r="G22" s="53">
        <v>39.67</v>
      </c>
      <c r="H22" s="6" t="s">
        <v>20</v>
      </c>
      <c r="I22" s="6" t="s">
        <v>20</v>
      </c>
      <c r="J22" s="53">
        <v>1.8</v>
      </c>
      <c r="K22" s="53">
        <v>300.24</v>
      </c>
      <c r="L22" s="53">
        <v>35.08</v>
      </c>
      <c r="M22" s="53">
        <v>19.43</v>
      </c>
      <c r="N22" s="53">
        <v>767.8</v>
      </c>
      <c r="O22" s="53">
        <v>0</v>
      </c>
      <c r="P22" s="53">
        <v>0.62</v>
      </c>
      <c r="Q22" s="6" t="s">
        <v>20</v>
      </c>
      <c r="R22" s="42"/>
      <c r="S22" s="42"/>
      <c r="T22" s="42"/>
      <c r="U22" s="42"/>
    </row>
    <row r="23" spans="1:21" s="11" customFormat="1">
      <c r="A23" s="52" t="s">
        <v>112</v>
      </c>
      <c r="B23" s="53">
        <v>10.93</v>
      </c>
      <c r="C23" s="53">
        <v>54.43</v>
      </c>
      <c r="D23" s="53">
        <v>35.74</v>
      </c>
      <c r="E23" s="6" t="s">
        <v>20</v>
      </c>
      <c r="F23" s="53">
        <v>11.53</v>
      </c>
      <c r="G23" s="53">
        <v>15.98</v>
      </c>
      <c r="H23" s="53">
        <v>14.58</v>
      </c>
      <c r="I23" s="53">
        <v>5.86</v>
      </c>
      <c r="J23" s="53">
        <v>1.59</v>
      </c>
      <c r="K23" s="53">
        <v>297.68</v>
      </c>
      <c r="L23" s="53">
        <v>34.909999999999997</v>
      </c>
      <c r="M23" s="53">
        <v>22.29</v>
      </c>
      <c r="N23" s="53">
        <v>658.9</v>
      </c>
      <c r="O23" s="53">
        <v>0</v>
      </c>
      <c r="P23" s="53">
        <v>0.56000000000000005</v>
      </c>
      <c r="Q23" s="53">
        <v>5.24</v>
      </c>
      <c r="R23" s="42"/>
      <c r="S23" s="42"/>
      <c r="T23" s="42"/>
      <c r="U23" s="42"/>
    </row>
    <row r="24" spans="1:21" s="11" customFormat="1">
      <c r="A24" s="52" t="s">
        <v>113</v>
      </c>
      <c r="B24" s="53">
        <v>7.37</v>
      </c>
      <c r="C24" s="53">
        <v>71.040000000000006</v>
      </c>
      <c r="D24" s="53">
        <v>45.09</v>
      </c>
      <c r="E24" s="6" t="s">
        <v>20</v>
      </c>
      <c r="F24" s="53">
        <v>16.07</v>
      </c>
      <c r="G24" s="53">
        <v>40.99</v>
      </c>
      <c r="H24" s="53">
        <v>14.58</v>
      </c>
      <c r="I24" s="53">
        <v>5.44</v>
      </c>
      <c r="J24" s="53">
        <v>0.81</v>
      </c>
      <c r="K24" s="53">
        <v>264.5</v>
      </c>
      <c r="L24" s="53">
        <v>35.340000000000003</v>
      </c>
      <c r="M24" s="53">
        <v>22.73</v>
      </c>
      <c r="N24" s="53">
        <v>521.4</v>
      </c>
      <c r="O24" s="53">
        <v>0</v>
      </c>
      <c r="P24" s="53">
        <v>0.49</v>
      </c>
      <c r="Q24" s="53">
        <v>5</v>
      </c>
      <c r="R24" s="42"/>
      <c r="S24" s="42"/>
      <c r="T24" s="42"/>
      <c r="U24" s="42"/>
    </row>
    <row r="25" spans="1:21" s="11" customFormat="1">
      <c r="A25" s="52" t="s">
        <v>114</v>
      </c>
      <c r="B25" s="53">
        <v>5.89</v>
      </c>
      <c r="C25" s="53">
        <v>62.43</v>
      </c>
      <c r="D25" s="53">
        <v>37.93</v>
      </c>
      <c r="E25" s="6" t="s">
        <v>20</v>
      </c>
      <c r="F25" s="53">
        <v>23.77</v>
      </c>
      <c r="G25" s="53">
        <v>40.99</v>
      </c>
      <c r="H25" s="53">
        <v>10.18</v>
      </c>
      <c r="I25" s="53">
        <v>4.84</v>
      </c>
      <c r="J25" s="53">
        <v>1</v>
      </c>
      <c r="K25" s="53">
        <v>263.37</v>
      </c>
      <c r="L25" s="53">
        <v>35.28</v>
      </c>
      <c r="M25" s="53">
        <v>22.08</v>
      </c>
      <c r="N25" s="53">
        <v>371</v>
      </c>
      <c r="O25" s="53">
        <v>0</v>
      </c>
      <c r="P25" s="53">
        <v>0.46</v>
      </c>
      <c r="Q25" s="53">
        <v>5</v>
      </c>
      <c r="R25" s="42"/>
      <c r="S25" s="42"/>
      <c r="T25" s="42"/>
      <c r="U25" s="42"/>
    </row>
    <row r="26" spans="1:21" s="11" customFormat="1">
      <c r="A26" s="52" t="s">
        <v>115</v>
      </c>
      <c r="B26" s="53">
        <v>12.4</v>
      </c>
      <c r="C26" s="53">
        <v>68.02</v>
      </c>
      <c r="D26" s="53">
        <v>44.73</v>
      </c>
      <c r="E26" s="6" t="s">
        <v>20</v>
      </c>
      <c r="F26" s="53">
        <v>18.55</v>
      </c>
      <c r="G26" s="53">
        <v>28.07</v>
      </c>
      <c r="H26" s="53">
        <v>19.399999999999999</v>
      </c>
      <c r="I26" s="53">
        <v>4.3899999999999997</v>
      </c>
      <c r="J26" s="53">
        <v>0.8</v>
      </c>
      <c r="K26" s="53">
        <v>54.63</v>
      </c>
      <c r="L26" s="53">
        <v>34.03</v>
      </c>
      <c r="M26" s="53">
        <v>23.66</v>
      </c>
      <c r="N26" s="53">
        <v>90.3</v>
      </c>
      <c r="O26" s="53">
        <v>0</v>
      </c>
      <c r="P26" s="53">
        <v>0.49</v>
      </c>
      <c r="Q26" s="53">
        <v>5</v>
      </c>
      <c r="R26" s="42"/>
      <c r="S26" s="42"/>
      <c r="T26" s="42"/>
      <c r="U26" s="42"/>
    </row>
    <row r="27" spans="1:21" s="11" customFormat="1">
      <c r="A27" s="52" t="s">
        <v>116</v>
      </c>
      <c r="B27" s="53">
        <v>15.55</v>
      </c>
      <c r="C27" s="53">
        <v>71.12</v>
      </c>
      <c r="D27" s="53">
        <v>49.42</v>
      </c>
      <c r="E27" s="53">
        <v>12.7</v>
      </c>
      <c r="F27" s="53">
        <v>13.91</v>
      </c>
      <c r="G27" s="53">
        <v>78.319999999999993</v>
      </c>
      <c r="H27" s="53">
        <v>19.399999999999999</v>
      </c>
      <c r="I27" s="53">
        <v>4.62</v>
      </c>
      <c r="J27" s="53">
        <v>0.56000000000000005</v>
      </c>
      <c r="K27" s="53">
        <v>179.29</v>
      </c>
      <c r="L27" s="53">
        <v>32.1</v>
      </c>
      <c r="M27" s="53">
        <v>37.85</v>
      </c>
      <c r="N27" s="53">
        <v>0</v>
      </c>
      <c r="O27" s="53">
        <v>0</v>
      </c>
      <c r="P27" s="53">
        <v>0.55000000000000004</v>
      </c>
      <c r="Q27" s="53">
        <v>5</v>
      </c>
      <c r="R27" s="42"/>
      <c r="S27" s="42"/>
      <c r="T27" s="42"/>
      <c r="U27" s="42"/>
    </row>
    <row r="28" spans="1:21" s="11" customFormat="1">
      <c r="A28" s="52" t="s">
        <v>117</v>
      </c>
      <c r="B28" s="53">
        <v>15.22</v>
      </c>
      <c r="C28" s="53">
        <v>70.150000000000006</v>
      </c>
      <c r="D28" s="53">
        <v>49.73</v>
      </c>
      <c r="E28" s="53">
        <v>8.81</v>
      </c>
      <c r="F28" s="53">
        <v>5.85</v>
      </c>
      <c r="G28" s="53">
        <v>78.319999999999993</v>
      </c>
      <c r="H28" s="53">
        <v>15.44</v>
      </c>
      <c r="I28" s="53">
        <v>5</v>
      </c>
      <c r="J28" s="53">
        <v>0.23</v>
      </c>
      <c r="K28" s="53">
        <v>190.61</v>
      </c>
      <c r="L28" s="53">
        <v>29.07</v>
      </c>
      <c r="M28" s="53">
        <v>43.87</v>
      </c>
      <c r="N28" s="53">
        <v>0</v>
      </c>
      <c r="O28" s="53">
        <v>0</v>
      </c>
      <c r="P28" s="53">
        <v>0.57999999999999996</v>
      </c>
      <c r="Q28" s="53">
        <v>5</v>
      </c>
      <c r="R28" s="42"/>
      <c r="S28" s="42"/>
      <c r="T28" s="42"/>
      <c r="U28" s="42"/>
    </row>
    <row r="29" spans="1:21" s="11" customFormat="1">
      <c r="A29" s="52" t="s">
        <v>118</v>
      </c>
      <c r="B29" s="53">
        <v>17.23</v>
      </c>
      <c r="C29" s="53">
        <v>70.63</v>
      </c>
      <c r="D29" s="53">
        <v>51.54</v>
      </c>
      <c r="E29" s="53">
        <v>7.63</v>
      </c>
      <c r="F29" s="53">
        <v>4.41</v>
      </c>
      <c r="G29" s="53">
        <v>62.74</v>
      </c>
      <c r="H29" s="53">
        <v>18.64</v>
      </c>
      <c r="I29" s="53">
        <v>5.27</v>
      </c>
      <c r="J29" s="53">
        <v>0.23</v>
      </c>
      <c r="K29" s="53">
        <v>162.11000000000001</v>
      </c>
      <c r="L29" s="53">
        <v>27.33</v>
      </c>
      <c r="M29" s="53">
        <v>48.44</v>
      </c>
      <c r="N29" s="53">
        <v>0</v>
      </c>
      <c r="O29" s="53">
        <v>0</v>
      </c>
      <c r="P29" s="53">
        <v>0.62</v>
      </c>
      <c r="Q29" s="53">
        <v>5</v>
      </c>
      <c r="R29" s="42"/>
      <c r="S29" s="42"/>
      <c r="T29" s="42"/>
      <c r="U29" s="42"/>
    </row>
    <row r="30" spans="1:21" s="11" customFormat="1">
      <c r="A30" s="52" t="s">
        <v>119</v>
      </c>
      <c r="B30" s="53">
        <v>25.79</v>
      </c>
      <c r="C30" s="53">
        <v>72.88</v>
      </c>
      <c r="D30" s="53">
        <v>59.21</v>
      </c>
      <c r="E30" s="53">
        <v>6.66</v>
      </c>
      <c r="F30" s="53">
        <v>3.84</v>
      </c>
      <c r="G30" s="53">
        <v>69.319999999999993</v>
      </c>
      <c r="H30" s="53">
        <v>26.8</v>
      </c>
      <c r="I30" s="53">
        <v>5.95</v>
      </c>
      <c r="J30" s="53">
        <v>0.27</v>
      </c>
      <c r="K30" s="53">
        <v>171.49</v>
      </c>
      <c r="L30" s="53">
        <v>26.77</v>
      </c>
      <c r="M30" s="53">
        <v>55.89</v>
      </c>
      <c r="N30" s="53">
        <v>0</v>
      </c>
      <c r="O30" s="53">
        <v>0</v>
      </c>
      <c r="P30" s="53">
        <v>0.73</v>
      </c>
      <c r="Q30" s="53">
        <v>5</v>
      </c>
      <c r="R30" s="42"/>
      <c r="S30" s="42"/>
      <c r="T30" s="42"/>
      <c r="U30" s="42"/>
    </row>
    <row r="31" spans="1:21" s="11" customFormat="1">
      <c r="A31" s="52" t="s">
        <v>120</v>
      </c>
      <c r="B31" s="53">
        <v>31.76</v>
      </c>
      <c r="C31" s="53">
        <v>72.209999999999994</v>
      </c>
      <c r="D31" s="53">
        <v>64.069999999999993</v>
      </c>
      <c r="E31" s="53">
        <v>6.73</v>
      </c>
      <c r="F31" s="53">
        <v>3.96</v>
      </c>
      <c r="G31" s="53">
        <v>77.290000000000006</v>
      </c>
      <c r="H31" s="53">
        <v>32.76</v>
      </c>
      <c r="I31" s="53">
        <v>6.82</v>
      </c>
      <c r="J31" s="53">
        <v>0.3</v>
      </c>
      <c r="K31" s="53">
        <v>157.63999999999999</v>
      </c>
      <c r="L31" s="53">
        <v>25.51</v>
      </c>
      <c r="M31" s="53">
        <v>55.93</v>
      </c>
      <c r="N31" s="53">
        <v>0</v>
      </c>
      <c r="O31" s="53">
        <v>0</v>
      </c>
      <c r="P31" s="53">
        <v>0.81</v>
      </c>
      <c r="Q31" s="53">
        <v>4.7300000000000004</v>
      </c>
      <c r="R31" s="42"/>
      <c r="S31" s="42"/>
      <c r="T31" s="42"/>
      <c r="U31" s="42"/>
    </row>
    <row r="32" spans="1:21" s="11" customFormat="1">
      <c r="A32" s="52" t="s">
        <v>121</v>
      </c>
      <c r="B32" s="53">
        <v>48.16</v>
      </c>
      <c r="C32" s="53">
        <v>73.42</v>
      </c>
      <c r="D32" s="53">
        <v>77.12</v>
      </c>
      <c r="E32" s="53">
        <v>7.11</v>
      </c>
      <c r="F32" s="53">
        <v>4.17</v>
      </c>
      <c r="G32" s="53">
        <v>114.59</v>
      </c>
      <c r="H32" s="53">
        <v>37.119999999999997</v>
      </c>
      <c r="I32" s="53">
        <v>7.83</v>
      </c>
      <c r="J32" s="53">
        <v>0.76</v>
      </c>
      <c r="K32" s="53">
        <v>72.680000000000007</v>
      </c>
      <c r="L32" s="53">
        <v>26.14</v>
      </c>
      <c r="M32" s="53">
        <v>51.78</v>
      </c>
      <c r="N32" s="53">
        <v>0</v>
      </c>
      <c r="O32" s="53">
        <v>0</v>
      </c>
      <c r="P32" s="53">
        <v>0.9</v>
      </c>
      <c r="Q32" s="53">
        <v>4.4400000000000004</v>
      </c>
      <c r="R32" s="42"/>
      <c r="S32" s="42"/>
      <c r="T32" s="42"/>
      <c r="U32" s="42"/>
    </row>
    <row r="33" spans="1:21" s="21" customFormat="1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>
      <c r="A34" s="27" t="s">
        <v>30</v>
      </c>
      <c r="B34" s="28">
        <f t="shared" ref="B34:Q34" si="0">MIN(B9:B32)</f>
        <v>5.89</v>
      </c>
      <c r="C34" s="28">
        <f t="shared" si="0"/>
        <v>49.76</v>
      </c>
      <c r="D34" s="28">
        <f t="shared" si="0"/>
        <v>35.74</v>
      </c>
      <c r="E34" s="28">
        <f t="shared" si="0"/>
        <v>6.64</v>
      </c>
      <c r="F34" s="28">
        <f t="shared" si="0"/>
        <v>3.68</v>
      </c>
      <c r="G34" s="28">
        <f t="shared" si="0"/>
        <v>15.98</v>
      </c>
      <c r="H34" s="28">
        <f>MIN(H9:H32)</f>
        <v>10.18</v>
      </c>
      <c r="I34" s="28">
        <f t="shared" si="0"/>
        <v>4.3899999999999997</v>
      </c>
      <c r="J34" s="28">
        <f t="shared" si="0"/>
        <v>0.22</v>
      </c>
      <c r="K34" s="28">
        <f t="shared" si="0"/>
        <v>54.63</v>
      </c>
      <c r="L34" s="28">
        <f t="shared" si="0"/>
        <v>21.32</v>
      </c>
      <c r="M34" s="28">
        <f t="shared" si="0"/>
        <v>19.43</v>
      </c>
      <c r="N34" s="28">
        <f t="shared" si="0"/>
        <v>0</v>
      </c>
      <c r="O34" s="28">
        <f t="shared" si="0"/>
        <v>0</v>
      </c>
      <c r="P34" s="28">
        <f t="shared" si="0"/>
        <v>0.46</v>
      </c>
      <c r="Q34" s="28">
        <f t="shared" si="0"/>
        <v>4.4400000000000004</v>
      </c>
      <c r="R34" s="28"/>
      <c r="S34" s="28"/>
      <c r="T34" s="28"/>
      <c r="U34" s="28"/>
    </row>
    <row r="35" spans="1:21" s="21" customFormat="1">
      <c r="A35" s="27" t="s">
        <v>31</v>
      </c>
      <c r="B35" s="29">
        <f t="shared" ref="B35:Q35" si="1">MAX(B9:B32)</f>
        <v>54.57</v>
      </c>
      <c r="C35" s="29">
        <f t="shared" si="1"/>
        <v>73.42</v>
      </c>
      <c r="D35" s="29">
        <f t="shared" si="1"/>
        <v>78.23</v>
      </c>
      <c r="E35" s="29">
        <f t="shared" si="1"/>
        <v>12.7</v>
      </c>
      <c r="F35" s="29">
        <f t="shared" si="1"/>
        <v>23.77</v>
      </c>
      <c r="G35" s="29">
        <f>MAX(G9:G32)</f>
        <v>114.59</v>
      </c>
      <c r="H35" s="29">
        <f>MAX(H9:H32)</f>
        <v>37.119999999999997</v>
      </c>
      <c r="I35" s="29">
        <f t="shared" si="1"/>
        <v>8.67</v>
      </c>
      <c r="J35" s="29">
        <f t="shared" si="1"/>
        <v>1.8</v>
      </c>
      <c r="K35" s="29">
        <f t="shared" si="1"/>
        <v>304</v>
      </c>
      <c r="L35" s="29">
        <f t="shared" si="1"/>
        <v>35.340000000000003</v>
      </c>
      <c r="M35" s="29">
        <f t="shared" si="1"/>
        <v>84.25</v>
      </c>
      <c r="N35" s="29">
        <f t="shared" si="1"/>
        <v>884.6</v>
      </c>
      <c r="O35" s="29">
        <f t="shared" si="1"/>
        <v>0</v>
      </c>
      <c r="P35" s="29">
        <f t="shared" si="1"/>
        <v>0.9</v>
      </c>
      <c r="Q35" s="29">
        <f t="shared" si="1"/>
        <v>8.8800000000000008</v>
      </c>
      <c r="R35" s="29"/>
      <c r="S35" s="29"/>
      <c r="T35" s="29"/>
      <c r="U35" s="29"/>
    </row>
    <row r="36" spans="1:21" s="21" customFormat="1">
      <c r="A36" s="27" t="s">
        <v>32</v>
      </c>
      <c r="B36" s="28">
        <f t="shared" ref="B36:Q36" si="2">AVERAGE(B9:B32)</f>
        <v>30.494999999999994</v>
      </c>
      <c r="C36" s="28">
        <f t="shared" si="2"/>
        <v>66.452083333333348</v>
      </c>
      <c r="D36" s="28">
        <f t="shared" si="2"/>
        <v>59.608750000000008</v>
      </c>
      <c r="E36" s="28">
        <f t="shared" si="2"/>
        <v>8.5474999999999994</v>
      </c>
      <c r="F36" s="28">
        <f t="shared" si="2"/>
        <v>7.7358333333333329</v>
      </c>
      <c r="G36" s="28">
        <f t="shared" si="2"/>
        <v>56.087916666666651</v>
      </c>
      <c r="H36" s="28">
        <f>AVERAGE(H9:H32)</f>
        <v>22.792173913043474</v>
      </c>
      <c r="I36" s="28">
        <f t="shared" si="2"/>
        <v>6.6343478260869571</v>
      </c>
      <c r="J36" s="28">
        <f t="shared" si="2"/>
        <v>0.62041666666666673</v>
      </c>
      <c r="K36" s="28">
        <f t="shared" si="2"/>
        <v>203.06375</v>
      </c>
      <c r="L36" s="28">
        <f t="shared" si="2"/>
        <v>28.647083333333331</v>
      </c>
      <c r="M36" s="28">
        <f t="shared" si="2"/>
        <v>50.209166666666675</v>
      </c>
      <c r="N36" s="28">
        <f t="shared" si="2"/>
        <v>254.17083333333332</v>
      </c>
      <c r="O36" s="28">
        <f t="shared" si="2"/>
        <v>0</v>
      </c>
      <c r="P36" s="28">
        <f t="shared" si="2"/>
        <v>0.66500000000000015</v>
      </c>
      <c r="Q36" s="28">
        <f t="shared" si="2"/>
        <v>6.83</v>
      </c>
      <c r="R36" s="28"/>
      <c r="S36" s="28"/>
      <c r="T36" s="28"/>
      <c r="U36" s="28"/>
    </row>
    <row r="37" spans="1:21" s="21" customFormat="1">
      <c r="A37" s="27" t="s">
        <v>38</v>
      </c>
      <c r="B37" s="28">
        <f>STDEV(B9:B32)</f>
        <v>16.770595125682494</v>
      </c>
      <c r="C37" s="28">
        <f t="shared" ref="C37:Q37" si="3">STDEV(C9:C32)</f>
        <v>5.5173276290849902</v>
      </c>
      <c r="D37" s="28">
        <f t="shared" si="3"/>
        <v>14.34837343076542</v>
      </c>
      <c r="E37" s="28">
        <f t="shared" si="3"/>
        <v>1.4028312536851342</v>
      </c>
      <c r="F37" s="28">
        <f t="shared" si="3"/>
        <v>5.6157835929030275</v>
      </c>
      <c r="G37" s="28">
        <f t="shared" si="3"/>
        <v>20.818338901109531</v>
      </c>
      <c r="H37" s="28">
        <f>STDEV(H9:H32)</f>
        <v>7.1491626696747179</v>
      </c>
      <c r="I37" s="28">
        <f t="shared" si="3"/>
        <v>1.2653056622699295</v>
      </c>
      <c r="J37" s="28">
        <f t="shared" si="3"/>
        <v>0.44346931825311653</v>
      </c>
      <c r="K37" s="28">
        <f t="shared" si="3"/>
        <v>69.108966939269536</v>
      </c>
      <c r="L37" s="28">
        <f t="shared" si="3"/>
        <v>5.1491708738791901</v>
      </c>
      <c r="M37" s="28">
        <f t="shared" si="3"/>
        <v>23.240182016174625</v>
      </c>
      <c r="N37" s="28">
        <f t="shared" si="3"/>
        <v>332.38471617555075</v>
      </c>
      <c r="O37" s="28">
        <f t="shared" si="3"/>
        <v>0</v>
      </c>
      <c r="P37" s="28">
        <f t="shared" si="3"/>
        <v>0.10737986209065678</v>
      </c>
      <c r="Q37" s="28">
        <f t="shared" si="3"/>
        <v>1.7667921624952247</v>
      </c>
      <c r="R37" s="28"/>
      <c r="S37" s="28"/>
      <c r="T37" s="28"/>
      <c r="U37" s="28"/>
    </row>
    <row r="38" spans="1:21" s="21" customFormat="1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20</v>
      </c>
      <c r="F38" s="32">
        <f>COUNT(F9:F32)</f>
        <v>24</v>
      </c>
      <c r="G38" s="32">
        <f>COUNT(G9:G32)</f>
        <v>24</v>
      </c>
      <c r="H38" s="32">
        <f>COUNT(H9:H32)</f>
        <v>23</v>
      </c>
      <c r="I38" s="32">
        <f t="shared" si="4"/>
        <v>23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23</v>
      </c>
      <c r="R38" s="32"/>
      <c r="S38" s="32"/>
      <c r="T38" s="32"/>
      <c r="U38" s="32"/>
    </row>
    <row r="39" spans="1:21" s="21" customFormat="1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&lt;90%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LESS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>
      <c r="A42" s="13"/>
    </row>
    <row r="43" spans="1:21" s="21" customFormat="1">
      <c r="A43" s="14" t="s">
        <v>35</v>
      </c>
      <c r="B43" s="39" t="s">
        <v>58</v>
      </c>
      <c r="C43" s="41"/>
    </row>
    <row r="44" spans="1:21" s="21" customFormat="1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0"/>
      <c r="C45" s="40"/>
      <c r="D45" s="40"/>
      <c r="E45" s="40"/>
      <c r="F45" s="40"/>
      <c r="G45" s="40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</row>
    <row r="46" spans="1:21" s="21" customFormat="1"/>
    <row r="47" spans="1:21" s="21" customFormat="1"/>
    <row r="48" spans="1:21" s="21" customFormat="1"/>
    <row r="49" s="21" customFormat="1"/>
    <row r="50" s="21" customFormat="1"/>
    <row r="51" s="21" customFormat="1"/>
    <row r="52" s="21" customFormat="1"/>
    <row r="53" s="21" customFormat="1"/>
    <row r="54" s="21" customFormat="1"/>
    <row r="55" s="21" customFormat="1"/>
    <row r="56" s="21" customFormat="1"/>
    <row r="57" s="21" customFormat="1"/>
    <row r="58" s="21" customFormat="1"/>
    <row r="59" s="21" customFormat="1"/>
    <row r="60" s="21" customFormat="1"/>
    <row r="61" s="21" customFormat="1"/>
    <row r="62" s="21" customFormat="1"/>
    <row r="63" s="21" customFormat="1"/>
    <row r="64" s="21" customFormat="1"/>
    <row r="65" s="21" customFormat="1"/>
    <row r="66" s="21" customFormat="1"/>
    <row r="67" s="21" customFormat="1"/>
    <row r="68" s="21" customFormat="1"/>
    <row r="69" s="21" customFormat="1"/>
    <row r="70" s="21" customFormat="1"/>
    <row r="71" s="21" customFormat="1"/>
    <row r="72" s="21" customFormat="1"/>
    <row r="73" s="21" customFormat="1"/>
    <row r="74" s="21" customFormat="1"/>
    <row r="75" s="21" customFormat="1"/>
    <row r="76" s="21" customFormat="1"/>
    <row r="77" s="21" customFormat="1"/>
    <row r="78" s="21" customFormat="1"/>
    <row r="79" s="21" customFormat="1"/>
    <row r="80" s="21" customFormat="1"/>
    <row r="81" s="21" customFormat="1"/>
    <row r="82" s="21" customFormat="1"/>
    <row r="83" s="21" customFormat="1"/>
    <row r="84" s="21" customFormat="1"/>
    <row r="85" s="21" customFormat="1"/>
    <row r="86" s="21" customFormat="1"/>
    <row r="87" s="21" customFormat="1"/>
    <row r="88" s="21" customFormat="1"/>
    <row r="89" s="21" customFormat="1"/>
    <row r="90" s="21" customFormat="1"/>
    <row r="91" s="21" customFormat="1"/>
    <row r="92" s="21" customFormat="1"/>
    <row r="93" s="21" customFormat="1"/>
    <row r="94" s="21" customFormat="1"/>
    <row r="95" s="21" customFormat="1"/>
    <row r="96" s="21" customFormat="1"/>
    <row r="97" spans="1:1" s="21" customFormat="1"/>
    <row r="98" spans="1:1" s="21" customFormat="1"/>
    <row r="99" spans="1:1" s="21" customFormat="1"/>
    <row r="100" spans="1:1" s="21" customFormat="1"/>
    <row r="101" spans="1:1" s="21" customFormat="1"/>
    <row r="102" spans="1:1" s="21" customFormat="1"/>
    <row r="103" spans="1:1" s="21" customFormat="1"/>
    <row r="104" spans="1:1" s="21" customFormat="1"/>
    <row r="105" spans="1:1" s="21" customFormat="1"/>
    <row r="106" spans="1:1">
      <c r="A106" s="20"/>
    </row>
    <row r="107" spans="1:1" s="21" customFormat="1"/>
    <row r="108" spans="1:1" s="21" customFormat="1"/>
    <row r="109" spans="1:1" s="21" customFormat="1"/>
    <row r="110" spans="1:1" s="21" customFormat="1"/>
    <row r="111" spans="1:1" s="21" customFormat="1"/>
    <row r="112" spans="1:1" s="21" customFormat="1"/>
    <row r="113" spans="1:1" s="21" customFormat="1"/>
    <row r="114" spans="1:1" s="21" customFormat="1"/>
    <row r="115" spans="1:1" s="21" customFormat="1"/>
    <row r="116" spans="1:1" s="21" customFormat="1"/>
    <row r="117" spans="1:1" s="21" customFormat="1"/>
    <row r="118" spans="1:1">
      <c r="A118" s="20"/>
    </row>
    <row r="119" spans="1:1">
      <c r="A119" s="20"/>
    </row>
  </sheetData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2" ySplit="8" topLeftCell="C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C16" sqref="C16"/>
    </sheetView>
  </sheetViews>
  <sheetFormatPr defaultColWidth="8.85546875" defaultRowHeight="15"/>
  <cols>
    <col min="1" max="1" width="18.28515625" style="26" customWidth="1"/>
    <col min="2" max="2" width="13.2851562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>
      <c r="A1" s="14" t="s">
        <v>2</v>
      </c>
      <c r="B1" s="23" t="s">
        <v>55</v>
      </c>
      <c r="C1" s="36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>
      <c r="A2" s="14" t="s">
        <v>0</v>
      </c>
      <c r="B2" s="37" t="str">
        <f>$A$9</f>
        <v>03/04/2023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8" t="s">
        <v>7</v>
      </c>
      <c r="Q2" s="12"/>
      <c r="R2" s="8" t="s">
        <v>8</v>
      </c>
      <c r="S2" s="11"/>
      <c r="T2" s="11"/>
      <c r="U2" s="11"/>
    </row>
    <row r="3" spans="1:21" s="21" customFormat="1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8" t="s">
        <v>15</v>
      </c>
      <c r="Q3" s="12"/>
      <c r="R3" s="9" t="s">
        <v>15</v>
      </c>
      <c r="S3" s="11"/>
      <c r="T3" s="11"/>
      <c r="U3" s="11"/>
    </row>
    <row r="4" spans="1:21" s="21" customFormat="1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>
      <c r="A7" s="25" t="s">
        <v>21</v>
      </c>
      <c r="B7" s="48" t="s">
        <v>40</v>
      </c>
      <c r="C7" s="49" t="s">
        <v>41</v>
      </c>
      <c r="D7" s="49" t="s">
        <v>42</v>
      </c>
      <c r="E7" s="49" t="s">
        <v>43</v>
      </c>
      <c r="F7" s="49" t="s">
        <v>44</v>
      </c>
      <c r="G7" s="49" t="s">
        <v>45</v>
      </c>
      <c r="H7" s="49" t="s">
        <v>56</v>
      </c>
      <c r="I7" s="49" t="s">
        <v>46</v>
      </c>
      <c r="J7" s="49" t="s">
        <v>47</v>
      </c>
      <c r="K7" s="49" t="s">
        <v>48</v>
      </c>
      <c r="L7" s="49" t="s">
        <v>49</v>
      </c>
      <c r="M7" s="49" t="s">
        <v>50</v>
      </c>
      <c r="N7" s="49" t="s">
        <v>51</v>
      </c>
      <c r="O7" s="49" t="s">
        <v>52</v>
      </c>
      <c r="P7" s="49" t="s">
        <v>53</v>
      </c>
      <c r="Q7" s="49" t="s">
        <v>54</v>
      </c>
      <c r="R7" s="27"/>
      <c r="S7" s="29"/>
      <c r="T7" s="27"/>
      <c r="U7" s="27"/>
    </row>
    <row r="8" spans="1:21" s="21" customFormat="1">
      <c r="A8" s="25"/>
      <c r="B8" s="50" t="s">
        <v>22</v>
      </c>
      <c r="C8" s="50" t="s">
        <v>22</v>
      </c>
      <c r="D8" s="50" t="s">
        <v>22</v>
      </c>
      <c r="E8" s="50" t="s">
        <v>22</v>
      </c>
      <c r="F8" s="50" t="s">
        <v>22</v>
      </c>
      <c r="G8" s="50" t="s">
        <v>23</v>
      </c>
      <c r="H8" s="50" t="s">
        <v>22</v>
      </c>
      <c r="I8" s="50" t="s">
        <v>22</v>
      </c>
      <c r="J8" s="50" t="s">
        <v>24</v>
      </c>
      <c r="K8" s="50" t="s">
        <v>25</v>
      </c>
      <c r="L8" s="25" t="s">
        <v>27</v>
      </c>
      <c r="M8" s="50" t="s">
        <v>26</v>
      </c>
      <c r="N8" s="50" t="s">
        <v>28</v>
      </c>
      <c r="O8" s="25" t="s">
        <v>29</v>
      </c>
      <c r="P8" s="50" t="s">
        <v>22</v>
      </c>
      <c r="Q8" s="50" t="s">
        <v>22</v>
      </c>
      <c r="R8" s="27"/>
      <c r="S8" s="29"/>
      <c r="T8" s="27"/>
      <c r="U8" s="27"/>
    </row>
    <row r="9" spans="1:21" s="11" customFormat="1">
      <c r="A9" s="52" t="s">
        <v>145</v>
      </c>
      <c r="B9" s="53">
        <v>56.9</v>
      </c>
      <c r="C9" s="53">
        <v>72.45</v>
      </c>
      <c r="D9" s="53">
        <v>83.88</v>
      </c>
      <c r="E9" s="53">
        <v>7.32</v>
      </c>
      <c r="F9" s="53">
        <v>3.87</v>
      </c>
      <c r="G9" s="53">
        <v>125</v>
      </c>
      <c r="H9" s="53">
        <v>38.58</v>
      </c>
      <c r="I9" s="53">
        <v>8.51</v>
      </c>
      <c r="J9" s="53">
        <v>0.25</v>
      </c>
      <c r="K9" s="53">
        <v>152.02000000000001</v>
      </c>
      <c r="L9" s="53">
        <v>25.24</v>
      </c>
      <c r="M9" s="53">
        <v>62.05</v>
      </c>
      <c r="N9" s="53">
        <v>0</v>
      </c>
      <c r="O9" s="53">
        <v>0</v>
      </c>
      <c r="P9" s="53">
        <v>0.95</v>
      </c>
      <c r="Q9" s="53">
        <v>4.9400000000000004</v>
      </c>
      <c r="R9" s="42"/>
      <c r="S9" s="42"/>
      <c r="T9" s="42"/>
      <c r="U9" s="42"/>
    </row>
    <row r="10" spans="1:21" s="11" customFormat="1">
      <c r="A10" s="52" t="s">
        <v>144</v>
      </c>
      <c r="B10" s="53">
        <v>61.49</v>
      </c>
      <c r="C10" s="53">
        <v>72.09</v>
      </c>
      <c r="D10" s="53">
        <v>87.25</v>
      </c>
      <c r="E10" s="53">
        <v>7.95</v>
      </c>
      <c r="F10" s="53">
        <v>3.85</v>
      </c>
      <c r="G10" s="53">
        <v>125</v>
      </c>
      <c r="H10" s="53">
        <v>38.58</v>
      </c>
      <c r="I10" s="53">
        <v>8.7799999999999994</v>
      </c>
      <c r="J10" s="53">
        <v>0.21</v>
      </c>
      <c r="K10" s="53">
        <v>168.56</v>
      </c>
      <c r="L10" s="53">
        <v>22.97</v>
      </c>
      <c r="M10" s="53">
        <v>67.47</v>
      </c>
      <c r="N10" s="53">
        <v>0</v>
      </c>
      <c r="O10" s="53">
        <v>0</v>
      </c>
      <c r="P10" s="53">
        <v>0.97</v>
      </c>
      <c r="Q10" s="53">
        <v>5.13</v>
      </c>
      <c r="R10" s="42"/>
      <c r="S10" s="42"/>
      <c r="T10" s="42"/>
      <c r="U10" s="42"/>
    </row>
    <row r="11" spans="1:21" s="11" customFormat="1">
      <c r="A11" s="52" t="s">
        <v>143</v>
      </c>
      <c r="B11" s="53">
        <v>63.38</v>
      </c>
      <c r="C11" s="53">
        <v>70.430000000000007</v>
      </c>
      <c r="D11" s="53">
        <v>88.26</v>
      </c>
      <c r="E11" s="53">
        <v>8.85</v>
      </c>
      <c r="F11" s="53">
        <v>3.8</v>
      </c>
      <c r="G11" s="53">
        <v>97.13</v>
      </c>
      <c r="H11" s="53">
        <v>32.130000000000003</v>
      </c>
      <c r="I11" s="53">
        <v>8.9499999999999993</v>
      </c>
      <c r="J11" s="53">
        <v>0.31</v>
      </c>
      <c r="K11" s="53">
        <v>187.82</v>
      </c>
      <c r="L11" s="53">
        <v>22.1</v>
      </c>
      <c r="M11" s="53">
        <v>73.09</v>
      </c>
      <c r="N11" s="53">
        <v>0</v>
      </c>
      <c r="O11" s="53">
        <v>0</v>
      </c>
      <c r="P11" s="53">
        <v>0.98</v>
      </c>
      <c r="Q11" s="53">
        <v>5.25</v>
      </c>
      <c r="R11" s="42"/>
      <c r="S11" s="42"/>
      <c r="T11" s="42"/>
      <c r="U11" s="42"/>
    </row>
    <row r="12" spans="1:21" s="11" customFormat="1">
      <c r="A12" s="52" t="s">
        <v>142</v>
      </c>
      <c r="B12" s="53">
        <v>61.73</v>
      </c>
      <c r="C12" s="53">
        <v>69.319999999999993</v>
      </c>
      <c r="D12" s="53">
        <v>86.59</v>
      </c>
      <c r="E12" s="53">
        <v>8.6999999999999993</v>
      </c>
      <c r="F12" s="53">
        <v>3.8</v>
      </c>
      <c r="G12" s="53">
        <v>81.69</v>
      </c>
      <c r="H12" s="53">
        <v>32.130000000000003</v>
      </c>
      <c r="I12" s="53">
        <v>9.02</v>
      </c>
      <c r="J12" s="53">
        <v>0.2</v>
      </c>
      <c r="K12" s="53">
        <v>167.14</v>
      </c>
      <c r="L12" s="53">
        <v>22.1</v>
      </c>
      <c r="M12" s="53">
        <v>68.27</v>
      </c>
      <c r="N12" s="53">
        <v>0</v>
      </c>
      <c r="O12" s="53">
        <v>0</v>
      </c>
      <c r="P12" s="53">
        <v>0.97</v>
      </c>
      <c r="Q12" s="53">
        <v>5.13</v>
      </c>
      <c r="R12" s="42"/>
      <c r="S12" s="42"/>
      <c r="T12" s="42"/>
      <c r="U12" s="42"/>
    </row>
    <row r="13" spans="1:21" s="11" customFormat="1">
      <c r="A13" s="52" t="s">
        <v>141</v>
      </c>
      <c r="B13" s="53">
        <v>63.16</v>
      </c>
      <c r="C13" s="53">
        <v>69.5</v>
      </c>
      <c r="D13" s="53">
        <v>87.55</v>
      </c>
      <c r="E13" s="53">
        <v>8.27</v>
      </c>
      <c r="F13" s="53">
        <v>3.88</v>
      </c>
      <c r="G13" s="53">
        <v>88.44</v>
      </c>
      <c r="H13" s="53">
        <v>30.17</v>
      </c>
      <c r="I13" s="53">
        <v>8.99</v>
      </c>
      <c r="J13" s="53">
        <v>0.33</v>
      </c>
      <c r="K13" s="53">
        <v>218.73</v>
      </c>
      <c r="L13" s="53">
        <v>22.24</v>
      </c>
      <c r="M13" s="53">
        <v>72.84</v>
      </c>
      <c r="N13" s="53">
        <v>0</v>
      </c>
      <c r="O13" s="53">
        <v>0</v>
      </c>
      <c r="P13" s="53">
        <v>0.96</v>
      </c>
      <c r="Q13" s="53">
        <v>5.25</v>
      </c>
      <c r="R13" s="42"/>
      <c r="S13" s="42"/>
      <c r="T13" s="42"/>
      <c r="U13" s="42"/>
    </row>
    <row r="14" spans="1:21" s="11" customFormat="1">
      <c r="A14" s="52" t="s">
        <v>140</v>
      </c>
      <c r="B14" s="53">
        <v>66.12</v>
      </c>
      <c r="C14" s="53">
        <v>71.91</v>
      </c>
      <c r="D14" s="53">
        <v>91.47</v>
      </c>
      <c r="E14" s="53">
        <v>8.2799999999999994</v>
      </c>
      <c r="F14" s="53">
        <v>3.92</v>
      </c>
      <c r="G14" s="53">
        <v>88.44</v>
      </c>
      <c r="H14" s="53">
        <v>30.17</v>
      </c>
      <c r="I14" s="53">
        <v>8.93</v>
      </c>
      <c r="J14" s="53">
        <v>0.45</v>
      </c>
      <c r="K14" s="53">
        <v>77.040000000000006</v>
      </c>
      <c r="L14" s="53">
        <v>22.3</v>
      </c>
      <c r="M14" s="53">
        <v>69.5</v>
      </c>
      <c r="N14" s="53">
        <v>0.1</v>
      </c>
      <c r="O14" s="53">
        <v>0</v>
      </c>
      <c r="P14" s="53">
        <v>0.95</v>
      </c>
      <c r="Q14" s="53">
        <v>5.54</v>
      </c>
      <c r="R14" s="42"/>
      <c r="S14" s="42"/>
      <c r="T14" s="42"/>
      <c r="U14" s="42"/>
    </row>
    <row r="15" spans="1:21" s="11" customFormat="1">
      <c r="A15" s="52" t="s">
        <v>139</v>
      </c>
      <c r="B15" s="53">
        <v>67.680000000000007</v>
      </c>
      <c r="C15" s="53">
        <v>72.5</v>
      </c>
      <c r="D15" s="53">
        <v>93.02</v>
      </c>
      <c r="E15" s="53">
        <v>8.23</v>
      </c>
      <c r="F15" s="53">
        <v>3.84</v>
      </c>
      <c r="G15" s="53">
        <v>104.4</v>
      </c>
      <c r="H15" s="53">
        <v>41.62</v>
      </c>
      <c r="I15" s="53">
        <v>9.48</v>
      </c>
      <c r="J15" s="53">
        <v>0.72</v>
      </c>
      <c r="K15" s="53">
        <v>67.64</v>
      </c>
      <c r="L15" s="53">
        <v>22.83</v>
      </c>
      <c r="M15" s="53">
        <v>64.489999999999995</v>
      </c>
      <c r="N15" s="53">
        <v>45.2</v>
      </c>
      <c r="O15" s="53">
        <v>0</v>
      </c>
      <c r="P15" s="53">
        <v>1.05</v>
      </c>
      <c r="Q15" s="53">
        <v>5.8</v>
      </c>
      <c r="R15" s="42"/>
      <c r="S15" s="42"/>
      <c r="T15" s="42"/>
      <c r="U15" s="42"/>
    </row>
    <row r="16" spans="1:21" s="11" customFormat="1">
      <c r="A16" s="52" t="s">
        <v>138</v>
      </c>
      <c r="B16" s="53">
        <v>67.010000000000005</v>
      </c>
      <c r="C16" s="53">
        <v>73.11</v>
      </c>
      <c r="D16" s="53">
        <v>92.46</v>
      </c>
      <c r="E16" s="53">
        <v>8.09</v>
      </c>
      <c r="F16" s="53">
        <v>3.94</v>
      </c>
      <c r="G16" s="53">
        <v>115.87</v>
      </c>
      <c r="H16" s="53">
        <v>42.07</v>
      </c>
      <c r="I16" s="53">
        <v>9.76</v>
      </c>
      <c r="J16" s="53">
        <v>0.36</v>
      </c>
      <c r="K16" s="53">
        <v>96.25</v>
      </c>
      <c r="L16" s="53">
        <v>26.3</v>
      </c>
      <c r="M16" s="53">
        <v>62.78</v>
      </c>
      <c r="N16" s="53">
        <v>262.60000000000002</v>
      </c>
      <c r="O16" s="53">
        <v>0</v>
      </c>
      <c r="P16" s="53">
        <v>1.0900000000000001</v>
      </c>
      <c r="Q16" s="53">
        <v>5.74</v>
      </c>
      <c r="R16" s="42"/>
      <c r="S16" s="42"/>
      <c r="T16" s="42"/>
      <c r="U16" s="42"/>
    </row>
    <row r="17" spans="1:21" s="11" customFormat="1">
      <c r="A17" s="52" t="s">
        <v>137</v>
      </c>
      <c r="B17" s="53">
        <v>60.1</v>
      </c>
      <c r="C17" s="53">
        <v>75</v>
      </c>
      <c r="D17" s="53">
        <v>87.42</v>
      </c>
      <c r="E17" s="53">
        <v>8.0399999999999991</v>
      </c>
      <c r="F17" s="53">
        <v>4.0199999999999996</v>
      </c>
      <c r="G17" s="53">
        <v>115.87</v>
      </c>
      <c r="H17" s="53">
        <v>42.07</v>
      </c>
      <c r="I17" s="53">
        <v>9.73</v>
      </c>
      <c r="J17" s="53">
        <v>0.59</v>
      </c>
      <c r="K17" s="53">
        <v>175.48</v>
      </c>
      <c r="L17" s="53">
        <v>29.32</v>
      </c>
      <c r="M17" s="53">
        <v>47.45</v>
      </c>
      <c r="N17" s="53">
        <v>288.3</v>
      </c>
      <c r="O17" s="53">
        <v>0</v>
      </c>
      <c r="P17" s="53">
        <v>1.06</v>
      </c>
      <c r="Q17" s="53">
        <v>5.4</v>
      </c>
      <c r="R17" s="42"/>
      <c r="S17" s="42"/>
      <c r="T17" s="42"/>
      <c r="U17" s="42"/>
    </row>
    <row r="18" spans="1:21" s="11" customFormat="1">
      <c r="A18" s="52" t="s">
        <v>136</v>
      </c>
      <c r="B18" s="53">
        <v>48.68</v>
      </c>
      <c r="C18" s="53">
        <v>74.989999999999995</v>
      </c>
      <c r="D18" s="53">
        <v>79.09</v>
      </c>
      <c r="E18" s="53">
        <v>7.73</v>
      </c>
      <c r="F18" s="53">
        <v>5.0599999999999996</v>
      </c>
      <c r="G18" s="53">
        <v>89.13</v>
      </c>
      <c r="H18" s="53">
        <v>36.15</v>
      </c>
      <c r="I18" s="53">
        <v>9.2100000000000009</v>
      </c>
      <c r="J18" s="53">
        <v>0.89</v>
      </c>
      <c r="K18" s="53">
        <v>272.32</v>
      </c>
      <c r="L18" s="53">
        <v>31.76</v>
      </c>
      <c r="M18" s="53">
        <v>41.42</v>
      </c>
      <c r="N18" s="53">
        <v>579.6</v>
      </c>
      <c r="O18" s="53">
        <v>0</v>
      </c>
      <c r="P18" s="53">
        <v>0.99</v>
      </c>
      <c r="Q18" s="53">
        <v>4.9800000000000004</v>
      </c>
      <c r="R18" s="42"/>
      <c r="S18" s="42"/>
      <c r="T18" s="42"/>
      <c r="U18" s="42"/>
    </row>
    <row r="19" spans="1:21" s="11" customFormat="1">
      <c r="A19" s="52" t="s">
        <v>135</v>
      </c>
      <c r="B19" s="53">
        <v>34.97</v>
      </c>
      <c r="C19" s="53">
        <v>74.16</v>
      </c>
      <c r="D19" s="53">
        <v>66.63</v>
      </c>
      <c r="E19" s="53">
        <v>10.199999999999999</v>
      </c>
      <c r="F19" s="53">
        <v>8.69</v>
      </c>
      <c r="G19" s="53">
        <v>79.900000000000006</v>
      </c>
      <c r="H19" s="53">
        <v>30.95</v>
      </c>
      <c r="I19" s="53">
        <v>8.67</v>
      </c>
      <c r="J19" s="53">
        <v>0.86</v>
      </c>
      <c r="K19" s="53">
        <v>254.81</v>
      </c>
      <c r="L19" s="53">
        <v>33.15</v>
      </c>
      <c r="M19" s="53">
        <v>33.06</v>
      </c>
      <c r="N19" s="53">
        <v>779.3</v>
      </c>
      <c r="O19" s="53">
        <v>0</v>
      </c>
      <c r="P19" s="53">
        <v>0.89</v>
      </c>
      <c r="Q19" s="53">
        <v>5</v>
      </c>
      <c r="R19" s="42"/>
      <c r="S19" s="42"/>
      <c r="T19" s="42"/>
      <c r="U19" s="42"/>
    </row>
    <row r="20" spans="1:21" s="11" customFormat="1">
      <c r="A20" s="52" t="s">
        <v>134</v>
      </c>
      <c r="B20" s="53">
        <v>22.47</v>
      </c>
      <c r="C20" s="53">
        <v>72.209999999999994</v>
      </c>
      <c r="D20" s="53">
        <v>56.62</v>
      </c>
      <c r="E20" s="53">
        <v>9.56</v>
      </c>
      <c r="F20" s="53">
        <v>12.39</v>
      </c>
      <c r="G20" s="53">
        <v>73.42</v>
      </c>
      <c r="H20" s="53">
        <v>30.95</v>
      </c>
      <c r="I20" s="53">
        <v>8.1300000000000008</v>
      </c>
      <c r="J20" s="53">
        <v>1.01</v>
      </c>
      <c r="K20" s="53">
        <v>283.13</v>
      </c>
      <c r="L20" s="53">
        <v>34.44</v>
      </c>
      <c r="M20" s="53">
        <v>28.44</v>
      </c>
      <c r="N20" s="53">
        <v>832.1</v>
      </c>
      <c r="O20" s="53">
        <v>0</v>
      </c>
      <c r="P20" s="53">
        <v>0.83</v>
      </c>
      <c r="Q20" s="53">
        <v>5</v>
      </c>
      <c r="R20" s="42"/>
      <c r="S20" s="42"/>
      <c r="T20" s="42"/>
      <c r="U20" s="42"/>
    </row>
    <row r="21" spans="1:21" s="11" customFormat="1">
      <c r="A21" s="52" t="s">
        <v>133</v>
      </c>
      <c r="B21" s="53">
        <v>12.11</v>
      </c>
      <c r="C21" s="53">
        <v>67.64</v>
      </c>
      <c r="D21" s="53">
        <v>45.27</v>
      </c>
      <c r="E21" s="53">
        <v>9.99</v>
      </c>
      <c r="F21" s="53">
        <v>17.64</v>
      </c>
      <c r="G21" s="53">
        <v>63.6</v>
      </c>
      <c r="H21" s="53">
        <v>24.46</v>
      </c>
      <c r="I21" s="53">
        <v>7.63</v>
      </c>
      <c r="J21" s="53">
        <v>1.02</v>
      </c>
      <c r="K21" s="53">
        <v>288.49</v>
      </c>
      <c r="L21" s="53">
        <v>35.979999999999997</v>
      </c>
      <c r="M21" s="53">
        <v>26.2</v>
      </c>
      <c r="N21" s="53">
        <v>847.4</v>
      </c>
      <c r="O21" s="53">
        <v>0</v>
      </c>
      <c r="P21" s="53">
        <v>0.77</v>
      </c>
      <c r="Q21" s="53">
        <v>5</v>
      </c>
      <c r="R21" s="42"/>
      <c r="S21" s="42"/>
      <c r="T21" s="42"/>
      <c r="U21" s="42"/>
    </row>
    <row r="22" spans="1:21" s="11" customFormat="1">
      <c r="A22" s="52" t="s">
        <v>132</v>
      </c>
      <c r="B22" s="53">
        <v>8.86</v>
      </c>
      <c r="C22" s="53">
        <v>63.75</v>
      </c>
      <c r="D22" s="53">
        <v>40.729999999999997</v>
      </c>
      <c r="E22" s="53">
        <v>9.58</v>
      </c>
      <c r="F22" s="53">
        <v>17.57</v>
      </c>
      <c r="G22" s="53">
        <v>53.74</v>
      </c>
      <c r="H22" s="53">
        <v>24.46</v>
      </c>
      <c r="I22" s="53">
        <v>7.13</v>
      </c>
      <c r="J22" s="53">
        <v>1.19</v>
      </c>
      <c r="K22" s="53">
        <v>295.89</v>
      </c>
      <c r="L22" s="53">
        <v>36.479999999999997</v>
      </c>
      <c r="M22" s="53">
        <v>23.98</v>
      </c>
      <c r="N22" s="53">
        <v>786.6</v>
      </c>
      <c r="O22" s="53">
        <v>0</v>
      </c>
      <c r="P22" s="53">
        <v>0.69</v>
      </c>
      <c r="Q22" s="53">
        <v>5</v>
      </c>
      <c r="R22" s="42"/>
      <c r="S22" s="42"/>
      <c r="T22" s="42"/>
      <c r="U22" s="42"/>
    </row>
    <row r="23" spans="1:21" s="11" customFormat="1">
      <c r="A23" s="52" t="s">
        <v>131</v>
      </c>
      <c r="B23" s="53">
        <v>7.27</v>
      </c>
      <c r="C23" s="53">
        <v>64.58</v>
      </c>
      <c r="D23" s="53">
        <v>40.130000000000003</v>
      </c>
      <c r="E23" s="53">
        <v>9.48</v>
      </c>
      <c r="F23" s="53">
        <v>12.57</v>
      </c>
      <c r="G23" s="53">
        <v>43.79</v>
      </c>
      <c r="H23" s="53">
        <v>19.190000000000001</v>
      </c>
      <c r="I23" s="53">
        <v>6.47</v>
      </c>
      <c r="J23" s="53">
        <v>0.96</v>
      </c>
      <c r="K23" s="53">
        <v>296.76</v>
      </c>
      <c r="L23" s="53">
        <v>36.86</v>
      </c>
      <c r="M23" s="53">
        <v>22.4</v>
      </c>
      <c r="N23" s="53">
        <v>709.7</v>
      </c>
      <c r="O23" s="53">
        <v>0</v>
      </c>
      <c r="P23" s="53">
        <v>0.71</v>
      </c>
      <c r="Q23" s="53">
        <v>5</v>
      </c>
      <c r="R23" s="42"/>
      <c r="S23" s="42"/>
      <c r="T23" s="42"/>
      <c r="U23" s="42"/>
    </row>
    <row r="24" spans="1:21" s="11" customFormat="1">
      <c r="A24" s="52" t="s">
        <v>130</v>
      </c>
      <c r="B24" s="53">
        <v>5.88</v>
      </c>
      <c r="C24" s="53">
        <v>63.46</v>
      </c>
      <c r="D24" s="53">
        <v>38.75</v>
      </c>
      <c r="E24" s="53">
        <v>8.61</v>
      </c>
      <c r="F24" s="53">
        <v>14.74</v>
      </c>
      <c r="G24" s="53">
        <v>41.11</v>
      </c>
      <c r="H24" s="53">
        <v>16.39</v>
      </c>
      <c r="I24" s="53">
        <v>5.92</v>
      </c>
      <c r="J24" s="53">
        <v>0.77</v>
      </c>
      <c r="K24" s="53">
        <v>301.12</v>
      </c>
      <c r="L24" s="53">
        <v>36.22</v>
      </c>
      <c r="M24" s="53">
        <v>24.36</v>
      </c>
      <c r="N24" s="53">
        <v>478.7</v>
      </c>
      <c r="O24" s="53">
        <v>0</v>
      </c>
      <c r="P24" s="53">
        <v>0.67</v>
      </c>
      <c r="Q24" s="53">
        <v>5</v>
      </c>
      <c r="R24" s="42"/>
      <c r="S24" s="42"/>
      <c r="T24" s="42"/>
      <c r="U24" s="42"/>
    </row>
    <row r="25" spans="1:21" s="11" customFormat="1">
      <c r="A25" s="52" t="s">
        <v>129</v>
      </c>
      <c r="B25" s="53">
        <v>5.25</v>
      </c>
      <c r="C25" s="53">
        <v>61.29</v>
      </c>
      <c r="D25" s="53">
        <v>37.1</v>
      </c>
      <c r="E25" s="53">
        <v>8.86</v>
      </c>
      <c r="F25" s="53">
        <v>22.92</v>
      </c>
      <c r="G25" s="53">
        <v>36.53</v>
      </c>
      <c r="H25" s="53">
        <v>17.170000000000002</v>
      </c>
      <c r="I25" s="53">
        <v>5.25</v>
      </c>
      <c r="J25" s="53">
        <v>0.57999999999999996</v>
      </c>
      <c r="K25" s="53">
        <v>237.3</v>
      </c>
      <c r="L25" s="53">
        <v>35.79</v>
      </c>
      <c r="M25" s="53">
        <v>24.15</v>
      </c>
      <c r="N25" s="53">
        <v>327.39999999999998</v>
      </c>
      <c r="O25" s="53">
        <v>0</v>
      </c>
      <c r="P25" s="53">
        <v>0.6</v>
      </c>
      <c r="Q25" s="53">
        <v>5</v>
      </c>
      <c r="R25" s="42"/>
      <c r="S25" s="42"/>
      <c r="T25" s="42"/>
      <c r="U25" s="42"/>
    </row>
    <row r="26" spans="1:21" s="11" customFormat="1">
      <c r="A26" s="52" t="s">
        <v>128</v>
      </c>
      <c r="B26" s="53">
        <v>5.25</v>
      </c>
      <c r="C26" s="53">
        <v>53.86</v>
      </c>
      <c r="D26" s="53">
        <v>32.93</v>
      </c>
      <c r="E26" s="53">
        <v>10.38</v>
      </c>
      <c r="F26" s="53">
        <v>22.07</v>
      </c>
      <c r="G26" s="53">
        <v>33.46</v>
      </c>
      <c r="H26" s="53">
        <v>18.21</v>
      </c>
      <c r="I26" s="53">
        <v>4.6500000000000004</v>
      </c>
      <c r="J26" s="53">
        <v>0.34</v>
      </c>
      <c r="K26" s="53">
        <v>222.56</v>
      </c>
      <c r="L26" s="53">
        <v>35.07</v>
      </c>
      <c r="M26" s="53">
        <v>25.9</v>
      </c>
      <c r="N26" s="53">
        <v>80.599999999999994</v>
      </c>
      <c r="O26" s="53">
        <v>0</v>
      </c>
      <c r="P26" s="53">
        <v>0.6</v>
      </c>
      <c r="Q26" s="53">
        <v>5</v>
      </c>
      <c r="R26" s="42"/>
      <c r="S26" s="42"/>
      <c r="T26" s="42"/>
      <c r="U26" s="42"/>
    </row>
    <row r="27" spans="1:21" s="11" customFormat="1">
      <c r="A27" s="52" t="s">
        <v>127</v>
      </c>
      <c r="B27" s="53">
        <v>5.98</v>
      </c>
      <c r="C27" s="53">
        <v>54.99</v>
      </c>
      <c r="D27" s="53">
        <v>34.22</v>
      </c>
      <c r="E27" s="53">
        <v>9.86</v>
      </c>
      <c r="F27" s="53">
        <v>21.48</v>
      </c>
      <c r="G27" s="53">
        <v>35.49</v>
      </c>
      <c r="H27" s="53">
        <v>18.21</v>
      </c>
      <c r="I27" s="53">
        <v>4.6100000000000003</v>
      </c>
      <c r="J27" s="53">
        <v>0.18</v>
      </c>
      <c r="K27" s="53">
        <v>155.24</v>
      </c>
      <c r="L27" s="53">
        <v>32.03</v>
      </c>
      <c r="M27" s="53">
        <v>38.71</v>
      </c>
      <c r="N27" s="53">
        <v>0</v>
      </c>
      <c r="O27" s="53">
        <v>0</v>
      </c>
      <c r="P27" s="53">
        <v>0.6</v>
      </c>
      <c r="Q27" s="53">
        <v>5</v>
      </c>
      <c r="R27" s="42"/>
      <c r="S27" s="42"/>
      <c r="T27" s="42"/>
      <c r="U27" s="42"/>
    </row>
    <row r="28" spans="1:21" s="11" customFormat="1">
      <c r="A28" s="52" t="s">
        <v>126</v>
      </c>
      <c r="B28" s="53">
        <v>7.72</v>
      </c>
      <c r="C28" s="53">
        <v>53.05</v>
      </c>
      <c r="D28" s="53">
        <v>34.78</v>
      </c>
      <c r="E28" s="53">
        <v>10.27</v>
      </c>
      <c r="F28" s="53">
        <v>22.58</v>
      </c>
      <c r="G28" s="53">
        <v>37.79</v>
      </c>
      <c r="H28" s="53">
        <v>16.649999999999999</v>
      </c>
      <c r="I28" s="53">
        <v>4.83</v>
      </c>
      <c r="J28" s="53">
        <v>0.12</v>
      </c>
      <c r="K28" s="53">
        <v>173.45</v>
      </c>
      <c r="L28" s="53">
        <v>30.05</v>
      </c>
      <c r="M28" s="53">
        <v>47.74</v>
      </c>
      <c r="N28" s="53">
        <v>0</v>
      </c>
      <c r="O28" s="53">
        <v>0</v>
      </c>
      <c r="P28" s="53">
        <v>0.61</v>
      </c>
      <c r="Q28" s="53">
        <v>5</v>
      </c>
      <c r="R28" s="42"/>
      <c r="S28" s="42"/>
      <c r="T28" s="42"/>
      <c r="U28" s="42"/>
    </row>
    <row r="29" spans="1:21" s="11" customFormat="1">
      <c r="A29" s="52" t="s">
        <v>125</v>
      </c>
      <c r="B29" s="53">
        <v>9.9700000000000006</v>
      </c>
      <c r="C29" s="53">
        <v>55.59</v>
      </c>
      <c r="D29" s="53">
        <v>37.6</v>
      </c>
      <c r="E29" s="53">
        <v>10.7</v>
      </c>
      <c r="F29" s="53">
        <v>11.64</v>
      </c>
      <c r="G29" s="53">
        <v>38.47</v>
      </c>
      <c r="H29" s="53">
        <v>20.66</v>
      </c>
      <c r="I29" s="53">
        <v>5.1100000000000003</v>
      </c>
      <c r="J29" s="53">
        <v>0.13</v>
      </c>
      <c r="K29" s="53">
        <v>181.54</v>
      </c>
      <c r="L29" s="53">
        <v>28.5</v>
      </c>
      <c r="M29" s="53">
        <v>53.63</v>
      </c>
      <c r="N29" s="53">
        <v>0</v>
      </c>
      <c r="O29" s="53">
        <v>0</v>
      </c>
      <c r="P29" s="53">
        <v>0.64</v>
      </c>
      <c r="Q29" s="53">
        <v>5</v>
      </c>
      <c r="R29" s="42"/>
      <c r="S29" s="42"/>
      <c r="T29" s="42"/>
      <c r="U29" s="42"/>
    </row>
    <row r="30" spans="1:21" s="11" customFormat="1">
      <c r="A30" s="52" t="s">
        <v>124</v>
      </c>
      <c r="B30" s="53">
        <v>12.39</v>
      </c>
      <c r="C30" s="53">
        <v>58.35</v>
      </c>
      <c r="D30" s="53">
        <v>41.24</v>
      </c>
      <c r="E30" s="53">
        <v>10.17</v>
      </c>
      <c r="F30" s="53">
        <v>11.3</v>
      </c>
      <c r="G30" s="53">
        <v>41.8</v>
      </c>
      <c r="H30" s="53">
        <v>21.34</v>
      </c>
      <c r="I30" s="53">
        <v>5.53</v>
      </c>
      <c r="J30" s="53">
        <v>0.13</v>
      </c>
      <c r="K30" s="53">
        <v>233.01</v>
      </c>
      <c r="L30" s="53">
        <v>27.29</v>
      </c>
      <c r="M30" s="53">
        <v>56.75</v>
      </c>
      <c r="N30" s="53">
        <v>0</v>
      </c>
      <c r="O30" s="53">
        <v>0</v>
      </c>
      <c r="P30" s="53">
        <v>0.67</v>
      </c>
      <c r="Q30" s="53">
        <v>5</v>
      </c>
      <c r="R30" s="42"/>
      <c r="S30" s="42"/>
      <c r="T30" s="42"/>
      <c r="U30" s="42"/>
    </row>
    <row r="31" spans="1:21" s="11" customFormat="1">
      <c r="A31" s="52" t="s">
        <v>123</v>
      </c>
      <c r="B31" s="53">
        <v>15.15</v>
      </c>
      <c r="C31" s="53">
        <v>62.17</v>
      </c>
      <c r="D31" s="53">
        <v>45.51</v>
      </c>
      <c r="E31" s="53">
        <v>9.84</v>
      </c>
      <c r="F31" s="53">
        <v>7.88</v>
      </c>
      <c r="G31" s="53">
        <v>43.37</v>
      </c>
      <c r="H31" s="53">
        <v>23.42</v>
      </c>
      <c r="I31" s="53">
        <v>5.63</v>
      </c>
      <c r="J31" s="53">
        <v>0.15</v>
      </c>
      <c r="K31" s="53">
        <v>191.73</v>
      </c>
      <c r="L31" s="53">
        <v>26.71</v>
      </c>
      <c r="M31" s="53">
        <v>61.11</v>
      </c>
      <c r="N31" s="53">
        <v>0</v>
      </c>
      <c r="O31" s="53">
        <v>0</v>
      </c>
      <c r="P31" s="53">
        <v>0.69</v>
      </c>
      <c r="Q31" s="53">
        <v>5</v>
      </c>
      <c r="R31" s="42"/>
      <c r="S31" s="42"/>
      <c r="T31" s="42"/>
      <c r="U31" s="42"/>
    </row>
    <row r="32" spans="1:21" s="11" customFormat="1">
      <c r="A32" s="52" t="s">
        <v>122</v>
      </c>
      <c r="B32" s="53">
        <v>17.22</v>
      </c>
      <c r="C32" s="53">
        <v>64.099999999999994</v>
      </c>
      <c r="D32" s="53">
        <v>48.17</v>
      </c>
      <c r="E32" s="53">
        <v>9.58</v>
      </c>
      <c r="F32" s="53">
        <v>5.08</v>
      </c>
      <c r="G32" s="53">
        <v>44.36</v>
      </c>
      <c r="H32" s="53">
        <v>23.42</v>
      </c>
      <c r="I32" s="53">
        <v>5.78</v>
      </c>
      <c r="J32" s="53">
        <v>0.14000000000000001</v>
      </c>
      <c r="K32" s="53">
        <v>205.83</v>
      </c>
      <c r="L32" s="53">
        <v>25.68</v>
      </c>
      <c r="M32" s="53">
        <v>63.49</v>
      </c>
      <c r="N32" s="53">
        <v>0</v>
      </c>
      <c r="O32" s="53">
        <v>0</v>
      </c>
      <c r="P32" s="53">
        <v>0.71</v>
      </c>
      <c r="Q32" s="53">
        <v>5</v>
      </c>
      <c r="R32" s="42"/>
      <c r="S32" s="42"/>
      <c r="T32" s="42"/>
      <c r="U32" s="42"/>
    </row>
    <row r="33" spans="1:21" s="21" customFormat="1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>
      <c r="A34" s="27" t="s">
        <v>30</v>
      </c>
      <c r="B34" s="28">
        <f>MIN(B9:B32)</f>
        <v>5.25</v>
      </c>
      <c r="C34" s="28">
        <f t="shared" ref="C34:Q34" si="0">MIN(C9:C32)</f>
        <v>53.05</v>
      </c>
      <c r="D34" s="28">
        <f t="shared" si="0"/>
        <v>32.93</v>
      </c>
      <c r="E34" s="28">
        <f t="shared" si="0"/>
        <v>7.32</v>
      </c>
      <c r="F34" s="28">
        <f t="shared" si="0"/>
        <v>3.8</v>
      </c>
      <c r="G34" s="28">
        <f t="shared" si="0"/>
        <v>33.46</v>
      </c>
      <c r="H34" s="28">
        <f t="shared" si="0"/>
        <v>16.39</v>
      </c>
      <c r="I34" s="28">
        <f t="shared" si="0"/>
        <v>4.6100000000000003</v>
      </c>
      <c r="J34" s="28">
        <f t="shared" si="0"/>
        <v>0.12</v>
      </c>
      <c r="K34" s="28">
        <f t="shared" si="0"/>
        <v>67.64</v>
      </c>
      <c r="L34" s="28">
        <f t="shared" si="0"/>
        <v>22.1</v>
      </c>
      <c r="M34" s="28">
        <f t="shared" si="0"/>
        <v>22.4</v>
      </c>
      <c r="N34" s="28">
        <f t="shared" si="0"/>
        <v>0</v>
      </c>
      <c r="O34" s="28">
        <f t="shared" si="0"/>
        <v>0</v>
      </c>
      <c r="P34" s="28">
        <f t="shared" si="0"/>
        <v>0.6</v>
      </c>
      <c r="Q34" s="28">
        <f t="shared" si="0"/>
        <v>4.9400000000000004</v>
      </c>
      <c r="R34" s="28"/>
      <c r="S34" s="28"/>
      <c r="T34" s="28"/>
      <c r="U34" s="28"/>
    </row>
    <row r="35" spans="1:21" s="21" customFormat="1">
      <c r="A35" s="27" t="s">
        <v>31</v>
      </c>
      <c r="B35" s="29">
        <f>MAX(B9:B32)</f>
        <v>67.680000000000007</v>
      </c>
      <c r="C35" s="29">
        <f t="shared" ref="C35:Q35" si="1">MAX(C9:C32)</f>
        <v>75</v>
      </c>
      <c r="D35" s="29">
        <f t="shared" si="1"/>
        <v>93.02</v>
      </c>
      <c r="E35" s="29">
        <f t="shared" si="1"/>
        <v>10.7</v>
      </c>
      <c r="F35" s="29">
        <f t="shared" si="1"/>
        <v>22.92</v>
      </c>
      <c r="G35" s="29">
        <f t="shared" si="1"/>
        <v>125</v>
      </c>
      <c r="H35" s="29">
        <f t="shared" si="1"/>
        <v>42.07</v>
      </c>
      <c r="I35" s="29">
        <f t="shared" si="1"/>
        <v>9.76</v>
      </c>
      <c r="J35" s="29">
        <f t="shared" si="1"/>
        <v>1.19</v>
      </c>
      <c r="K35" s="29">
        <f t="shared" si="1"/>
        <v>301.12</v>
      </c>
      <c r="L35" s="29">
        <f t="shared" si="1"/>
        <v>36.86</v>
      </c>
      <c r="M35" s="29">
        <f t="shared" si="1"/>
        <v>73.09</v>
      </c>
      <c r="N35" s="29">
        <f t="shared" si="1"/>
        <v>847.4</v>
      </c>
      <c r="O35" s="29">
        <f t="shared" si="1"/>
        <v>0</v>
      </c>
      <c r="P35" s="29">
        <f t="shared" si="1"/>
        <v>1.0900000000000001</v>
      </c>
      <c r="Q35" s="29">
        <f t="shared" si="1"/>
        <v>5.8</v>
      </c>
      <c r="R35" s="29"/>
      <c r="S35" s="29"/>
      <c r="T35" s="29"/>
      <c r="U35" s="29"/>
    </row>
    <row r="36" spans="1:21" s="21" customFormat="1">
      <c r="A36" s="27" t="s">
        <v>32</v>
      </c>
      <c r="B36" s="28">
        <f>AVERAGE(B9:B32)</f>
        <v>32.780833333333334</v>
      </c>
      <c r="C36" s="28">
        <f t="shared" ref="C36:Q36" si="2">AVERAGE(C9:C32)</f>
        <v>66.270833333333329</v>
      </c>
      <c r="D36" s="28">
        <f t="shared" si="2"/>
        <v>61.52791666666667</v>
      </c>
      <c r="E36" s="28">
        <f t="shared" si="2"/>
        <v>9.1058333333333348</v>
      </c>
      <c r="F36" s="28">
        <f t="shared" si="2"/>
        <v>10.355416666666667</v>
      </c>
      <c r="G36" s="28">
        <f t="shared" si="2"/>
        <v>70.74166666666666</v>
      </c>
      <c r="H36" s="28">
        <f t="shared" si="2"/>
        <v>27.881249999999994</v>
      </c>
      <c r="I36" s="28">
        <f t="shared" si="2"/>
        <v>7.3625000000000016</v>
      </c>
      <c r="J36" s="28">
        <f t="shared" si="2"/>
        <v>0.49541666666666662</v>
      </c>
      <c r="K36" s="28">
        <f t="shared" si="2"/>
        <v>204.32749999999999</v>
      </c>
      <c r="L36" s="28">
        <f t="shared" si="2"/>
        <v>29.225416666666661</v>
      </c>
      <c r="M36" s="28">
        <f t="shared" si="2"/>
        <v>48.303333333333342</v>
      </c>
      <c r="N36" s="28">
        <f t="shared" si="2"/>
        <v>250.73333333333335</v>
      </c>
      <c r="O36" s="28">
        <f t="shared" si="2"/>
        <v>0</v>
      </c>
      <c r="P36" s="28">
        <f t="shared" si="2"/>
        <v>0.81875000000000009</v>
      </c>
      <c r="Q36" s="28">
        <f t="shared" si="2"/>
        <v>5.1316666666666668</v>
      </c>
      <c r="R36" s="28"/>
      <c r="S36" s="28"/>
      <c r="T36" s="28"/>
      <c r="U36" s="28"/>
    </row>
    <row r="37" spans="1:21" s="21" customFormat="1">
      <c r="A37" s="27" t="s">
        <v>38</v>
      </c>
      <c r="B37" s="28">
        <f>STDEV(B9:B32)</f>
        <v>25.909372136212681</v>
      </c>
      <c r="C37" s="28">
        <f t="shared" ref="C37:Q37" si="3">STDEV(C9:C32)</f>
        <v>7.1456991726960322</v>
      </c>
      <c r="D37" s="28">
        <f t="shared" si="3"/>
        <v>23.795860615399796</v>
      </c>
      <c r="E37" s="28">
        <f t="shared" si="3"/>
        <v>0.97368380130692167</v>
      </c>
      <c r="F37" s="28">
        <f t="shared" si="3"/>
        <v>7.0600387849449913</v>
      </c>
      <c r="G37" s="28">
        <f t="shared" si="3"/>
        <v>31.707510791289049</v>
      </c>
      <c r="H37" s="28">
        <f t="shared" si="3"/>
        <v>8.7172559067334081</v>
      </c>
      <c r="I37" s="28">
        <f t="shared" si="3"/>
        <v>1.8415358665597679</v>
      </c>
      <c r="J37" s="28">
        <f t="shared" si="3"/>
        <v>0.34623414001242714</v>
      </c>
      <c r="K37" s="28">
        <f t="shared" si="3"/>
        <v>67.990768443063416</v>
      </c>
      <c r="L37" s="28">
        <f t="shared" si="3"/>
        <v>5.3820692474231757</v>
      </c>
      <c r="M37" s="28">
        <f t="shared" si="3"/>
        <v>18.372690192988486</v>
      </c>
      <c r="N37" s="28">
        <f t="shared" si="3"/>
        <v>327.32659354317622</v>
      </c>
      <c r="O37" s="28">
        <f t="shared" si="3"/>
        <v>0</v>
      </c>
      <c r="P37" s="28">
        <f t="shared" si="3"/>
        <v>0.17048045916327656</v>
      </c>
      <c r="Q37" s="28">
        <f t="shared" si="3"/>
        <v>0.24547499060901032</v>
      </c>
      <c r="R37" s="28"/>
      <c r="S37" s="28"/>
      <c r="T37" s="28"/>
      <c r="U37" s="28"/>
    </row>
    <row r="38" spans="1:21" s="21" customFormat="1">
      <c r="A38" s="31" t="s">
        <v>33</v>
      </c>
      <c r="B38" s="32">
        <f>COUNT(B9:B32)</f>
        <v>24</v>
      </c>
      <c r="C38" s="32">
        <f t="shared" ref="C38:Q38" si="4">COUNT(C9:C32)</f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>
      <c r="A42" s="13"/>
    </row>
    <row r="43" spans="1:21" s="21" customFormat="1">
      <c r="A43" s="14" t="s">
        <v>35</v>
      </c>
      <c r="B43" s="39" t="s">
        <v>58</v>
      </c>
      <c r="C43" s="41"/>
    </row>
    <row r="44" spans="1:21" s="21" customFormat="1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0"/>
      <c r="C45" s="40"/>
      <c r="D45" s="40"/>
      <c r="E45" s="40"/>
      <c r="F45" s="40"/>
      <c r="G45" s="40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</row>
    <row r="46" spans="1:21" s="21" customFormat="1"/>
    <row r="47" spans="1:21" s="21" customFormat="1"/>
    <row r="48" spans="1:21" s="21" customFormat="1"/>
    <row r="49" s="21" customFormat="1"/>
    <row r="50" s="21" customFormat="1"/>
    <row r="51" s="21" customFormat="1"/>
    <row r="52" s="21" customFormat="1"/>
    <row r="53" s="21" customFormat="1"/>
    <row r="54" s="21" customFormat="1"/>
    <row r="55" s="21" customFormat="1"/>
    <row r="56" s="21" customFormat="1"/>
    <row r="57" s="21" customFormat="1"/>
    <row r="58" s="21" customFormat="1"/>
    <row r="59" s="21" customFormat="1"/>
    <row r="60" s="21" customFormat="1"/>
    <row r="61" s="21" customFormat="1"/>
    <row r="62" s="21" customFormat="1"/>
    <row r="63" s="21" customFormat="1"/>
    <row r="64" s="21" customFormat="1"/>
    <row r="65" s="21" customFormat="1"/>
    <row r="66" s="21" customFormat="1"/>
    <row r="67" s="21" customFormat="1"/>
    <row r="68" s="21" customFormat="1"/>
    <row r="69" s="21" customFormat="1"/>
    <row r="70" s="21" customFormat="1"/>
    <row r="71" s="21" customFormat="1"/>
    <row r="72" s="21" customFormat="1"/>
    <row r="73" s="21" customFormat="1"/>
    <row r="74" s="21" customFormat="1"/>
    <row r="75" s="21" customFormat="1"/>
    <row r="76" s="21" customFormat="1"/>
    <row r="77" s="21" customFormat="1"/>
    <row r="78" s="21" customFormat="1"/>
    <row r="79" s="21" customFormat="1"/>
    <row r="80" s="21" customFormat="1"/>
    <row r="81" s="21" customFormat="1"/>
    <row r="82" s="21" customFormat="1"/>
    <row r="83" s="21" customFormat="1"/>
    <row r="84" s="21" customFormat="1"/>
    <row r="85" s="21" customFormat="1"/>
    <row r="86" s="21" customFormat="1"/>
    <row r="87" s="21" customFormat="1"/>
    <row r="88" s="21" customFormat="1"/>
    <row r="89" s="21" customFormat="1"/>
    <row r="90" s="21" customFormat="1"/>
    <row r="91" s="21" customFormat="1"/>
    <row r="92" s="21" customFormat="1"/>
    <row r="93" s="21" customFormat="1"/>
    <row r="94" s="21" customFormat="1"/>
    <row r="95" s="21" customFormat="1"/>
    <row r="96" s="21" customFormat="1"/>
    <row r="97" spans="1:1" s="21" customFormat="1"/>
    <row r="98" spans="1:1" s="21" customFormat="1"/>
    <row r="99" spans="1:1" s="21" customFormat="1"/>
    <row r="100" spans="1:1" s="21" customFormat="1"/>
    <row r="101" spans="1:1" s="21" customFormat="1"/>
    <row r="102" spans="1:1" s="21" customFormat="1"/>
    <row r="103" spans="1:1" s="21" customFormat="1"/>
    <row r="104" spans="1:1" s="21" customFormat="1"/>
    <row r="105" spans="1:1" s="21" customFormat="1"/>
    <row r="106" spans="1:1">
      <c r="A106" s="20"/>
    </row>
    <row r="107" spans="1:1" s="21" customFormat="1"/>
    <row r="108" spans="1:1" s="21" customFormat="1"/>
    <row r="109" spans="1:1" s="21" customFormat="1"/>
    <row r="110" spans="1:1" s="21" customFormat="1"/>
    <row r="111" spans="1:1" s="21" customFormat="1"/>
    <row r="112" spans="1:1" s="21" customFormat="1"/>
    <row r="113" spans="1:1" s="21" customFormat="1"/>
    <row r="114" spans="1:1" s="21" customFormat="1"/>
    <row r="115" spans="1:1" s="21" customFormat="1"/>
    <row r="116" spans="1:1" s="21" customFormat="1"/>
    <row r="117" spans="1:1" s="21" customFormat="1"/>
    <row r="118" spans="1:1">
      <c r="A118" s="20"/>
    </row>
    <row r="119" spans="1:1">
      <c r="A119" s="20"/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2" ySplit="8" topLeftCell="C21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A9" sqref="A9:Q32"/>
    </sheetView>
  </sheetViews>
  <sheetFormatPr defaultColWidth="8.85546875" defaultRowHeight="15"/>
  <cols>
    <col min="1" max="1" width="15.140625" style="26" customWidth="1"/>
    <col min="2" max="2" width="14.28515625" style="20" customWidth="1"/>
    <col min="3" max="3" width="10.140625" style="20" bestFit="1" customWidth="1"/>
    <col min="4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>
      <c r="A1" s="14" t="s">
        <v>2</v>
      </c>
      <c r="B1" s="23" t="s">
        <v>55</v>
      </c>
      <c r="C1" s="36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>
      <c r="A2" s="14" t="s">
        <v>0</v>
      </c>
      <c r="B2" s="37" t="str">
        <f>$A$9</f>
        <v>04/04/2023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8" t="s">
        <v>7</v>
      </c>
      <c r="Q2" s="12"/>
      <c r="R2" s="8" t="s">
        <v>8</v>
      </c>
      <c r="S2" s="11"/>
      <c r="T2" s="11"/>
      <c r="U2" s="11"/>
    </row>
    <row r="3" spans="1:21" s="21" customFormat="1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8" t="s">
        <v>15</v>
      </c>
      <c r="Q3" s="12"/>
      <c r="R3" s="9" t="s">
        <v>15</v>
      </c>
      <c r="S3" s="11"/>
      <c r="T3" s="11"/>
      <c r="U3" s="11"/>
    </row>
    <row r="4" spans="1:21" s="21" customFormat="1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>
      <c r="A7" s="25" t="s">
        <v>21</v>
      </c>
      <c r="B7" s="48" t="s">
        <v>40</v>
      </c>
      <c r="C7" s="49" t="s">
        <v>41</v>
      </c>
      <c r="D7" s="49" t="s">
        <v>42</v>
      </c>
      <c r="E7" s="49" t="s">
        <v>43</v>
      </c>
      <c r="F7" s="49" t="s">
        <v>44</v>
      </c>
      <c r="G7" s="49" t="s">
        <v>45</v>
      </c>
      <c r="H7" s="49" t="s">
        <v>56</v>
      </c>
      <c r="I7" s="49" t="s">
        <v>46</v>
      </c>
      <c r="J7" s="49" t="s">
        <v>47</v>
      </c>
      <c r="K7" s="49" t="s">
        <v>48</v>
      </c>
      <c r="L7" s="49" t="s">
        <v>49</v>
      </c>
      <c r="M7" s="49" t="s">
        <v>50</v>
      </c>
      <c r="N7" s="49" t="s">
        <v>51</v>
      </c>
      <c r="O7" s="49" t="s">
        <v>52</v>
      </c>
      <c r="P7" s="49" t="s">
        <v>53</v>
      </c>
      <c r="Q7" s="49" t="s">
        <v>54</v>
      </c>
      <c r="R7" s="27"/>
      <c r="S7" s="29"/>
      <c r="T7" s="27"/>
      <c r="U7" s="27"/>
    </row>
    <row r="8" spans="1:21" s="21" customFormat="1">
      <c r="A8" s="25"/>
      <c r="B8" s="50" t="s">
        <v>22</v>
      </c>
      <c r="C8" s="50" t="s">
        <v>22</v>
      </c>
      <c r="D8" s="50" t="s">
        <v>22</v>
      </c>
      <c r="E8" s="50" t="s">
        <v>22</v>
      </c>
      <c r="F8" s="50" t="s">
        <v>22</v>
      </c>
      <c r="G8" s="50" t="s">
        <v>23</v>
      </c>
      <c r="H8" s="50" t="s">
        <v>22</v>
      </c>
      <c r="I8" s="50" t="s">
        <v>22</v>
      </c>
      <c r="J8" s="50" t="s">
        <v>24</v>
      </c>
      <c r="K8" s="50" t="s">
        <v>25</v>
      </c>
      <c r="L8" s="25" t="s">
        <v>27</v>
      </c>
      <c r="M8" s="50" t="s">
        <v>26</v>
      </c>
      <c r="N8" s="50" t="s">
        <v>28</v>
      </c>
      <c r="O8" s="25" t="s">
        <v>29</v>
      </c>
      <c r="P8" s="50" t="s">
        <v>22</v>
      </c>
      <c r="Q8" s="50" t="s">
        <v>22</v>
      </c>
      <c r="R8" s="27"/>
      <c r="S8" s="29"/>
      <c r="T8" s="27"/>
      <c r="U8" s="27"/>
    </row>
    <row r="9" spans="1:21" s="11" customFormat="1">
      <c r="A9" s="52" t="s">
        <v>146</v>
      </c>
      <c r="B9" s="53">
        <v>18.11</v>
      </c>
      <c r="C9" s="53">
        <v>67.75</v>
      </c>
      <c r="D9" s="53">
        <v>50.48</v>
      </c>
      <c r="E9" s="53">
        <v>9.51</v>
      </c>
      <c r="F9" s="53">
        <v>4.5</v>
      </c>
      <c r="G9" s="53">
        <v>44.36</v>
      </c>
      <c r="H9" s="53">
        <v>22.43</v>
      </c>
      <c r="I9" s="53">
        <v>5.82</v>
      </c>
      <c r="J9" s="53">
        <v>0.15</v>
      </c>
      <c r="K9" s="53">
        <v>198.57</v>
      </c>
      <c r="L9" s="53">
        <v>25.76</v>
      </c>
      <c r="M9" s="53">
        <v>60.71</v>
      </c>
      <c r="N9" s="53">
        <v>0</v>
      </c>
      <c r="O9" s="53">
        <v>0</v>
      </c>
      <c r="P9" s="53">
        <v>0.72</v>
      </c>
      <c r="Q9" s="53">
        <v>5</v>
      </c>
      <c r="R9" s="42"/>
      <c r="S9" s="42"/>
      <c r="T9" s="42"/>
      <c r="U9" s="42"/>
    </row>
    <row r="10" spans="1:21" s="11" customFormat="1">
      <c r="A10" s="52" t="s">
        <v>147</v>
      </c>
      <c r="B10" s="53">
        <v>17.54</v>
      </c>
      <c r="C10" s="53">
        <v>68.489999999999995</v>
      </c>
      <c r="D10" s="53">
        <v>50.4</v>
      </c>
      <c r="E10" s="53">
        <v>9.19</v>
      </c>
      <c r="F10" s="53">
        <v>4.3600000000000003</v>
      </c>
      <c r="G10" s="53">
        <v>42.07</v>
      </c>
      <c r="H10" s="53">
        <v>22.43</v>
      </c>
      <c r="I10" s="53">
        <v>5.68</v>
      </c>
      <c r="J10" s="53">
        <v>0.19</v>
      </c>
      <c r="K10" s="53">
        <v>177.51</v>
      </c>
      <c r="L10" s="53">
        <v>25.59</v>
      </c>
      <c r="M10" s="53">
        <v>62.54</v>
      </c>
      <c r="N10" s="53">
        <v>0</v>
      </c>
      <c r="O10" s="53">
        <v>0</v>
      </c>
      <c r="P10" s="53">
        <v>0.71</v>
      </c>
      <c r="Q10" s="53">
        <v>5</v>
      </c>
      <c r="R10" s="42"/>
      <c r="S10" s="42"/>
      <c r="T10" s="42"/>
      <c r="U10" s="42"/>
    </row>
    <row r="11" spans="1:21" s="11" customFormat="1">
      <c r="A11" s="52" t="s">
        <v>148</v>
      </c>
      <c r="B11" s="53">
        <v>17.149999999999999</v>
      </c>
      <c r="C11" s="53">
        <v>68.78</v>
      </c>
      <c r="D11" s="53">
        <v>50.42</v>
      </c>
      <c r="E11" s="53">
        <v>7.41</v>
      </c>
      <c r="F11" s="53">
        <v>3.88</v>
      </c>
      <c r="G11" s="53">
        <v>40.08</v>
      </c>
      <c r="H11" s="53">
        <v>19.95</v>
      </c>
      <c r="I11" s="53">
        <v>5.46</v>
      </c>
      <c r="J11" s="53">
        <v>0.22</v>
      </c>
      <c r="K11" s="53">
        <v>154.5</v>
      </c>
      <c r="L11" s="53">
        <v>25.17</v>
      </c>
      <c r="M11" s="53">
        <v>69.78</v>
      </c>
      <c r="N11" s="53">
        <v>0</v>
      </c>
      <c r="O11" s="53">
        <v>0</v>
      </c>
      <c r="P11" s="53">
        <v>0.69</v>
      </c>
      <c r="Q11" s="53">
        <v>5</v>
      </c>
      <c r="R11" s="42"/>
      <c r="S11" s="42"/>
      <c r="T11" s="42"/>
      <c r="U11" s="42"/>
    </row>
    <row r="12" spans="1:21" s="11" customFormat="1">
      <c r="A12" s="52" t="s">
        <v>149</v>
      </c>
      <c r="B12" s="53">
        <v>17.760000000000002</v>
      </c>
      <c r="C12" s="53">
        <v>68.41</v>
      </c>
      <c r="D12" s="53">
        <v>50.84</v>
      </c>
      <c r="E12" s="53">
        <v>7.55</v>
      </c>
      <c r="F12" s="53">
        <v>3.87</v>
      </c>
      <c r="G12" s="53">
        <v>37.04</v>
      </c>
      <c r="H12" s="53">
        <v>19.95</v>
      </c>
      <c r="I12" s="53">
        <v>5.18</v>
      </c>
      <c r="J12" s="53">
        <v>0.18</v>
      </c>
      <c r="K12" s="53">
        <v>185.07</v>
      </c>
      <c r="L12" s="53">
        <v>24.32</v>
      </c>
      <c r="M12" s="53">
        <v>70.84</v>
      </c>
      <c r="N12" s="53">
        <v>0</v>
      </c>
      <c r="O12" s="53">
        <v>0</v>
      </c>
      <c r="P12" s="53">
        <v>0.67</v>
      </c>
      <c r="Q12" s="53">
        <v>5</v>
      </c>
      <c r="R12" s="42"/>
      <c r="S12" s="42"/>
      <c r="T12" s="42"/>
      <c r="U12" s="42"/>
    </row>
    <row r="13" spans="1:21" s="11" customFormat="1">
      <c r="A13" s="52" t="s">
        <v>150</v>
      </c>
      <c r="B13" s="53">
        <v>21.48</v>
      </c>
      <c r="C13" s="53">
        <v>69.540000000000006</v>
      </c>
      <c r="D13" s="53">
        <v>53.4</v>
      </c>
      <c r="E13" s="53">
        <v>7.63</v>
      </c>
      <c r="F13" s="53">
        <v>4</v>
      </c>
      <c r="G13" s="53">
        <v>36.380000000000003</v>
      </c>
      <c r="H13" s="53">
        <v>19.05</v>
      </c>
      <c r="I13" s="53">
        <v>4.9800000000000004</v>
      </c>
      <c r="J13" s="53">
        <v>0.17</v>
      </c>
      <c r="K13" s="53">
        <v>145.72</v>
      </c>
      <c r="L13" s="53">
        <v>24.72</v>
      </c>
      <c r="M13" s="53">
        <v>69.14</v>
      </c>
      <c r="N13" s="53">
        <v>0</v>
      </c>
      <c r="O13" s="53">
        <v>0</v>
      </c>
      <c r="P13" s="53">
        <v>0.65</v>
      </c>
      <c r="Q13" s="53">
        <v>5</v>
      </c>
      <c r="R13" s="42"/>
      <c r="S13" s="42"/>
      <c r="T13" s="42"/>
      <c r="U13" s="42"/>
    </row>
    <row r="14" spans="1:21" s="11" customFormat="1">
      <c r="A14" s="52" t="s">
        <v>151</v>
      </c>
      <c r="B14" s="53">
        <v>23.94</v>
      </c>
      <c r="C14" s="53">
        <v>67.64</v>
      </c>
      <c r="D14" s="53">
        <v>55.41</v>
      </c>
      <c r="E14" s="53">
        <v>7.75</v>
      </c>
      <c r="F14" s="53">
        <v>4.07</v>
      </c>
      <c r="G14" s="53">
        <v>36.229999999999997</v>
      </c>
      <c r="H14" s="53">
        <v>20.69</v>
      </c>
      <c r="I14" s="53">
        <v>4.83</v>
      </c>
      <c r="J14" s="53">
        <v>0.27</v>
      </c>
      <c r="K14" s="53">
        <v>169.27</v>
      </c>
      <c r="L14" s="53">
        <v>23.81</v>
      </c>
      <c r="M14" s="53">
        <v>72.91</v>
      </c>
      <c r="N14" s="53">
        <v>0</v>
      </c>
      <c r="O14" s="53">
        <v>0</v>
      </c>
      <c r="P14" s="53">
        <v>0.61</v>
      </c>
      <c r="Q14" s="53">
        <v>5</v>
      </c>
      <c r="R14" s="42"/>
      <c r="S14" s="42"/>
      <c r="T14" s="42"/>
      <c r="U14" s="42"/>
    </row>
    <row r="15" spans="1:21" s="11" customFormat="1">
      <c r="A15" s="52" t="s">
        <v>152</v>
      </c>
      <c r="B15" s="53">
        <v>25.6</v>
      </c>
      <c r="C15" s="53">
        <v>67.599999999999994</v>
      </c>
      <c r="D15" s="53">
        <v>56.42</v>
      </c>
      <c r="E15" s="53">
        <v>8.19</v>
      </c>
      <c r="F15" s="53">
        <v>3.79</v>
      </c>
      <c r="G15" s="53">
        <v>38.1</v>
      </c>
      <c r="H15" s="53">
        <v>21.3</v>
      </c>
      <c r="I15" s="53">
        <v>4.8600000000000003</v>
      </c>
      <c r="J15" s="53">
        <v>0.27</v>
      </c>
      <c r="K15" s="53">
        <v>173.39</v>
      </c>
      <c r="L15" s="53">
        <v>24.84</v>
      </c>
      <c r="M15" s="53">
        <v>74.31</v>
      </c>
      <c r="N15" s="53">
        <v>46.1</v>
      </c>
      <c r="O15" s="53">
        <v>0</v>
      </c>
      <c r="P15" s="53">
        <v>0.61</v>
      </c>
      <c r="Q15" s="53">
        <v>5</v>
      </c>
      <c r="R15" s="42"/>
      <c r="S15" s="42"/>
      <c r="T15" s="42"/>
      <c r="U15" s="42"/>
    </row>
    <row r="16" spans="1:21" s="11" customFormat="1">
      <c r="A16" s="52" t="s">
        <v>153</v>
      </c>
      <c r="B16" s="53">
        <v>26.01</v>
      </c>
      <c r="C16" s="53">
        <v>67.569999999999993</v>
      </c>
      <c r="D16" s="53">
        <v>57.04</v>
      </c>
      <c r="E16" s="53">
        <v>8.18</v>
      </c>
      <c r="F16" s="53">
        <v>4.1500000000000004</v>
      </c>
      <c r="G16" s="53">
        <v>38.1</v>
      </c>
      <c r="H16" s="53">
        <v>21.3</v>
      </c>
      <c r="I16" s="53">
        <v>5.1100000000000003</v>
      </c>
      <c r="J16" s="53">
        <v>0.49</v>
      </c>
      <c r="K16" s="53">
        <v>235.21</v>
      </c>
      <c r="L16" s="53">
        <v>28.39</v>
      </c>
      <c r="M16" s="53">
        <v>65.150000000000006</v>
      </c>
      <c r="N16" s="53">
        <v>232.2</v>
      </c>
      <c r="O16" s="53">
        <v>0</v>
      </c>
      <c r="P16" s="53">
        <v>0.63</v>
      </c>
      <c r="Q16" s="53">
        <v>5</v>
      </c>
      <c r="R16" s="42"/>
      <c r="S16" s="42"/>
      <c r="T16" s="42"/>
      <c r="U16" s="42"/>
    </row>
    <row r="17" spans="1:21" s="11" customFormat="1">
      <c r="A17" s="52" t="s">
        <v>154</v>
      </c>
      <c r="B17" s="53">
        <v>24.93</v>
      </c>
      <c r="C17" s="53">
        <v>64.930000000000007</v>
      </c>
      <c r="D17" s="53">
        <v>54.79</v>
      </c>
      <c r="E17" s="53">
        <v>8.35</v>
      </c>
      <c r="F17" s="53">
        <v>5.99</v>
      </c>
      <c r="G17" s="53">
        <v>38.630000000000003</v>
      </c>
      <c r="H17" s="53">
        <v>20.420000000000002</v>
      </c>
      <c r="I17" s="53">
        <v>5.19</v>
      </c>
      <c r="J17" s="53">
        <v>0.94</v>
      </c>
      <c r="K17" s="53">
        <v>250.08</v>
      </c>
      <c r="L17" s="53">
        <v>31.07</v>
      </c>
      <c r="M17" s="53">
        <v>48.92</v>
      </c>
      <c r="N17" s="53">
        <v>270.39999999999998</v>
      </c>
      <c r="O17" s="53">
        <v>0</v>
      </c>
      <c r="P17" s="53">
        <v>0.63</v>
      </c>
      <c r="Q17" s="53">
        <v>5</v>
      </c>
      <c r="R17" s="42"/>
      <c r="S17" s="42"/>
      <c r="T17" s="42"/>
      <c r="U17" s="42"/>
    </row>
    <row r="18" spans="1:21" s="11" customFormat="1">
      <c r="A18" s="52" t="s">
        <v>155</v>
      </c>
      <c r="B18" s="53">
        <v>20.29</v>
      </c>
      <c r="C18" s="53">
        <v>65.099999999999994</v>
      </c>
      <c r="D18" s="53">
        <v>51.16</v>
      </c>
      <c r="E18" s="53">
        <v>8.1300000000000008</v>
      </c>
      <c r="F18" s="53">
        <v>6.78</v>
      </c>
      <c r="G18" s="53">
        <v>41.09</v>
      </c>
      <c r="H18" s="53">
        <v>21.72</v>
      </c>
      <c r="I18" s="53">
        <v>5.12</v>
      </c>
      <c r="J18" s="53">
        <v>1.28</v>
      </c>
      <c r="K18" s="53">
        <v>236.53</v>
      </c>
      <c r="L18" s="53">
        <v>32.369999999999997</v>
      </c>
      <c r="M18" s="53">
        <v>48.43</v>
      </c>
      <c r="N18" s="53">
        <v>566.20000000000005</v>
      </c>
      <c r="O18" s="53">
        <v>0</v>
      </c>
      <c r="P18" s="53">
        <v>0.62</v>
      </c>
      <c r="Q18" s="53">
        <v>5</v>
      </c>
      <c r="R18" s="42"/>
      <c r="S18" s="42"/>
      <c r="T18" s="42"/>
      <c r="U18" s="42"/>
    </row>
    <row r="19" spans="1:21" s="11" customFormat="1">
      <c r="A19" s="52" t="s">
        <v>156</v>
      </c>
      <c r="B19" s="53">
        <v>14.82</v>
      </c>
      <c r="C19" s="53">
        <v>66.040000000000006</v>
      </c>
      <c r="D19" s="53">
        <v>47.26</v>
      </c>
      <c r="E19" s="53">
        <v>7.89</v>
      </c>
      <c r="F19" s="53">
        <v>7.53</v>
      </c>
      <c r="G19" s="53">
        <v>41.18</v>
      </c>
      <c r="H19" s="53">
        <v>21.72</v>
      </c>
      <c r="I19" s="53">
        <v>5</v>
      </c>
      <c r="J19" s="53">
        <v>1.42</v>
      </c>
      <c r="K19" s="53">
        <v>265.69</v>
      </c>
      <c r="L19" s="53">
        <v>34.159999999999997</v>
      </c>
      <c r="M19" s="53">
        <v>47.71</v>
      </c>
      <c r="N19" s="53">
        <v>718.7</v>
      </c>
      <c r="O19" s="53">
        <v>0</v>
      </c>
      <c r="P19" s="53">
        <v>0.62</v>
      </c>
      <c r="Q19" s="53">
        <v>5</v>
      </c>
      <c r="R19" s="42"/>
      <c r="S19" s="42"/>
      <c r="T19" s="42"/>
      <c r="U19" s="42"/>
    </row>
    <row r="20" spans="1:21" s="11" customFormat="1">
      <c r="A20" s="52" t="s">
        <v>157</v>
      </c>
      <c r="B20" s="53">
        <v>10.48</v>
      </c>
      <c r="C20" s="53">
        <v>66.84</v>
      </c>
      <c r="D20" s="53">
        <v>43.91</v>
      </c>
      <c r="E20" s="53">
        <v>8.58</v>
      </c>
      <c r="F20" s="53">
        <v>9.56</v>
      </c>
      <c r="G20" s="53">
        <v>41.18</v>
      </c>
      <c r="H20" s="53">
        <v>21.47</v>
      </c>
      <c r="I20" s="53">
        <v>4.62</v>
      </c>
      <c r="J20" s="53">
        <v>1.52</v>
      </c>
      <c r="K20" s="53">
        <v>282.77999999999997</v>
      </c>
      <c r="L20" s="53">
        <v>35.21</v>
      </c>
      <c r="M20" s="53">
        <v>43.97</v>
      </c>
      <c r="N20" s="53">
        <v>753.7</v>
      </c>
      <c r="O20" s="53">
        <v>0</v>
      </c>
      <c r="P20" s="53">
        <v>0.59</v>
      </c>
      <c r="Q20" s="53">
        <v>5</v>
      </c>
      <c r="R20" s="42"/>
      <c r="S20" s="42"/>
      <c r="T20" s="42"/>
      <c r="U20" s="42"/>
    </row>
    <row r="21" spans="1:21" s="11" customFormat="1">
      <c r="A21" s="52" t="s">
        <v>158</v>
      </c>
      <c r="B21" s="53">
        <v>8.41</v>
      </c>
      <c r="C21" s="53">
        <v>64.13</v>
      </c>
      <c r="D21" s="53">
        <v>40.64</v>
      </c>
      <c r="E21" s="53">
        <v>9.0399999999999991</v>
      </c>
      <c r="F21" s="53">
        <v>11.25</v>
      </c>
      <c r="G21" s="53">
        <v>38.67</v>
      </c>
      <c r="H21" s="53">
        <v>17.899999999999999</v>
      </c>
      <c r="I21" s="53">
        <v>4.3099999999999996</v>
      </c>
      <c r="J21" s="53">
        <v>1.69</v>
      </c>
      <c r="K21" s="53">
        <v>283.52</v>
      </c>
      <c r="L21" s="53">
        <v>35.869999999999997</v>
      </c>
      <c r="M21" s="53">
        <v>38.380000000000003</v>
      </c>
      <c r="N21" s="53">
        <v>815.6</v>
      </c>
      <c r="O21" s="53">
        <v>0</v>
      </c>
      <c r="P21" s="53">
        <v>0.57999999999999996</v>
      </c>
      <c r="Q21" s="53">
        <v>5</v>
      </c>
      <c r="R21" s="42"/>
      <c r="S21" s="42"/>
      <c r="T21" s="42"/>
      <c r="U21" s="42"/>
    </row>
    <row r="22" spans="1:21" s="11" customFormat="1">
      <c r="A22" s="52" t="s">
        <v>159</v>
      </c>
      <c r="B22" s="53">
        <v>7.4</v>
      </c>
      <c r="C22" s="53">
        <v>69.38</v>
      </c>
      <c r="D22" s="53">
        <v>43.06</v>
      </c>
      <c r="E22" s="53">
        <v>8.92</v>
      </c>
      <c r="F22" s="53">
        <v>10.95</v>
      </c>
      <c r="G22" s="53">
        <v>37.799999999999997</v>
      </c>
      <c r="H22" s="53">
        <v>16.14</v>
      </c>
      <c r="I22" s="53">
        <v>4.1500000000000004</v>
      </c>
      <c r="J22" s="53">
        <v>1.51</v>
      </c>
      <c r="K22" s="53">
        <v>261.23</v>
      </c>
      <c r="L22" s="53">
        <v>36.78</v>
      </c>
      <c r="M22" s="53">
        <v>34.19</v>
      </c>
      <c r="N22" s="53">
        <v>745.4</v>
      </c>
      <c r="O22" s="53">
        <v>0</v>
      </c>
      <c r="P22" s="53">
        <v>0.56999999999999995</v>
      </c>
      <c r="Q22" s="53">
        <v>5</v>
      </c>
      <c r="R22" s="42"/>
      <c r="S22" s="42"/>
      <c r="T22" s="42"/>
      <c r="U22" s="42"/>
    </row>
    <row r="23" spans="1:21" s="11" customFormat="1">
      <c r="A23" s="52" t="s">
        <v>160</v>
      </c>
      <c r="B23" s="53">
        <v>6.81</v>
      </c>
      <c r="C23" s="53">
        <v>52.26</v>
      </c>
      <c r="D23" s="53">
        <v>33.22</v>
      </c>
      <c r="E23" s="53">
        <v>9.5399999999999991</v>
      </c>
      <c r="F23" s="53">
        <v>12.63</v>
      </c>
      <c r="G23" s="53">
        <v>37.799999999999997</v>
      </c>
      <c r="H23" s="53">
        <v>15</v>
      </c>
      <c r="I23" s="53">
        <v>3.98</v>
      </c>
      <c r="J23" s="53">
        <v>1.67</v>
      </c>
      <c r="K23" s="53">
        <v>274.83999999999997</v>
      </c>
      <c r="L23" s="53">
        <v>35.92</v>
      </c>
      <c r="M23" s="53">
        <v>31.72</v>
      </c>
      <c r="N23" s="53">
        <v>354.2</v>
      </c>
      <c r="O23" s="53">
        <v>0</v>
      </c>
      <c r="P23" s="53">
        <v>0.52</v>
      </c>
      <c r="Q23" s="53">
        <v>5</v>
      </c>
      <c r="R23" s="42"/>
      <c r="S23" s="42"/>
      <c r="T23" s="42"/>
      <c r="U23" s="42"/>
    </row>
    <row r="24" spans="1:21" s="11" customFormat="1">
      <c r="A24" s="52" t="s">
        <v>161</v>
      </c>
      <c r="B24" s="53">
        <v>7.16</v>
      </c>
      <c r="C24" s="53">
        <v>50.43</v>
      </c>
      <c r="D24" s="53">
        <v>32.96</v>
      </c>
      <c r="E24" s="53">
        <v>10.67</v>
      </c>
      <c r="F24" s="53">
        <v>15.39</v>
      </c>
      <c r="G24" s="53">
        <v>35.93</v>
      </c>
      <c r="H24" s="53">
        <v>17.399999999999999</v>
      </c>
      <c r="I24" s="53">
        <v>3.9</v>
      </c>
      <c r="J24" s="53">
        <v>1.34</v>
      </c>
      <c r="K24" s="53">
        <v>267.08999999999997</v>
      </c>
      <c r="L24" s="53">
        <v>35.99</v>
      </c>
      <c r="M24" s="53">
        <v>27.29</v>
      </c>
      <c r="N24" s="53">
        <v>435.5</v>
      </c>
      <c r="O24" s="53">
        <v>0</v>
      </c>
      <c r="P24" s="53">
        <v>0.52</v>
      </c>
      <c r="Q24" s="53">
        <v>5</v>
      </c>
      <c r="R24" s="42"/>
      <c r="S24" s="42"/>
      <c r="T24" s="42"/>
      <c r="U24" s="42"/>
    </row>
    <row r="25" spans="1:21" s="11" customFormat="1">
      <c r="A25" s="52" t="s">
        <v>162</v>
      </c>
      <c r="B25" s="53">
        <v>6.81</v>
      </c>
      <c r="C25" s="53">
        <v>61.11</v>
      </c>
      <c r="D25" s="53">
        <v>38.26</v>
      </c>
      <c r="E25" s="53">
        <v>13.79</v>
      </c>
      <c r="F25" s="53">
        <v>27.67</v>
      </c>
      <c r="G25" s="53">
        <v>37.78</v>
      </c>
      <c r="H25" s="53">
        <v>17.399999999999999</v>
      </c>
      <c r="I25" s="53">
        <v>4.16</v>
      </c>
      <c r="J25" s="53">
        <v>0.85</v>
      </c>
      <c r="K25" s="53">
        <v>240.68</v>
      </c>
      <c r="L25" s="53">
        <v>34.99</v>
      </c>
      <c r="M25" s="53">
        <v>29.85</v>
      </c>
      <c r="N25" s="53">
        <v>176.2</v>
      </c>
      <c r="O25" s="53">
        <v>0</v>
      </c>
      <c r="P25" s="53">
        <v>0.54</v>
      </c>
      <c r="Q25" s="53">
        <v>5</v>
      </c>
      <c r="R25" s="42"/>
      <c r="S25" s="42"/>
      <c r="T25" s="42"/>
      <c r="U25" s="42"/>
    </row>
    <row r="26" spans="1:21" s="11" customFormat="1">
      <c r="A26" s="52" t="s">
        <v>163</v>
      </c>
      <c r="B26" s="53">
        <v>7.11</v>
      </c>
      <c r="C26" s="53">
        <v>60.68</v>
      </c>
      <c r="D26" s="53">
        <v>38.26</v>
      </c>
      <c r="E26" s="53">
        <v>14.15</v>
      </c>
      <c r="F26" s="53">
        <v>23.14</v>
      </c>
      <c r="G26" s="53">
        <v>39.97</v>
      </c>
      <c r="H26" s="53">
        <v>18.420000000000002</v>
      </c>
      <c r="I26" s="53">
        <v>4.12</v>
      </c>
      <c r="J26" s="53">
        <v>0.8</v>
      </c>
      <c r="K26" s="53">
        <v>245.74</v>
      </c>
      <c r="L26" s="53">
        <v>34.770000000000003</v>
      </c>
      <c r="M26" s="53">
        <v>32.21</v>
      </c>
      <c r="N26" s="53">
        <v>102.3</v>
      </c>
      <c r="O26" s="53">
        <v>0</v>
      </c>
      <c r="P26" s="53">
        <v>0.53</v>
      </c>
      <c r="Q26" s="53">
        <v>5</v>
      </c>
      <c r="R26" s="42"/>
      <c r="S26" s="42"/>
      <c r="T26" s="42"/>
      <c r="U26" s="42"/>
    </row>
    <row r="27" spans="1:21" s="11" customFormat="1">
      <c r="A27" s="52" t="s">
        <v>164</v>
      </c>
      <c r="B27" s="53">
        <v>8.6999999999999993</v>
      </c>
      <c r="C27" s="53">
        <v>63.44</v>
      </c>
      <c r="D27" s="53">
        <v>40.69</v>
      </c>
      <c r="E27" s="53">
        <v>9.01</v>
      </c>
      <c r="F27" s="53">
        <v>14.22</v>
      </c>
      <c r="G27" s="53">
        <v>39.97</v>
      </c>
      <c r="H27" s="53">
        <v>18.420000000000002</v>
      </c>
      <c r="I27" s="53">
        <v>4.1500000000000004</v>
      </c>
      <c r="J27" s="53">
        <v>0.56999999999999995</v>
      </c>
      <c r="K27" s="53">
        <v>229.14</v>
      </c>
      <c r="L27" s="53">
        <v>31.27</v>
      </c>
      <c r="M27" s="53">
        <v>41.8</v>
      </c>
      <c r="N27" s="53">
        <v>0.9</v>
      </c>
      <c r="O27" s="53">
        <v>0</v>
      </c>
      <c r="P27" s="53">
        <v>0.52</v>
      </c>
      <c r="Q27" s="53">
        <v>5</v>
      </c>
      <c r="R27" s="42"/>
      <c r="S27" s="42"/>
      <c r="T27" s="42"/>
      <c r="U27" s="42"/>
    </row>
    <row r="28" spans="1:21" s="11" customFormat="1">
      <c r="A28" s="52" t="s">
        <v>165</v>
      </c>
      <c r="B28" s="53">
        <v>10.02</v>
      </c>
      <c r="C28" s="53">
        <v>70.180000000000007</v>
      </c>
      <c r="D28" s="53">
        <v>45.58</v>
      </c>
      <c r="E28" s="53">
        <v>8.82</v>
      </c>
      <c r="F28" s="53">
        <v>12.5</v>
      </c>
      <c r="G28" s="53">
        <v>40.409999999999997</v>
      </c>
      <c r="H28" s="53">
        <v>18.79</v>
      </c>
      <c r="I28" s="53">
        <v>4.0599999999999996</v>
      </c>
      <c r="J28" s="53">
        <v>0.35</v>
      </c>
      <c r="K28" s="53">
        <v>215.41</v>
      </c>
      <c r="L28" s="53">
        <v>29.01</v>
      </c>
      <c r="M28" s="53">
        <v>47.44</v>
      </c>
      <c r="N28" s="53">
        <v>0</v>
      </c>
      <c r="O28" s="53">
        <v>0</v>
      </c>
      <c r="P28" s="53">
        <v>0.55000000000000004</v>
      </c>
      <c r="Q28" s="53">
        <v>5</v>
      </c>
      <c r="R28" s="42"/>
      <c r="S28" s="42"/>
      <c r="T28" s="42"/>
      <c r="U28" s="42"/>
    </row>
    <row r="29" spans="1:21" s="11" customFormat="1">
      <c r="A29" s="52" t="s">
        <v>166</v>
      </c>
      <c r="B29" s="53">
        <v>10.68</v>
      </c>
      <c r="C29" s="53">
        <v>72.209999999999994</v>
      </c>
      <c r="D29" s="53">
        <v>47.03</v>
      </c>
      <c r="E29" s="53">
        <v>8.43</v>
      </c>
      <c r="F29" s="53">
        <v>6.04</v>
      </c>
      <c r="G29" s="53">
        <v>40.409999999999997</v>
      </c>
      <c r="H29" s="53">
        <v>18.79</v>
      </c>
      <c r="I29" s="53">
        <v>4.13</v>
      </c>
      <c r="J29" s="53">
        <v>0.22</v>
      </c>
      <c r="K29" s="53">
        <v>201.14</v>
      </c>
      <c r="L29" s="53">
        <v>27.98</v>
      </c>
      <c r="M29" s="53">
        <v>51.38</v>
      </c>
      <c r="N29" s="53">
        <v>0</v>
      </c>
      <c r="O29" s="53">
        <v>0</v>
      </c>
      <c r="P29" s="53">
        <v>0.56000000000000005</v>
      </c>
      <c r="Q29" s="53">
        <v>5</v>
      </c>
      <c r="R29" s="42"/>
      <c r="S29" s="42"/>
      <c r="T29" s="42"/>
      <c r="U29" s="42"/>
    </row>
    <row r="30" spans="1:21" s="11" customFormat="1">
      <c r="A30" s="52" t="s">
        <v>167</v>
      </c>
      <c r="B30" s="53">
        <v>12.11</v>
      </c>
      <c r="C30" s="53">
        <v>72.42</v>
      </c>
      <c r="D30" s="53">
        <v>48.39</v>
      </c>
      <c r="E30" s="53">
        <v>8.15</v>
      </c>
      <c r="F30" s="53">
        <v>4.7699999999999996</v>
      </c>
      <c r="G30" s="53">
        <v>38.49</v>
      </c>
      <c r="H30" s="53">
        <v>18.13</v>
      </c>
      <c r="I30" s="53">
        <v>4.1900000000000004</v>
      </c>
      <c r="J30" s="53">
        <v>0.14000000000000001</v>
      </c>
      <c r="K30" s="53">
        <v>193.08</v>
      </c>
      <c r="L30" s="53">
        <v>27.43</v>
      </c>
      <c r="M30" s="53">
        <v>52.71</v>
      </c>
      <c r="N30" s="53">
        <v>0</v>
      </c>
      <c r="O30" s="53">
        <v>0</v>
      </c>
      <c r="P30" s="53">
        <v>0.57999999999999996</v>
      </c>
      <c r="Q30" s="53">
        <v>5</v>
      </c>
      <c r="R30" s="42"/>
      <c r="S30" s="42"/>
      <c r="T30" s="42"/>
      <c r="U30" s="42"/>
    </row>
    <row r="31" spans="1:21" s="11" customFormat="1">
      <c r="A31" s="52" t="s">
        <v>168</v>
      </c>
      <c r="B31" s="53">
        <v>16.23</v>
      </c>
      <c r="C31" s="53">
        <v>73.959999999999994</v>
      </c>
      <c r="D31" s="53">
        <v>52.24</v>
      </c>
      <c r="E31" s="53">
        <v>8.17</v>
      </c>
      <c r="F31" s="53">
        <v>3.77</v>
      </c>
      <c r="G31" s="53">
        <v>48.23</v>
      </c>
      <c r="H31" s="53">
        <v>19.22</v>
      </c>
      <c r="I31" s="53">
        <v>4.5199999999999996</v>
      </c>
      <c r="J31" s="53">
        <v>0.34</v>
      </c>
      <c r="K31" s="53">
        <v>202.09</v>
      </c>
      <c r="L31" s="53">
        <v>27.66</v>
      </c>
      <c r="M31" s="53">
        <v>59.28</v>
      </c>
      <c r="N31" s="53">
        <v>0</v>
      </c>
      <c r="O31" s="53">
        <v>0</v>
      </c>
      <c r="P31" s="53">
        <v>0.62</v>
      </c>
      <c r="Q31" s="53">
        <v>5</v>
      </c>
      <c r="R31" s="42"/>
      <c r="S31" s="42"/>
      <c r="T31" s="42"/>
      <c r="U31" s="42"/>
    </row>
    <row r="32" spans="1:21" s="11" customFormat="1">
      <c r="A32" s="52" t="s">
        <v>169</v>
      </c>
      <c r="B32" s="53">
        <v>16.96</v>
      </c>
      <c r="C32" s="53">
        <v>72.260000000000005</v>
      </c>
      <c r="D32" s="53">
        <v>51.95</v>
      </c>
      <c r="E32" s="53">
        <v>7.85</v>
      </c>
      <c r="F32" s="53">
        <v>4.0599999999999996</v>
      </c>
      <c r="G32" s="53">
        <v>48.23</v>
      </c>
      <c r="H32" s="53">
        <v>19.600000000000001</v>
      </c>
      <c r="I32" s="53">
        <v>4.68</v>
      </c>
      <c r="J32" s="53">
        <v>0.24</v>
      </c>
      <c r="K32" s="53">
        <v>187.06</v>
      </c>
      <c r="L32" s="53">
        <v>25.84</v>
      </c>
      <c r="M32" s="53">
        <v>62.79</v>
      </c>
      <c r="N32" s="53">
        <v>0</v>
      </c>
      <c r="O32" s="53">
        <v>0</v>
      </c>
      <c r="P32" s="53">
        <v>0.63</v>
      </c>
      <c r="Q32" s="53">
        <v>5</v>
      </c>
      <c r="R32" s="42"/>
      <c r="S32" s="42"/>
      <c r="T32" s="42"/>
      <c r="U32" s="42"/>
    </row>
    <row r="33" spans="1:21" s="21" customFormat="1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>
      <c r="A34" s="27" t="s">
        <v>30</v>
      </c>
      <c r="B34" s="28">
        <f t="shared" ref="B34:Q34" si="0">MIN(B9:B32)</f>
        <v>6.81</v>
      </c>
      <c r="C34" s="28">
        <f t="shared" si="0"/>
        <v>50.43</v>
      </c>
      <c r="D34" s="28">
        <f t="shared" si="0"/>
        <v>32.96</v>
      </c>
      <c r="E34" s="28">
        <f t="shared" si="0"/>
        <v>7.41</v>
      </c>
      <c r="F34" s="28">
        <f t="shared" si="0"/>
        <v>3.77</v>
      </c>
      <c r="G34" s="28">
        <f t="shared" si="0"/>
        <v>35.93</v>
      </c>
      <c r="H34" s="28">
        <f>MIN(H9:H32)</f>
        <v>15</v>
      </c>
      <c r="I34" s="28">
        <f t="shared" si="0"/>
        <v>3.9</v>
      </c>
      <c r="J34" s="28">
        <f t="shared" si="0"/>
        <v>0.14000000000000001</v>
      </c>
      <c r="K34" s="28">
        <f t="shared" si="0"/>
        <v>145.72</v>
      </c>
      <c r="L34" s="28">
        <f t="shared" si="0"/>
        <v>23.81</v>
      </c>
      <c r="M34" s="28">
        <f t="shared" si="0"/>
        <v>27.29</v>
      </c>
      <c r="N34" s="28">
        <f t="shared" si="0"/>
        <v>0</v>
      </c>
      <c r="O34" s="28">
        <f t="shared" si="0"/>
        <v>0</v>
      </c>
      <c r="P34" s="28">
        <f t="shared" si="0"/>
        <v>0.52</v>
      </c>
      <c r="Q34" s="28">
        <f t="shared" si="0"/>
        <v>5</v>
      </c>
      <c r="R34" s="28"/>
      <c r="S34" s="28"/>
      <c r="T34" s="28"/>
      <c r="U34" s="28"/>
    </row>
    <row r="35" spans="1:21" s="21" customFormat="1">
      <c r="A35" s="27" t="s">
        <v>31</v>
      </c>
      <c r="B35" s="29">
        <f t="shared" ref="B35:Q35" si="1">MAX(B9:B32)</f>
        <v>26.01</v>
      </c>
      <c r="C35" s="29">
        <f t="shared" si="1"/>
        <v>73.959999999999994</v>
      </c>
      <c r="D35" s="29">
        <f t="shared" si="1"/>
        <v>57.04</v>
      </c>
      <c r="E35" s="29">
        <f t="shared" si="1"/>
        <v>14.15</v>
      </c>
      <c r="F35" s="29">
        <f t="shared" si="1"/>
        <v>27.67</v>
      </c>
      <c r="G35" s="29">
        <f>MAX(G9:G32)</f>
        <v>48.23</v>
      </c>
      <c r="H35" s="29">
        <f>MAX(H9:H32)</f>
        <v>22.43</v>
      </c>
      <c r="I35" s="29">
        <f t="shared" si="1"/>
        <v>5.82</v>
      </c>
      <c r="J35" s="29">
        <f t="shared" si="1"/>
        <v>1.69</v>
      </c>
      <c r="K35" s="29">
        <f t="shared" si="1"/>
        <v>283.52</v>
      </c>
      <c r="L35" s="29">
        <f t="shared" si="1"/>
        <v>36.78</v>
      </c>
      <c r="M35" s="29">
        <f t="shared" si="1"/>
        <v>74.31</v>
      </c>
      <c r="N35" s="29">
        <f t="shared" si="1"/>
        <v>815.6</v>
      </c>
      <c r="O35" s="29">
        <f t="shared" si="1"/>
        <v>0</v>
      </c>
      <c r="P35" s="29">
        <f t="shared" si="1"/>
        <v>0.72</v>
      </c>
      <c r="Q35" s="29">
        <f t="shared" si="1"/>
        <v>5</v>
      </c>
      <c r="R35" s="29"/>
      <c r="S35" s="29"/>
      <c r="T35" s="29"/>
      <c r="U35" s="29"/>
    </row>
    <row r="36" spans="1:21" s="21" customFormat="1">
      <c r="A36" s="27" t="s">
        <v>32</v>
      </c>
      <c r="B36" s="28">
        <f t="shared" ref="B36:Q36" si="2">AVERAGE(B9:B32)</f>
        <v>14.854583333333332</v>
      </c>
      <c r="C36" s="28">
        <f t="shared" si="2"/>
        <v>66.29791666666668</v>
      </c>
      <c r="D36" s="28">
        <f t="shared" si="2"/>
        <v>47.242083333333341</v>
      </c>
      <c r="E36" s="28">
        <f t="shared" si="2"/>
        <v>8.9541666666666639</v>
      </c>
      <c r="F36" s="28">
        <f t="shared" si="2"/>
        <v>8.7029166666666669</v>
      </c>
      <c r="G36" s="28">
        <f t="shared" si="2"/>
        <v>39.922083333333326</v>
      </c>
      <c r="H36" s="28">
        <f>AVERAGE(H9:H32)</f>
        <v>19.485000000000003</v>
      </c>
      <c r="I36" s="28">
        <f t="shared" si="2"/>
        <v>4.6750000000000007</v>
      </c>
      <c r="J36" s="28">
        <f t="shared" si="2"/>
        <v>0.7008333333333332</v>
      </c>
      <c r="K36" s="28">
        <f t="shared" si="2"/>
        <v>219.80583333333337</v>
      </c>
      <c r="L36" s="28">
        <f t="shared" si="2"/>
        <v>29.954999999999998</v>
      </c>
      <c r="M36" s="28">
        <f t="shared" si="2"/>
        <v>51.810416666666669</v>
      </c>
      <c r="N36" s="28">
        <f t="shared" si="2"/>
        <v>217.39166666666665</v>
      </c>
      <c r="O36" s="28">
        <f t="shared" si="2"/>
        <v>0</v>
      </c>
      <c r="P36" s="28">
        <f t="shared" si="2"/>
        <v>0.60291666666666666</v>
      </c>
      <c r="Q36" s="28">
        <f t="shared" si="2"/>
        <v>5</v>
      </c>
      <c r="R36" s="28"/>
      <c r="S36" s="28"/>
      <c r="T36" s="28"/>
      <c r="U36" s="28"/>
    </row>
    <row r="37" spans="1:21" s="21" customFormat="1">
      <c r="A37" s="27" t="s">
        <v>38</v>
      </c>
      <c r="B37" s="28">
        <f>STDEV(B9:B32)</f>
        <v>6.5485464561539057</v>
      </c>
      <c r="C37" s="28">
        <f t="shared" ref="C37:Q37" si="3">STDEV(C9:C32)</f>
        <v>5.7038552783385015</v>
      </c>
      <c r="D37" s="28">
        <f t="shared" si="3"/>
        <v>7.0062748144331835</v>
      </c>
      <c r="E37" s="28">
        <f t="shared" si="3"/>
        <v>1.7179181452046051</v>
      </c>
      <c r="F37" s="28">
        <f t="shared" si="3"/>
        <v>6.3858508535032676</v>
      </c>
      <c r="G37" s="28">
        <f t="shared" si="3"/>
        <v>3.2526243306339175</v>
      </c>
      <c r="H37" s="28">
        <f>STDEV(H9:H32)</f>
        <v>1.9613438161671899</v>
      </c>
      <c r="I37" s="28">
        <f t="shared" si="3"/>
        <v>0.56647652393890635</v>
      </c>
      <c r="J37" s="28">
        <f t="shared" si="3"/>
        <v>0.56671376615856384</v>
      </c>
      <c r="K37" s="28">
        <f t="shared" si="3"/>
        <v>41.763592831937451</v>
      </c>
      <c r="L37" s="28">
        <f t="shared" si="3"/>
        <v>4.5428223366767275</v>
      </c>
      <c r="M37" s="28">
        <f t="shared" si="3"/>
        <v>14.841076803534371</v>
      </c>
      <c r="N37" s="28">
        <f t="shared" si="3"/>
        <v>293.22566605241786</v>
      </c>
      <c r="O37" s="28">
        <f t="shared" si="3"/>
        <v>0</v>
      </c>
      <c r="P37" s="28">
        <f t="shared" si="3"/>
        <v>5.8790650444693948E-2</v>
      </c>
      <c r="Q37" s="28">
        <f t="shared" si="3"/>
        <v>0</v>
      </c>
      <c r="R37" s="28"/>
      <c r="S37" s="28"/>
      <c r="T37" s="28"/>
      <c r="U37" s="28"/>
    </row>
    <row r="38" spans="1:21" s="21" customFormat="1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>COUNT(F9:F32)</f>
        <v>24</v>
      </c>
      <c r="G38" s="32">
        <f>COUNT(G9:G32)</f>
        <v>24</v>
      </c>
      <c r="H38" s="32">
        <f>COUNT(H9:H32)</f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>
      <c r="A42" s="13"/>
    </row>
    <row r="43" spans="1:21" s="21" customFormat="1">
      <c r="A43" s="14" t="s">
        <v>35</v>
      </c>
      <c r="B43" s="39" t="s">
        <v>58</v>
      </c>
      <c r="C43" s="41"/>
    </row>
    <row r="44" spans="1:21" s="21" customFormat="1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0"/>
      <c r="C45" s="40"/>
      <c r="D45" s="40"/>
      <c r="E45" s="40"/>
      <c r="F45" s="40"/>
      <c r="G45" s="40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</row>
    <row r="46" spans="1:21" s="21" customFormat="1"/>
    <row r="47" spans="1:21" s="21" customFormat="1"/>
    <row r="48" spans="1:21" s="21" customFormat="1"/>
    <row r="49" s="21" customFormat="1"/>
    <row r="50" s="21" customFormat="1"/>
    <row r="51" s="21" customFormat="1"/>
    <row r="52" s="21" customFormat="1"/>
    <row r="53" s="21" customFormat="1"/>
    <row r="54" s="21" customFormat="1"/>
    <row r="55" s="21" customFormat="1"/>
    <row r="56" s="21" customFormat="1"/>
    <row r="57" s="21" customFormat="1"/>
    <row r="58" s="21" customFormat="1"/>
    <row r="59" s="21" customFormat="1"/>
    <row r="60" s="21" customFormat="1"/>
    <row r="61" s="21" customFormat="1"/>
    <row r="62" s="21" customFormat="1"/>
    <row r="63" s="21" customFormat="1"/>
    <row r="64" s="21" customFormat="1"/>
    <row r="65" s="21" customFormat="1"/>
    <row r="66" s="21" customFormat="1"/>
    <row r="67" s="21" customFormat="1"/>
    <row r="68" s="21" customFormat="1"/>
    <row r="69" s="21" customFormat="1"/>
    <row r="70" s="21" customFormat="1"/>
    <row r="71" s="21" customFormat="1"/>
    <row r="72" s="21" customFormat="1"/>
    <row r="73" s="21" customFormat="1"/>
    <row r="74" s="21" customFormat="1"/>
    <row r="75" s="21" customFormat="1"/>
    <row r="76" s="21" customFormat="1"/>
    <row r="77" s="21" customFormat="1"/>
    <row r="78" s="21" customFormat="1"/>
    <row r="79" s="21" customFormat="1"/>
    <row r="80" s="21" customFormat="1"/>
    <row r="81" s="21" customFormat="1"/>
    <row r="82" s="21" customFormat="1"/>
    <row r="83" s="21" customFormat="1"/>
    <row r="84" s="21" customFormat="1"/>
    <row r="85" s="21" customFormat="1"/>
    <row r="86" s="21" customFormat="1"/>
    <row r="87" s="21" customFormat="1"/>
    <row r="88" s="21" customFormat="1"/>
    <row r="89" s="21" customFormat="1"/>
    <row r="90" s="21" customFormat="1"/>
    <row r="91" s="21" customFormat="1"/>
    <row r="92" s="21" customFormat="1"/>
    <row r="93" s="21" customFormat="1"/>
    <row r="94" s="21" customFormat="1"/>
    <row r="95" s="21" customFormat="1"/>
    <row r="96" s="21" customFormat="1"/>
    <row r="97" spans="1:1" s="21" customFormat="1"/>
    <row r="98" spans="1:1" s="21" customFormat="1"/>
    <row r="99" spans="1:1" s="21" customFormat="1"/>
    <row r="100" spans="1:1" s="21" customFormat="1"/>
    <row r="101" spans="1:1" s="21" customFormat="1"/>
    <row r="102" spans="1:1" s="21" customFormat="1"/>
    <row r="103" spans="1:1" s="21" customFormat="1"/>
    <row r="104" spans="1:1" s="21" customFormat="1"/>
    <row r="105" spans="1:1" s="21" customFormat="1"/>
    <row r="106" spans="1:1">
      <c r="A106" s="20"/>
    </row>
    <row r="107" spans="1:1" s="21" customFormat="1"/>
    <row r="108" spans="1:1" s="21" customFormat="1"/>
    <row r="109" spans="1:1" s="21" customFormat="1"/>
    <row r="110" spans="1:1" s="21" customFormat="1"/>
    <row r="111" spans="1:1" s="21" customFormat="1"/>
    <row r="112" spans="1:1" s="21" customFormat="1"/>
    <row r="113" spans="1:1" s="21" customFormat="1"/>
    <row r="114" spans="1:1" s="21" customFormat="1"/>
    <row r="115" spans="1:1" s="21" customFormat="1"/>
    <row r="116" spans="1:1" s="21" customFormat="1"/>
    <row r="117" spans="1:1" s="21" customFormat="1"/>
    <row r="118" spans="1:1">
      <c r="A118" s="20"/>
    </row>
    <row r="119" spans="1:1">
      <c r="A119" s="20"/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2" ySplit="8" topLeftCell="C24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A9" sqref="A9:Q32"/>
    </sheetView>
  </sheetViews>
  <sheetFormatPr defaultColWidth="8.85546875" defaultRowHeight="15"/>
  <cols>
    <col min="1" max="1" width="18.28515625" style="26" customWidth="1"/>
    <col min="2" max="2" width="13.4257812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>
      <c r="A1" s="14" t="s">
        <v>2</v>
      </c>
      <c r="B1" s="23" t="s">
        <v>55</v>
      </c>
      <c r="C1" s="36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>
      <c r="A2" s="14" t="s">
        <v>0</v>
      </c>
      <c r="B2" s="37" t="str">
        <f>$A$9</f>
        <v>05/04/2023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8" t="s">
        <v>7</v>
      </c>
      <c r="Q2" s="12"/>
      <c r="R2" s="8" t="s">
        <v>8</v>
      </c>
      <c r="S2" s="11"/>
      <c r="T2" s="11"/>
      <c r="U2" s="11"/>
    </row>
    <row r="3" spans="1:21" s="21" customFormat="1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8" t="s">
        <v>15</v>
      </c>
      <c r="Q3" s="12"/>
      <c r="R3" s="9" t="s">
        <v>15</v>
      </c>
      <c r="S3" s="11"/>
      <c r="T3" s="11"/>
      <c r="U3" s="11"/>
    </row>
    <row r="4" spans="1:21" s="21" customFormat="1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>
      <c r="A7" s="25" t="s">
        <v>21</v>
      </c>
      <c r="B7" s="48" t="s">
        <v>40</v>
      </c>
      <c r="C7" s="49" t="s">
        <v>41</v>
      </c>
      <c r="D7" s="49" t="s">
        <v>42</v>
      </c>
      <c r="E7" s="49" t="s">
        <v>43</v>
      </c>
      <c r="F7" s="49" t="s">
        <v>44</v>
      </c>
      <c r="G7" s="49" t="s">
        <v>45</v>
      </c>
      <c r="H7" s="49" t="s">
        <v>56</v>
      </c>
      <c r="I7" s="49" t="s">
        <v>46</v>
      </c>
      <c r="J7" s="49" t="s">
        <v>47</v>
      </c>
      <c r="K7" s="49" t="s">
        <v>48</v>
      </c>
      <c r="L7" s="49" t="s">
        <v>49</v>
      </c>
      <c r="M7" s="49" t="s">
        <v>50</v>
      </c>
      <c r="N7" s="49" t="s">
        <v>51</v>
      </c>
      <c r="O7" s="49" t="s">
        <v>52</v>
      </c>
      <c r="P7" s="49" t="s">
        <v>53</v>
      </c>
      <c r="Q7" s="49" t="s">
        <v>54</v>
      </c>
      <c r="R7" s="27"/>
      <c r="S7" s="29"/>
      <c r="T7" s="27"/>
      <c r="U7" s="27"/>
    </row>
    <row r="8" spans="1:21" s="21" customFormat="1">
      <c r="A8" s="25"/>
      <c r="B8" s="50" t="s">
        <v>22</v>
      </c>
      <c r="C8" s="50" t="s">
        <v>22</v>
      </c>
      <c r="D8" s="50" t="s">
        <v>22</v>
      </c>
      <c r="E8" s="50" t="s">
        <v>22</v>
      </c>
      <c r="F8" s="50" t="s">
        <v>22</v>
      </c>
      <c r="G8" s="50" t="s">
        <v>23</v>
      </c>
      <c r="H8" s="50" t="s">
        <v>22</v>
      </c>
      <c r="I8" s="50" t="s">
        <v>22</v>
      </c>
      <c r="J8" s="50" t="s">
        <v>24</v>
      </c>
      <c r="K8" s="50" t="s">
        <v>25</v>
      </c>
      <c r="L8" s="25" t="s">
        <v>27</v>
      </c>
      <c r="M8" s="50" t="s">
        <v>26</v>
      </c>
      <c r="N8" s="50" t="s">
        <v>28</v>
      </c>
      <c r="O8" s="25" t="s">
        <v>29</v>
      </c>
      <c r="P8" s="50" t="s">
        <v>22</v>
      </c>
      <c r="Q8" s="50" t="s">
        <v>22</v>
      </c>
      <c r="R8" s="27"/>
      <c r="S8" s="29"/>
      <c r="T8" s="27"/>
      <c r="U8" s="27"/>
    </row>
    <row r="9" spans="1:21" s="11" customFormat="1">
      <c r="A9" s="52" t="s">
        <v>170</v>
      </c>
      <c r="B9" s="53">
        <v>18.09</v>
      </c>
      <c r="C9" s="53">
        <v>71.58</v>
      </c>
      <c r="D9" s="53">
        <v>51.78</v>
      </c>
      <c r="E9" s="53">
        <v>7.81</v>
      </c>
      <c r="F9" s="53">
        <v>5.43</v>
      </c>
      <c r="G9" s="53">
        <v>44.92</v>
      </c>
      <c r="H9" s="53">
        <v>19.600000000000001</v>
      </c>
      <c r="I9" s="53">
        <v>4.68</v>
      </c>
      <c r="J9" s="53">
        <v>0.32</v>
      </c>
      <c r="K9" s="53">
        <v>303.94</v>
      </c>
      <c r="L9" s="53">
        <v>25.7</v>
      </c>
      <c r="M9" s="53">
        <v>62.83</v>
      </c>
      <c r="N9" s="53">
        <v>0</v>
      </c>
      <c r="O9" s="53">
        <v>0</v>
      </c>
      <c r="P9" s="53">
        <v>0.62</v>
      </c>
      <c r="Q9" s="53">
        <v>5</v>
      </c>
      <c r="R9" s="42"/>
      <c r="S9" s="42"/>
      <c r="T9" s="42"/>
      <c r="U9" s="42"/>
    </row>
    <row r="10" spans="1:21" s="11" customFormat="1">
      <c r="A10" s="52" t="s">
        <v>171</v>
      </c>
      <c r="B10" s="53">
        <v>19.45</v>
      </c>
      <c r="C10" s="53">
        <v>66.83</v>
      </c>
      <c r="D10" s="53">
        <v>51.13</v>
      </c>
      <c r="E10" s="53">
        <v>8.06</v>
      </c>
      <c r="F10" s="53">
        <v>4.21</v>
      </c>
      <c r="G10" s="53">
        <v>44.92</v>
      </c>
      <c r="H10" s="53">
        <v>18.2</v>
      </c>
      <c r="I10" s="53">
        <v>4.68</v>
      </c>
      <c r="J10" s="53">
        <v>0.25</v>
      </c>
      <c r="K10" s="53">
        <v>185.67</v>
      </c>
      <c r="L10" s="53">
        <v>25.36</v>
      </c>
      <c r="M10" s="53">
        <v>62.9</v>
      </c>
      <c r="N10" s="53">
        <v>0</v>
      </c>
      <c r="O10" s="53">
        <v>0</v>
      </c>
      <c r="P10" s="53">
        <v>0.57999999999999996</v>
      </c>
      <c r="Q10" s="53">
        <v>5</v>
      </c>
      <c r="R10" s="42"/>
      <c r="S10" s="42"/>
      <c r="T10" s="42"/>
      <c r="U10" s="42"/>
    </row>
    <row r="11" spans="1:21" s="11" customFormat="1">
      <c r="A11" s="52" t="s">
        <v>172</v>
      </c>
      <c r="B11" s="53">
        <v>21.55</v>
      </c>
      <c r="C11" s="53">
        <v>66.23</v>
      </c>
      <c r="D11" s="53">
        <v>52.75</v>
      </c>
      <c r="E11" s="53">
        <v>8.2799999999999994</v>
      </c>
      <c r="F11" s="53">
        <v>4.3099999999999996</v>
      </c>
      <c r="G11" s="53">
        <v>36.9</v>
      </c>
      <c r="H11" s="53">
        <v>16.11</v>
      </c>
      <c r="I11" s="53">
        <v>4.6500000000000004</v>
      </c>
      <c r="J11" s="53">
        <v>0.22</v>
      </c>
      <c r="K11" s="53">
        <v>153.25</v>
      </c>
      <c r="L11" s="53">
        <v>24.62</v>
      </c>
      <c r="M11" s="53">
        <v>65.989999999999995</v>
      </c>
      <c r="N11" s="53">
        <v>0</v>
      </c>
      <c r="O11" s="53">
        <v>0</v>
      </c>
      <c r="P11" s="53">
        <v>0.57999999999999996</v>
      </c>
      <c r="Q11" s="53">
        <v>5</v>
      </c>
      <c r="R11" s="42"/>
      <c r="S11" s="42"/>
      <c r="T11" s="42"/>
      <c r="U11" s="42"/>
    </row>
    <row r="12" spans="1:21" s="11" customFormat="1">
      <c r="A12" s="52" t="s">
        <v>173</v>
      </c>
      <c r="B12" s="53">
        <v>23.32</v>
      </c>
      <c r="C12" s="53">
        <v>66.489999999999995</v>
      </c>
      <c r="D12" s="53">
        <v>53.93</v>
      </c>
      <c r="E12" s="53">
        <v>8.6999999999999993</v>
      </c>
      <c r="F12" s="53">
        <v>3.91</v>
      </c>
      <c r="G12" s="53">
        <v>35.909999999999997</v>
      </c>
      <c r="H12" s="53">
        <v>15.86</v>
      </c>
      <c r="I12" s="53">
        <v>4.88</v>
      </c>
      <c r="J12" s="53">
        <v>0.2</v>
      </c>
      <c r="K12" s="53">
        <v>171.98</v>
      </c>
      <c r="L12" s="53">
        <v>23.85</v>
      </c>
      <c r="M12" s="53">
        <v>70.75</v>
      </c>
      <c r="N12" s="53">
        <v>0</v>
      </c>
      <c r="O12" s="53">
        <v>0</v>
      </c>
      <c r="P12" s="53">
        <v>0.59</v>
      </c>
      <c r="Q12" s="53">
        <v>5</v>
      </c>
      <c r="R12" s="42"/>
      <c r="S12" s="42"/>
      <c r="T12" s="42"/>
      <c r="U12" s="42"/>
    </row>
    <row r="13" spans="1:21" s="11" customFormat="1">
      <c r="A13" s="52" t="s">
        <v>174</v>
      </c>
      <c r="B13" s="53">
        <v>27.24</v>
      </c>
      <c r="C13" s="53">
        <v>66.66</v>
      </c>
      <c r="D13" s="53">
        <v>57.1</v>
      </c>
      <c r="E13" s="53">
        <v>8.81</v>
      </c>
      <c r="F13" s="53">
        <v>3.79</v>
      </c>
      <c r="G13" s="53">
        <v>37.74</v>
      </c>
      <c r="H13" s="53">
        <v>16.25</v>
      </c>
      <c r="I13" s="53">
        <v>5.41</v>
      </c>
      <c r="J13" s="53">
        <v>0.22</v>
      </c>
      <c r="K13" s="53">
        <v>169.92</v>
      </c>
      <c r="L13" s="53">
        <v>23.39</v>
      </c>
      <c r="M13" s="53">
        <v>74.25</v>
      </c>
      <c r="N13" s="53">
        <v>0</v>
      </c>
      <c r="O13" s="53">
        <v>0</v>
      </c>
      <c r="P13" s="53">
        <v>0.62</v>
      </c>
      <c r="Q13" s="53">
        <v>5</v>
      </c>
      <c r="R13" s="42"/>
      <c r="S13" s="42"/>
      <c r="T13" s="42"/>
      <c r="U13" s="42"/>
    </row>
    <row r="14" spans="1:21" s="11" customFormat="1">
      <c r="A14" s="52" t="s">
        <v>175</v>
      </c>
      <c r="B14" s="53">
        <v>27.86</v>
      </c>
      <c r="C14" s="53">
        <v>68.77</v>
      </c>
      <c r="D14" s="53">
        <v>59.01</v>
      </c>
      <c r="E14" s="53">
        <v>8.86</v>
      </c>
      <c r="F14" s="53">
        <v>3.75</v>
      </c>
      <c r="G14" s="53">
        <v>37.74</v>
      </c>
      <c r="H14" s="53">
        <v>17.09</v>
      </c>
      <c r="I14" s="53">
        <v>6.42</v>
      </c>
      <c r="J14" s="53">
        <v>0.18</v>
      </c>
      <c r="K14" s="53">
        <v>183.15</v>
      </c>
      <c r="L14" s="53">
        <v>22.72</v>
      </c>
      <c r="M14" s="53">
        <v>76.2</v>
      </c>
      <c r="N14" s="53">
        <v>0.1</v>
      </c>
      <c r="O14" s="53">
        <v>0</v>
      </c>
      <c r="P14" s="53">
        <v>0.67</v>
      </c>
      <c r="Q14" s="53">
        <v>5</v>
      </c>
      <c r="R14" s="42"/>
      <c r="S14" s="42"/>
      <c r="T14" s="42"/>
      <c r="U14" s="42"/>
    </row>
    <row r="15" spans="1:21" s="11" customFormat="1">
      <c r="A15" s="52" t="s">
        <v>176</v>
      </c>
      <c r="B15" s="53">
        <v>30.54</v>
      </c>
      <c r="C15" s="53">
        <v>68.62</v>
      </c>
      <c r="D15" s="53">
        <v>61.13</v>
      </c>
      <c r="E15" s="53">
        <v>8.3800000000000008</v>
      </c>
      <c r="F15" s="53">
        <v>3.8</v>
      </c>
      <c r="G15" s="53">
        <v>52.27</v>
      </c>
      <c r="H15" s="53">
        <v>19.48</v>
      </c>
      <c r="I15" s="53">
        <v>8.67</v>
      </c>
      <c r="J15" s="53">
        <v>0.28000000000000003</v>
      </c>
      <c r="K15" s="53">
        <v>193.57</v>
      </c>
      <c r="L15" s="53">
        <v>24.05</v>
      </c>
      <c r="M15" s="53">
        <v>75.58</v>
      </c>
      <c r="N15" s="53">
        <v>47</v>
      </c>
      <c r="O15" s="53">
        <v>0</v>
      </c>
      <c r="P15" s="53">
        <v>0.77</v>
      </c>
      <c r="Q15" s="53">
        <v>5</v>
      </c>
      <c r="R15" s="42"/>
      <c r="S15" s="42"/>
      <c r="T15" s="42"/>
      <c r="U15" s="42"/>
    </row>
    <row r="16" spans="1:21" s="11" customFormat="1">
      <c r="A16" s="52" t="s">
        <v>177</v>
      </c>
      <c r="B16" s="53">
        <v>31.35</v>
      </c>
      <c r="C16" s="53">
        <v>70.16</v>
      </c>
      <c r="D16" s="53">
        <v>62.67</v>
      </c>
      <c r="E16" s="53">
        <v>8.35</v>
      </c>
      <c r="F16" s="53">
        <v>3.94</v>
      </c>
      <c r="G16" s="53">
        <v>64.48</v>
      </c>
      <c r="H16" s="53">
        <v>22.31</v>
      </c>
      <c r="I16" s="53">
        <v>10.54</v>
      </c>
      <c r="J16" s="53">
        <v>0.28999999999999998</v>
      </c>
      <c r="K16" s="53">
        <v>271.75</v>
      </c>
      <c r="L16" s="53">
        <v>28.83</v>
      </c>
      <c r="M16" s="53">
        <v>66.84</v>
      </c>
      <c r="N16" s="53">
        <v>227.8</v>
      </c>
      <c r="O16" s="53">
        <v>0</v>
      </c>
      <c r="P16" s="53">
        <v>0.88</v>
      </c>
      <c r="Q16" s="53">
        <v>5</v>
      </c>
      <c r="R16" s="42"/>
      <c r="S16" s="42"/>
      <c r="T16" s="42"/>
      <c r="U16" s="42"/>
    </row>
    <row r="17" spans="1:21" s="11" customFormat="1">
      <c r="A17" s="52" t="s">
        <v>178</v>
      </c>
      <c r="B17" s="53">
        <v>31.12</v>
      </c>
      <c r="C17" s="53">
        <v>73.64</v>
      </c>
      <c r="D17" s="53">
        <v>63.36</v>
      </c>
      <c r="E17" s="53">
        <v>8.94</v>
      </c>
      <c r="F17" s="53">
        <v>4.71</v>
      </c>
      <c r="G17" s="53">
        <v>84.88</v>
      </c>
      <c r="H17" s="53">
        <v>27.13</v>
      </c>
      <c r="I17" s="53">
        <v>11.59</v>
      </c>
      <c r="J17" s="53">
        <v>0.34</v>
      </c>
      <c r="K17" s="53">
        <v>303.33</v>
      </c>
      <c r="L17" s="53">
        <v>32.64</v>
      </c>
      <c r="M17" s="53">
        <v>45.51</v>
      </c>
      <c r="N17" s="53">
        <v>271.3</v>
      </c>
      <c r="O17" s="53">
        <v>0</v>
      </c>
      <c r="P17" s="53">
        <v>0.95</v>
      </c>
      <c r="Q17" s="53">
        <v>5</v>
      </c>
      <c r="R17" s="42"/>
      <c r="S17" s="42"/>
      <c r="T17" s="42"/>
      <c r="U17" s="42"/>
    </row>
    <row r="18" spans="1:21" s="11" customFormat="1">
      <c r="A18" s="52" t="s">
        <v>179</v>
      </c>
      <c r="B18" s="53">
        <v>27</v>
      </c>
      <c r="C18" s="53">
        <v>73.66</v>
      </c>
      <c r="D18" s="53">
        <v>60.73</v>
      </c>
      <c r="E18" s="53">
        <v>9.14</v>
      </c>
      <c r="F18" s="53">
        <v>7.63</v>
      </c>
      <c r="G18" s="53">
        <v>84.88</v>
      </c>
      <c r="H18" s="53">
        <v>27.13</v>
      </c>
      <c r="I18" s="53">
        <v>11.55</v>
      </c>
      <c r="J18" s="53">
        <v>0.53</v>
      </c>
      <c r="K18" s="53">
        <v>274.89</v>
      </c>
      <c r="L18" s="53">
        <v>33.65</v>
      </c>
      <c r="M18" s="53">
        <v>31.34</v>
      </c>
      <c r="N18" s="53">
        <v>535.5</v>
      </c>
      <c r="O18" s="53">
        <v>0</v>
      </c>
      <c r="P18" s="53">
        <v>0.94</v>
      </c>
      <c r="Q18" s="53">
        <v>5</v>
      </c>
      <c r="R18" s="42"/>
      <c r="S18" s="42"/>
      <c r="T18" s="42"/>
      <c r="U18" s="42"/>
    </row>
    <row r="19" spans="1:21" s="11" customFormat="1">
      <c r="A19" s="52" t="s">
        <v>180</v>
      </c>
      <c r="B19" s="53">
        <v>17.37</v>
      </c>
      <c r="C19" s="53">
        <v>70.510000000000005</v>
      </c>
      <c r="D19" s="53">
        <v>51.64</v>
      </c>
      <c r="E19" s="53">
        <v>14.87</v>
      </c>
      <c r="F19" s="53">
        <v>16.559999999999999</v>
      </c>
      <c r="G19" s="53">
        <v>72.8</v>
      </c>
      <c r="H19" s="53">
        <v>26.67</v>
      </c>
      <c r="I19" s="53">
        <v>10.76</v>
      </c>
      <c r="J19" s="53">
        <v>0.93</v>
      </c>
      <c r="K19" s="53">
        <v>317.73</v>
      </c>
      <c r="L19" s="53">
        <v>35.26</v>
      </c>
      <c r="M19" s="53">
        <v>29.82</v>
      </c>
      <c r="N19" s="53">
        <v>699.9</v>
      </c>
      <c r="O19" s="53">
        <v>0</v>
      </c>
      <c r="P19" s="53">
        <v>0.92</v>
      </c>
      <c r="Q19" s="53">
        <v>5</v>
      </c>
      <c r="R19" s="42"/>
      <c r="S19" s="42"/>
      <c r="T19" s="42"/>
      <c r="U19" s="42"/>
    </row>
    <row r="20" spans="1:21" s="11" customFormat="1">
      <c r="A20" s="52" t="s">
        <v>181</v>
      </c>
      <c r="B20" s="53">
        <v>13.61</v>
      </c>
      <c r="C20" s="53">
        <v>68.53</v>
      </c>
      <c r="D20" s="53">
        <v>46.85</v>
      </c>
      <c r="E20" s="53">
        <v>17.96</v>
      </c>
      <c r="F20" s="53">
        <v>17.100000000000001</v>
      </c>
      <c r="G20" s="53">
        <v>71.84</v>
      </c>
      <c r="H20" s="53">
        <v>26.67</v>
      </c>
      <c r="I20" s="53">
        <v>9.42</v>
      </c>
      <c r="J20" s="53">
        <v>1.42</v>
      </c>
      <c r="K20" s="53">
        <v>229.21</v>
      </c>
      <c r="L20" s="53">
        <v>36.03</v>
      </c>
      <c r="M20" s="53">
        <v>21.97</v>
      </c>
      <c r="N20" s="53">
        <v>778.9</v>
      </c>
      <c r="O20" s="53">
        <v>0</v>
      </c>
      <c r="P20" s="53">
        <v>0.85</v>
      </c>
      <c r="Q20" s="53">
        <v>5</v>
      </c>
      <c r="R20" s="42"/>
      <c r="S20" s="42"/>
      <c r="T20" s="42"/>
      <c r="U20" s="42"/>
    </row>
    <row r="21" spans="1:21" s="11" customFormat="1">
      <c r="A21" s="52" t="s">
        <v>182</v>
      </c>
      <c r="B21" s="53">
        <v>11.73</v>
      </c>
      <c r="C21" s="53">
        <v>70.349999999999994</v>
      </c>
      <c r="D21" s="53">
        <v>47.03</v>
      </c>
      <c r="E21" s="53">
        <v>22.01</v>
      </c>
      <c r="F21" s="53">
        <v>22.66</v>
      </c>
      <c r="G21" s="53">
        <v>71.84</v>
      </c>
      <c r="H21" s="53">
        <v>24.85</v>
      </c>
      <c r="I21" s="53">
        <v>8.6300000000000008</v>
      </c>
      <c r="J21" s="53">
        <v>0.95</v>
      </c>
      <c r="K21" s="53">
        <v>342.87</v>
      </c>
      <c r="L21" s="53">
        <v>36.97</v>
      </c>
      <c r="M21" s="53">
        <v>20.78</v>
      </c>
      <c r="N21" s="53">
        <v>784.2</v>
      </c>
      <c r="O21" s="53">
        <v>0</v>
      </c>
      <c r="P21" s="53">
        <v>0.79</v>
      </c>
      <c r="Q21" s="53">
        <v>5</v>
      </c>
      <c r="R21" s="42"/>
      <c r="S21" s="42"/>
      <c r="T21" s="42"/>
      <c r="U21" s="42"/>
    </row>
    <row r="22" spans="1:21" s="11" customFormat="1">
      <c r="A22" s="52" t="s">
        <v>183</v>
      </c>
      <c r="B22" s="53">
        <v>9.3800000000000008</v>
      </c>
      <c r="C22" s="53">
        <v>65.23</v>
      </c>
      <c r="D22" s="53">
        <v>42.48</v>
      </c>
      <c r="E22" s="53">
        <v>21.34</v>
      </c>
      <c r="F22" s="53">
        <v>27.61</v>
      </c>
      <c r="G22" s="53">
        <v>70.31</v>
      </c>
      <c r="H22" s="53">
        <v>23.96</v>
      </c>
      <c r="I22" s="53">
        <v>7.56</v>
      </c>
      <c r="J22" s="53">
        <v>0.68</v>
      </c>
      <c r="K22" s="53">
        <v>226.43</v>
      </c>
      <c r="L22" s="53">
        <v>38.25</v>
      </c>
      <c r="M22" s="53">
        <v>21.55</v>
      </c>
      <c r="N22" s="53">
        <v>736.4</v>
      </c>
      <c r="O22" s="53">
        <v>0</v>
      </c>
      <c r="P22" s="53">
        <v>0.73</v>
      </c>
      <c r="Q22" s="53">
        <v>5</v>
      </c>
      <c r="R22" s="42"/>
      <c r="S22" s="42"/>
      <c r="T22" s="42"/>
      <c r="U22" s="42"/>
    </row>
    <row r="23" spans="1:21" s="11" customFormat="1">
      <c r="A23" s="52" t="s">
        <v>184</v>
      </c>
      <c r="B23" s="53">
        <v>9.24</v>
      </c>
      <c r="C23" s="53">
        <v>64.430000000000007</v>
      </c>
      <c r="D23" s="53">
        <v>41.95</v>
      </c>
      <c r="E23" s="53">
        <v>31.8</v>
      </c>
      <c r="F23" s="53">
        <v>36.24</v>
      </c>
      <c r="G23" s="53">
        <v>66.22</v>
      </c>
      <c r="H23" s="53">
        <v>23.69</v>
      </c>
      <c r="I23" s="53">
        <v>7.04</v>
      </c>
      <c r="J23" s="53">
        <v>0.9</v>
      </c>
      <c r="K23" s="53">
        <v>48.66</v>
      </c>
      <c r="L23" s="53">
        <v>35.54</v>
      </c>
      <c r="M23" s="53">
        <v>24.16</v>
      </c>
      <c r="N23" s="53">
        <v>144.30000000000001</v>
      </c>
      <c r="O23" s="53">
        <v>0</v>
      </c>
      <c r="P23" s="53">
        <v>0.66</v>
      </c>
      <c r="Q23" s="53">
        <v>5</v>
      </c>
      <c r="R23" s="42"/>
      <c r="S23" s="42"/>
      <c r="T23" s="42"/>
      <c r="U23" s="42"/>
    </row>
    <row r="24" spans="1:21" s="11" customFormat="1">
      <c r="A24" s="52" t="s">
        <v>185</v>
      </c>
      <c r="B24" s="53">
        <v>9.49</v>
      </c>
      <c r="C24" s="53">
        <v>64.95</v>
      </c>
      <c r="D24" s="53">
        <v>42.42</v>
      </c>
      <c r="E24" s="53">
        <v>19.739999999999998</v>
      </c>
      <c r="F24" s="53">
        <v>18.690000000000001</v>
      </c>
      <c r="G24" s="53">
        <v>73.67</v>
      </c>
      <c r="H24" s="53">
        <v>24.43</v>
      </c>
      <c r="I24" s="53">
        <v>6.25</v>
      </c>
      <c r="J24" s="53">
        <v>0.92</v>
      </c>
      <c r="K24" s="53">
        <v>329.08</v>
      </c>
      <c r="L24" s="53">
        <v>36.29</v>
      </c>
      <c r="M24" s="53">
        <v>21.89</v>
      </c>
      <c r="N24" s="53">
        <v>441.2</v>
      </c>
      <c r="O24" s="53">
        <v>0</v>
      </c>
      <c r="P24" s="53">
        <v>0.66</v>
      </c>
      <c r="Q24" s="53">
        <v>5</v>
      </c>
      <c r="R24" s="42"/>
      <c r="S24" s="42"/>
      <c r="T24" s="42"/>
      <c r="U24" s="42"/>
    </row>
    <row r="25" spans="1:21" s="11" customFormat="1">
      <c r="A25" s="52" t="s">
        <v>186</v>
      </c>
      <c r="B25" s="53">
        <v>8.33</v>
      </c>
      <c r="C25" s="53">
        <v>64.930000000000007</v>
      </c>
      <c r="D25" s="53">
        <v>41.47</v>
      </c>
      <c r="E25" s="53">
        <v>15.53</v>
      </c>
      <c r="F25" s="53">
        <v>30.27</v>
      </c>
      <c r="G25" s="53">
        <v>73.67</v>
      </c>
      <c r="H25" s="53">
        <v>24.43</v>
      </c>
      <c r="I25" s="53">
        <v>6.07</v>
      </c>
      <c r="J25" s="53">
        <v>0.43</v>
      </c>
      <c r="K25" s="53">
        <v>354.44</v>
      </c>
      <c r="L25" s="53">
        <v>36.46</v>
      </c>
      <c r="M25" s="53">
        <v>20.22</v>
      </c>
      <c r="N25" s="53">
        <v>337.5</v>
      </c>
      <c r="O25" s="53">
        <v>0</v>
      </c>
      <c r="P25" s="53">
        <v>0.64</v>
      </c>
      <c r="Q25" s="53">
        <v>5</v>
      </c>
      <c r="R25" s="42"/>
      <c r="S25" s="42"/>
      <c r="T25" s="42"/>
      <c r="U25" s="42"/>
    </row>
    <row r="26" spans="1:21" s="11" customFormat="1">
      <c r="A26" s="52" t="s">
        <v>187</v>
      </c>
      <c r="B26" s="53">
        <v>6.71</v>
      </c>
      <c r="C26" s="53">
        <v>63.87</v>
      </c>
      <c r="D26" s="53">
        <v>39.619999999999997</v>
      </c>
      <c r="E26" s="53">
        <v>16.32</v>
      </c>
      <c r="F26" s="53">
        <v>30.42</v>
      </c>
      <c r="G26" s="53">
        <v>63.17</v>
      </c>
      <c r="H26" s="53">
        <v>21.62</v>
      </c>
      <c r="I26" s="53">
        <v>5.41</v>
      </c>
      <c r="J26" s="53">
        <v>0.28999999999999998</v>
      </c>
      <c r="K26" s="53">
        <v>182.41</v>
      </c>
      <c r="L26" s="53">
        <v>35.46</v>
      </c>
      <c r="M26" s="53">
        <v>30.09</v>
      </c>
      <c r="N26" s="53">
        <v>89</v>
      </c>
      <c r="O26" s="53">
        <v>0</v>
      </c>
      <c r="P26" s="53">
        <v>0.62</v>
      </c>
      <c r="Q26" s="53">
        <v>5</v>
      </c>
      <c r="R26" s="42"/>
      <c r="S26" s="42"/>
      <c r="T26" s="42"/>
      <c r="U26" s="42"/>
    </row>
    <row r="27" spans="1:21" s="11" customFormat="1">
      <c r="A27" s="52" t="s">
        <v>188</v>
      </c>
      <c r="B27" s="53">
        <v>5.79</v>
      </c>
      <c r="C27" s="53">
        <v>56.07</v>
      </c>
      <c r="D27" s="53">
        <v>34.56</v>
      </c>
      <c r="E27" s="53">
        <v>11.1</v>
      </c>
      <c r="F27" s="53">
        <v>18.68</v>
      </c>
      <c r="G27" s="53">
        <v>59.97</v>
      </c>
      <c r="H27" s="53">
        <v>23.15</v>
      </c>
      <c r="I27" s="53">
        <v>5.12</v>
      </c>
      <c r="J27" s="53">
        <v>0.15</v>
      </c>
      <c r="K27" s="53">
        <v>233.54</v>
      </c>
      <c r="L27" s="53">
        <v>31.89</v>
      </c>
      <c r="M27" s="53">
        <v>48.32</v>
      </c>
      <c r="N27" s="53">
        <v>0.1</v>
      </c>
      <c r="O27" s="53">
        <v>0</v>
      </c>
      <c r="P27" s="53">
        <v>0.61</v>
      </c>
      <c r="Q27" s="53">
        <v>5</v>
      </c>
      <c r="R27" s="42"/>
      <c r="S27" s="42"/>
      <c r="T27" s="42"/>
      <c r="U27" s="42"/>
    </row>
    <row r="28" spans="1:21" s="11" customFormat="1">
      <c r="A28" s="52" t="s">
        <v>189</v>
      </c>
      <c r="B28" s="53">
        <v>7.39</v>
      </c>
      <c r="C28" s="53">
        <v>60.68</v>
      </c>
      <c r="D28" s="53">
        <v>38.5</v>
      </c>
      <c r="E28" s="53">
        <v>9.82</v>
      </c>
      <c r="F28" s="53">
        <v>12.89</v>
      </c>
      <c r="G28" s="53">
        <v>59.97</v>
      </c>
      <c r="H28" s="53">
        <v>23.15</v>
      </c>
      <c r="I28" s="53">
        <v>4.97</v>
      </c>
      <c r="J28" s="53">
        <v>0.34</v>
      </c>
      <c r="K28" s="53">
        <v>218.88</v>
      </c>
      <c r="L28" s="53">
        <v>29.45</v>
      </c>
      <c r="M28" s="53">
        <v>54.08</v>
      </c>
      <c r="N28" s="53">
        <v>0</v>
      </c>
      <c r="O28" s="53">
        <v>0</v>
      </c>
      <c r="P28" s="53">
        <v>0.61</v>
      </c>
      <c r="Q28" s="53">
        <v>5</v>
      </c>
      <c r="R28" s="42"/>
      <c r="S28" s="42"/>
      <c r="T28" s="42"/>
      <c r="U28" s="42"/>
    </row>
    <row r="29" spans="1:21" s="11" customFormat="1">
      <c r="A29" s="52" t="s">
        <v>190</v>
      </c>
      <c r="B29" s="53">
        <v>11.35</v>
      </c>
      <c r="C29" s="53">
        <v>61.82</v>
      </c>
      <c r="D29" s="53">
        <v>42.12</v>
      </c>
      <c r="E29" s="53">
        <v>9.14</v>
      </c>
      <c r="F29" s="53">
        <v>9.93</v>
      </c>
      <c r="G29" s="53">
        <v>59.9</v>
      </c>
      <c r="H29" s="53">
        <v>21.85</v>
      </c>
      <c r="I29" s="53">
        <v>5.21</v>
      </c>
      <c r="J29" s="53">
        <v>0.21</v>
      </c>
      <c r="K29" s="53">
        <v>226.5</v>
      </c>
      <c r="L29" s="53">
        <v>28.63</v>
      </c>
      <c r="M29" s="53">
        <v>58.7</v>
      </c>
      <c r="N29" s="53">
        <v>0</v>
      </c>
      <c r="O29" s="53">
        <v>0</v>
      </c>
      <c r="P29" s="53">
        <v>0.69</v>
      </c>
      <c r="Q29" s="53">
        <v>5</v>
      </c>
      <c r="R29" s="42"/>
      <c r="S29" s="42"/>
      <c r="T29" s="42"/>
      <c r="U29" s="42"/>
    </row>
    <row r="30" spans="1:21" s="11" customFormat="1">
      <c r="A30" s="52" t="s">
        <v>191</v>
      </c>
      <c r="B30" s="53">
        <v>16.559999999999999</v>
      </c>
      <c r="C30" s="53">
        <v>66.38</v>
      </c>
      <c r="D30" s="53">
        <v>48.83</v>
      </c>
      <c r="E30" s="53">
        <v>10.23</v>
      </c>
      <c r="F30" s="53">
        <v>6.95</v>
      </c>
      <c r="G30" s="53">
        <v>64.930000000000007</v>
      </c>
      <c r="H30" s="53">
        <v>23.54</v>
      </c>
      <c r="I30" s="53">
        <v>5.73</v>
      </c>
      <c r="J30" s="53">
        <v>0.87</v>
      </c>
      <c r="K30" s="53">
        <v>93.44</v>
      </c>
      <c r="L30" s="53">
        <v>28.17</v>
      </c>
      <c r="M30" s="53">
        <v>54.79</v>
      </c>
      <c r="N30" s="53">
        <v>0</v>
      </c>
      <c r="O30" s="53">
        <v>0</v>
      </c>
      <c r="P30" s="53">
        <v>0.72</v>
      </c>
      <c r="Q30" s="53">
        <v>5</v>
      </c>
      <c r="R30" s="42"/>
      <c r="S30" s="42"/>
      <c r="T30" s="42"/>
      <c r="U30" s="42"/>
    </row>
    <row r="31" spans="1:21" s="11" customFormat="1">
      <c r="A31" s="52" t="s">
        <v>192</v>
      </c>
      <c r="B31" s="53">
        <v>18.07</v>
      </c>
      <c r="C31" s="53">
        <v>67.2</v>
      </c>
      <c r="D31" s="53">
        <v>50.47</v>
      </c>
      <c r="E31" s="53">
        <v>9.93</v>
      </c>
      <c r="F31" s="53">
        <v>6.57</v>
      </c>
      <c r="G31" s="53">
        <v>75.53</v>
      </c>
      <c r="H31" s="53">
        <v>23.54</v>
      </c>
      <c r="I31" s="53">
        <v>5.82</v>
      </c>
      <c r="J31" s="53">
        <v>0.22</v>
      </c>
      <c r="K31" s="53">
        <v>228.58</v>
      </c>
      <c r="L31" s="53">
        <v>27.3</v>
      </c>
      <c r="M31" s="53">
        <v>59.73</v>
      </c>
      <c r="N31" s="53">
        <v>0</v>
      </c>
      <c r="O31" s="53">
        <v>0</v>
      </c>
      <c r="P31" s="53">
        <v>0.71</v>
      </c>
      <c r="Q31" s="53">
        <v>5</v>
      </c>
      <c r="R31" s="42"/>
      <c r="S31" s="42"/>
      <c r="T31" s="42"/>
      <c r="U31" s="42"/>
    </row>
    <row r="32" spans="1:21" s="11" customFormat="1">
      <c r="A32" s="52" t="s">
        <v>193</v>
      </c>
      <c r="B32" s="53">
        <v>24.42</v>
      </c>
      <c r="C32" s="53">
        <v>67.72</v>
      </c>
      <c r="D32" s="53">
        <v>55.84</v>
      </c>
      <c r="E32" s="53">
        <v>9.24</v>
      </c>
      <c r="F32" s="53">
        <v>4.0199999999999996</v>
      </c>
      <c r="G32" s="53">
        <v>80.69</v>
      </c>
      <c r="H32" s="53">
        <v>26.12</v>
      </c>
      <c r="I32" s="53">
        <v>5.99</v>
      </c>
      <c r="J32" s="53">
        <v>0.25</v>
      </c>
      <c r="K32" s="53">
        <v>168.79</v>
      </c>
      <c r="L32" s="53">
        <v>26.01</v>
      </c>
      <c r="M32" s="53">
        <v>63.6</v>
      </c>
      <c r="N32" s="53">
        <v>0</v>
      </c>
      <c r="O32" s="53">
        <v>0</v>
      </c>
      <c r="P32" s="53">
        <v>0.73</v>
      </c>
      <c r="Q32" s="53">
        <v>5</v>
      </c>
      <c r="R32" s="42"/>
      <c r="S32" s="42"/>
      <c r="T32" s="42"/>
      <c r="U32" s="42"/>
    </row>
    <row r="33" spans="1:21" s="21" customFormat="1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>
      <c r="A34" s="27" t="s">
        <v>30</v>
      </c>
      <c r="B34" s="28">
        <f t="shared" ref="B34:Q34" si="0">MIN(B9:B32)</f>
        <v>5.79</v>
      </c>
      <c r="C34" s="28">
        <f t="shared" si="0"/>
        <v>56.07</v>
      </c>
      <c r="D34" s="28">
        <f t="shared" si="0"/>
        <v>34.56</v>
      </c>
      <c r="E34" s="28">
        <f t="shared" si="0"/>
        <v>7.81</v>
      </c>
      <c r="F34" s="28">
        <f t="shared" si="0"/>
        <v>3.75</v>
      </c>
      <c r="G34" s="28">
        <f t="shared" si="0"/>
        <v>35.909999999999997</v>
      </c>
      <c r="H34" s="28">
        <f>MIN(H9:H32)</f>
        <v>15.86</v>
      </c>
      <c r="I34" s="28">
        <f t="shared" si="0"/>
        <v>4.6500000000000004</v>
      </c>
      <c r="J34" s="28">
        <f t="shared" si="0"/>
        <v>0.15</v>
      </c>
      <c r="K34" s="28">
        <f t="shared" si="0"/>
        <v>48.66</v>
      </c>
      <c r="L34" s="28">
        <f t="shared" si="0"/>
        <v>22.72</v>
      </c>
      <c r="M34" s="28">
        <f t="shared" si="0"/>
        <v>20.22</v>
      </c>
      <c r="N34" s="28">
        <f t="shared" si="0"/>
        <v>0</v>
      </c>
      <c r="O34" s="28">
        <f t="shared" si="0"/>
        <v>0</v>
      </c>
      <c r="P34" s="28">
        <f t="shared" si="0"/>
        <v>0.57999999999999996</v>
      </c>
      <c r="Q34" s="28">
        <f t="shared" si="0"/>
        <v>5</v>
      </c>
      <c r="R34" s="28"/>
      <c r="S34" s="28"/>
      <c r="T34" s="28"/>
      <c r="U34" s="28"/>
    </row>
    <row r="35" spans="1:21" s="21" customFormat="1">
      <c r="A35" s="27" t="s">
        <v>31</v>
      </c>
      <c r="B35" s="29">
        <f t="shared" ref="B35:Q35" si="1">MAX(B9:B32)</f>
        <v>31.35</v>
      </c>
      <c r="C35" s="29">
        <f t="shared" si="1"/>
        <v>73.66</v>
      </c>
      <c r="D35" s="29">
        <f t="shared" si="1"/>
        <v>63.36</v>
      </c>
      <c r="E35" s="29">
        <f t="shared" si="1"/>
        <v>31.8</v>
      </c>
      <c r="F35" s="29">
        <f t="shared" si="1"/>
        <v>36.24</v>
      </c>
      <c r="G35" s="29">
        <f>MAX(G9:G32)</f>
        <v>84.88</v>
      </c>
      <c r="H35" s="29">
        <f>MAX(H9:H32)</f>
        <v>27.13</v>
      </c>
      <c r="I35" s="29">
        <f t="shared" si="1"/>
        <v>11.59</v>
      </c>
      <c r="J35" s="29">
        <f t="shared" si="1"/>
        <v>1.42</v>
      </c>
      <c r="K35" s="29">
        <f t="shared" si="1"/>
        <v>354.44</v>
      </c>
      <c r="L35" s="29">
        <f t="shared" si="1"/>
        <v>38.25</v>
      </c>
      <c r="M35" s="29">
        <f t="shared" si="1"/>
        <v>76.2</v>
      </c>
      <c r="N35" s="29">
        <f t="shared" si="1"/>
        <v>784.2</v>
      </c>
      <c r="O35" s="29">
        <f t="shared" si="1"/>
        <v>0</v>
      </c>
      <c r="P35" s="29">
        <f t="shared" si="1"/>
        <v>0.95</v>
      </c>
      <c r="Q35" s="29">
        <f t="shared" si="1"/>
        <v>5</v>
      </c>
      <c r="R35" s="29"/>
      <c r="S35" s="29"/>
      <c r="T35" s="29"/>
      <c r="U35" s="29"/>
    </row>
    <row r="36" spans="1:21" s="21" customFormat="1">
      <c r="A36" s="27" t="s">
        <v>32</v>
      </c>
      <c r="B36" s="28">
        <f t="shared" ref="B36:Q36" si="2">AVERAGE(B9:B32)</f>
        <v>17.790000000000003</v>
      </c>
      <c r="C36" s="28">
        <f t="shared" si="2"/>
        <v>66.887916666666669</v>
      </c>
      <c r="D36" s="28">
        <f t="shared" si="2"/>
        <v>49.89041666666666</v>
      </c>
      <c r="E36" s="28">
        <f t="shared" si="2"/>
        <v>12.681666666666667</v>
      </c>
      <c r="F36" s="28">
        <f t="shared" si="2"/>
        <v>12.669583333333334</v>
      </c>
      <c r="G36" s="28">
        <f t="shared" si="2"/>
        <v>62.04791666666668</v>
      </c>
      <c r="H36" s="28">
        <f>AVERAGE(H9:H32)</f>
        <v>22.36791666666667</v>
      </c>
      <c r="I36" s="28">
        <f t="shared" si="2"/>
        <v>6.9604166666666671</v>
      </c>
      <c r="J36" s="28">
        <f t="shared" si="2"/>
        <v>0.47458333333333336</v>
      </c>
      <c r="K36" s="28">
        <f t="shared" si="2"/>
        <v>225.50041666666664</v>
      </c>
      <c r="L36" s="28">
        <f t="shared" si="2"/>
        <v>30.271666666666665</v>
      </c>
      <c r="M36" s="28">
        <f t="shared" si="2"/>
        <v>48.412083333333335</v>
      </c>
      <c r="N36" s="28">
        <f t="shared" si="2"/>
        <v>212.21666666666667</v>
      </c>
      <c r="O36" s="28">
        <f t="shared" si="2"/>
        <v>0</v>
      </c>
      <c r="P36" s="28">
        <f t="shared" si="2"/>
        <v>0.71416666666666651</v>
      </c>
      <c r="Q36" s="28">
        <f t="shared" si="2"/>
        <v>5</v>
      </c>
      <c r="R36" s="28"/>
      <c r="S36" s="28"/>
      <c r="T36" s="28"/>
      <c r="U36" s="28"/>
    </row>
    <row r="37" spans="1:21" s="21" customFormat="1">
      <c r="A37" s="27" t="s">
        <v>38</v>
      </c>
      <c r="B37" s="28">
        <f>STDEV(B9:B32)</f>
        <v>8.5102327153589101</v>
      </c>
      <c r="C37" s="28">
        <f t="shared" ref="C37:Q37" si="3">STDEV(C9:C32)</f>
        <v>3.994281759636134</v>
      </c>
      <c r="D37" s="28">
        <f t="shared" si="3"/>
        <v>8.3039118488068304</v>
      </c>
      <c r="E37" s="28">
        <f t="shared" si="3"/>
        <v>6.0924198566862477</v>
      </c>
      <c r="F37" s="28">
        <f t="shared" si="3"/>
        <v>10.290319840876485</v>
      </c>
      <c r="G37" s="28">
        <f t="shared" si="3"/>
        <v>15.384236986114205</v>
      </c>
      <c r="H37" s="28">
        <f>STDEV(H9:H32)</f>
        <v>3.6138092382062843</v>
      </c>
      <c r="I37" s="28">
        <f t="shared" si="3"/>
        <v>2.3078890772204876</v>
      </c>
      <c r="J37" s="28">
        <f t="shared" si="3"/>
        <v>0.34320711412848914</v>
      </c>
      <c r="K37" s="28">
        <f t="shared" si="3"/>
        <v>76.872807228064616</v>
      </c>
      <c r="L37" s="28">
        <f t="shared" si="3"/>
        <v>5.164892074857689</v>
      </c>
      <c r="M37" s="28">
        <f t="shared" si="3"/>
        <v>20.358227047424641</v>
      </c>
      <c r="N37" s="28">
        <f t="shared" si="3"/>
        <v>289.28028181899185</v>
      </c>
      <c r="O37" s="28">
        <f t="shared" si="3"/>
        <v>0</v>
      </c>
      <c r="P37" s="28">
        <f t="shared" si="3"/>
        <v>0.1175813008893879</v>
      </c>
      <c r="Q37" s="28">
        <f t="shared" si="3"/>
        <v>0</v>
      </c>
      <c r="R37" s="28"/>
      <c r="S37" s="28"/>
      <c r="T37" s="28"/>
      <c r="U37" s="28"/>
    </row>
    <row r="38" spans="1:21" s="21" customFormat="1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>COUNT(F9:F32)</f>
        <v>24</v>
      </c>
      <c r="G38" s="32">
        <f>COUNT(G9:G32)</f>
        <v>24</v>
      </c>
      <c r="H38" s="32">
        <f>COUNT(H9:H32)</f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>
      <c r="A42" s="13"/>
    </row>
    <row r="43" spans="1:21" s="21" customFormat="1">
      <c r="A43" s="14" t="s">
        <v>35</v>
      </c>
      <c r="B43" s="39" t="s">
        <v>58</v>
      </c>
      <c r="C43" s="41"/>
    </row>
    <row r="44" spans="1:21" s="21" customFormat="1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0"/>
      <c r="C45" s="40"/>
      <c r="D45" s="40"/>
      <c r="E45" s="40"/>
      <c r="F45" s="40"/>
      <c r="G45" s="40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</row>
    <row r="46" spans="1:21" s="21" customFormat="1"/>
    <row r="47" spans="1:21" s="21" customFormat="1"/>
    <row r="48" spans="1:21" s="21" customFormat="1"/>
    <row r="49" s="21" customFormat="1"/>
    <row r="50" s="21" customFormat="1"/>
    <row r="51" s="21" customFormat="1"/>
    <row r="52" s="21" customFormat="1"/>
    <row r="53" s="21" customFormat="1"/>
    <row r="54" s="21" customFormat="1"/>
    <row r="55" s="21" customFormat="1"/>
    <row r="56" s="21" customFormat="1"/>
    <row r="57" s="21" customFormat="1"/>
    <row r="58" s="21" customFormat="1"/>
    <row r="59" s="21" customFormat="1"/>
    <row r="60" s="21" customFormat="1"/>
    <row r="61" s="21" customFormat="1"/>
    <row r="62" s="21" customFormat="1"/>
    <row r="63" s="21" customFormat="1"/>
    <row r="64" s="21" customFormat="1"/>
    <row r="65" s="21" customFormat="1"/>
    <row r="66" s="21" customFormat="1"/>
    <row r="67" s="21" customFormat="1"/>
    <row r="68" s="21" customFormat="1"/>
    <row r="69" s="21" customFormat="1"/>
    <row r="70" s="21" customFormat="1"/>
    <row r="71" s="21" customFormat="1"/>
    <row r="72" s="21" customFormat="1"/>
    <row r="73" s="21" customFormat="1"/>
    <row r="74" s="21" customFormat="1"/>
    <row r="75" s="21" customFormat="1"/>
    <row r="76" s="21" customFormat="1"/>
    <row r="77" s="21" customFormat="1"/>
    <row r="78" s="21" customFormat="1"/>
    <row r="79" s="21" customFormat="1"/>
    <row r="80" s="21" customFormat="1"/>
    <row r="81" s="21" customFormat="1"/>
    <row r="82" s="21" customFormat="1"/>
    <row r="83" s="21" customFormat="1"/>
    <row r="84" s="21" customFormat="1"/>
    <row r="85" s="21" customFormat="1"/>
    <row r="86" s="21" customFormat="1"/>
    <row r="87" s="21" customFormat="1"/>
    <row r="88" s="21" customFormat="1"/>
    <row r="89" s="21" customFormat="1"/>
    <row r="90" s="21" customFormat="1"/>
    <row r="91" s="21" customFormat="1"/>
    <row r="92" s="21" customFormat="1"/>
    <row r="93" s="21" customFormat="1"/>
    <row r="94" s="21" customFormat="1"/>
    <row r="95" s="21" customFormat="1"/>
    <row r="96" s="21" customFormat="1"/>
    <row r="97" spans="1:1" s="21" customFormat="1"/>
    <row r="98" spans="1:1" s="21" customFormat="1"/>
    <row r="99" spans="1:1" s="21" customFormat="1"/>
    <row r="100" spans="1:1" s="21" customFormat="1"/>
    <row r="101" spans="1:1" s="21" customFormat="1"/>
    <row r="102" spans="1:1" s="21" customFormat="1"/>
    <row r="103" spans="1:1" s="21" customFormat="1"/>
    <row r="104" spans="1:1" s="21" customFormat="1"/>
    <row r="105" spans="1:1" s="21" customFormat="1"/>
    <row r="106" spans="1:1">
      <c r="A106" s="20"/>
    </row>
    <row r="107" spans="1:1" s="21" customFormat="1"/>
    <row r="108" spans="1:1" s="21" customFormat="1"/>
    <row r="109" spans="1:1" s="21" customFormat="1"/>
    <row r="110" spans="1:1" s="21" customFormat="1"/>
    <row r="111" spans="1:1" s="21" customFormat="1"/>
    <row r="112" spans="1:1" s="21" customFormat="1"/>
    <row r="113" spans="1:1" s="21" customFormat="1"/>
    <row r="114" spans="1:1" s="21" customFormat="1"/>
    <row r="115" spans="1:1" s="21" customFormat="1"/>
    <row r="116" spans="1:1" s="21" customFormat="1"/>
    <row r="117" spans="1:1" s="21" customFormat="1"/>
    <row r="118" spans="1:1">
      <c r="A118" s="20"/>
    </row>
    <row r="119" spans="1:1">
      <c r="A119" s="20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2" ySplit="8" topLeftCell="C27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A9" sqref="A9:Q32"/>
    </sheetView>
  </sheetViews>
  <sheetFormatPr defaultColWidth="8.85546875" defaultRowHeight="15"/>
  <cols>
    <col min="1" max="1" width="18.28515625" style="26" customWidth="1"/>
    <col min="2" max="2" width="15.14062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>
      <c r="A1" s="14" t="s">
        <v>2</v>
      </c>
      <c r="B1" s="23" t="s">
        <v>55</v>
      </c>
      <c r="C1" s="36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>
      <c r="A2" s="14" t="s">
        <v>0</v>
      </c>
      <c r="B2" s="37" t="str">
        <f>$A$9</f>
        <v>06/04/2023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8" t="s">
        <v>7</v>
      </c>
      <c r="Q2" s="12"/>
      <c r="R2" s="8" t="s">
        <v>8</v>
      </c>
      <c r="S2" s="11"/>
      <c r="T2" s="11"/>
      <c r="U2" s="11"/>
    </row>
    <row r="3" spans="1:21" s="21" customFormat="1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8" t="s">
        <v>15</v>
      </c>
      <c r="Q3" s="12"/>
      <c r="R3" s="9" t="s">
        <v>15</v>
      </c>
      <c r="S3" s="11"/>
      <c r="T3" s="11"/>
      <c r="U3" s="11"/>
    </row>
    <row r="4" spans="1:21" s="21" customFormat="1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>
      <c r="A7" s="25" t="s">
        <v>21</v>
      </c>
      <c r="B7" s="48" t="s">
        <v>40</v>
      </c>
      <c r="C7" s="49" t="s">
        <v>41</v>
      </c>
      <c r="D7" s="49" t="s">
        <v>42</v>
      </c>
      <c r="E7" s="49" t="s">
        <v>43</v>
      </c>
      <c r="F7" s="49" t="s">
        <v>44</v>
      </c>
      <c r="G7" s="49" t="s">
        <v>45</v>
      </c>
      <c r="H7" s="49" t="s">
        <v>56</v>
      </c>
      <c r="I7" s="49" t="s">
        <v>46</v>
      </c>
      <c r="J7" s="49" t="s">
        <v>47</v>
      </c>
      <c r="K7" s="49" t="s">
        <v>48</v>
      </c>
      <c r="L7" s="49" t="s">
        <v>49</v>
      </c>
      <c r="M7" s="49" t="s">
        <v>50</v>
      </c>
      <c r="N7" s="49" t="s">
        <v>51</v>
      </c>
      <c r="O7" s="49" t="s">
        <v>52</v>
      </c>
      <c r="P7" s="49" t="s">
        <v>53</v>
      </c>
      <c r="Q7" s="49" t="s">
        <v>54</v>
      </c>
      <c r="R7" s="27"/>
      <c r="S7" s="29"/>
      <c r="T7" s="27"/>
      <c r="U7" s="27"/>
    </row>
    <row r="8" spans="1:21" s="21" customFormat="1">
      <c r="A8" s="25"/>
      <c r="B8" s="50" t="s">
        <v>22</v>
      </c>
      <c r="C8" s="50" t="s">
        <v>22</v>
      </c>
      <c r="D8" s="50" t="s">
        <v>22</v>
      </c>
      <c r="E8" s="50" t="s">
        <v>22</v>
      </c>
      <c r="F8" s="50" t="s">
        <v>22</v>
      </c>
      <c r="G8" s="50" t="s">
        <v>23</v>
      </c>
      <c r="H8" s="50" t="s">
        <v>22</v>
      </c>
      <c r="I8" s="50" t="s">
        <v>22</v>
      </c>
      <c r="J8" s="50" t="s">
        <v>24</v>
      </c>
      <c r="K8" s="50" t="s">
        <v>25</v>
      </c>
      <c r="L8" s="25" t="s">
        <v>27</v>
      </c>
      <c r="M8" s="50" t="s">
        <v>26</v>
      </c>
      <c r="N8" s="50" t="s">
        <v>28</v>
      </c>
      <c r="O8" s="25" t="s">
        <v>29</v>
      </c>
      <c r="P8" s="50" t="s">
        <v>22</v>
      </c>
      <c r="Q8" s="50" t="s">
        <v>22</v>
      </c>
      <c r="R8" s="27"/>
      <c r="S8" s="29"/>
      <c r="T8" s="27"/>
      <c r="U8" s="27"/>
    </row>
    <row r="9" spans="1:21" s="11" customFormat="1">
      <c r="A9" s="52" t="s">
        <v>194</v>
      </c>
      <c r="B9" s="53">
        <v>24.91</v>
      </c>
      <c r="C9" s="53">
        <v>68.06</v>
      </c>
      <c r="D9" s="53">
        <v>56.41</v>
      </c>
      <c r="E9" s="53">
        <v>9.07</v>
      </c>
      <c r="F9" s="53">
        <v>4.08</v>
      </c>
      <c r="G9" s="53">
        <v>88.54</v>
      </c>
      <c r="H9" s="53">
        <v>27.12</v>
      </c>
      <c r="I9" s="53">
        <v>6.17</v>
      </c>
      <c r="J9" s="53">
        <v>0.23</v>
      </c>
      <c r="K9" s="53">
        <v>181.94</v>
      </c>
      <c r="L9" s="53">
        <v>25.22</v>
      </c>
      <c r="M9" s="53">
        <v>63.93</v>
      </c>
      <c r="N9" s="53">
        <v>0</v>
      </c>
      <c r="O9" s="53">
        <v>0</v>
      </c>
      <c r="P9" s="53">
        <v>0.74</v>
      </c>
      <c r="Q9" s="53">
        <v>5</v>
      </c>
      <c r="R9" s="42"/>
      <c r="S9" s="42"/>
      <c r="T9" s="42"/>
      <c r="U9" s="42"/>
    </row>
    <row r="10" spans="1:21" s="11" customFormat="1">
      <c r="A10" s="52" t="s">
        <v>195</v>
      </c>
      <c r="B10" s="53">
        <v>26.05</v>
      </c>
      <c r="C10" s="53">
        <v>70.37</v>
      </c>
      <c r="D10" s="53">
        <v>58.53</v>
      </c>
      <c r="E10" s="53">
        <v>8.64</v>
      </c>
      <c r="F10" s="53">
        <v>3.78</v>
      </c>
      <c r="G10" s="53">
        <v>88.54</v>
      </c>
      <c r="H10" s="53">
        <v>27.12</v>
      </c>
      <c r="I10" s="53">
        <v>6.28</v>
      </c>
      <c r="J10" s="53">
        <v>0.2</v>
      </c>
      <c r="K10" s="53">
        <v>204.95</v>
      </c>
      <c r="L10" s="53">
        <v>24.81</v>
      </c>
      <c r="M10" s="53">
        <v>63.71</v>
      </c>
      <c r="N10" s="53">
        <v>0</v>
      </c>
      <c r="O10" s="53">
        <v>0</v>
      </c>
      <c r="P10" s="53">
        <v>0.76</v>
      </c>
      <c r="Q10" s="53">
        <v>5</v>
      </c>
      <c r="R10" s="42"/>
      <c r="S10" s="42"/>
      <c r="T10" s="42"/>
      <c r="U10" s="42"/>
    </row>
    <row r="11" spans="1:21" s="11" customFormat="1">
      <c r="A11" s="52" t="s">
        <v>196</v>
      </c>
      <c r="B11" s="53">
        <v>30.93</v>
      </c>
      <c r="C11" s="53">
        <v>71.75</v>
      </c>
      <c r="D11" s="53">
        <v>63.16</v>
      </c>
      <c r="E11" s="53">
        <v>7.9</v>
      </c>
      <c r="F11" s="53">
        <v>3.86</v>
      </c>
      <c r="G11" s="53">
        <v>76.400000000000006</v>
      </c>
      <c r="H11" s="53">
        <v>23.66</v>
      </c>
      <c r="I11" s="53">
        <v>6.21</v>
      </c>
      <c r="J11" s="53">
        <v>0.43</v>
      </c>
      <c r="K11" s="53">
        <v>155.16</v>
      </c>
      <c r="L11" s="53">
        <v>24.65</v>
      </c>
      <c r="M11" s="53">
        <v>67.05</v>
      </c>
      <c r="N11" s="53">
        <v>0</v>
      </c>
      <c r="O11" s="53">
        <v>0</v>
      </c>
      <c r="P11" s="53">
        <v>0.74</v>
      </c>
      <c r="Q11" s="53">
        <v>5</v>
      </c>
      <c r="R11" s="42"/>
      <c r="S11" s="42"/>
      <c r="T11" s="42"/>
      <c r="U11" s="42"/>
    </row>
    <row r="12" spans="1:21" s="11" customFormat="1">
      <c r="A12" s="52" t="s">
        <v>197</v>
      </c>
      <c r="B12" s="53">
        <v>30.98</v>
      </c>
      <c r="C12" s="53">
        <v>71.55</v>
      </c>
      <c r="D12" s="53">
        <v>63.1</v>
      </c>
      <c r="E12" s="53">
        <v>8.1199999999999992</v>
      </c>
      <c r="F12" s="53">
        <v>3.81</v>
      </c>
      <c r="G12" s="53">
        <v>72.08</v>
      </c>
      <c r="H12" s="53">
        <v>23.66</v>
      </c>
      <c r="I12" s="53">
        <v>6.09</v>
      </c>
      <c r="J12" s="53">
        <v>0.17</v>
      </c>
      <c r="K12" s="53">
        <v>197.98</v>
      </c>
      <c r="L12" s="53">
        <v>23.58</v>
      </c>
      <c r="M12" s="53">
        <v>69.959999999999994</v>
      </c>
      <c r="N12" s="53">
        <v>0</v>
      </c>
      <c r="O12" s="53">
        <v>0</v>
      </c>
      <c r="P12" s="53">
        <v>0.73</v>
      </c>
      <c r="Q12" s="53">
        <v>5</v>
      </c>
      <c r="R12" s="42"/>
      <c r="S12" s="42"/>
      <c r="T12" s="42"/>
      <c r="U12" s="42"/>
    </row>
    <row r="13" spans="1:21" s="11" customFormat="1">
      <c r="A13" s="52" t="s">
        <v>198</v>
      </c>
      <c r="B13" s="53">
        <v>30.99</v>
      </c>
      <c r="C13" s="53">
        <v>70.78</v>
      </c>
      <c r="D13" s="53">
        <v>62.6</v>
      </c>
      <c r="E13" s="53">
        <v>8.06</v>
      </c>
      <c r="F13" s="53">
        <v>3.9</v>
      </c>
      <c r="G13" s="53">
        <v>59.12</v>
      </c>
      <c r="H13" s="53">
        <v>22.03</v>
      </c>
      <c r="I13" s="53">
        <v>5.99</v>
      </c>
      <c r="J13" s="53">
        <v>0.34</v>
      </c>
      <c r="K13" s="53">
        <v>241.13</v>
      </c>
      <c r="L13" s="53">
        <v>23.82</v>
      </c>
      <c r="M13" s="53">
        <v>70.510000000000005</v>
      </c>
      <c r="N13" s="53">
        <v>0</v>
      </c>
      <c r="O13" s="53">
        <v>0</v>
      </c>
      <c r="P13" s="53">
        <v>0.71</v>
      </c>
      <c r="Q13" s="53">
        <v>5</v>
      </c>
      <c r="R13" s="42"/>
      <c r="S13" s="42"/>
      <c r="T13" s="42"/>
      <c r="U13" s="42"/>
    </row>
    <row r="14" spans="1:21" s="11" customFormat="1">
      <c r="A14" s="52" t="s">
        <v>199</v>
      </c>
      <c r="B14" s="53">
        <v>31.01</v>
      </c>
      <c r="C14" s="53">
        <v>70.39</v>
      </c>
      <c r="D14" s="53">
        <v>62.52</v>
      </c>
      <c r="E14" s="53">
        <v>8.11</v>
      </c>
      <c r="F14" s="53">
        <v>3.87</v>
      </c>
      <c r="G14" s="53">
        <v>57.72</v>
      </c>
      <c r="H14" s="53">
        <v>22.03</v>
      </c>
      <c r="I14" s="53">
        <v>5.88</v>
      </c>
      <c r="J14" s="53">
        <v>0.19</v>
      </c>
      <c r="K14" s="53">
        <v>190.16</v>
      </c>
      <c r="L14" s="53">
        <v>23.24</v>
      </c>
      <c r="M14" s="53">
        <v>72.680000000000007</v>
      </c>
      <c r="N14" s="53">
        <v>0.6</v>
      </c>
      <c r="O14" s="53">
        <v>0</v>
      </c>
      <c r="P14" s="53">
        <v>0.69</v>
      </c>
      <c r="Q14" s="53">
        <v>5</v>
      </c>
      <c r="R14" s="42"/>
      <c r="S14" s="42"/>
      <c r="T14" s="42"/>
      <c r="U14" s="42"/>
    </row>
    <row r="15" spans="1:21" s="11" customFormat="1">
      <c r="A15" s="52" t="s">
        <v>200</v>
      </c>
      <c r="B15" s="53">
        <v>34</v>
      </c>
      <c r="C15" s="53">
        <v>66.239999999999995</v>
      </c>
      <c r="D15" s="53">
        <v>62.75</v>
      </c>
      <c r="E15" s="53">
        <v>8.14</v>
      </c>
      <c r="F15" s="53">
        <v>4.1399999999999997</v>
      </c>
      <c r="G15" s="53">
        <v>53.11</v>
      </c>
      <c r="H15" s="53">
        <v>21.85</v>
      </c>
      <c r="I15" s="53">
        <v>5.97</v>
      </c>
      <c r="J15" s="53">
        <v>0.36</v>
      </c>
      <c r="K15" s="53">
        <v>148.68</v>
      </c>
      <c r="L15" s="53">
        <v>25.35</v>
      </c>
      <c r="M15" s="53">
        <v>71.45</v>
      </c>
      <c r="N15" s="53">
        <v>90.9</v>
      </c>
      <c r="O15" s="53">
        <v>0</v>
      </c>
      <c r="P15" s="53">
        <v>0.66</v>
      </c>
      <c r="Q15" s="53">
        <v>5</v>
      </c>
      <c r="R15" s="42"/>
      <c r="S15" s="42"/>
      <c r="T15" s="42"/>
      <c r="U15" s="42"/>
    </row>
    <row r="16" spans="1:21" s="11" customFormat="1">
      <c r="A16" s="52" t="s">
        <v>201</v>
      </c>
      <c r="B16" s="53">
        <v>36.01</v>
      </c>
      <c r="C16" s="53">
        <v>68.12</v>
      </c>
      <c r="D16" s="53">
        <v>65.239999999999995</v>
      </c>
      <c r="E16" s="53">
        <v>8.4700000000000006</v>
      </c>
      <c r="F16" s="53">
        <v>3.93</v>
      </c>
      <c r="G16" s="53">
        <v>51.47</v>
      </c>
      <c r="H16" s="53">
        <v>21.85</v>
      </c>
      <c r="I16" s="53">
        <v>6.28</v>
      </c>
      <c r="J16" s="53">
        <v>0.2</v>
      </c>
      <c r="K16" s="53">
        <v>290.36</v>
      </c>
      <c r="L16" s="53">
        <v>27.42</v>
      </c>
      <c r="M16" s="53">
        <v>62.93</v>
      </c>
      <c r="N16" s="53">
        <v>148.1</v>
      </c>
      <c r="O16" s="53">
        <v>0</v>
      </c>
      <c r="P16" s="53">
        <v>0.68</v>
      </c>
      <c r="Q16" s="53">
        <v>5</v>
      </c>
      <c r="R16" s="42"/>
      <c r="S16" s="42"/>
      <c r="T16" s="42"/>
      <c r="U16" s="42"/>
    </row>
    <row r="17" spans="1:21" s="11" customFormat="1">
      <c r="A17" s="52" t="s">
        <v>202</v>
      </c>
      <c r="B17" s="53">
        <v>36.299999999999997</v>
      </c>
      <c r="C17" s="53">
        <v>68.03</v>
      </c>
      <c r="D17" s="53">
        <v>65.239999999999995</v>
      </c>
      <c r="E17" s="53">
        <v>10.1</v>
      </c>
      <c r="F17" s="53">
        <v>4.59</v>
      </c>
      <c r="G17" s="53">
        <v>60.55</v>
      </c>
      <c r="H17" s="53">
        <v>20.27</v>
      </c>
      <c r="I17" s="53">
        <v>6.56</v>
      </c>
      <c r="J17" s="53">
        <v>0.87</v>
      </c>
      <c r="K17" s="53">
        <v>338.23</v>
      </c>
      <c r="L17" s="53">
        <v>27.93</v>
      </c>
      <c r="M17" s="53">
        <v>56.46</v>
      </c>
      <c r="N17" s="53">
        <v>231.9</v>
      </c>
      <c r="O17" s="53">
        <v>0</v>
      </c>
      <c r="P17" s="53">
        <v>0.75</v>
      </c>
      <c r="Q17" s="53">
        <v>5</v>
      </c>
      <c r="R17" s="42"/>
      <c r="S17" s="42"/>
      <c r="T17" s="42"/>
      <c r="U17" s="42"/>
    </row>
    <row r="18" spans="1:21" s="11" customFormat="1">
      <c r="A18" s="52" t="s">
        <v>203</v>
      </c>
      <c r="B18" s="53">
        <v>36.75</v>
      </c>
      <c r="C18" s="53">
        <v>70.38</v>
      </c>
      <c r="D18" s="53">
        <v>66.83</v>
      </c>
      <c r="E18" s="53">
        <v>25.74</v>
      </c>
      <c r="F18" s="53">
        <v>6.03</v>
      </c>
      <c r="G18" s="53">
        <v>174.56</v>
      </c>
      <c r="H18" s="53">
        <v>33.08</v>
      </c>
      <c r="I18" s="53">
        <v>7.13</v>
      </c>
      <c r="J18" s="53">
        <v>0.82</v>
      </c>
      <c r="K18" s="53">
        <v>310.44</v>
      </c>
      <c r="L18" s="53">
        <v>30.99</v>
      </c>
      <c r="M18" s="53">
        <v>45.83</v>
      </c>
      <c r="N18" s="53">
        <v>459.4</v>
      </c>
      <c r="O18" s="53">
        <v>0</v>
      </c>
      <c r="P18" s="53">
        <v>0.87</v>
      </c>
      <c r="Q18" s="53">
        <v>5</v>
      </c>
      <c r="R18" s="42"/>
      <c r="S18" s="42"/>
      <c r="T18" s="42"/>
      <c r="U18" s="42"/>
    </row>
    <row r="19" spans="1:21" s="11" customFormat="1">
      <c r="A19" s="52" t="s">
        <v>204</v>
      </c>
      <c r="B19" s="53">
        <v>34.19</v>
      </c>
      <c r="C19" s="53">
        <v>69.08</v>
      </c>
      <c r="D19" s="53">
        <v>63.88</v>
      </c>
      <c r="E19" s="53">
        <v>24.45</v>
      </c>
      <c r="F19" s="53">
        <v>13.21</v>
      </c>
      <c r="G19" s="53">
        <v>174.56</v>
      </c>
      <c r="H19" s="53">
        <v>42.88</v>
      </c>
      <c r="I19" s="53">
        <v>7.5</v>
      </c>
      <c r="J19" s="53">
        <v>0.42</v>
      </c>
      <c r="K19" s="53">
        <v>295.91000000000003</v>
      </c>
      <c r="L19" s="53">
        <v>33.07</v>
      </c>
      <c r="M19" s="53">
        <v>39.799999999999997</v>
      </c>
      <c r="N19" s="53">
        <v>505.9</v>
      </c>
      <c r="O19" s="53">
        <v>0</v>
      </c>
      <c r="P19" s="53">
        <v>0.9</v>
      </c>
      <c r="Q19" s="53">
        <v>5</v>
      </c>
      <c r="R19" s="42"/>
      <c r="S19" s="42"/>
      <c r="T19" s="42"/>
      <c r="U19" s="42"/>
    </row>
    <row r="20" spans="1:21" s="11" customFormat="1">
      <c r="A20" s="52" t="s">
        <v>205</v>
      </c>
      <c r="B20" s="53">
        <v>22.72</v>
      </c>
      <c r="C20" s="53">
        <v>77.319999999999993</v>
      </c>
      <c r="D20" s="53">
        <v>55.6</v>
      </c>
      <c r="E20" s="53">
        <v>16</v>
      </c>
      <c r="F20" s="53">
        <v>11.84</v>
      </c>
      <c r="G20" s="53">
        <v>149.38999999999999</v>
      </c>
      <c r="H20" s="53">
        <v>42.88</v>
      </c>
      <c r="I20" s="53">
        <v>7.69</v>
      </c>
      <c r="J20" s="53">
        <v>0.88</v>
      </c>
      <c r="K20" s="53">
        <v>352.33</v>
      </c>
      <c r="L20" s="53">
        <v>34.270000000000003</v>
      </c>
      <c r="M20" s="53">
        <v>33.11</v>
      </c>
      <c r="N20" s="53">
        <v>587.9</v>
      </c>
      <c r="O20" s="53">
        <v>0</v>
      </c>
      <c r="P20" s="53">
        <v>0.95</v>
      </c>
      <c r="Q20" s="53">
        <v>5</v>
      </c>
      <c r="R20" s="42"/>
      <c r="S20" s="42"/>
      <c r="T20" s="42"/>
      <c r="U20" s="42"/>
    </row>
    <row r="21" spans="1:21" s="11" customFormat="1">
      <c r="A21" s="52" t="s">
        <v>206</v>
      </c>
      <c r="B21" s="53">
        <v>17.440000000000001</v>
      </c>
      <c r="C21" s="53">
        <v>79.73</v>
      </c>
      <c r="D21" s="53">
        <v>56.19</v>
      </c>
      <c r="E21" s="53">
        <v>37.65</v>
      </c>
      <c r="F21" s="53">
        <v>11.21</v>
      </c>
      <c r="G21" s="53">
        <v>160.04</v>
      </c>
      <c r="H21" s="53">
        <v>41.95</v>
      </c>
      <c r="I21" s="53">
        <v>8.01</v>
      </c>
      <c r="J21" s="53">
        <v>1.36</v>
      </c>
      <c r="K21" s="53">
        <v>52.12</v>
      </c>
      <c r="L21" s="53">
        <v>33.07</v>
      </c>
      <c r="M21" s="53">
        <v>37.54</v>
      </c>
      <c r="N21" s="53">
        <v>546.1</v>
      </c>
      <c r="O21" s="53">
        <v>0</v>
      </c>
      <c r="P21" s="53">
        <v>1</v>
      </c>
      <c r="Q21" s="53">
        <v>5</v>
      </c>
      <c r="R21" s="42"/>
      <c r="S21" s="42"/>
      <c r="T21" s="42"/>
      <c r="U21" s="42"/>
    </row>
    <row r="22" spans="1:21" s="11" customFormat="1">
      <c r="A22" s="52" t="s">
        <v>207</v>
      </c>
      <c r="B22" s="53">
        <v>17.45</v>
      </c>
      <c r="C22" s="53">
        <v>78.28</v>
      </c>
      <c r="D22" s="53">
        <v>56.43</v>
      </c>
      <c r="E22" s="53">
        <v>34.33</v>
      </c>
      <c r="F22" s="53">
        <v>15.13</v>
      </c>
      <c r="G22" s="53">
        <v>160.04</v>
      </c>
      <c r="H22" s="53">
        <v>46.04</v>
      </c>
      <c r="I22" s="53">
        <v>8</v>
      </c>
      <c r="J22" s="53">
        <v>1.29</v>
      </c>
      <c r="K22" s="53">
        <v>50.18</v>
      </c>
      <c r="L22" s="53">
        <v>33.94</v>
      </c>
      <c r="M22" s="53">
        <v>30.6</v>
      </c>
      <c r="N22" s="53">
        <v>518.5</v>
      </c>
      <c r="O22" s="53">
        <v>0</v>
      </c>
      <c r="P22" s="53">
        <v>1</v>
      </c>
      <c r="Q22" s="53">
        <v>5</v>
      </c>
      <c r="R22" s="42"/>
      <c r="S22" s="42"/>
      <c r="T22" s="42"/>
      <c r="U22" s="42"/>
    </row>
    <row r="23" spans="1:21" s="11" customFormat="1">
      <c r="A23" s="52" t="s">
        <v>208</v>
      </c>
      <c r="B23" s="53">
        <v>13.17</v>
      </c>
      <c r="C23" s="53">
        <v>74.47</v>
      </c>
      <c r="D23" s="53">
        <v>49.95</v>
      </c>
      <c r="E23" s="53">
        <v>14.96</v>
      </c>
      <c r="F23" s="53">
        <v>17.149999999999999</v>
      </c>
      <c r="G23" s="53">
        <v>149.26</v>
      </c>
      <c r="H23" s="53">
        <v>46.04</v>
      </c>
      <c r="I23" s="53">
        <v>7.28</v>
      </c>
      <c r="J23" s="53">
        <v>1.0900000000000001</v>
      </c>
      <c r="K23" s="53">
        <v>337.45</v>
      </c>
      <c r="L23" s="53">
        <v>36.299999999999997</v>
      </c>
      <c r="M23" s="53">
        <v>27</v>
      </c>
      <c r="N23" s="53">
        <v>703.5</v>
      </c>
      <c r="O23" s="53">
        <v>0</v>
      </c>
      <c r="P23" s="53">
        <v>0.89</v>
      </c>
      <c r="Q23" s="53">
        <v>5</v>
      </c>
      <c r="R23" s="42"/>
      <c r="S23" s="42"/>
      <c r="T23" s="42"/>
      <c r="U23" s="42"/>
    </row>
    <row r="24" spans="1:21" s="11" customFormat="1">
      <c r="A24" s="52" t="s">
        <v>209</v>
      </c>
      <c r="B24" s="53">
        <v>10</v>
      </c>
      <c r="C24" s="53">
        <v>72.2</v>
      </c>
      <c r="D24" s="53">
        <v>46.36</v>
      </c>
      <c r="E24" s="53">
        <v>17.29</v>
      </c>
      <c r="F24" s="53">
        <v>26.5</v>
      </c>
      <c r="G24" s="53">
        <v>81.62</v>
      </c>
      <c r="H24" s="53">
        <v>37.979999999999997</v>
      </c>
      <c r="I24" s="53">
        <v>6.62</v>
      </c>
      <c r="J24" s="53">
        <v>1.25</v>
      </c>
      <c r="K24" s="53">
        <v>51.33</v>
      </c>
      <c r="L24" s="53">
        <v>36.130000000000003</v>
      </c>
      <c r="M24" s="53">
        <v>24.82</v>
      </c>
      <c r="N24" s="53">
        <v>423.9</v>
      </c>
      <c r="O24" s="53">
        <v>0</v>
      </c>
      <c r="P24" s="53">
        <v>0.84</v>
      </c>
      <c r="Q24" s="53">
        <v>5</v>
      </c>
      <c r="R24" s="42"/>
      <c r="S24" s="42"/>
      <c r="T24" s="42"/>
      <c r="U24" s="42"/>
    </row>
    <row r="25" spans="1:21" s="11" customFormat="1">
      <c r="A25" s="52" t="s">
        <v>210</v>
      </c>
      <c r="B25" s="53">
        <v>10.210000000000001</v>
      </c>
      <c r="C25" s="53">
        <v>66.650000000000006</v>
      </c>
      <c r="D25" s="53">
        <v>43.34</v>
      </c>
      <c r="E25" s="53">
        <v>27.19</v>
      </c>
      <c r="F25" s="53">
        <v>32.86</v>
      </c>
      <c r="G25" s="53">
        <v>73.459999999999994</v>
      </c>
      <c r="H25" s="53">
        <v>33.03</v>
      </c>
      <c r="I25" s="53">
        <v>5.96</v>
      </c>
      <c r="J25" s="53">
        <v>0.85</v>
      </c>
      <c r="K25" s="53">
        <v>82.13</v>
      </c>
      <c r="L25" s="53">
        <v>34.840000000000003</v>
      </c>
      <c r="M25" s="53">
        <v>26.72</v>
      </c>
      <c r="N25" s="53">
        <v>123.6</v>
      </c>
      <c r="O25" s="53">
        <v>0</v>
      </c>
      <c r="P25" s="53">
        <v>0.76</v>
      </c>
      <c r="Q25" s="53">
        <v>5</v>
      </c>
      <c r="R25" s="42"/>
      <c r="S25" s="42"/>
      <c r="T25" s="42"/>
      <c r="U25" s="42"/>
    </row>
    <row r="26" spans="1:21" s="11" customFormat="1">
      <c r="A26" s="52" t="s">
        <v>211</v>
      </c>
      <c r="B26" s="53">
        <v>13.29</v>
      </c>
      <c r="C26" s="53">
        <v>68.42</v>
      </c>
      <c r="D26" s="53">
        <v>47.28</v>
      </c>
      <c r="E26" s="53">
        <v>24.03</v>
      </c>
      <c r="F26" s="53">
        <v>23.58</v>
      </c>
      <c r="G26" s="53">
        <v>98.2</v>
      </c>
      <c r="H26" s="53">
        <v>31.39</v>
      </c>
      <c r="I26" s="53">
        <v>5.73</v>
      </c>
      <c r="J26" s="53">
        <v>0.51</v>
      </c>
      <c r="K26" s="53">
        <v>161.72</v>
      </c>
      <c r="L26" s="53">
        <v>33.92</v>
      </c>
      <c r="M26" s="53">
        <v>33.520000000000003</v>
      </c>
      <c r="N26" s="53">
        <v>57.9</v>
      </c>
      <c r="O26" s="53">
        <v>0</v>
      </c>
      <c r="P26" s="53">
        <v>0.84</v>
      </c>
      <c r="Q26" s="53">
        <v>5</v>
      </c>
      <c r="R26" s="42"/>
      <c r="S26" s="42"/>
      <c r="T26" s="42"/>
      <c r="U26" s="42"/>
    </row>
    <row r="27" spans="1:21" s="11" customFormat="1">
      <c r="A27" s="52" t="s">
        <v>212</v>
      </c>
      <c r="B27" s="53">
        <v>12.28</v>
      </c>
      <c r="C27" s="53">
        <v>67.83</v>
      </c>
      <c r="D27" s="53">
        <v>46.16</v>
      </c>
      <c r="E27" s="53">
        <v>16.82</v>
      </c>
      <c r="F27" s="53">
        <v>16.7</v>
      </c>
      <c r="G27" s="53">
        <v>98.2</v>
      </c>
      <c r="H27" s="53">
        <v>31.8</v>
      </c>
      <c r="I27" s="53">
        <v>6.2</v>
      </c>
      <c r="J27" s="53">
        <v>0.24</v>
      </c>
      <c r="K27" s="53">
        <v>170.88</v>
      </c>
      <c r="L27" s="53">
        <v>31.93</v>
      </c>
      <c r="M27" s="53">
        <v>40.450000000000003</v>
      </c>
      <c r="N27" s="53">
        <v>3.5</v>
      </c>
      <c r="O27" s="53">
        <v>0</v>
      </c>
      <c r="P27" s="53">
        <v>0.84</v>
      </c>
      <c r="Q27" s="53">
        <v>5</v>
      </c>
      <c r="R27" s="42"/>
      <c r="S27" s="42"/>
      <c r="T27" s="42"/>
      <c r="U27" s="42"/>
    </row>
    <row r="28" spans="1:21" s="11" customFormat="1">
      <c r="A28" s="52" t="s">
        <v>213</v>
      </c>
      <c r="B28" s="53">
        <v>13.75</v>
      </c>
      <c r="C28" s="53">
        <v>62.69</v>
      </c>
      <c r="D28" s="53">
        <v>44.36</v>
      </c>
      <c r="E28" s="53">
        <v>13.83</v>
      </c>
      <c r="F28" s="53">
        <v>15.12</v>
      </c>
      <c r="G28" s="53">
        <v>88.01</v>
      </c>
      <c r="H28" s="53">
        <v>31.8</v>
      </c>
      <c r="I28" s="53">
        <v>6.62</v>
      </c>
      <c r="J28" s="53">
        <v>0.25</v>
      </c>
      <c r="K28" s="53">
        <v>228.67</v>
      </c>
      <c r="L28" s="53">
        <v>29.96</v>
      </c>
      <c r="M28" s="53">
        <v>47.65</v>
      </c>
      <c r="N28" s="53">
        <v>0</v>
      </c>
      <c r="O28" s="53">
        <v>0</v>
      </c>
      <c r="P28" s="53">
        <v>0.85</v>
      </c>
      <c r="Q28" s="53">
        <v>5</v>
      </c>
      <c r="R28" s="42"/>
      <c r="S28" s="42"/>
      <c r="T28" s="42"/>
      <c r="U28" s="42"/>
    </row>
    <row r="29" spans="1:21" s="11" customFormat="1">
      <c r="A29" s="52" t="s">
        <v>214</v>
      </c>
      <c r="B29" s="53">
        <v>17.05</v>
      </c>
      <c r="C29" s="53">
        <v>69.78</v>
      </c>
      <c r="D29" s="53">
        <v>51.01</v>
      </c>
      <c r="E29" s="53">
        <v>11.39</v>
      </c>
      <c r="F29" s="53">
        <v>8.3699999999999992</v>
      </c>
      <c r="G29" s="53">
        <v>88.22</v>
      </c>
      <c r="H29" s="53">
        <v>27.63</v>
      </c>
      <c r="I29" s="53">
        <v>6.72</v>
      </c>
      <c r="J29" s="53">
        <v>0.18</v>
      </c>
      <c r="K29" s="53">
        <v>212.77</v>
      </c>
      <c r="L29" s="53">
        <v>28.06</v>
      </c>
      <c r="M29" s="53">
        <v>50.31</v>
      </c>
      <c r="N29" s="53">
        <v>0</v>
      </c>
      <c r="O29" s="53">
        <v>0</v>
      </c>
      <c r="P29" s="53">
        <v>0.87</v>
      </c>
      <c r="Q29" s="53">
        <v>5</v>
      </c>
      <c r="R29" s="42"/>
      <c r="S29" s="42"/>
      <c r="T29" s="42"/>
      <c r="U29" s="42"/>
    </row>
    <row r="30" spans="1:21" s="11" customFormat="1">
      <c r="A30" s="52" t="s">
        <v>215</v>
      </c>
      <c r="B30" s="53">
        <v>17.38</v>
      </c>
      <c r="C30" s="53">
        <v>69.67</v>
      </c>
      <c r="D30" s="53">
        <v>51.21</v>
      </c>
      <c r="E30" s="53">
        <v>8.6</v>
      </c>
      <c r="F30" s="53">
        <v>6.8</v>
      </c>
      <c r="G30" s="53">
        <v>88.22</v>
      </c>
      <c r="H30" s="53">
        <v>29.01</v>
      </c>
      <c r="I30" s="53">
        <v>6.96</v>
      </c>
      <c r="J30" s="53">
        <v>0.34</v>
      </c>
      <c r="K30" s="53">
        <v>225.86</v>
      </c>
      <c r="L30" s="53">
        <v>27.7</v>
      </c>
      <c r="M30" s="53">
        <v>55.84</v>
      </c>
      <c r="N30" s="53">
        <v>0</v>
      </c>
      <c r="O30" s="53">
        <v>0</v>
      </c>
      <c r="P30" s="53">
        <v>0.88</v>
      </c>
      <c r="Q30" s="53">
        <v>5</v>
      </c>
      <c r="R30" s="42"/>
      <c r="S30" s="42"/>
      <c r="T30" s="42"/>
      <c r="U30" s="42"/>
    </row>
    <row r="31" spans="1:21" s="11" customFormat="1">
      <c r="A31" s="52" t="s">
        <v>216</v>
      </c>
      <c r="B31" s="53">
        <v>15.83</v>
      </c>
      <c r="C31" s="53">
        <v>68.64</v>
      </c>
      <c r="D31" s="53">
        <v>48.87</v>
      </c>
      <c r="E31" s="53">
        <v>7.77</v>
      </c>
      <c r="F31" s="53">
        <v>5.82</v>
      </c>
      <c r="G31" s="53">
        <v>73.540000000000006</v>
      </c>
      <c r="H31" s="53">
        <v>29.01</v>
      </c>
      <c r="I31" s="53">
        <v>6.86</v>
      </c>
      <c r="J31" s="53">
        <v>0.23</v>
      </c>
      <c r="K31" s="53">
        <v>243.92</v>
      </c>
      <c r="L31" s="53">
        <v>27.08</v>
      </c>
      <c r="M31" s="53">
        <v>62.91</v>
      </c>
      <c r="N31" s="53">
        <v>0</v>
      </c>
      <c r="O31" s="53">
        <v>0</v>
      </c>
      <c r="P31" s="53">
        <v>0.83</v>
      </c>
      <c r="Q31" s="53">
        <v>5</v>
      </c>
      <c r="R31" s="42"/>
      <c r="S31" s="42"/>
      <c r="T31" s="42"/>
      <c r="U31" s="42"/>
    </row>
    <row r="32" spans="1:21" s="11" customFormat="1">
      <c r="A32" s="52" t="s">
        <v>217</v>
      </c>
      <c r="B32" s="53">
        <v>15.1</v>
      </c>
      <c r="C32" s="53">
        <v>69.23</v>
      </c>
      <c r="D32" s="53">
        <v>49.09</v>
      </c>
      <c r="E32" s="53">
        <v>7.45</v>
      </c>
      <c r="F32" s="53">
        <v>4.16</v>
      </c>
      <c r="G32" s="53">
        <v>55.37</v>
      </c>
      <c r="H32" s="53">
        <v>25.79</v>
      </c>
      <c r="I32" s="53">
        <v>6.25</v>
      </c>
      <c r="J32" s="53">
        <v>0.27</v>
      </c>
      <c r="K32" s="53">
        <v>212.84</v>
      </c>
      <c r="L32" s="53">
        <v>25.92</v>
      </c>
      <c r="M32" s="53">
        <v>68.39</v>
      </c>
      <c r="N32" s="53">
        <v>0</v>
      </c>
      <c r="O32" s="53">
        <v>0</v>
      </c>
      <c r="P32" s="53">
        <v>0.77</v>
      </c>
      <c r="Q32" s="53">
        <v>5</v>
      </c>
      <c r="R32" s="42"/>
      <c r="S32" s="42"/>
      <c r="T32" s="42"/>
      <c r="U32" s="42"/>
    </row>
    <row r="33" spans="1:21" s="21" customFormat="1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>
      <c r="A34" s="27" t="s">
        <v>30</v>
      </c>
      <c r="B34" s="28">
        <f t="shared" ref="B34:Q34" si="0">MIN(B9:B32)</f>
        <v>10</v>
      </c>
      <c r="C34" s="28">
        <f t="shared" si="0"/>
        <v>62.69</v>
      </c>
      <c r="D34" s="28">
        <f t="shared" si="0"/>
        <v>43.34</v>
      </c>
      <c r="E34" s="28">
        <f t="shared" si="0"/>
        <v>7.45</v>
      </c>
      <c r="F34" s="28">
        <f t="shared" si="0"/>
        <v>3.78</v>
      </c>
      <c r="G34" s="28">
        <f t="shared" si="0"/>
        <v>51.47</v>
      </c>
      <c r="H34" s="28">
        <f>MIN(H9:H32)</f>
        <v>20.27</v>
      </c>
      <c r="I34" s="28">
        <f t="shared" si="0"/>
        <v>5.73</v>
      </c>
      <c r="J34" s="28">
        <f t="shared" si="0"/>
        <v>0.17</v>
      </c>
      <c r="K34" s="28">
        <f t="shared" si="0"/>
        <v>50.18</v>
      </c>
      <c r="L34" s="28">
        <f t="shared" si="0"/>
        <v>23.24</v>
      </c>
      <c r="M34" s="28">
        <f t="shared" si="0"/>
        <v>24.82</v>
      </c>
      <c r="N34" s="28">
        <f t="shared" si="0"/>
        <v>0</v>
      </c>
      <c r="O34" s="28">
        <f t="shared" si="0"/>
        <v>0</v>
      </c>
      <c r="P34" s="28">
        <f t="shared" si="0"/>
        <v>0.66</v>
      </c>
      <c r="Q34" s="28">
        <f t="shared" si="0"/>
        <v>5</v>
      </c>
      <c r="R34" s="28"/>
      <c r="S34" s="28"/>
      <c r="T34" s="28"/>
      <c r="U34" s="28"/>
    </row>
    <row r="35" spans="1:21" s="21" customFormat="1">
      <c r="A35" s="27" t="s">
        <v>31</v>
      </c>
      <c r="B35" s="29">
        <f t="shared" ref="B35:Q35" si="1">MAX(B9:B32)</f>
        <v>36.75</v>
      </c>
      <c r="C35" s="29">
        <f t="shared" si="1"/>
        <v>79.73</v>
      </c>
      <c r="D35" s="29">
        <f t="shared" si="1"/>
        <v>66.83</v>
      </c>
      <c r="E35" s="29">
        <f t="shared" si="1"/>
        <v>37.65</v>
      </c>
      <c r="F35" s="29">
        <f t="shared" si="1"/>
        <v>32.86</v>
      </c>
      <c r="G35" s="29">
        <f>MAX(G9:G32)</f>
        <v>174.56</v>
      </c>
      <c r="H35" s="29">
        <f>MAX(H9:H32)</f>
        <v>46.04</v>
      </c>
      <c r="I35" s="29">
        <f t="shared" si="1"/>
        <v>8.01</v>
      </c>
      <c r="J35" s="29">
        <f t="shared" si="1"/>
        <v>1.36</v>
      </c>
      <c r="K35" s="29">
        <f t="shared" si="1"/>
        <v>352.33</v>
      </c>
      <c r="L35" s="29">
        <f t="shared" si="1"/>
        <v>36.299999999999997</v>
      </c>
      <c r="M35" s="29">
        <f t="shared" si="1"/>
        <v>72.680000000000007</v>
      </c>
      <c r="N35" s="29">
        <f t="shared" si="1"/>
        <v>703.5</v>
      </c>
      <c r="O35" s="29">
        <f t="shared" si="1"/>
        <v>0</v>
      </c>
      <c r="P35" s="29">
        <f t="shared" si="1"/>
        <v>1</v>
      </c>
      <c r="Q35" s="29">
        <f t="shared" si="1"/>
        <v>5</v>
      </c>
      <c r="R35" s="29"/>
      <c r="S35" s="29"/>
      <c r="T35" s="29"/>
      <c r="U35" s="29"/>
    </row>
    <row r="36" spans="1:21" s="21" customFormat="1">
      <c r="A36" s="27" t="s">
        <v>32</v>
      </c>
      <c r="B36" s="28">
        <f t="shared" ref="B36:Q36" si="2">AVERAGE(B9:B32)</f>
        <v>22.824583333333337</v>
      </c>
      <c r="C36" s="28">
        <f t="shared" si="2"/>
        <v>70.402500000000018</v>
      </c>
      <c r="D36" s="28">
        <f t="shared" si="2"/>
        <v>55.671249999999993</v>
      </c>
      <c r="E36" s="28">
        <f t="shared" si="2"/>
        <v>15.171249999999999</v>
      </c>
      <c r="F36" s="28">
        <f t="shared" si="2"/>
        <v>10.434999999999999</v>
      </c>
      <c r="G36" s="28">
        <f t="shared" si="2"/>
        <v>96.67583333333333</v>
      </c>
      <c r="H36" s="28">
        <f>AVERAGE(H9:H32)</f>
        <v>30.829166666666662</v>
      </c>
      <c r="I36" s="28">
        <f t="shared" si="2"/>
        <v>6.6233333333333348</v>
      </c>
      <c r="J36" s="28">
        <f t="shared" si="2"/>
        <v>0.54041666666666666</v>
      </c>
      <c r="K36" s="28">
        <f t="shared" si="2"/>
        <v>205.71416666666664</v>
      </c>
      <c r="L36" s="28">
        <f t="shared" si="2"/>
        <v>29.299999999999997</v>
      </c>
      <c r="M36" s="28">
        <f t="shared" si="2"/>
        <v>50.96541666666667</v>
      </c>
      <c r="N36" s="28">
        <f t="shared" si="2"/>
        <v>183.40416666666667</v>
      </c>
      <c r="O36" s="28">
        <f t="shared" si="2"/>
        <v>0</v>
      </c>
      <c r="P36" s="28">
        <f t="shared" si="2"/>
        <v>0.81458333333333321</v>
      </c>
      <c r="Q36" s="28">
        <f t="shared" si="2"/>
        <v>5</v>
      </c>
      <c r="R36" s="28"/>
      <c r="S36" s="28"/>
      <c r="T36" s="28"/>
      <c r="U36" s="28"/>
    </row>
    <row r="37" spans="1:21" s="21" customFormat="1">
      <c r="A37" s="27" t="s">
        <v>38</v>
      </c>
      <c r="B37" s="28">
        <f>STDEV(B9:B32)</f>
        <v>9.3594513863592912</v>
      </c>
      <c r="C37" s="28">
        <f t="shared" ref="C37:Q37" si="3">STDEV(C9:C32)</f>
        <v>3.8723088832058772</v>
      </c>
      <c r="D37" s="28">
        <f t="shared" si="3"/>
        <v>7.6111864541035956</v>
      </c>
      <c r="E37" s="28">
        <f t="shared" si="3"/>
        <v>9.0353274344556045</v>
      </c>
      <c r="F37" s="28">
        <f t="shared" si="3"/>
        <v>8.1923293921549103</v>
      </c>
      <c r="G37" s="28">
        <f t="shared" si="3"/>
        <v>40.7850715353661</v>
      </c>
      <c r="H37" s="28">
        <f>STDEV(H9:H32)</f>
        <v>8.1833733432712616</v>
      </c>
      <c r="I37" s="28">
        <f t="shared" si="3"/>
        <v>0.67336705325236312</v>
      </c>
      <c r="J37" s="28">
        <f t="shared" si="3"/>
        <v>0.39780352553432241</v>
      </c>
      <c r="K37" s="28">
        <f t="shared" si="3"/>
        <v>89.233613910057912</v>
      </c>
      <c r="L37" s="28">
        <f t="shared" si="3"/>
        <v>4.3334663301775915</v>
      </c>
      <c r="M37" s="28">
        <f t="shared" si="3"/>
        <v>16.423057221921045</v>
      </c>
      <c r="N37" s="28">
        <f t="shared" si="3"/>
        <v>242.23653456391804</v>
      </c>
      <c r="O37" s="28">
        <f t="shared" si="3"/>
        <v>0</v>
      </c>
      <c r="P37" s="28">
        <f t="shared" si="3"/>
        <v>9.6187279583235308E-2</v>
      </c>
      <c r="Q37" s="28">
        <f t="shared" si="3"/>
        <v>0</v>
      </c>
      <c r="R37" s="28"/>
      <c r="S37" s="28"/>
      <c r="T37" s="28"/>
      <c r="U37" s="28"/>
    </row>
    <row r="38" spans="1:21" s="21" customFormat="1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>COUNT(F9:F32)</f>
        <v>24</v>
      </c>
      <c r="G38" s="32">
        <f>COUNT(G9:G32)</f>
        <v>24</v>
      </c>
      <c r="H38" s="32">
        <f>COUNT(H9:H32)</f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>
      <c r="A42" s="13"/>
    </row>
    <row r="43" spans="1:21" s="21" customFormat="1">
      <c r="A43" s="14" t="s">
        <v>35</v>
      </c>
      <c r="B43" s="39" t="s">
        <v>58</v>
      </c>
      <c r="C43" s="41"/>
    </row>
    <row r="44" spans="1:21" s="21" customFormat="1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0"/>
      <c r="C45" s="40"/>
      <c r="D45" s="40"/>
      <c r="E45" s="40"/>
      <c r="F45" s="40"/>
      <c r="G45" s="40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</row>
    <row r="46" spans="1:21" s="21" customFormat="1"/>
    <row r="47" spans="1:21" s="21" customFormat="1"/>
    <row r="48" spans="1:21" s="21" customFormat="1"/>
    <row r="49" s="21" customFormat="1"/>
    <row r="50" s="21" customFormat="1"/>
    <row r="51" s="21" customFormat="1"/>
    <row r="52" s="21" customFormat="1"/>
    <row r="53" s="21" customFormat="1"/>
    <row r="54" s="21" customFormat="1"/>
    <row r="55" s="21" customFormat="1"/>
    <row r="56" s="21" customFormat="1"/>
    <row r="57" s="21" customFormat="1"/>
    <row r="58" s="21" customFormat="1"/>
    <row r="59" s="21" customFormat="1"/>
    <row r="60" s="21" customFormat="1"/>
    <row r="61" s="21" customFormat="1"/>
    <row r="62" s="21" customFormat="1"/>
    <row r="63" s="21" customFormat="1"/>
    <row r="64" s="21" customFormat="1"/>
    <row r="65" s="21" customFormat="1"/>
    <row r="66" s="21" customFormat="1"/>
    <row r="67" s="21" customFormat="1"/>
    <row r="68" s="21" customFormat="1"/>
    <row r="69" s="21" customFormat="1"/>
    <row r="70" s="21" customFormat="1"/>
    <row r="71" s="21" customFormat="1"/>
    <row r="72" s="21" customFormat="1"/>
    <row r="73" s="21" customFormat="1"/>
    <row r="74" s="21" customFormat="1"/>
    <row r="75" s="21" customFormat="1"/>
    <row r="76" s="21" customFormat="1"/>
    <row r="77" s="21" customFormat="1"/>
    <row r="78" s="21" customFormat="1"/>
    <row r="79" s="21" customFormat="1"/>
    <row r="80" s="21" customFormat="1"/>
    <row r="81" s="21" customFormat="1"/>
    <row r="82" s="21" customFormat="1"/>
    <row r="83" s="21" customFormat="1"/>
    <row r="84" s="21" customFormat="1"/>
    <row r="85" s="21" customFormat="1"/>
    <row r="86" s="21" customFormat="1"/>
    <row r="87" s="21" customFormat="1"/>
    <row r="88" s="21" customFormat="1"/>
    <row r="89" s="21" customFormat="1"/>
    <row r="90" s="21" customFormat="1"/>
    <row r="91" s="21" customFormat="1"/>
    <row r="92" s="21" customFormat="1"/>
    <row r="93" s="21" customFormat="1"/>
    <row r="94" s="21" customFormat="1"/>
    <row r="95" s="21" customFormat="1"/>
    <row r="96" s="21" customFormat="1"/>
    <row r="97" spans="1:1" s="21" customFormat="1"/>
    <row r="98" spans="1:1" s="21" customFormat="1"/>
    <row r="99" spans="1:1" s="21" customFormat="1"/>
    <row r="100" spans="1:1" s="21" customFormat="1"/>
    <row r="101" spans="1:1" s="21" customFormat="1"/>
    <row r="102" spans="1:1" s="21" customFormat="1"/>
    <row r="103" spans="1:1" s="21" customFormat="1"/>
    <row r="104" spans="1:1" s="21" customFormat="1"/>
    <row r="105" spans="1:1" s="21" customFormat="1"/>
    <row r="106" spans="1:1">
      <c r="A106" s="20"/>
    </row>
    <row r="107" spans="1:1" s="21" customFormat="1"/>
    <row r="108" spans="1:1" s="21" customFormat="1"/>
    <row r="109" spans="1:1" s="21" customFormat="1"/>
    <row r="110" spans="1:1" s="21" customFormat="1"/>
    <row r="111" spans="1:1" s="21" customFormat="1"/>
    <row r="112" spans="1:1" s="21" customFormat="1"/>
    <row r="113" spans="1:1" s="21" customFormat="1"/>
    <row r="114" spans="1:1" s="21" customFormat="1"/>
    <row r="115" spans="1:1" s="21" customFormat="1"/>
    <row r="116" spans="1:1" s="21" customFormat="1"/>
    <row r="117" spans="1:1" s="21" customFormat="1"/>
    <row r="118" spans="1:1">
      <c r="A118" s="20"/>
    </row>
    <row r="119" spans="1:1">
      <c r="A119" s="20"/>
    </row>
  </sheetData>
  <pageMargins left="0.7" right="0.7" top="0.75" bottom="0.75" header="0.3" footer="0.3"/>
  <pageSetup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2" ySplit="8" topLeftCell="C30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A9" sqref="A9:Q32"/>
    </sheetView>
  </sheetViews>
  <sheetFormatPr defaultColWidth="8.85546875" defaultRowHeight="15"/>
  <cols>
    <col min="1" max="1" width="18.28515625" style="26" customWidth="1"/>
    <col min="2" max="2" width="1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>
      <c r="A1" s="14" t="s">
        <v>2</v>
      </c>
      <c r="B1" s="23" t="s">
        <v>55</v>
      </c>
      <c r="C1" s="36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>
      <c r="A2" s="14" t="s">
        <v>0</v>
      </c>
      <c r="B2" s="37" t="str">
        <f>$A$9</f>
        <v>07/04/2023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8" t="s">
        <v>7</v>
      </c>
      <c r="Q2" s="12"/>
      <c r="R2" s="8" t="s">
        <v>8</v>
      </c>
      <c r="S2" s="11"/>
      <c r="T2" s="11"/>
      <c r="U2" s="11"/>
    </row>
    <row r="3" spans="1:21" s="21" customFormat="1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8" t="s">
        <v>15</v>
      </c>
      <c r="Q3" s="12"/>
      <c r="R3" s="9" t="s">
        <v>15</v>
      </c>
      <c r="S3" s="11"/>
      <c r="T3" s="11"/>
      <c r="U3" s="11"/>
    </row>
    <row r="4" spans="1:21" s="21" customFormat="1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>
      <c r="A7" s="25" t="s">
        <v>21</v>
      </c>
      <c r="B7" s="48" t="s">
        <v>40</v>
      </c>
      <c r="C7" s="49" t="s">
        <v>41</v>
      </c>
      <c r="D7" s="49" t="s">
        <v>42</v>
      </c>
      <c r="E7" s="49" t="s">
        <v>43</v>
      </c>
      <c r="F7" s="49" t="s">
        <v>44</v>
      </c>
      <c r="G7" s="49" t="s">
        <v>45</v>
      </c>
      <c r="H7" s="49" t="s">
        <v>56</v>
      </c>
      <c r="I7" s="49" t="s">
        <v>46</v>
      </c>
      <c r="J7" s="49" t="s">
        <v>47</v>
      </c>
      <c r="K7" s="49" t="s">
        <v>48</v>
      </c>
      <c r="L7" s="49" t="s">
        <v>49</v>
      </c>
      <c r="M7" s="49" t="s">
        <v>50</v>
      </c>
      <c r="N7" s="49" t="s">
        <v>51</v>
      </c>
      <c r="O7" s="49" t="s">
        <v>52</v>
      </c>
      <c r="P7" s="49" t="s">
        <v>53</v>
      </c>
      <c r="Q7" s="49" t="s">
        <v>54</v>
      </c>
      <c r="R7" s="27"/>
      <c r="S7" s="29"/>
      <c r="T7" s="27"/>
      <c r="U7" s="27"/>
    </row>
    <row r="8" spans="1:21" s="21" customFormat="1">
      <c r="A8" s="25"/>
      <c r="B8" s="50" t="s">
        <v>22</v>
      </c>
      <c r="C8" s="50" t="s">
        <v>22</v>
      </c>
      <c r="D8" s="50" t="s">
        <v>22</v>
      </c>
      <c r="E8" s="50" t="s">
        <v>22</v>
      </c>
      <c r="F8" s="50" t="s">
        <v>22</v>
      </c>
      <c r="G8" s="50" t="s">
        <v>23</v>
      </c>
      <c r="H8" s="50" t="s">
        <v>22</v>
      </c>
      <c r="I8" s="50" t="s">
        <v>22</v>
      </c>
      <c r="J8" s="50" t="s">
        <v>24</v>
      </c>
      <c r="K8" s="50" t="s">
        <v>25</v>
      </c>
      <c r="L8" s="25" t="s">
        <v>27</v>
      </c>
      <c r="M8" s="50" t="s">
        <v>26</v>
      </c>
      <c r="N8" s="50" t="s">
        <v>28</v>
      </c>
      <c r="O8" s="25" t="s">
        <v>29</v>
      </c>
      <c r="P8" s="50" t="s">
        <v>22</v>
      </c>
      <c r="Q8" s="50" t="s">
        <v>22</v>
      </c>
      <c r="R8" s="27"/>
      <c r="S8" s="29"/>
      <c r="T8" s="27"/>
      <c r="U8" s="27"/>
    </row>
    <row r="9" spans="1:21" s="11" customFormat="1">
      <c r="A9" s="52" t="s">
        <v>218</v>
      </c>
      <c r="B9" s="53">
        <v>15.49</v>
      </c>
      <c r="C9" s="53">
        <v>70.69</v>
      </c>
      <c r="D9" s="53">
        <v>50.06</v>
      </c>
      <c r="E9" s="53">
        <v>7.31</v>
      </c>
      <c r="F9" s="53">
        <v>3.8</v>
      </c>
      <c r="G9" s="53">
        <v>34.74</v>
      </c>
      <c r="H9" s="53">
        <v>20</v>
      </c>
      <c r="I9" s="53">
        <v>5.73</v>
      </c>
      <c r="J9" s="53">
        <v>0.2</v>
      </c>
      <c r="K9" s="53">
        <v>208.14</v>
      </c>
      <c r="L9" s="53">
        <v>25.31</v>
      </c>
      <c r="M9" s="53">
        <v>72.11</v>
      </c>
      <c r="N9" s="53">
        <v>0</v>
      </c>
      <c r="O9" s="53">
        <v>0</v>
      </c>
      <c r="P9" s="53">
        <v>0.72</v>
      </c>
      <c r="Q9" s="53">
        <v>5</v>
      </c>
      <c r="R9" s="42"/>
      <c r="S9" s="42"/>
      <c r="T9" s="42"/>
      <c r="U9" s="42"/>
    </row>
    <row r="10" spans="1:21" s="11" customFormat="1">
      <c r="A10" s="52" t="s">
        <v>219</v>
      </c>
      <c r="B10" s="53">
        <v>16.59</v>
      </c>
      <c r="C10" s="53">
        <v>69.19</v>
      </c>
      <c r="D10" s="53">
        <v>49.56</v>
      </c>
      <c r="E10" s="53">
        <v>7.06</v>
      </c>
      <c r="F10" s="53">
        <v>4.4000000000000004</v>
      </c>
      <c r="G10" s="53">
        <v>30.29</v>
      </c>
      <c r="H10" s="53">
        <v>20</v>
      </c>
      <c r="I10" s="53">
        <v>5.24</v>
      </c>
      <c r="J10" s="53">
        <v>0.36</v>
      </c>
      <c r="K10" s="53">
        <v>245.4</v>
      </c>
      <c r="L10" s="53">
        <v>24.73</v>
      </c>
      <c r="M10" s="53">
        <v>72.52</v>
      </c>
      <c r="N10" s="53">
        <v>0</v>
      </c>
      <c r="O10" s="53">
        <v>0</v>
      </c>
      <c r="P10" s="53">
        <v>0.66</v>
      </c>
      <c r="Q10" s="53">
        <v>5</v>
      </c>
      <c r="R10" s="42"/>
      <c r="S10" s="42"/>
      <c r="T10" s="42"/>
      <c r="U10" s="42"/>
    </row>
    <row r="11" spans="1:21" s="11" customFormat="1">
      <c r="A11" s="52" t="s">
        <v>220</v>
      </c>
      <c r="B11" s="53">
        <v>18.39</v>
      </c>
      <c r="C11" s="53">
        <v>67.53</v>
      </c>
      <c r="D11" s="53">
        <v>50.9</v>
      </c>
      <c r="E11" s="53">
        <v>8.94</v>
      </c>
      <c r="F11" s="53">
        <v>4.07</v>
      </c>
      <c r="G11" s="53">
        <v>30.29</v>
      </c>
      <c r="H11" s="53">
        <v>17.98</v>
      </c>
      <c r="I11" s="53">
        <v>4.87</v>
      </c>
      <c r="J11" s="53">
        <v>0.31</v>
      </c>
      <c r="K11" s="53">
        <v>245.09</v>
      </c>
      <c r="L11" s="53">
        <v>24.47</v>
      </c>
      <c r="M11" s="53">
        <v>75.400000000000006</v>
      </c>
      <c r="N11" s="53">
        <v>0</v>
      </c>
      <c r="O11" s="53">
        <v>0</v>
      </c>
      <c r="P11" s="53">
        <v>0.6</v>
      </c>
      <c r="Q11" s="53">
        <v>5</v>
      </c>
      <c r="R11" s="42"/>
      <c r="S11" s="42"/>
      <c r="T11" s="42"/>
      <c r="U11" s="42"/>
    </row>
    <row r="12" spans="1:21" s="11" customFormat="1">
      <c r="A12" s="52" t="s">
        <v>221</v>
      </c>
      <c r="B12" s="53">
        <v>21.6</v>
      </c>
      <c r="C12" s="53">
        <v>67.040000000000006</v>
      </c>
      <c r="D12" s="53">
        <v>53.09</v>
      </c>
      <c r="E12" s="53">
        <v>8.94</v>
      </c>
      <c r="F12" s="53">
        <v>3.8</v>
      </c>
      <c r="G12" s="53">
        <v>29.27</v>
      </c>
      <c r="H12" s="53">
        <v>16.8</v>
      </c>
      <c r="I12" s="53">
        <v>4.67</v>
      </c>
      <c r="J12" s="53">
        <v>0.25</v>
      </c>
      <c r="K12" s="53">
        <v>221.97</v>
      </c>
      <c r="L12" s="53">
        <v>23.55</v>
      </c>
      <c r="M12" s="53">
        <v>78.540000000000006</v>
      </c>
      <c r="N12" s="53">
        <v>0</v>
      </c>
      <c r="O12" s="53">
        <v>0</v>
      </c>
      <c r="P12" s="53">
        <v>0.59</v>
      </c>
      <c r="Q12" s="53">
        <v>5</v>
      </c>
      <c r="R12" s="42"/>
      <c r="S12" s="42"/>
      <c r="T12" s="42"/>
      <c r="U12" s="42"/>
    </row>
    <row r="13" spans="1:21" s="11" customFormat="1">
      <c r="A13" s="52" t="s">
        <v>222</v>
      </c>
      <c r="B13" s="53">
        <v>26.41</v>
      </c>
      <c r="C13" s="53">
        <v>67.67</v>
      </c>
      <c r="D13" s="53">
        <v>57.1</v>
      </c>
      <c r="E13" s="53">
        <v>8.99</v>
      </c>
      <c r="F13" s="53">
        <v>3.73</v>
      </c>
      <c r="G13" s="53">
        <v>29.27</v>
      </c>
      <c r="H13" s="53">
        <v>16.8</v>
      </c>
      <c r="I13" s="53">
        <v>4.54</v>
      </c>
      <c r="J13" s="53">
        <v>0.62</v>
      </c>
      <c r="K13" s="53">
        <v>155.44</v>
      </c>
      <c r="L13" s="53">
        <v>23.11</v>
      </c>
      <c r="M13" s="53">
        <v>79.92</v>
      </c>
      <c r="N13" s="53">
        <v>0</v>
      </c>
      <c r="O13" s="53">
        <v>0</v>
      </c>
      <c r="P13" s="53">
        <v>0.56999999999999995</v>
      </c>
      <c r="Q13" s="53">
        <v>5</v>
      </c>
      <c r="R13" s="42"/>
      <c r="S13" s="42"/>
      <c r="T13" s="42"/>
      <c r="U13" s="42"/>
    </row>
    <row r="14" spans="1:21" s="11" customFormat="1">
      <c r="A14" s="52" t="s">
        <v>223</v>
      </c>
      <c r="B14" s="53">
        <v>28.93</v>
      </c>
      <c r="C14" s="53">
        <v>67.91</v>
      </c>
      <c r="D14" s="53">
        <v>59.21</v>
      </c>
      <c r="E14" s="53">
        <v>9</v>
      </c>
      <c r="F14" s="53">
        <v>3.63</v>
      </c>
      <c r="G14" s="53">
        <v>37.72</v>
      </c>
      <c r="H14" s="53">
        <v>16.670000000000002</v>
      </c>
      <c r="I14" s="53">
        <v>4.4000000000000004</v>
      </c>
      <c r="J14" s="53">
        <v>0.42</v>
      </c>
      <c r="K14" s="53">
        <v>197.76</v>
      </c>
      <c r="L14" s="53">
        <v>23.21</v>
      </c>
      <c r="M14" s="53">
        <v>80.569999999999993</v>
      </c>
      <c r="N14" s="53">
        <v>0.5</v>
      </c>
      <c r="O14" s="53">
        <v>0</v>
      </c>
      <c r="P14" s="53">
        <v>0.56000000000000005</v>
      </c>
      <c r="Q14" s="53">
        <v>5</v>
      </c>
      <c r="R14" s="42"/>
      <c r="S14" s="42"/>
      <c r="T14" s="42"/>
      <c r="U14" s="42"/>
    </row>
    <row r="15" spans="1:21" s="11" customFormat="1">
      <c r="A15" s="52" t="s">
        <v>224</v>
      </c>
      <c r="B15" s="53">
        <v>29.66</v>
      </c>
      <c r="C15" s="53">
        <v>69.290000000000006</v>
      </c>
      <c r="D15" s="53">
        <v>60.7</v>
      </c>
      <c r="E15" s="53">
        <v>9.0399999999999991</v>
      </c>
      <c r="F15" s="53">
        <v>3.78</v>
      </c>
      <c r="G15" s="53">
        <v>61.37</v>
      </c>
      <c r="H15" s="53">
        <v>18.600000000000001</v>
      </c>
      <c r="I15" s="53">
        <v>4.59</v>
      </c>
      <c r="J15" s="53">
        <v>0.34</v>
      </c>
      <c r="K15" s="53">
        <v>163.18</v>
      </c>
      <c r="L15" s="53">
        <v>23.92</v>
      </c>
      <c r="M15" s="53">
        <v>81.430000000000007</v>
      </c>
      <c r="N15" s="53">
        <v>48.9</v>
      </c>
      <c r="O15" s="53">
        <v>0</v>
      </c>
      <c r="P15" s="53">
        <v>0.56999999999999995</v>
      </c>
      <c r="Q15" s="53">
        <v>5</v>
      </c>
      <c r="R15" s="42"/>
      <c r="S15" s="42"/>
      <c r="T15" s="42"/>
      <c r="U15" s="42"/>
    </row>
    <row r="16" spans="1:21" s="11" customFormat="1">
      <c r="A16" s="52" t="s">
        <v>225</v>
      </c>
      <c r="B16" s="53">
        <v>28.91</v>
      </c>
      <c r="C16" s="53">
        <v>70.41</v>
      </c>
      <c r="D16" s="53">
        <v>60.56</v>
      </c>
      <c r="E16" s="53">
        <v>8.77</v>
      </c>
      <c r="F16" s="53">
        <v>3.78</v>
      </c>
      <c r="G16" s="53">
        <v>61.37</v>
      </c>
      <c r="H16" s="53">
        <v>18.600000000000001</v>
      </c>
      <c r="I16" s="53">
        <v>4.6100000000000003</v>
      </c>
      <c r="J16" s="53">
        <v>0.3</v>
      </c>
      <c r="K16" s="53">
        <v>143.94999999999999</v>
      </c>
      <c r="L16" s="53">
        <v>27.43</v>
      </c>
      <c r="M16" s="53">
        <v>70.12</v>
      </c>
      <c r="N16" s="53">
        <v>238.8</v>
      </c>
      <c r="O16" s="53">
        <v>0</v>
      </c>
      <c r="P16" s="53">
        <v>0.56999999999999995</v>
      </c>
      <c r="Q16" s="53">
        <v>5</v>
      </c>
      <c r="R16" s="42"/>
      <c r="S16" s="42"/>
      <c r="T16" s="42"/>
      <c r="U16" s="42"/>
    </row>
    <row r="17" spans="1:21" s="11" customFormat="1">
      <c r="A17" s="52" t="s">
        <v>226</v>
      </c>
      <c r="B17" s="53">
        <v>26.17</v>
      </c>
      <c r="C17" s="53">
        <v>70.23</v>
      </c>
      <c r="D17" s="53">
        <v>58.43</v>
      </c>
      <c r="E17" s="53">
        <v>8.5</v>
      </c>
      <c r="F17" s="53">
        <v>4.0999999999999996</v>
      </c>
      <c r="G17" s="53">
        <v>46.59</v>
      </c>
      <c r="H17" s="53">
        <v>15.55</v>
      </c>
      <c r="I17" s="53">
        <v>4.51</v>
      </c>
      <c r="J17" s="53">
        <v>0.45</v>
      </c>
      <c r="K17" s="53">
        <v>180.96</v>
      </c>
      <c r="L17" s="53">
        <v>31.26</v>
      </c>
      <c r="M17" s="53">
        <v>54.21</v>
      </c>
      <c r="N17" s="53">
        <v>282.5</v>
      </c>
      <c r="O17" s="53">
        <v>0</v>
      </c>
      <c r="P17" s="53">
        <v>0.55000000000000004</v>
      </c>
      <c r="Q17" s="53">
        <v>5</v>
      </c>
      <c r="R17" s="42"/>
      <c r="S17" s="42"/>
      <c r="T17" s="42"/>
      <c r="U17" s="42"/>
    </row>
    <row r="18" spans="1:21" s="11" customFormat="1">
      <c r="A18" s="52" t="s">
        <v>227</v>
      </c>
      <c r="B18" s="53">
        <v>22.75</v>
      </c>
      <c r="C18" s="53">
        <v>71.33</v>
      </c>
      <c r="D18" s="53">
        <v>55.9</v>
      </c>
      <c r="E18" s="53">
        <v>8.42</v>
      </c>
      <c r="F18" s="53">
        <v>5.73</v>
      </c>
      <c r="G18" s="53">
        <v>43.27</v>
      </c>
      <c r="H18" s="53">
        <v>17.84</v>
      </c>
      <c r="I18" s="53">
        <v>4.33</v>
      </c>
      <c r="J18" s="53">
        <v>0.67</v>
      </c>
      <c r="K18" s="53">
        <v>312.20999999999998</v>
      </c>
      <c r="L18" s="53">
        <v>32.200000000000003</v>
      </c>
      <c r="M18" s="53">
        <v>40.89</v>
      </c>
      <c r="N18" s="53">
        <v>568.29999999999995</v>
      </c>
      <c r="O18" s="53">
        <v>0</v>
      </c>
      <c r="P18" s="53">
        <v>0.56999999999999995</v>
      </c>
      <c r="Q18" s="53">
        <v>5</v>
      </c>
      <c r="R18" s="42"/>
      <c r="S18" s="42"/>
      <c r="T18" s="42"/>
      <c r="U18" s="42"/>
    </row>
    <row r="19" spans="1:21" s="11" customFormat="1">
      <c r="A19" s="52" t="s">
        <v>228</v>
      </c>
      <c r="B19" s="53">
        <v>18.61</v>
      </c>
      <c r="C19" s="53">
        <v>72.92</v>
      </c>
      <c r="D19" s="53">
        <v>51.88</v>
      </c>
      <c r="E19" s="53">
        <v>8.64</v>
      </c>
      <c r="F19" s="53">
        <v>7.53</v>
      </c>
      <c r="G19" s="53">
        <v>43.27</v>
      </c>
      <c r="H19" s="53">
        <v>17.84</v>
      </c>
      <c r="I19" s="53">
        <v>4.3099999999999996</v>
      </c>
      <c r="J19" s="53">
        <v>0.62</v>
      </c>
      <c r="K19" s="53">
        <v>260.79000000000002</v>
      </c>
      <c r="L19" s="53">
        <v>34.130000000000003</v>
      </c>
      <c r="M19" s="53">
        <v>36.5</v>
      </c>
      <c r="N19" s="53">
        <v>598.1</v>
      </c>
      <c r="O19" s="53">
        <v>0</v>
      </c>
      <c r="P19" s="53">
        <v>0.57999999999999996</v>
      </c>
      <c r="Q19" s="53">
        <v>5</v>
      </c>
      <c r="R19" s="42"/>
      <c r="S19" s="42"/>
      <c r="T19" s="42"/>
      <c r="U19" s="42"/>
    </row>
    <row r="20" spans="1:21" s="11" customFormat="1">
      <c r="A20" s="52" t="s">
        <v>229</v>
      </c>
      <c r="B20" s="53">
        <v>11.5</v>
      </c>
      <c r="C20" s="53">
        <v>70.16</v>
      </c>
      <c r="D20" s="53">
        <v>46.75</v>
      </c>
      <c r="E20" s="53">
        <v>11.42</v>
      </c>
      <c r="F20" s="53">
        <v>19.670000000000002</v>
      </c>
      <c r="G20" s="53">
        <v>42.55</v>
      </c>
      <c r="H20" s="53">
        <v>16.89</v>
      </c>
      <c r="I20" s="53">
        <v>4.38</v>
      </c>
      <c r="J20" s="53">
        <v>0.79</v>
      </c>
      <c r="K20" s="53">
        <v>290.95999999999998</v>
      </c>
      <c r="L20" s="53">
        <v>35.28</v>
      </c>
      <c r="M20" s="53">
        <v>31.65</v>
      </c>
      <c r="N20" s="53">
        <v>685.1</v>
      </c>
      <c r="O20" s="53">
        <v>0</v>
      </c>
      <c r="P20" s="53">
        <v>0.57999999999999996</v>
      </c>
      <c r="Q20" s="53">
        <v>5</v>
      </c>
      <c r="R20" s="42"/>
      <c r="S20" s="42"/>
      <c r="T20" s="42"/>
      <c r="U20" s="42"/>
    </row>
    <row r="21" spans="1:21" s="11" customFormat="1">
      <c r="A21" s="52" t="s">
        <v>230</v>
      </c>
      <c r="B21" s="53">
        <v>7.67</v>
      </c>
      <c r="C21" s="53">
        <v>60.36</v>
      </c>
      <c r="D21" s="53">
        <v>38.56</v>
      </c>
      <c r="E21" s="53">
        <v>13.83</v>
      </c>
      <c r="F21" s="53">
        <v>31.78</v>
      </c>
      <c r="G21" s="53">
        <v>42.55</v>
      </c>
      <c r="H21" s="53">
        <v>20.48</v>
      </c>
      <c r="I21" s="53">
        <v>4.47</v>
      </c>
      <c r="J21" s="53">
        <v>0.55000000000000004</v>
      </c>
      <c r="K21" s="53">
        <v>298.05</v>
      </c>
      <c r="L21" s="53">
        <v>36.4</v>
      </c>
      <c r="M21" s="53">
        <v>30.54</v>
      </c>
      <c r="N21" s="53">
        <v>707.9</v>
      </c>
      <c r="O21" s="53">
        <v>0</v>
      </c>
      <c r="P21" s="53">
        <v>0.6</v>
      </c>
      <c r="Q21" s="53">
        <v>5</v>
      </c>
      <c r="R21" s="42"/>
      <c r="S21" s="42"/>
      <c r="T21" s="42"/>
      <c r="U21" s="42"/>
    </row>
    <row r="22" spans="1:21" s="11" customFormat="1">
      <c r="A22" s="52" t="s">
        <v>231</v>
      </c>
      <c r="B22" s="53">
        <v>5.49</v>
      </c>
      <c r="C22" s="53">
        <v>54.49</v>
      </c>
      <c r="D22" s="53">
        <v>33.75</v>
      </c>
      <c r="E22" s="53">
        <v>16.43</v>
      </c>
      <c r="F22" s="53">
        <v>42.11</v>
      </c>
      <c r="G22" s="53">
        <v>44.39</v>
      </c>
      <c r="H22" s="53">
        <v>24.1</v>
      </c>
      <c r="I22" s="53">
        <v>4.62</v>
      </c>
      <c r="J22" s="53">
        <v>0.53</v>
      </c>
      <c r="K22" s="53">
        <v>240.91</v>
      </c>
      <c r="L22" s="53">
        <v>37.24</v>
      </c>
      <c r="M22" s="53">
        <v>27.95</v>
      </c>
      <c r="N22" s="53">
        <v>607.79999999999995</v>
      </c>
      <c r="O22" s="53">
        <v>0</v>
      </c>
      <c r="P22" s="53">
        <v>0.57999999999999996</v>
      </c>
      <c r="Q22" s="53">
        <v>5</v>
      </c>
      <c r="R22" s="42"/>
      <c r="S22" s="42"/>
      <c r="T22" s="42"/>
      <c r="U22" s="42"/>
    </row>
    <row r="23" spans="1:21" s="11" customFormat="1">
      <c r="A23" s="52" t="s">
        <v>232</v>
      </c>
      <c r="B23" s="53">
        <v>5.55</v>
      </c>
      <c r="C23" s="53">
        <v>54.67</v>
      </c>
      <c r="D23" s="53">
        <v>33.82</v>
      </c>
      <c r="E23" s="53">
        <v>14.74</v>
      </c>
      <c r="F23" s="53">
        <v>33.46</v>
      </c>
      <c r="G23" s="53">
        <v>46.42</v>
      </c>
      <c r="H23" s="53">
        <v>24.1</v>
      </c>
      <c r="I23" s="53">
        <v>4.49</v>
      </c>
      <c r="J23" s="53">
        <v>0.5</v>
      </c>
      <c r="K23" s="53">
        <v>299.17</v>
      </c>
      <c r="L23" s="53">
        <v>37.97</v>
      </c>
      <c r="M23" s="53">
        <v>25.48</v>
      </c>
      <c r="N23" s="53">
        <v>640.6</v>
      </c>
      <c r="O23" s="53">
        <v>0</v>
      </c>
      <c r="P23" s="53">
        <v>0.56000000000000005</v>
      </c>
      <c r="Q23" s="53">
        <v>5</v>
      </c>
      <c r="R23" s="42"/>
      <c r="S23" s="42"/>
      <c r="T23" s="42"/>
      <c r="U23" s="42"/>
    </row>
    <row r="24" spans="1:21" s="11" customFormat="1">
      <c r="A24" s="52" t="s">
        <v>233</v>
      </c>
      <c r="B24" s="53">
        <v>5.46</v>
      </c>
      <c r="C24" s="53">
        <v>52.59</v>
      </c>
      <c r="D24" s="53">
        <v>32.700000000000003</v>
      </c>
      <c r="E24" s="53">
        <v>13.96</v>
      </c>
      <c r="F24" s="53">
        <v>36.549999999999997</v>
      </c>
      <c r="G24" s="53">
        <v>46.42</v>
      </c>
      <c r="H24" s="53">
        <v>17.829999999999998</v>
      </c>
      <c r="I24" s="53">
        <v>4.4400000000000004</v>
      </c>
      <c r="J24" s="53">
        <v>0.56999999999999995</v>
      </c>
      <c r="K24" s="53">
        <v>242.62</v>
      </c>
      <c r="L24" s="53">
        <v>38.31</v>
      </c>
      <c r="M24" s="53">
        <v>23.12</v>
      </c>
      <c r="N24" s="53">
        <v>519.29999999999995</v>
      </c>
      <c r="O24" s="53">
        <v>0</v>
      </c>
      <c r="P24" s="53">
        <v>0.54</v>
      </c>
      <c r="Q24" s="53">
        <v>5</v>
      </c>
      <c r="R24" s="42"/>
      <c r="S24" s="42"/>
      <c r="T24" s="42"/>
      <c r="U24" s="42"/>
    </row>
    <row r="25" spans="1:21" s="11" customFormat="1">
      <c r="A25" s="52" t="s">
        <v>234</v>
      </c>
      <c r="B25" s="53">
        <v>5.68</v>
      </c>
      <c r="C25" s="53">
        <v>58.81</v>
      </c>
      <c r="D25" s="53">
        <v>36.1</v>
      </c>
      <c r="E25" s="53">
        <v>13.89</v>
      </c>
      <c r="F25" s="53">
        <v>28.59</v>
      </c>
      <c r="G25" s="53">
        <v>39.85</v>
      </c>
      <c r="H25" s="53">
        <v>18.989999999999998</v>
      </c>
      <c r="I25" s="53">
        <v>4.17</v>
      </c>
      <c r="J25" s="53">
        <v>0.33</v>
      </c>
      <c r="K25" s="53">
        <v>234.54</v>
      </c>
      <c r="L25" s="53">
        <v>37.69</v>
      </c>
      <c r="M25" s="53">
        <v>24.16</v>
      </c>
      <c r="N25" s="53">
        <v>224.9</v>
      </c>
      <c r="O25" s="53">
        <v>0</v>
      </c>
      <c r="P25" s="53">
        <v>0.53</v>
      </c>
      <c r="Q25" s="53">
        <v>5</v>
      </c>
      <c r="R25" s="42"/>
      <c r="S25" s="42"/>
      <c r="T25" s="42"/>
      <c r="U25" s="42"/>
    </row>
    <row r="26" spans="1:21" s="11" customFormat="1">
      <c r="A26" s="52" t="s">
        <v>235</v>
      </c>
      <c r="B26" s="53">
        <v>5.59</v>
      </c>
      <c r="C26" s="53">
        <v>59.15</v>
      </c>
      <c r="D26" s="53">
        <v>36.26</v>
      </c>
      <c r="E26" s="53">
        <v>12.45</v>
      </c>
      <c r="F26" s="53">
        <v>28.63</v>
      </c>
      <c r="G26" s="53">
        <v>37.22</v>
      </c>
      <c r="H26" s="53">
        <v>18.989999999999998</v>
      </c>
      <c r="I26" s="53">
        <v>4</v>
      </c>
      <c r="J26" s="53">
        <v>0.51</v>
      </c>
      <c r="K26" s="53">
        <v>239.1</v>
      </c>
      <c r="L26" s="53">
        <v>35.71</v>
      </c>
      <c r="M26" s="53">
        <v>26.88</v>
      </c>
      <c r="N26" s="53">
        <v>67.2</v>
      </c>
      <c r="O26" s="53">
        <v>0</v>
      </c>
      <c r="P26" s="53">
        <v>0.52</v>
      </c>
      <c r="Q26" s="53">
        <v>5</v>
      </c>
      <c r="R26" s="42"/>
      <c r="S26" s="42"/>
      <c r="T26" s="42"/>
      <c r="U26" s="42"/>
    </row>
    <row r="27" spans="1:21" s="11" customFormat="1">
      <c r="A27" s="52" t="s">
        <v>236</v>
      </c>
      <c r="B27" s="53">
        <v>5.94</v>
      </c>
      <c r="C27" s="53">
        <v>56.54</v>
      </c>
      <c r="D27" s="53">
        <v>34.85</v>
      </c>
      <c r="E27" s="53">
        <v>8.9700000000000006</v>
      </c>
      <c r="F27" s="53">
        <v>27.13</v>
      </c>
      <c r="G27" s="53">
        <v>38.51</v>
      </c>
      <c r="H27" s="53">
        <v>16.809999999999999</v>
      </c>
      <c r="I27" s="53">
        <v>3.84</v>
      </c>
      <c r="J27" s="53">
        <v>0.19</v>
      </c>
      <c r="K27" s="53">
        <v>213.11</v>
      </c>
      <c r="L27" s="53">
        <v>33.590000000000003</v>
      </c>
      <c r="M27" s="53">
        <v>32.44</v>
      </c>
      <c r="N27" s="53">
        <v>0</v>
      </c>
      <c r="O27" s="53">
        <v>0</v>
      </c>
      <c r="P27" s="53">
        <v>0.52</v>
      </c>
      <c r="Q27" s="53">
        <v>5</v>
      </c>
      <c r="R27" s="42"/>
      <c r="S27" s="42"/>
      <c r="T27" s="42"/>
      <c r="U27" s="42"/>
    </row>
    <row r="28" spans="1:21" s="11" customFormat="1">
      <c r="A28" s="52" t="s">
        <v>237</v>
      </c>
      <c r="B28" s="53">
        <v>7.85</v>
      </c>
      <c r="C28" s="53">
        <v>63.47</v>
      </c>
      <c r="D28" s="53">
        <v>40.31</v>
      </c>
      <c r="E28" s="53">
        <v>9.19</v>
      </c>
      <c r="F28" s="53">
        <v>18.690000000000001</v>
      </c>
      <c r="G28" s="53">
        <v>56.7</v>
      </c>
      <c r="H28" s="53">
        <v>17.3</v>
      </c>
      <c r="I28" s="53">
        <v>4.1399999999999997</v>
      </c>
      <c r="J28" s="53">
        <v>3.61</v>
      </c>
      <c r="K28" s="53">
        <v>302.98</v>
      </c>
      <c r="L28" s="53">
        <v>32.200000000000003</v>
      </c>
      <c r="M28" s="53">
        <v>49.02</v>
      </c>
      <c r="N28" s="53">
        <v>0.5</v>
      </c>
      <c r="O28" s="53">
        <v>0</v>
      </c>
      <c r="P28" s="53">
        <v>0.56000000000000005</v>
      </c>
      <c r="Q28" s="53">
        <v>5</v>
      </c>
      <c r="R28" s="42"/>
      <c r="S28" s="42"/>
      <c r="T28" s="42"/>
      <c r="U28" s="42"/>
    </row>
    <row r="29" spans="1:21" s="11" customFormat="1">
      <c r="A29" s="52" t="s">
        <v>238</v>
      </c>
      <c r="B29" s="53">
        <v>7.46</v>
      </c>
      <c r="C29" s="53">
        <v>62.74</v>
      </c>
      <c r="D29" s="53">
        <v>39.450000000000003</v>
      </c>
      <c r="E29" s="53">
        <v>7.76</v>
      </c>
      <c r="F29" s="53">
        <v>8.9600000000000009</v>
      </c>
      <c r="G29" s="53">
        <v>74.87</v>
      </c>
      <c r="H29" s="53">
        <v>18.53</v>
      </c>
      <c r="I29" s="53">
        <v>4.09</v>
      </c>
      <c r="J29" s="53">
        <v>3.03</v>
      </c>
      <c r="K29" s="53">
        <v>343.92</v>
      </c>
      <c r="L29" s="53">
        <v>26.4</v>
      </c>
      <c r="M29" s="53">
        <v>51.49</v>
      </c>
      <c r="N29" s="53">
        <v>0</v>
      </c>
      <c r="O29" s="53">
        <v>0</v>
      </c>
      <c r="P29" s="53">
        <v>0.56000000000000005</v>
      </c>
      <c r="Q29" s="53">
        <v>5</v>
      </c>
      <c r="R29" s="42"/>
      <c r="S29" s="42"/>
      <c r="T29" s="42"/>
      <c r="U29" s="42"/>
    </row>
    <row r="30" spans="1:21" s="11" customFormat="1">
      <c r="A30" s="52" t="s">
        <v>239</v>
      </c>
      <c r="B30" s="53">
        <v>7.98</v>
      </c>
      <c r="C30" s="53">
        <v>61.09</v>
      </c>
      <c r="D30" s="53">
        <v>38.799999999999997</v>
      </c>
      <c r="E30" s="53">
        <v>8.5</v>
      </c>
      <c r="F30" s="53">
        <v>10.02</v>
      </c>
      <c r="G30" s="53">
        <v>74.87</v>
      </c>
      <c r="H30" s="53">
        <v>18.53</v>
      </c>
      <c r="I30" s="53">
        <v>3.8</v>
      </c>
      <c r="J30" s="53">
        <v>2.79</v>
      </c>
      <c r="K30" s="53">
        <v>39.6</v>
      </c>
      <c r="L30" s="53">
        <v>25.73</v>
      </c>
      <c r="M30" s="53">
        <v>54.68</v>
      </c>
      <c r="N30" s="53">
        <v>0</v>
      </c>
      <c r="O30" s="53">
        <v>0</v>
      </c>
      <c r="P30" s="53">
        <v>0.55000000000000004</v>
      </c>
      <c r="Q30" s="53">
        <v>5</v>
      </c>
      <c r="R30" s="42"/>
      <c r="S30" s="42"/>
      <c r="T30" s="42"/>
      <c r="U30" s="42"/>
    </row>
    <row r="31" spans="1:21" s="11" customFormat="1">
      <c r="A31" s="52" t="s">
        <v>240</v>
      </c>
      <c r="B31" s="53">
        <v>8.68</v>
      </c>
      <c r="C31" s="53">
        <v>62</v>
      </c>
      <c r="D31" s="53">
        <v>40.200000000000003</v>
      </c>
      <c r="E31" s="53">
        <v>7.6</v>
      </c>
      <c r="F31" s="53">
        <v>8.6</v>
      </c>
      <c r="G31" s="53">
        <v>59.04</v>
      </c>
      <c r="H31" s="53">
        <v>16.18</v>
      </c>
      <c r="I31" s="53">
        <v>3.49</v>
      </c>
      <c r="J31" s="53">
        <v>2.11</v>
      </c>
      <c r="K31" s="53">
        <v>41.41</v>
      </c>
      <c r="L31" s="53">
        <v>25.39</v>
      </c>
      <c r="M31" s="53">
        <v>54.02</v>
      </c>
      <c r="N31" s="53">
        <v>0</v>
      </c>
      <c r="O31" s="53">
        <v>0</v>
      </c>
      <c r="P31" s="53">
        <v>0.5</v>
      </c>
      <c r="Q31" s="53">
        <v>5</v>
      </c>
      <c r="R31" s="42"/>
      <c r="S31" s="42"/>
      <c r="T31" s="42"/>
      <c r="U31" s="42"/>
    </row>
    <row r="32" spans="1:21" s="11" customFormat="1">
      <c r="A32" s="52" t="s">
        <v>241</v>
      </c>
      <c r="B32" s="53">
        <v>9.58</v>
      </c>
      <c r="C32" s="53">
        <v>64.11</v>
      </c>
      <c r="D32" s="53">
        <v>41.81</v>
      </c>
      <c r="E32" s="53">
        <v>7.22</v>
      </c>
      <c r="F32" s="53">
        <v>6.68</v>
      </c>
      <c r="G32" s="53">
        <v>48.34</v>
      </c>
      <c r="H32" s="53">
        <v>13.48</v>
      </c>
      <c r="I32" s="53">
        <v>3.29</v>
      </c>
      <c r="J32" s="53">
        <v>1.71</v>
      </c>
      <c r="K32" s="53">
        <v>60.77</v>
      </c>
      <c r="L32" s="53">
        <v>25.52</v>
      </c>
      <c r="M32" s="53">
        <v>50.99</v>
      </c>
      <c r="N32" s="53">
        <v>0</v>
      </c>
      <c r="O32" s="53">
        <v>0</v>
      </c>
      <c r="P32" s="53">
        <v>0.48</v>
      </c>
      <c r="Q32" s="53">
        <v>5</v>
      </c>
      <c r="R32" s="42"/>
      <c r="S32" s="42"/>
      <c r="T32" s="42"/>
      <c r="U32" s="42"/>
    </row>
    <row r="33" spans="1:21" s="21" customFormat="1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>
      <c r="A34" s="27" t="s">
        <v>30</v>
      </c>
      <c r="B34" s="28">
        <f t="shared" ref="B34:Q34" si="0">MIN(B9:B32)</f>
        <v>5.46</v>
      </c>
      <c r="C34" s="28">
        <f t="shared" si="0"/>
        <v>52.59</v>
      </c>
      <c r="D34" s="28">
        <f t="shared" si="0"/>
        <v>32.700000000000003</v>
      </c>
      <c r="E34" s="28">
        <f t="shared" si="0"/>
        <v>7.06</v>
      </c>
      <c r="F34" s="28">
        <f t="shared" si="0"/>
        <v>3.63</v>
      </c>
      <c r="G34" s="28">
        <f t="shared" si="0"/>
        <v>29.27</v>
      </c>
      <c r="H34" s="28">
        <f>MIN(H9:H32)</f>
        <v>13.48</v>
      </c>
      <c r="I34" s="28">
        <f t="shared" si="0"/>
        <v>3.29</v>
      </c>
      <c r="J34" s="28">
        <f t="shared" si="0"/>
        <v>0.19</v>
      </c>
      <c r="K34" s="28">
        <f t="shared" si="0"/>
        <v>39.6</v>
      </c>
      <c r="L34" s="28">
        <f t="shared" si="0"/>
        <v>23.11</v>
      </c>
      <c r="M34" s="28">
        <f t="shared" si="0"/>
        <v>23.12</v>
      </c>
      <c r="N34" s="28">
        <f t="shared" si="0"/>
        <v>0</v>
      </c>
      <c r="O34" s="28">
        <f t="shared" si="0"/>
        <v>0</v>
      </c>
      <c r="P34" s="28">
        <f t="shared" si="0"/>
        <v>0.48</v>
      </c>
      <c r="Q34" s="28">
        <f t="shared" si="0"/>
        <v>5</v>
      </c>
      <c r="R34" s="28"/>
      <c r="S34" s="28"/>
      <c r="T34" s="28"/>
      <c r="U34" s="28"/>
    </row>
    <row r="35" spans="1:21" s="21" customFormat="1">
      <c r="A35" s="27" t="s">
        <v>31</v>
      </c>
      <c r="B35" s="29">
        <f t="shared" ref="B35:Q35" si="1">MAX(B9:B32)</f>
        <v>29.66</v>
      </c>
      <c r="C35" s="29">
        <f t="shared" si="1"/>
        <v>72.92</v>
      </c>
      <c r="D35" s="29">
        <f t="shared" si="1"/>
        <v>60.7</v>
      </c>
      <c r="E35" s="29">
        <f t="shared" si="1"/>
        <v>16.43</v>
      </c>
      <c r="F35" s="29">
        <f t="shared" si="1"/>
        <v>42.11</v>
      </c>
      <c r="G35" s="29">
        <f>MAX(G9:G32)</f>
        <v>74.87</v>
      </c>
      <c r="H35" s="29">
        <f>MAX(H9:H32)</f>
        <v>24.1</v>
      </c>
      <c r="I35" s="29">
        <f t="shared" si="1"/>
        <v>5.73</v>
      </c>
      <c r="J35" s="29">
        <f t="shared" si="1"/>
        <v>3.61</v>
      </c>
      <c r="K35" s="29">
        <f t="shared" si="1"/>
        <v>343.92</v>
      </c>
      <c r="L35" s="29">
        <f t="shared" si="1"/>
        <v>38.31</v>
      </c>
      <c r="M35" s="29">
        <f t="shared" si="1"/>
        <v>81.430000000000007</v>
      </c>
      <c r="N35" s="29">
        <f t="shared" si="1"/>
        <v>707.9</v>
      </c>
      <c r="O35" s="29">
        <f t="shared" si="1"/>
        <v>0</v>
      </c>
      <c r="P35" s="29">
        <f t="shared" si="1"/>
        <v>0.72</v>
      </c>
      <c r="Q35" s="29">
        <f t="shared" si="1"/>
        <v>5</v>
      </c>
      <c r="R35" s="29"/>
      <c r="S35" s="29"/>
      <c r="T35" s="29"/>
      <c r="U35" s="29"/>
    </row>
    <row r="36" spans="1:21" s="21" customFormat="1">
      <c r="A36" s="27" t="s">
        <v>32</v>
      </c>
      <c r="B36" s="28">
        <f t="shared" ref="B36:Q36" si="2">AVERAGE(B9:B32)</f>
        <v>14.4975</v>
      </c>
      <c r="C36" s="28">
        <f t="shared" si="2"/>
        <v>64.349583333333328</v>
      </c>
      <c r="D36" s="28">
        <f t="shared" si="2"/>
        <v>45.864583333333343</v>
      </c>
      <c r="E36" s="28">
        <f t="shared" si="2"/>
        <v>9.9820833333333319</v>
      </c>
      <c r="F36" s="28">
        <f t="shared" si="2"/>
        <v>14.550833333333335</v>
      </c>
      <c r="G36" s="28">
        <f t="shared" si="2"/>
        <v>45.799166666666657</v>
      </c>
      <c r="H36" s="28">
        <f>AVERAGE(H9:H32)</f>
        <v>18.287083333333335</v>
      </c>
      <c r="I36" s="28">
        <f t="shared" si="2"/>
        <v>4.3758333333333335</v>
      </c>
      <c r="J36" s="28">
        <f t="shared" si="2"/>
        <v>0.90666666666666662</v>
      </c>
      <c r="K36" s="28">
        <f t="shared" si="2"/>
        <v>215.91791666666668</v>
      </c>
      <c r="L36" s="28">
        <f t="shared" si="2"/>
        <v>30.031250000000004</v>
      </c>
      <c r="M36" s="28">
        <f t="shared" si="2"/>
        <v>51.026250000000005</v>
      </c>
      <c r="N36" s="28">
        <f t="shared" si="2"/>
        <v>216.26666666666665</v>
      </c>
      <c r="O36" s="28">
        <f t="shared" si="2"/>
        <v>0</v>
      </c>
      <c r="P36" s="28">
        <f t="shared" si="2"/>
        <v>0.5675</v>
      </c>
      <c r="Q36" s="28">
        <f t="shared" si="2"/>
        <v>5</v>
      </c>
      <c r="R36" s="28"/>
      <c r="S36" s="28"/>
      <c r="T36" s="28"/>
      <c r="U36" s="28"/>
    </row>
    <row r="37" spans="1:21" s="21" customFormat="1">
      <c r="A37" s="27" t="s">
        <v>38</v>
      </c>
      <c r="B37" s="28">
        <f>STDEV(B9:B32)</f>
        <v>8.8540358029544901</v>
      </c>
      <c r="C37" s="28">
        <f t="shared" ref="C37:Q37" si="3">STDEV(C9:C32)</f>
        <v>6.0423516003555582</v>
      </c>
      <c r="D37" s="28">
        <f t="shared" si="3"/>
        <v>9.651803156232825</v>
      </c>
      <c r="E37" s="28">
        <f t="shared" si="3"/>
        <v>2.7103408724600584</v>
      </c>
      <c r="F37" s="28">
        <f t="shared" si="3"/>
        <v>12.841270395187495</v>
      </c>
      <c r="G37" s="28">
        <f t="shared" si="3"/>
        <v>13.005386147307595</v>
      </c>
      <c r="H37" s="28">
        <f>STDEV(H9:H32)</f>
        <v>2.3539725519560184</v>
      </c>
      <c r="I37" s="28">
        <f t="shared" si="3"/>
        <v>0.51300408225061556</v>
      </c>
      <c r="J37" s="28">
        <f t="shared" si="3"/>
        <v>0.977177242018479</v>
      </c>
      <c r="K37" s="28">
        <f t="shared" si="3"/>
        <v>82.721857107399885</v>
      </c>
      <c r="L37" s="28">
        <f t="shared" si="3"/>
        <v>5.5887218049428018</v>
      </c>
      <c r="M37" s="28">
        <f t="shared" si="3"/>
        <v>20.866003932442243</v>
      </c>
      <c r="N37" s="28">
        <f t="shared" si="3"/>
        <v>277.60179122756676</v>
      </c>
      <c r="O37" s="28">
        <f t="shared" si="3"/>
        <v>0</v>
      </c>
      <c r="P37" s="28">
        <f t="shared" si="3"/>
        <v>4.8745122386982247E-2</v>
      </c>
      <c r="Q37" s="28">
        <f t="shared" si="3"/>
        <v>0</v>
      </c>
      <c r="R37" s="28"/>
      <c r="S37" s="28"/>
      <c r="T37" s="28"/>
      <c r="U37" s="28"/>
    </row>
    <row r="38" spans="1:21" s="21" customFormat="1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>COUNT(F9:F32)</f>
        <v>24</v>
      </c>
      <c r="G38" s="32">
        <f>COUNT(G9:G32)</f>
        <v>24</v>
      </c>
      <c r="H38" s="32">
        <f>COUNT(H9:H32)</f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>
      <c r="A42" s="13"/>
    </row>
    <row r="43" spans="1:21" s="21" customFormat="1">
      <c r="A43" s="14" t="s">
        <v>35</v>
      </c>
      <c r="B43" s="39" t="s">
        <v>58</v>
      </c>
      <c r="C43" s="41"/>
    </row>
    <row r="44" spans="1:21" s="21" customFormat="1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0"/>
      <c r="C45" s="40"/>
      <c r="D45" s="40"/>
      <c r="E45" s="40"/>
      <c r="F45" s="40"/>
      <c r="G45" s="40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</row>
    <row r="46" spans="1:21" s="21" customFormat="1"/>
    <row r="47" spans="1:21" s="21" customFormat="1"/>
    <row r="48" spans="1:21" s="21" customFormat="1"/>
    <row r="49" s="21" customFormat="1"/>
    <row r="50" s="21" customFormat="1"/>
    <row r="51" s="21" customFormat="1"/>
    <row r="52" s="21" customFormat="1"/>
    <row r="53" s="21" customFormat="1"/>
    <row r="54" s="21" customFormat="1"/>
    <row r="55" s="21" customFormat="1"/>
    <row r="56" s="21" customFormat="1"/>
    <row r="57" s="21" customFormat="1"/>
    <row r="58" s="21" customFormat="1"/>
    <row r="59" s="21" customFormat="1"/>
    <row r="60" s="21" customFormat="1"/>
    <row r="61" s="21" customFormat="1"/>
    <row r="62" s="21" customFormat="1"/>
    <row r="63" s="21" customFormat="1"/>
    <row r="64" s="21" customFormat="1"/>
    <row r="65" s="21" customFormat="1"/>
    <row r="66" s="21" customFormat="1"/>
    <row r="67" s="21" customFormat="1"/>
    <row r="68" s="21" customFormat="1"/>
    <row r="69" s="21" customFormat="1"/>
    <row r="70" s="21" customFormat="1"/>
    <row r="71" s="21" customFormat="1"/>
    <row r="72" s="21" customFormat="1"/>
    <row r="73" s="21" customFormat="1"/>
    <row r="74" s="21" customFormat="1"/>
    <row r="75" s="21" customFormat="1"/>
    <row r="76" s="21" customFormat="1"/>
    <row r="77" s="21" customFormat="1"/>
    <row r="78" s="21" customFormat="1"/>
    <row r="79" s="21" customFormat="1"/>
    <row r="80" s="21" customFormat="1"/>
    <row r="81" s="21" customFormat="1"/>
    <row r="82" s="21" customFormat="1"/>
    <row r="83" s="21" customFormat="1"/>
    <row r="84" s="21" customFormat="1"/>
    <row r="85" s="21" customFormat="1"/>
    <row r="86" s="21" customFormat="1"/>
    <row r="87" s="21" customFormat="1"/>
    <row r="88" s="21" customFormat="1"/>
    <row r="89" s="21" customFormat="1"/>
    <row r="90" s="21" customFormat="1"/>
    <row r="91" s="21" customFormat="1"/>
    <row r="92" s="21" customFormat="1"/>
    <row r="93" s="21" customFormat="1"/>
    <row r="94" s="21" customFormat="1"/>
    <row r="95" s="21" customFormat="1"/>
    <row r="96" s="21" customFormat="1"/>
    <row r="97" spans="1:1" s="21" customFormat="1"/>
    <row r="98" spans="1:1" s="21" customFormat="1"/>
    <row r="99" spans="1:1" s="21" customFormat="1"/>
    <row r="100" spans="1:1" s="21" customFormat="1"/>
    <row r="101" spans="1:1" s="21" customFormat="1"/>
    <row r="102" spans="1:1" s="21" customFormat="1"/>
    <row r="103" spans="1:1" s="21" customFormat="1"/>
    <row r="104" spans="1:1" s="21" customFormat="1"/>
    <row r="105" spans="1:1" s="21" customFormat="1"/>
    <row r="106" spans="1:1">
      <c r="A106" s="20"/>
    </row>
    <row r="107" spans="1:1" s="21" customFormat="1"/>
    <row r="108" spans="1:1" s="21" customFormat="1"/>
    <row r="109" spans="1:1" s="21" customFormat="1"/>
    <row r="110" spans="1:1" s="21" customFormat="1"/>
    <row r="111" spans="1:1" s="21" customFormat="1"/>
    <row r="112" spans="1:1" s="21" customFormat="1"/>
    <row r="113" spans="1:1" s="21" customFormat="1"/>
    <row r="114" spans="1:1" s="21" customFormat="1"/>
    <row r="115" spans="1:1" s="21" customFormat="1"/>
    <row r="116" spans="1:1" s="21" customFormat="1"/>
    <row r="117" spans="1:1" s="21" customFormat="1"/>
    <row r="118" spans="1:1">
      <c r="A118" s="20"/>
    </row>
    <row r="119" spans="1:1">
      <c r="A119" s="20"/>
    </row>
  </sheetData>
  <pageMargins left="0.7" right="0.7" top="0.75" bottom="0.75" header="0.3" footer="0.3"/>
  <pageSetup paperSize="9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2" ySplit="8" topLeftCell="C33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Q38" sqref="Q38"/>
    </sheetView>
  </sheetViews>
  <sheetFormatPr defaultColWidth="8.85546875" defaultRowHeight="15"/>
  <cols>
    <col min="1" max="1" width="18.28515625" style="26" customWidth="1"/>
    <col min="2" max="2" width="13.4257812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>
      <c r="A1" s="14" t="s">
        <v>2</v>
      </c>
      <c r="B1" s="23" t="s">
        <v>55</v>
      </c>
      <c r="C1" s="36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>
      <c r="A2" s="14" t="s">
        <v>0</v>
      </c>
      <c r="B2" s="37" t="str">
        <f>$A$9</f>
        <v>08/04/2023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8" t="s">
        <v>7</v>
      </c>
      <c r="Q2" s="12"/>
      <c r="R2" s="8" t="s">
        <v>8</v>
      </c>
      <c r="S2" s="11"/>
      <c r="T2" s="11"/>
      <c r="U2" s="11"/>
    </row>
    <row r="3" spans="1:21" s="21" customFormat="1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8" t="s">
        <v>15</v>
      </c>
      <c r="Q3" s="12"/>
      <c r="R3" s="9" t="s">
        <v>15</v>
      </c>
      <c r="S3" s="11"/>
      <c r="T3" s="11"/>
      <c r="U3" s="11"/>
    </row>
    <row r="4" spans="1:21" s="21" customFormat="1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>
      <c r="A7" s="25" t="s">
        <v>21</v>
      </c>
      <c r="B7" s="48" t="s">
        <v>40</v>
      </c>
      <c r="C7" s="49" t="s">
        <v>41</v>
      </c>
      <c r="D7" s="49" t="s">
        <v>42</v>
      </c>
      <c r="E7" s="49" t="s">
        <v>43</v>
      </c>
      <c r="F7" s="49" t="s">
        <v>44</v>
      </c>
      <c r="G7" s="49" t="s">
        <v>45</v>
      </c>
      <c r="H7" s="49" t="s">
        <v>56</v>
      </c>
      <c r="I7" s="49" t="s">
        <v>46</v>
      </c>
      <c r="J7" s="49" t="s">
        <v>47</v>
      </c>
      <c r="K7" s="49" t="s">
        <v>48</v>
      </c>
      <c r="L7" s="49" t="s">
        <v>49</v>
      </c>
      <c r="M7" s="49" t="s">
        <v>50</v>
      </c>
      <c r="N7" s="49" t="s">
        <v>51</v>
      </c>
      <c r="O7" s="49" t="s">
        <v>52</v>
      </c>
      <c r="P7" s="49" t="s">
        <v>53</v>
      </c>
      <c r="Q7" s="49" t="s">
        <v>54</v>
      </c>
      <c r="R7" s="27"/>
      <c r="S7" s="29"/>
      <c r="T7" s="27"/>
      <c r="U7" s="27"/>
    </row>
    <row r="8" spans="1:21" s="21" customFormat="1">
      <c r="A8" s="25"/>
      <c r="B8" s="50" t="s">
        <v>22</v>
      </c>
      <c r="C8" s="50" t="s">
        <v>22</v>
      </c>
      <c r="D8" s="50" t="s">
        <v>22</v>
      </c>
      <c r="E8" s="50" t="s">
        <v>22</v>
      </c>
      <c r="F8" s="50" t="s">
        <v>22</v>
      </c>
      <c r="G8" s="50" t="s">
        <v>23</v>
      </c>
      <c r="H8" s="50" t="s">
        <v>22</v>
      </c>
      <c r="I8" s="50" t="s">
        <v>22</v>
      </c>
      <c r="J8" s="50" t="s">
        <v>24</v>
      </c>
      <c r="K8" s="50" t="s">
        <v>25</v>
      </c>
      <c r="L8" s="25" t="s">
        <v>27</v>
      </c>
      <c r="M8" s="50" t="s">
        <v>26</v>
      </c>
      <c r="N8" s="50" t="s">
        <v>28</v>
      </c>
      <c r="O8" s="25" t="s">
        <v>29</v>
      </c>
      <c r="P8" s="50" t="s">
        <v>22</v>
      </c>
      <c r="Q8" s="50" t="s">
        <v>22</v>
      </c>
      <c r="R8" s="27"/>
      <c r="S8" s="29"/>
      <c r="T8" s="27"/>
      <c r="U8" s="27"/>
    </row>
    <row r="9" spans="1:21" s="11" customFormat="1">
      <c r="A9" s="52" t="s">
        <v>242</v>
      </c>
      <c r="B9" s="53">
        <v>11.49</v>
      </c>
      <c r="C9" s="53">
        <v>66.17</v>
      </c>
      <c r="D9" s="53">
        <v>44.64</v>
      </c>
      <c r="E9" s="53">
        <v>7.33</v>
      </c>
      <c r="F9" s="53">
        <v>5.87</v>
      </c>
      <c r="G9" s="53">
        <v>33.79</v>
      </c>
      <c r="H9" s="53">
        <v>11.35</v>
      </c>
      <c r="I9" s="53">
        <v>3.32</v>
      </c>
      <c r="J9" s="53">
        <v>1.06</v>
      </c>
      <c r="K9" s="53">
        <v>63.44</v>
      </c>
      <c r="L9" s="53">
        <v>26.15</v>
      </c>
      <c r="M9" s="53">
        <v>47.24</v>
      </c>
      <c r="N9" s="53">
        <v>0</v>
      </c>
      <c r="O9" s="53">
        <v>0</v>
      </c>
      <c r="P9" s="53">
        <v>0.47</v>
      </c>
      <c r="Q9" s="53">
        <v>5</v>
      </c>
      <c r="R9" s="42"/>
      <c r="S9" s="42"/>
      <c r="T9" s="42"/>
      <c r="U9" s="42"/>
    </row>
    <row r="10" spans="1:21" s="11" customFormat="1">
      <c r="A10" s="52" t="s">
        <v>243</v>
      </c>
      <c r="B10" s="53">
        <v>12.15</v>
      </c>
      <c r="C10" s="53">
        <v>66.78</v>
      </c>
      <c r="D10" s="53">
        <v>45.51</v>
      </c>
      <c r="E10" s="53">
        <v>7.28</v>
      </c>
      <c r="F10" s="53">
        <v>5.99</v>
      </c>
      <c r="G10" s="53">
        <v>40.68</v>
      </c>
      <c r="H10" s="53">
        <v>11.35</v>
      </c>
      <c r="I10" s="53">
        <v>3.46</v>
      </c>
      <c r="J10" s="53">
        <v>0.57999999999999996</v>
      </c>
      <c r="K10" s="53">
        <v>259.45</v>
      </c>
      <c r="L10" s="53">
        <v>26.39</v>
      </c>
      <c r="M10" s="53">
        <v>44.99</v>
      </c>
      <c r="N10" s="53">
        <v>0</v>
      </c>
      <c r="O10" s="53">
        <v>0</v>
      </c>
      <c r="P10" s="53">
        <v>0.46</v>
      </c>
      <c r="Q10" s="53">
        <v>5</v>
      </c>
      <c r="R10" s="42"/>
      <c r="S10" s="42"/>
      <c r="T10" s="42"/>
      <c r="U10" s="42"/>
    </row>
    <row r="11" spans="1:21" s="11" customFormat="1">
      <c r="A11" s="52" t="s">
        <v>244</v>
      </c>
      <c r="B11" s="53">
        <v>12.33</v>
      </c>
      <c r="C11" s="53">
        <v>69.25</v>
      </c>
      <c r="D11" s="53">
        <v>46.91</v>
      </c>
      <c r="E11" s="53">
        <v>7.97</v>
      </c>
      <c r="F11" s="53">
        <v>4.53</v>
      </c>
      <c r="G11" s="53">
        <v>40.68</v>
      </c>
      <c r="H11" s="53">
        <v>9.89</v>
      </c>
      <c r="I11" s="53">
        <v>3.46</v>
      </c>
      <c r="J11" s="53">
        <v>0.26</v>
      </c>
      <c r="K11" s="53">
        <v>267.33999999999997</v>
      </c>
      <c r="L11" s="53">
        <v>25.95</v>
      </c>
      <c r="M11" s="53">
        <v>51.34</v>
      </c>
      <c r="N11" s="53">
        <v>0</v>
      </c>
      <c r="O11" s="53">
        <v>0</v>
      </c>
      <c r="P11" s="53">
        <v>0.48</v>
      </c>
      <c r="Q11" s="53">
        <v>5</v>
      </c>
      <c r="R11" s="42"/>
      <c r="S11" s="42"/>
      <c r="T11" s="42"/>
      <c r="U11" s="42"/>
    </row>
    <row r="12" spans="1:21" s="11" customFormat="1">
      <c r="A12" s="52" t="s">
        <v>245</v>
      </c>
      <c r="B12" s="53">
        <v>12.76</v>
      </c>
      <c r="C12" s="53">
        <v>69.2</v>
      </c>
      <c r="D12" s="53">
        <v>47.26</v>
      </c>
      <c r="E12" s="53">
        <v>7.46</v>
      </c>
      <c r="F12" s="53">
        <v>4.41</v>
      </c>
      <c r="G12" s="53">
        <v>32.619999999999997</v>
      </c>
      <c r="H12" s="53">
        <v>12.61</v>
      </c>
      <c r="I12" s="53">
        <v>3.42</v>
      </c>
      <c r="J12" s="53">
        <v>0.46</v>
      </c>
      <c r="K12" s="53">
        <v>245.75</v>
      </c>
      <c r="L12" s="53">
        <v>25</v>
      </c>
      <c r="M12" s="53">
        <v>55.16</v>
      </c>
      <c r="N12" s="53">
        <v>0</v>
      </c>
      <c r="O12" s="53">
        <v>0</v>
      </c>
      <c r="P12" s="53">
        <v>0.47</v>
      </c>
      <c r="Q12" s="53">
        <v>5</v>
      </c>
      <c r="R12" s="42"/>
      <c r="S12" s="42"/>
      <c r="T12" s="42"/>
      <c r="U12" s="42"/>
    </row>
    <row r="13" spans="1:21" s="11" customFormat="1">
      <c r="A13" s="54">
        <v>45024.208333333336</v>
      </c>
      <c r="B13" s="53">
        <v>12.6</v>
      </c>
      <c r="C13" s="53">
        <v>68.88</v>
      </c>
      <c r="D13" s="53">
        <v>46.96</v>
      </c>
      <c r="E13" s="53">
        <v>7.23</v>
      </c>
      <c r="F13" s="53">
        <v>4.4400000000000004</v>
      </c>
      <c r="G13" s="53">
        <v>32.19</v>
      </c>
      <c r="H13" s="53">
        <v>12.61</v>
      </c>
      <c r="I13" s="53">
        <v>3.41</v>
      </c>
      <c r="J13" s="53">
        <v>0.8</v>
      </c>
      <c r="K13" s="53">
        <v>259.32</v>
      </c>
      <c r="L13" s="53">
        <v>24.47</v>
      </c>
      <c r="M13" s="53">
        <v>58.87</v>
      </c>
      <c r="N13" s="53">
        <v>0</v>
      </c>
      <c r="O13" s="53">
        <v>0</v>
      </c>
      <c r="P13" s="53">
        <v>0.47</v>
      </c>
      <c r="Q13" s="53">
        <v>5</v>
      </c>
      <c r="R13" s="42"/>
      <c r="S13" s="42"/>
      <c r="T13" s="42"/>
      <c r="U13" s="42"/>
    </row>
    <row r="14" spans="1:21" s="11" customFormat="1">
      <c r="A14" s="52" t="s">
        <v>246</v>
      </c>
      <c r="B14" s="53">
        <v>11.3</v>
      </c>
      <c r="C14" s="53">
        <v>68.28</v>
      </c>
      <c r="D14" s="53">
        <v>45.61</v>
      </c>
      <c r="E14" s="53">
        <v>6.77</v>
      </c>
      <c r="F14" s="53">
        <v>4.47</v>
      </c>
      <c r="G14" s="53">
        <v>29.94</v>
      </c>
      <c r="H14" s="53">
        <v>10.65</v>
      </c>
      <c r="I14" s="53">
        <v>3.43</v>
      </c>
      <c r="J14" s="53">
        <v>0.89</v>
      </c>
      <c r="K14" s="53">
        <v>289.27999999999997</v>
      </c>
      <c r="L14" s="53">
        <v>23.78</v>
      </c>
      <c r="M14" s="53">
        <v>60.44</v>
      </c>
      <c r="N14" s="53">
        <v>0</v>
      </c>
      <c r="O14" s="53">
        <v>0</v>
      </c>
      <c r="P14" s="53">
        <v>0.47</v>
      </c>
      <c r="Q14" s="53">
        <v>5</v>
      </c>
      <c r="R14" s="42"/>
      <c r="S14" s="42"/>
      <c r="T14" s="42"/>
      <c r="U14" s="42"/>
    </row>
    <row r="15" spans="1:21" s="11" customFormat="1">
      <c r="A15" s="52" t="s">
        <v>247</v>
      </c>
      <c r="B15" s="53">
        <v>13.86</v>
      </c>
      <c r="C15" s="53">
        <v>69.69</v>
      </c>
      <c r="D15" s="53">
        <v>48.4</v>
      </c>
      <c r="E15" s="53">
        <v>7.1</v>
      </c>
      <c r="F15" s="53">
        <v>4.28</v>
      </c>
      <c r="G15" s="53">
        <v>28</v>
      </c>
      <c r="H15" s="53">
        <v>14.23</v>
      </c>
      <c r="I15" s="53">
        <v>4.5599999999999996</v>
      </c>
      <c r="J15" s="53">
        <v>0.74</v>
      </c>
      <c r="K15" s="53">
        <v>306.38</v>
      </c>
      <c r="L15" s="53">
        <v>24.76</v>
      </c>
      <c r="M15" s="53">
        <v>59.35</v>
      </c>
      <c r="N15" s="53">
        <v>82.9</v>
      </c>
      <c r="O15" s="53">
        <v>0</v>
      </c>
      <c r="P15" s="53">
        <v>0.57999999999999996</v>
      </c>
      <c r="Q15" s="53">
        <v>5</v>
      </c>
      <c r="R15" s="42"/>
      <c r="S15" s="42"/>
      <c r="T15" s="42"/>
      <c r="U15" s="42"/>
    </row>
    <row r="16" spans="1:21" s="11" customFormat="1">
      <c r="A16" s="52" t="s">
        <v>248</v>
      </c>
      <c r="B16" s="53">
        <v>18.09</v>
      </c>
      <c r="C16" s="53">
        <v>68.94</v>
      </c>
      <c r="D16" s="53">
        <v>51.4</v>
      </c>
      <c r="E16" s="53">
        <v>8.1999999999999993</v>
      </c>
      <c r="F16" s="53">
        <v>4.41</v>
      </c>
      <c r="G16" s="53">
        <v>36.08</v>
      </c>
      <c r="H16" s="53">
        <v>14.23</v>
      </c>
      <c r="I16" s="53">
        <v>6.02</v>
      </c>
      <c r="J16" s="53">
        <v>0.93</v>
      </c>
      <c r="K16" s="53">
        <v>308.94</v>
      </c>
      <c r="L16" s="53">
        <v>26.38</v>
      </c>
      <c r="M16" s="53">
        <v>54.47</v>
      </c>
      <c r="N16" s="53">
        <v>175.2</v>
      </c>
      <c r="O16" s="53">
        <v>0</v>
      </c>
      <c r="P16" s="53">
        <v>0.62</v>
      </c>
      <c r="Q16" s="53">
        <v>5</v>
      </c>
      <c r="R16" s="42"/>
      <c r="S16" s="42"/>
      <c r="T16" s="42"/>
      <c r="U16" s="42"/>
    </row>
    <row r="17" spans="1:21" s="11" customFormat="1">
      <c r="A17" s="52" t="s">
        <v>249</v>
      </c>
      <c r="B17" s="53">
        <v>20.28</v>
      </c>
      <c r="C17" s="53">
        <v>69.900000000000006</v>
      </c>
      <c r="D17" s="53">
        <v>53.66</v>
      </c>
      <c r="E17" s="53">
        <v>8.1999999999999993</v>
      </c>
      <c r="F17" s="53">
        <v>5.36</v>
      </c>
      <c r="G17" s="53">
        <v>59.23</v>
      </c>
      <c r="H17" s="53">
        <v>23.72</v>
      </c>
      <c r="I17" s="53">
        <v>6.86</v>
      </c>
      <c r="J17" s="53">
        <v>0.48</v>
      </c>
      <c r="K17" s="53">
        <v>313.42</v>
      </c>
      <c r="L17" s="53">
        <v>28.71</v>
      </c>
      <c r="M17" s="53">
        <v>50.41</v>
      </c>
      <c r="N17" s="53">
        <v>234.2</v>
      </c>
      <c r="O17" s="53">
        <v>0</v>
      </c>
      <c r="P17" s="53">
        <v>0.66</v>
      </c>
      <c r="Q17" s="53">
        <v>5</v>
      </c>
      <c r="R17" s="42"/>
      <c r="S17" s="42"/>
      <c r="T17" s="42"/>
      <c r="U17" s="42"/>
    </row>
    <row r="18" spans="1:21" s="11" customFormat="1">
      <c r="A18" s="52" t="s">
        <v>250</v>
      </c>
      <c r="B18" s="53">
        <v>19.8</v>
      </c>
      <c r="C18" s="53">
        <v>69.33</v>
      </c>
      <c r="D18" s="53">
        <v>52.84</v>
      </c>
      <c r="E18" s="53">
        <v>8.49</v>
      </c>
      <c r="F18" s="53">
        <v>5.68</v>
      </c>
      <c r="G18" s="53">
        <v>59.23</v>
      </c>
      <c r="H18" s="53">
        <v>24.64</v>
      </c>
      <c r="I18" s="53">
        <v>6.96</v>
      </c>
      <c r="J18" s="53">
        <v>1.1299999999999999</v>
      </c>
      <c r="K18" s="53">
        <v>298.74</v>
      </c>
      <c r="L18" s="53">
        <v>28.71</v>
      </c>
      <c r="M18" s="53">
        <v>47.98</v>
      </c>
      <c r="N18" s="53">
        <v>170.7</v>
      </c>
      <c r="O18" s="53">
        <v>0</v>
      </c>
      <c r="P18" s="53">
        <v>0.68</v>
      </c>
      <c r="Q18" s="53">
        <v>5</v>
      </c>
      <c r="R18" s="42"/>
      <c r="S18" s="42"/>
      <c r="T18" s="42"/>
      <c r="U18" s="42"/>
    </row>
    <row r="19" spans="1:21" s="11" customFormat="1">
      <c r="A19" s="52" t="s">
        <v>251</v>
      </c>
      <c r="B19" s="53">
        <v>18.600000000000001</v>
      </c>
      <c r="C19" s="53">
        <v>69.77</v>
      </c>
      <c r="D19" s="53">
        <v>52.19</v>
      </c>
      <c r="E19" s="53">
        <v>9.39</v>
      </c>
      <c r="F19" s="53">
        <v>6.45</v>
      </c>
      <c r="G19" s="53">
        <v>58.71</v>
      </c>
      <c r="H19" s="53">
        <v>24.64</v>
      </c>
      <c r="I19" s="53">
        <v>6.96</v>
      </c>
      <c r="J19" s="53">
        <v>1.31</v>
      </c>
      <c r="K19" s="53">
        <v>304.5</v>
      </c>
      <c r="L19" s="53">
        <v>27.07</v>
      </c>
      <c r="M19" s="53">
        <v>55.19</v>
      </c>
      <c r="N19" s="53">
        <v>68.400000000000006</v>
      </c>
      <c r="O19" s="53">
        <v>0</v>
      </c>
      <c r="P19" s="53">
        <v>0.73</v>
      </c>
      <c r="Q19" s="53">
        <v>5</v>
      </c>
      <c r="R19" s="42"/>
      <c r="S19" s="42"/>
      <c r="T19" s="42"/>
      <c r="U19" s="42"/>
    </row>
    <row r="20" spans="1:21" s="11" customFormat="1">
      <c r="A20" s="52" t="s">
        <v>252</v>
      </c>
      <c r="B20" s="53">
        <v>18.73</v>
      </c>
      <c r="C20" s="53">
        <v>68.260000000000005</v>
      </c>
      <c r="D20" s="53">
        <v>51.55</v>
      </c>
      <c r="E20" s="53">
        <v>9.24</v>
      </c>
      <c r="F20" s="53">
        <v>7.25</v>
      </c>
      <c r="G20" s="53">
        <v>58.71</v>
      </c>
      <c r="H20" s="53">
        <v>22.86</v>
      </c>
      <c r="I20" s="53">
        <v>6.94</v>
      </c>
      <c r="J20" s="53">
        <v>2.1800000000000002</v>
      </c>
      <c r="K20" s="53">
        <v>306.45999999999998</v>
      </c>
      <c r="L20" s="53">
        <v>29.32</v>
      </c>
      <c r="M20" s="53">
        <v>48.05</v>
      </c>
      <c r="N20" s="53">
        <v>592.70000000000005</v>
      </c>
      <c r="O20" s="53">
        <v>0</v>
      </c>
      <c r="P20" s="53">
        <v>0.72</v>
      </c>
      <c r="Q20" s="53">
        <v>5</v>
      </c>
      <c r="R20" s="42"/>
      <c r="S20" s="42"/>
      <c r="T20" s="42"/>
      <c r="U20" s="42"/>
    </row>
    <row r="21" spans="1:21" s="11" customFormat="1">
      <c r="A21" s="52" t="s">
        <v>253</v>
      </c>
      <c r="B21" s="53">
        <v>15.79</v>
      </c>
      <c r="C21" s="53">
        <v>64.73</v>
      </c>
      <c r="D21" s="53">
        <v>47.36</v>
      </c>
      <c r="E21" s="53">
        <v>8.84</v>
      </c>
      <c r="F21" s="53">
        <v>22.62</v>
      </c>
      <c r="G21" s="53">
        <v>56.82</v>
      </c>
      <c r="H21" s="53">
        <v>21.62</v>
      </c>
      <c r="I21" s="53">
        <v>7.48</v>
      </c>
      <c r="J21" s="53">
        <v>1.33</v>
      </c>
      <c r="K21" s="53">
        <v>334.42</v>
      </c>
      <c r="L21" s="53">
        <v>30.7</v>
      </c>
      <c r="M21" s="53">
        <v>35.950000000000003</v>
      </c>
      <c r="N21" s="53">
        <v>779.5</v>
      </c>
      <c r="O21" s="53">
        <v>0</v>
      </c>
      <c r="P21" s="53">
        <v>0.71</v>
      </c>
      <c r="Q21" s="53">
        <v>5</v>
      </c>
      <c r="R21" s="42"/>
      <c r="S21" s="42"/>
      <c r="T21" s="42"/>
      <c r="U21" s="42"/>
    </row>
    <row r="22" spans="1:21" s="11" customFormat="1">
      <c r="A22" s="52" t="s">
        <v>254</v>
      </c>
      <c r="B22" s="53">
        <v>15.68</v>
      </c>
      <c r="C22" s="53">
        <v>47.97</v>
      </c>
      <c r="D22" s="53">
        <v>34.880000000000003</v>
      </c>
      <c r="E22" s="18" t="s">
        <v>12</v>
      </c>
      <c r="F22" s="53">
        <v>24.82</v>
      </c>
      <c r="G22" s="53">
        <v>80.349999999999994</v>
      </c>
      <c r="H22" s="53">
        <v>13.83</v>
      </c>
      <c r="I22" s="53">
        <v>24.99</v>
      </c>
      <c r="J22" s="53">
        <v>1.96</v>
      </c>
      <c r="K22" s="53">
        <v>318.60000000000002</v>
      </c>
      <c r="L22" s="53">
        <v>31.81</v>
      </c>
      <c r="M22" s="53">
        <v>34.869999999999997</v>
      </c>
      <c r="N22" s="53">
        <v>751.1</v>
      </c>
      <c r="O22" s="53">
        <v>0</v>
      </c>
      <c r="P22" s="53">
        <v>0.8</v>
      </c>
      <c r="Q22" s="8" t="s">
        <v>8</v>
      </c>
      <c r="R22" s="42"/>
      <c r="S22" s="42"/>
      <c r="T22" s="42"/>
      <c r="U22" s="42"/>
    </row>
    <row r="23" spans="1:21" s="11" customFormat="1">
      <c r="A23" s="52" t="s">
        <v>255</v>
      </c>
      <c r="B23" s="53">
        <v>6.16</v>
      </c>
      <c r="C23" s="53">
        <v>53.97</v>
      </c>
      <c r="D23" s="53">
        <v>33.42</v>
      </c>
      <c r="E23" s="53">
        <v>9.89</v>
      </c>
      <c r="F23" s="53">
        <v>24.75</v>
      </c>
      <c r="G23" s="53">
        <v>80.349999999999994</v>
      </c>
      <c r="H23" s="53">
        <v>13.83</v>
      </c>
      <c r="I23" s="53">
        <v>41.5</v>
      </c>
      <c r="J23" s="53">
        <v>2.2200000000000002</v>
      </c>
      <c r="K23" s="53">
        <v>36.4</v>
      </c>
      <c r="L23" s="53">
        <v>31.52</v>
      </c>
      <c r="M23" s="53">
        <v>31.24</v>
      </c>
      <c r="N23" s="53">
        <v>461.5</v>
      </c>
      <c r="O23" s="53">
        <v>0</v>
      </c>
      <c r="P23" s="53">
        <v>0.59</v>
      </c>
      <c r="Q23" s="53">
        <v>4.84</v>
      </c>
      <c r="R23" s="42"/>
      <c r="S23" s="42"/>
      <c r="T23" s="42"/>
      <c r="U23" s="42"/>
    </row>
    <row r="24" spans="1:21" s="11" customFormat="1">
      <c r="A24" s="52" t="s">
        <v>256</v>
      </c>
      <c r="B24" s="53">
        <v>6.51</v>
      </c>
      <c r="C24" s="53">
        <v>61.23</v>
      </c>
      <c r="D24" s="53">
        <v>38.57</v>
      </c>
      <c r="E24" s="53">
        <v>9.2100000000000009</v>
      </c>
      <c r="F24" s="53">
        <v>11.68</v>
      </c>
      <c r="G24" s="53">
        <v>63.06</v>
      </c>
      <c r="H24" s="53">
        <v>14.49</v>
      </c>
      <c r="I24" s="53">
        <v>27.66</v>
      </c>
      <c r="J24" s="53">
        <v>2.31</v>
      </c>
      <c r="K24" s="53">
        <v>38.64</v>
      </c>
      <c r="L24" s="53">
        <v>30.59</v>
      </c>
      <c r="M24" s="53">
        <v>31.35</v>
      </c>
      <c r="N24" s="53">
        <v>339</v>
      </c>
      <c r="O24" s="53">
        <v>0</v>
      </c>
      <c r="P24" s="53">
        <v>0.52</v>
      </c>
      <c r="Q24" s="53">
        <v>5.0999999999999996</v>
      </c>
      <c r="R24" s="42"/>
      <c r="S24" s="42"/>
      <c r="T24" s="42"/>
      <c r="U24" s="42"/>
    </row>
    <row r="25" spans="1:21" s="11" customFormat="1">
      <c r="A25" s="52" t="s">
        <v>257</v>
      </c>
      <c r="B25" s="53">
        <v>7.17</v>
      </c>
      <c r="C25" s="53">
        <v>63.68</v>
      </c>
      <c r="D25" s="53">
        <v>40.04</v>
      </c>
      <c r="E25" s="53">
        <v>9.02</v>
      </c>
      <c r="F25" s="53">
        <v>9.58</v>
      </c>
      <c r="G25" s="53">
        <v>59.03</v>
      </c>
      <c r="H25" s="53">
        <v>16.21</v>
      </c>
      <c r="I25" s="53">
        <v>21.54</v>
      </c>
      <c r="J25" s="53">
        <v>2.2000000000000002</v>
      </c>
      <c r="K25" s="53">
        <v>60.37</v>
      </c>
      <c r="L25" s="53">
        <v>30.07</v>
      </c>
      <c r="M25" s="53">
        <v>32.69</v>
      </c>
      <c r="N25" s="53">
        <v>233.7</v>
      </c>
      <c r="O25" s="53">
        <v>0</v>
      </c>
      <c r="P25" s="53">
        <v>0.49</v>
      </c>
      <c r="Q25" s="53">
        <v>5.21</v>
      </c>
      <c r="R25" s="42"/>
      <c r="S25" s="42"/>
      <c r="T25" s="42"/>
      <c r="U25" s="42"/>
    </row>
    <row r="26" spans="1:21" s="11" customFormat="1">
      <c r="A26" s="52" t="s">
        <v>258</v>
      </c>
      <c r="B26" s="53">
        <v>8.0299999999999994</v>
      </c>
      <c r="C26" s="53">
        <v>63.52</v>
      </c>
      <c r="D26" s="53">
        <v>40.98</v>
      </c>
      <c r="E26" s="53">
        <v>9.83</v>
      </c>
      <c r="F26" s="53">
        <v>11.02</v>
      </c>
      <c r="G26" s="53">
        <v>58.61</v>
      </c>
      <c r="H26" s="53">
        <v>16.21</v>
      </c>
      <c r="I26" s="53">
        <v>17.989999999999998</v>
      </c>
      <c r="J26" s="53">
        <v>1.35</v>
      </c>
      <c r="K26" s="53">
        <v>75.819999999999993</v>
      </c>
      <c r="L26" s="53">
        <v>29.18</v>
      </c>
      <c r="M26" s="53">
        <v>34.25</v>
      </c>
      <c r="N26" s="53">
        <v>63.6</v>
      </c>
      <c r="O26" s="53">
        <v>0</v>
      </c>
      <c r="P26" s="53">
        <v>0.45</v>
      </c>
      <c r="Q26" s="53">
        <v>5.08</v>
      </c>
      <c r="R26" s="42"/>
      <c r="S26" s="42"/>
      <c r="T26" s="42"/>
      <c r="U26" s="42"/>
    </row>
    <row r="27" spans="1:21" s="11" customFormat="1">
      <c r="A27" s="52" t="s">
        <v>259</v>
      </c>
      <c r="B27" s="53">
        <v>14.07</v>
      </c>
      <c r="C27" s="53">
        <v>67.34</v>
      </c>
      <c r="D27" s="53">
        <v>47.48</v>
      </c>
      <c r="E27" s="53">
        <v>12.26</v>
      </c>
      <c r="F27" s="53">
        <v>9.57</v>
      </c>
      <c r="G27" s="53">
        <v>56.87</v>
      </c>
      <c r="H27" s="53">
        <v>16.13</v>
      </c>
      <c r="I27" s="53">
        <v>14.77</v>
      </c>
      <c r="J27" s="53">
        <v>0.91</v>
      </c>
      <c r="K27" s="53">
        <v>71.77</v>
      </c>
      <c r="L27" s="53">
        <v>28.56</v>
      </c>
      <c r="M27" s="53">
        <v>36.58</v>
      </c>
      <c r="N27" s="53">
        <v>0.6</v>
      </c>
      <c r="O27" s="53">
        <v>0</v>
      </c>
      <c r="P27" s="53">
        <v>0.52</v>
      </c>
      <c r="Q27" s="53">
        <v>5.33</v>
      </c>
      <c r="R27" s="42"/>
      <c r="S27" s="42"/>
      <c r="T27" s="42"/>
      <c r="U27" s="42"/>
    </row>
    <row r="28" spans="1:21" s="11" customFormat="1">
      <c r="A28" s="52" t="s">
        <v>260</v>
      </c>
      <c r="B28" s="53">
        <v>15.72</v>
      </c>
      <c r="C28" s="53">
        <v>67.77</v>
      </c>
      <c r="D28" s="53">
        <v>49.13</v>
      </c>
      <c r="E28" s="53">
        <v>10.37</v>
      </c>
      <c r="F28" s="53">
        <v>5.41</v>
      </c>
      <c r="G28" s="53">
        <v>67.47</v>
      </c>
      <c r="H28" s="53">
        <v>18.43</v>
      </c>
      <c r="I28" s="53">
        <v>12.78</v>
      </c>
      <c r="J28" s="53">
        <v>0.32</v>
      </c>
      <c r="K28" s="53">
        <v>168.17</v>
      </c>
      <c r="L28" s="53">
        <v>27.37</v>
      </c>
      <c r="M28" s="53">
        <v>46.17</v>
      </c>
      <c r="N28" s="53">
        <v>0</v>
      </c>
      <c r="O28" s="53">
        <v>0</v>
      </c>
      <c r="P28" s="53">
        <v>0.54</v>
      </c>
      <c r="Q28" s="53">
        <v>5.64</v>
      </c>
      <c r="R28" s="42"/>
      <c r="S28" s="42"/>
      <c r="T28" s="42"/>
      <c r="U28" s="42"/>
    </row>
    <row r="29" spans="1:21" s="11" customFormat="1">
      <c r="A29" s="52" t="s">
        <v>261</v>
      </c>
      <c r="B29" s="53">
        <v>26.7</v>
      </c>
      <c r="C29" s="53">
        <v>68.73</v>
      </c>
      <c r="D29" s="53">
        <v>58.56</v>
      </c>
      <c r="E29" s="53">
        <v>8.65</v>
      </c>
      <c r="F29" s="53">
        <v>4.49</v>
      </c>
      <c r="G29" s="53">
        <v>75.709999999999994</v>
      </c>
      <c r="H29" s="53">
        <v>21.3</v>
      </c>
      <c r="I29" s="53">
        <v>12.31</v>
      </c>
      <c r="J29" s="53">
        <v>0.55000000000000004</v>
      </c>
      <c r="K29" s="53">
        <v>184.54</v>
      </c>
      <c r="L29" s="53">
        <v>25.49</v>
      </c>
      <c r="M29" s="53">
        <v>47.78</v>
      </c>
      <c r="N29" s="53">
        <v>0</v>
      </c>
      <c r="O29" s="53">
        <v>0</v>
      </c>
      <c r="P29" s="53">
        <v>0.61</v>
      </c>
      <c r="Q29" s="53">
        <v>5.99</v>
      </c>
      <c r="R29" s="42"/>
      <c r="S29" s="42"/>
      <c r="T29" s="42"/>
      <c r="U29" s="42"/>
    </row>
    <row r="30" spans="1:21" s="11" customFormat="1">
      <c r="A30" s="52" t="s">
        <v>262</v>
      </c>
      <c r="B30" s="53">
        <v>30.52</v>
      </c>
      <c r="C30" s="53">
        <v>71.180000000000007</v>
      </c>
      <c r="D30" s="53">
        <v>63.01</v>
      </c>
      <c r="E30" s="53">
        <v>8.77</v>
      </c>
      <c r="F30" s="53">
        <v>4.07</v>
      </c>
      <c r="G30" s="53">
        <v>92.92</v>
      </c>
      <c r="H30" s="53">
        <v>24.87</v>
      </c>
      <c r="I30" s="53">
        <v>11.75</v>
      </c>
      <c r="J30" s="53">
        <v>0.59</v>
      </c>
      <c r="K30" s="53">
        <v>62.06</v>
      </c>
      <c r="L30" s="53">
        <v>25.64</v>
      </c>
      <c r="M30" s="53">
        <v>51.11</v>
      </c>
      <c r="N30" s="53">
        <v>0</v>
      </c>
      <c r="O30" s="53">
        <v>0</v>
      </c>
      <c r="P30" s="53">
        <v>0.69</v>
      </c>
      <c r="Q30" s="53">
        <v>6.67</v>
      </c>
      <c r="R30" s="42"/>
      <c r="S30" s="42"/>
      <c r="T30" s="42"/>
      <c r="U30" s="42"/>
    </row>
    <row r="31" spans="1:21" s="11" customFormat="1">
      <c r="A31" s="52" t="s">
        <v>263</v>
      </c>
      <c r="B31" s="53">
        <v>33.14</v>
      </c>
      <c r="C31" s="53">
        <v>72.23</v>
      </c>
      <c r="D31" s="53">
        <v>65.67</v>
      </c>
      <c r="E31" s="53">
        <v>8.91</v>
      </c>
      <c r="F31" s="53">
        <v>3.95</v>
      </c>
      <c r="G31" s="53">
        <v>105.53</v>
      </c>
      <c r="H31" s="53">
        <v>30.14</v>
      </c>
      <c r="I31" s="53">
        <v>11.3</v>
      </c>
      <c r="J31" s="53">
        <v>0.4</v>
      </c>
      <c r="K31" s="53">
        <v>169.66</v>
      </c>
      <c r="L31" s="53">
        <v>25.37</v>
      </c>
      <c r="M31" s="53">
        <v>54.49</v>
      </c>
      <c r="N31" s="53">
        <v>0</v>
      </c>
      <c r="O31" s="53">
        <v>0</v>
      </c>
      <c r="P31" s="53">
        <v>0.78</v>
      </c>
      <c r="Q31" s="53">
        <v>6.96</v>
      </c>
      <c r="R31" s="42"/>
      <c r="S31" s="42"/>
      <c r="T31" s="42"/>
      <c r="U31" s="42"/>
    </row>
    <row r="32" spans="1:21" s="11" customFormat="1">
      <c r="A32" s="52" t="s">
        <v>264</v>
      </c>
      <c r="B32" s="53">
        <v>33</v>
      </c>
      <c r="C32" s="53">
        <v>72.23</v>
      </c>
      <c r="D32" s="53">
        <v>65.55</v>
      </c>
      <c r="E32" s="53">
        <v>8.6300000000000008</v>
      </c>
      <c r="F32" s="53">
        <v>3.74</v>
      </c>
      <c r="G32" s="53">
        <v>108.91</v>
      </c>
      <c r="H32" s="53">
        <v>30.6</v>
      </c>
      <c r="I32" s="53">
        <v>10.85</v>
      </c>
      <c r="J32" s="53">
        <v>0.3</v>
      </c>
      <c r="K32" s="53">
        <v>170.67</v>
      </c>
      <c r="L32" s="53">
        <v>25.21</v>
      </c>
      <c r="M32" s="53">
        <v>57.29</v>
      </c>
      <c r="N32" s="53">
        <v>0</v>
      </c>
      <c r="O32" s="53">
        <v>0</v>
      </c>
      <c r="P32" s="53">
        <v>0.83</v>
      </c>
      <c r="Q32" s="53">
        <v>6.97</v>
      </c>
      <c r="R32" s="42"/>
      <c r="S32" s="42"/>
      <c r="T32" s="42"/>
      <c r="U32" s="42"/>
    </row>
    <row r="33" spans="1:21" s="21" customFormat="1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>
      <c r="A34" s="27" t="s">
        <v>30</v>
      </c>
      <c r="B34" s="28">
        <f t="shared" ref="B34:Q34" si="0">MIN(B9:B32)</f>
        <v>6.16</v>
      </c>
      <c r="C34" s="28">
        <f t="shared" si="0"/>
        <v>47.97</v>
      </c>
      <c r="D34" s="28">
        <f t="shared" si="0"/>
        <v>33.42</v>
      </c>
      <c r="E34" s="28">
        <f t="shared" si="0"/>
        <v>6.77</v>
      </c>
      <c r="F34" s="28">
        <f t="shared" si="0"/>
        <v>3.74</v>
      </c>
      <c r="G34" s="28">
        <f t="shared" si="0"/>
        <v>28</v>
      </c>
      <c r="H34" s="28">
        <f>MIN(H9:H32)</f>
        <v>9.89</v>
      </c>
      <c r="I34" s="28">
        <f t="shared" si="0"/>
        <v>3.32</v>
      </c>
      <c r="J34" s="28">
        <f t="shared" si="0"/>
        <v>0.26</v>
      </c>
      <c r="K34" s="28">
        <f t="shared" si="0"/>
        <v>36.4</v>
      </c>
      <c r="L34" s="28">
        <f t="shared" si="0"/>
        <v>23.78</v>
      </c>
      <c r="M34" s="28">
        <f t="shared" si="0"/>
        <v>31.24</v>
      </c>
      <c r="N34" s="28">
        <f t="shared" si="0"/>
        <v>0</v>
      </c>
      <c r="O34" s="28">
        <f t="shared" si="0"/>
        <v>0</v>
      </c>
      <c r="P34" s="28">
        <f t="shared" si="0"/>
        <v>0.45</v>
      </c>
      <c r="Q34" s="28">
        <f t="shared" si="0"/>
        <v>4.84</v>
      </c>
      <c r="R34" s="28"/>
      <c r="S34" s="28"/>
      <c r="T34" s="28"/>
      <c r="U34" s="28"/>
    </row>
    <row r="35" spans="1:21" s="21" customFormat="1">
      <c r="A35" s="27" t="s">
        <v>31</v>
      </c>
      <c r="B35" s="29">
        <f t="shared" ref="B35:Q35" si="1">MAX(B9:B32)</f>
        <v>33.14</v>
      </c>
      <c r="C35" s="29">
        <f t="shared" si="1"/>
        <v>72.23</v>
      </c>
      <c r="D35" s="29">
        <f t="shared" si="1"/>
        <v>65.67</v>
      </c>
      <c r="E35" s="29">
        <f t="shared" si="1"/>
        <v>12.26</v>
      </c>
      <c r="F35" s="29">
        <f t="shared" si="1"/>
        <v>24.82</v>
      </c>
      <c r="G35" s="29">
        <f>MAX(G9:G32)</f>
        <v>108.91</v>
      </c>
      <c r="H35" s="29">
        <f>MAX(H9:H32)</f>
        <v>30.6</v>
      </c>
      <c r="I35" s="29">
        <f t="shared" si="1"/>
        <v>41.5</v>
      </c>
      <c r="J35" s="29">
        <f t="shared" si="1"/>
        <v>2.31</v>
      </c>
      <c r="K35" s="29">
        <f t="shared" si="1"/>
        <v>334.42</v>
      </c>
      <c r="L35" s="29">
        <f t="shared" si="1"/>
        <v>31.81</v>
      </c>
      <c r="M35" s="29">
        <f t="shared" si="1"/>
        <v>60.44</v>
      </c>
      <c r="N35" s="29">
        <f t="shared" si="1"/>
        <v>779.5</v>
      </c>
      <c r="O35" s="29">
        <f t="shared" si="1"/>
        <v>0</v>
      </c>
      <c r="P35" s="29">
        <f t="shared" si="1"/>
        <v>0.83</v>
      </c>
      <c r="Q35" s="29">
        <f t="shared" si="1"/>
        <v>6.97</v>
      </c>
      <c r="R35" s="29"/>
      <c r="S35" s="29"/>
      <c r="T35" s="29"/>
      <c r="U35" s="29"/>
    </row>
    <row r="36" spans="1:21" s="21" customFormat="1">
      <c r="A36" s="27" t="s">
        <v>32</v>
      </c>
      <c r="B36" s="28">
        <f t="shared" ref="B36:Q36" si="2">AVERAGE(B9:B32)</f>
        <v>16.436666666666664</v>
      </c>
      <c r="C36" s="28">
        <f t="shared" si="2"/>
        <v>66.626249999999999</v>
      </c>
      <c r="D36" s="28">
        <f t="shared" si="2"/>
        <v>48.81583333333333</v>
      </c>
      <c r="E36" s="28">
        <f t="shared" si="2"/>
        <v>8.6539130434782621</v>
      </c>
      <c r="F36" s="28">
        <f t="shared" si="2"/>
        <v>8.2850000000000019</v>
      </c>
      <c r="G36" s="28">
        <f t="shared" si="2"/>
        <v>58.978750000000012</v>
      </c>
      <c r="H36" s="28">
        <f>AVERAGE(H9:H32)</f>
        <v>17.935000000000002</v>
      </c>
      <c r="I36" s="28">
        <f t="shared" si="2"/>
        <v>11.405000000000001</v>
      </c>
      <c r="J36" s="28">
        <f t="shared" si="2"/>
        <v>1.0525</v>
      </c>
      <c r="K36" s="28">
        <f t="shared" si="2"/>
        <v>204.75583333333338</v>
      </c>
      <c r="L36" s="28">
        <f t="shared" si="2"/>
        <v>27.424999999999997</v>
      </c>
      <c r="M36" s="28">
        <f t="shared" si="2"/>
        <v>46.969166666666666</v>
      </c>
      <c r="N36" s="28">
        <f t="shared" si="2"/>
        <v>164.71249999999998</v>
      </c>
      <c r="O36" s="28">
        <f t="shared" si="2"/>
        <v>0</v>
      </c>
      <c r="P36" s="28">
        <f t="shared" si="2"/>
        <v>0.59749999999999992</v>
      </c>
      <c r="Q36" s="28">
        <f t="shared" si="2"/>
        <v>5.3386956521739117</v>
      </c>
      <c r="R36" s="28"/>
      <c r="S36" s="28"/>
      <c r="T36" s="28"/>
      <c r="U36" s="28"/>
    </row>
    <row r="37" spans="1:21" s="21" customFormat="1">
      <c r="A37" s="27" t="s">
        <v>38</v>
      </c>
      <c r="B37" s="28">
        <f>STDEV(B9:B32)</f>
        <v>7.7587177709512982</v>
      </c>
      <c r="C37" s="28">
        <f t="shared" ref="C37:Q37" si="3">STDEV(C9:C32)</f>
        <v>5.5792284120578</v>
      </c>
      <c r="D37" s="28">
        <f t="shared" si="3"/>
        <v>8.4767317926225676</v>
      </c>
      <c r="E37" s="28">
        <f t="shared" si="3"/>
        <v>1.2480265845450667</v>
      </c>
      <c r="F37" s="28">
        <f t="shared" si="3"/>
        <v>6.5028461995999969</v>
      </c>
      <c r="G37" s="28">
        <f t="shared" si="3"/>
        <v>22.981744988520553</v>
      </c>
      <c r="H37" s="28">
        <f>STDEV(H9:H32)</f>
        <v>6.1633707604228016</v>
      </c>
      <c r="I37" s="28">
        <f t="shared" si="3"/>
        <v>9.4852264990948107</v>
      </c>
      <c r="J37" s="28">
        <f t="shared" si="3"/>
        <v>0.670562709838601</v>
      </c>
      <c r="K37" s="28">
        <f t="shared" si="3"/>
        <v>107.57548099970933</v>
      </c>
      <c r="L37" s="28">
        <f t="shared" si="3"/>
        <v>2.3970271442841158</v>
      </c>
      <c r="M37" s="28">
        <f t="shared" si="3"/>
        <v>9.597882880984784</v>
      </c>
      <c r="N37" s="28">
        <f t="shared" si="3"/>
        <v>245.36912443961012</v>
      </c>
      <c r="O37" s="28">
        <f t="shared" si="3"/>
        <v>0</v>
      </c>
      <c r="P37" s="28">
        <f t="shared" si="3"/>
        <v>0.12162844346973156</v>
      </c>
      <c r="Q37" s="28">
        <f t="shared" si="3"/>
        <v>0.65566277604370848</v>
      </c>
      <c r="R37" s="28"/>
      <c r="S37" s="28"/>
      <c r="T37" s="28"/>
      <c r="U37" s="28"/>
    </row>
    <row r="38" spans="1:21" s="21" customFormat="1">
      <c r="A38" s="31" t="s">
        <v>33</v>
      </c>
      <c r="B38" s="32">
        <f t="shared" ref="B38:P38" si="4">COUNT(B9:B32)</f>
        <v>24</v>
      </c>
      <c r="C38" s="32">
        <f t="shared" si="4"/>
        <v>24</v>
      </c>
      <c r="D38" s="32">
        <f t="shared" si="4"/>
        <v>24</v>
      </c>
      <c r="E38" s="32">
        <v>24</v>
      </c>
      <c r="F38" s="32">
        <f>COUNT(F9:F32)</f>
        <v>24</v>
      </c>
      <c r="G38" s="32">
        <f>COUNT(G9:G32)</f>
        <v>24</v>
      </c>
      <c r="H38" s="32">
        <f>COUNT(H9:H32)</f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v>24</v>
      </c>
      <c r="R38" s="32"/>
      <c r="S38" s="32"/>
      <c r="T38" s="32"/>
      <c r="U38" s="32"/>
    </row>
    <row r="39" spans="1:21" s="21" customFormat="1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>
      <c r="A42" s="13"/>
    </row>
    <row r="43" spans="1:21" s="21" customFormat="1">
      <c r="A43" s="14" t="s">
        <v>35</v>
      </c>
      <c r="B43" s="39" t="s">
        <v>58</v>
      </c>
      <c r="C43" s="41"/>
    </row>
    <row r="44" spans="1:21" s="21" customFormat="1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0"/>
      <c r="C45" s="40"/>
      <c r="D45" s="40"/>
      <c r="E45" s="40"/>
      <c r="F45" s="40"/>
      <c r="G45" s="40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</row>
    <row r="46" spans="1:21" s="21" customFormat="1"/>
    <row r="47" spans="1:21" s="21" customFormat="1"/>
    <row r="48" spans="1:21" s="21" customFormat="1"/>
    <row r="49" s="21" customFormat="1"/>
    <row r="50" s="21" customFormat="1"/>
    <row r="51" s="21" customFormat="1"/>
    <row r="52" s="21" customFormat="1"/>
    <row r="53" s="21" customFormat="1"/>
    <row r="54" s="21" customFormat="1"/>
    <row r="55" s="21" customFormat="1"/>
    <row r="56" s="21" customFormat="1"/>
    <row r="57" s="21" customFormat="1"/>
    <row r="58" s="21" customFormat="1"/>
    <row r="59" s="21" customFormat="1"/>
    <row r="60" s="21" customFormat="1"/>
    <row r="61" s="21" customFormat="1"/>
    <row r="62" s="21" customFormat="1"/>
    <row r="63" s="21" customFormat="1"/>
    <row r="64" s="21" customFormat="1"/>
    <row r="65" s="21" customFormat="1"/>
    <row r="66" s="21" customFormat="1"/>
    <row r="67" s="21" customFormat="1"/>
    <row r="68" s="21" customFormat="1"/>
    <row r="69" s="21" customFormat="1"/>
    <row r="70" s="21" customFormat="1"/>
    <row r="71" s="21" customFormat="1"/>
    <row r="72" s="21" customFormat="1"/>
    <row r="73" s="21" customFormat="1"/>
    <row r="74" s="21" customFormat="1"/>
    <row r="75" s="21" customFormat="1"/>
    <row r="76" s="21" customFormat="1"/>
    <row r="77" s="21" customFormat="1"/>
    <row r="78" s="21" customFormat="1"/>
    <row r="79" s="21" customFormat="1"/>
    <row r="80" s="21" customFormat="1"/>
    <row r="81" s="21" customFormat="1"/>
    <row r="82" s="21" customFormat="1"/>
    <row r="83" s="21" customFormat="1"/>
    <row r="84" s="21" customFormat="1"/>
    <row r="85" s="21" customFormat="1"/>
    <row r="86" s="21" customFormat="1"/>
    <row r="87" s="21" customFormat="1"/>
    <row r="88" s="21" customFormat="1"/>
    <row r="89" s="21" customFormat="1"/>
    <row r="90" s="21" customFormat="1"/>
    <row r="91" s="21" customFormat="1"/>
    <row r="92" s="21" customFormat="1"/>
    <row r="93" s="21" customFormat="1"/>
    <row r="94" s="21" customFormat="1"/>
    <row r="95" s="21" customFormat="1"/>
    <row r="96" s="21" customFormat="1"/>
    <row r="97" spans="1:1" s="21" customFormat="1"/>
    <row r="98" spans="1:1" s="21" customFormat="1"/>
    <row r="99" spans="1:1" s="21" customFormat="1"/>
    <row r="100" spans="1:1" s="21" customFormat="1"/>
    <row r="101" spans="1:1" s="21" customFormat="1"/>
    <row r="102" spans="1:1" s="21" customFormat="1"/>
    <row r="103" spans="1:1" s="21" customFormat="1"/>
    <row r="104" spans="1:1" s="21" customFormat="1"/>
    <row r="105" spans="1:1" s="21" customFormat="1"/>
    <row r="106" spans="1:1">
      <c r="A106" s="20"/>
    </row>
    <row r="107" spans="1:1" s="21" customFormat="1"/>
    <row r="108" spans="1:1" s="21" customFormat="1"/>
    <row r="109" spans="1:1" s="21" customFormat="1"/>
    <row r="110" spans="1:1" s="21" customFormat="1"/>
    <row r="111" spans="1:1" s="21" customFormat="1"/>
    <row r="112" spans="1:1" s="21" customFormat="1"/>
    <row r="113" spans="1:1" s="21" customFormat="1"/>
    <row r="114" spans="1:1" s="21" customFormat="1"/>
    <row r="115" spans="1:1" s="21" customFormat="1"/>
    <row r="116" spans="1:1" s="21" customFormat="1"/>
    <row r="117" spans="1:1" s="21" customFormat="1"/>
    <row r="118" spans="1:1">
      <c r="A118" s="20"/>
    </row>
    <row r="119" spans="1:1">
      <c r="A119" s="20"/>
    </row>
  </sheetData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2" ySplit="8" topLeftCell="C21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E30" sqref="E30"/>
    </sheetView>
  </sheetViews>
  <sheetFormatPr defaultColWidth="8.85546875" defaultRowHeight="15"/>
  <cols>
    <col min="1" max="1" width="18.28515625" style="26" customWidth="1"/>
    <col min="2" max="2" width="13.855468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>
      <c r="A1" s="14" t="s">
        <v>2</v>
      </c>
      <c r="B1" s="23" t="s">
        <v>55</v>
      </c>
      <c r="C1" s="36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>
      <c r="A2" s="14" t="s">
        <v>0</v>
      </c>
      <c r="B2" s="37" t="str">
        <f>$A$9</f>
        <v>09/04/2023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8" t="s">
        <v>7</v>
      </c>
      <c r="Q2" s="12"/>
      <c r="R2" s="8" t="s">
        <v>8</v>
      </c>
      <c r="S2" s="11"/>
      <c r="T2" s="11"/>
      <c r="U2" s="11"/>
    </row>
    <row r="3" spans="1:21" s="21" customFormat="1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8" t="s">
        <v>15</v>
      </c>
      <c r="Q3" s="12"/>
      <c r="R3" s="9" t="s">
        <v>15</v>
      </c>
      <c r="S3" s="11"/>
      <c r="T3" s="11"/>
      <c r="U3" s="11"/>
    </row>
    <row r="4" spans="1:21" s="21" customFormat="1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>
      <c r="A7" s="25" t="s">
        <v>21</v>
      </c>
      <c r="B7" s="48" t="s">
        <v>40</v>
      </c>
      <c r="C7" s="49" t="s">
        <v>41</v>
      </c>
      <c r="D7" s="49" t="s">
        <v>42</v>
      </c>
      <c r="E7" s="49" t="s">
        <v>43</v>
      </c>
      <c r="F7" s="49" t="s">
        <v>44</v>
      </c>
      <c r="G7" s="49" t="s">
        <v>45</v>
      </c>
      <c r="H7" s="49" t="s">
        <v>56</v>
      </c>
      <c r="I7" s="49" t="s">
        <v>46</v>
      </c>
      <c r="J7" s="49" t="s">
        <v>47</v>
      </c>
      <c r="K7" s="49" t="s">
        <v>48</v>
      </c>
      <c r="L7" s="49" t="s">
        <v>49</v>
      </c>
      <c r="M7" s="49" t="s">
        <v>50</v>
      </c>
      <c r="N7" s="49" t="s">
        <v>51</v>
      </c>
      <c r="O7" s="49" t="s">
        <v>52</v>
      </c>
      <c r="P7" s="49" t="s">
        <v>53</v>
      </c>
      <c r="Q7" s="49" t="s">
        <v>54</v>
      </c>
      <c r="R7" s="27"/>
      <c r="S7" s="29"/>
      <c r="T7" s="27"/>
      <c r="U7" s="27"/>
    </row>
    <row r="8" spans="1:21" s="21" customFormat="1">
      <c r="A8" s="25"/>
      <c r="B8" s="50" t="s">
        <v>22</v>
      </c>
      <c r="C8" s="50" t="s">
        <v>22</v>
      </c>
      <c r="D8" s="50" t="s">
        <v>22</v>
      </c>
      <c r="E8" s="50" t="s">
        <v>22</v>
      </c>
      <c r="F8" s="50" t="s">
        <v>22</v>
      </c>
      <c r="G8" s="50" t="s">
        <v>23</v>
      </c>
      <c r="H8" s="50" t="s">
        <v>22</v>
      </c>
      <c r="I8" s="50" t="s">
        <v>22</v>
      </c>
      <c r="J8" s="50" t="s">
        <v>24</v>
      </c>
      <c r="K8" s="50" t="s">
        <v>25</v>
      </c>
      <c r="L8" s="25" t="s">
        <v>27</v>
      </c>
      <c r="M8" s="50" t="s">
        <v>26</v>
      </c>
      <c r="N8" s="50" t="s">
        <v>28</v>
      </c>
      <c r="O8" s="25" t="s">
        <v>29</v>
      </c>
      <c r="P8" s="50" t="s">
        <v>22</v>
      </c>
      <c r="Q8" s="50" t="s">
        <v>22</v>
      </c>
      <c r="R8" s="27"/>
      <c r="S8" s="29"/>
      <c r="T8" s="27"/>
      <c r="U8" s="27"/>
    </row>
    <row r="9" spans="1:21" s="11" customFormat="1">
      <c r="A9" s="52" t="s">
        <v>265</v>
      </c>
      <c r="B9" s="53">
        <v>34.25</v>
      </c>
      <c r="C9" s="53">
        <v>72.36</v>
      </c>
      <c r="D9" s="53">
        <v>66.599999999999994</v>
      </c>
      <c r="E9" s="53">
        <v>8.5500000000000007</v>
      </c>
      <c r="F9" s="53">
        <v>3.82</v>
      </c>
      <c r="G9" s="53">
        <v>108.91</v>
      </c>
      <c r="H9" s="53">
        <v>31.81</v>
      </c>
      <c r="I9" s="53">
        <v>10.41</v>
      </c>
      <c r="J9" s="53">
        <v>0.28999999999999998</v>
      </c>
      <c r="K9" s="53">
        <v>236.62</v>
      </c>
      <c r="L9" s="53">
        <v>24.96</v>
      </c>
      <c r="M9" s="53">
        <v>60.48</v>
      </c>
      <c r="N9" s="53">
        <v>0</v>
      </c>
      <c r="O9" s="53">
        <v>0</v>
      </c>
      <c r="P9" s="53">
        <v>0.88</v>
      </c>
      <c r="Q9" s="53">
        <v>7.05</v>
      </c>
      <c r="R9" s="42"/>
      <c r="S9" s="42"/>
      <c r="T9" s="42"/>
      <c r="U9" s="42"/>
    </row>
    <row r="10" spans="1:21" s="11" customFormat="1">
      <c r="A10" s="52" t="s">
        <v>266</v>
      </c>
      <c r="B10" s="53">
        <v>42.43</v>
      </c>
      <c r="C10" s="53">
        <v>73.36</v>
      </c>
      <c r="D10" s="53">
        <v>73.709999999999994</v>
      </c>
      <c r="E10" s="53">
        <v>8.5500000000000007</v>
      </c>
      <c r="F10" s="53">
        <v>3.75</v>
      </c>
      <c r="G10" s="53">
        <v>115.38</v>
      </c>
      <c r="H10" s="53">
        <v>34.99</v>
      </c>
      <c r="I10" s="53">
        <v>10.15</v>
      </c>
      <c r="J10" s="53">
        <v>0.52</v>
      </c>
      <c r="K10" s="53">
        <v>60.93</v>
      </c>
      <c r="L10" s="53">
        <v>24.78</v>
      </c>
      <c r="M10" s="53">
        <v>58.89</v>
      </c>
      <c r="N10" s="53">
        <v>0</v>
      </c>
      <c r="O10" s="53">
        <v>0</v>
      </c>
      <c r="P10" s="53">
        <v>1</v>
      </c>
      <c r="Q10" s="53">
        <v>7.56</v>
      </c>
      <c r="R10" s="42"/>
      <c r="S10" s="42"/>
      <c r="T10" s="42"/>
      <c r="U10" s="42"/>
    </row>
    <row r="11" spans="1:21" s="11" customFormat="1">
      <c r="A11" s="52" t="s">
        <v>267</v>
      </c>
      <c r="B11" s="53">
        <v>45.04</v>
      </c>
      <c r="C11" s="53">
        <v>73.650000000000006</v>
      </c>
      <c r="D11" s="53">
        <v>75.099999999999994</v>
      </c>
      <c r="E11" s="53">
        <v>9</v>
      </c>
      <c r="F11" s="53">
        <v>3.83</v>
      </c>
      <c r="G11" s="53">
        <v>129.74</v>
      </c>
      <c r="H11" s="53">
        <v>37.409999999999997</v>
      </c>
      <c r="I11" s="53">
        <v>10.38</v>
      </c>
      <c r="J11" s="53">
        <v>0.65</v>
      </c>
      <c r="K11" s="53">
        <v>221.11</v>
      </c>
      <c r="L11" s="53">
        <v>24.89</v>
      </c>
      <c r="M11" s="53">
        <v>61.36</v>
      </c>
      <c r="N11" s="53">
        <v>0</v>
      </c>
      <c r="O11" s="53">
        <v>0</v>
      </c>
      <c r="P11" s="53">
        <v>1.07</v>
      </c>
      <c r="Q11" s="53">
        <v>7.69</v>
      </c>
      <c r="R11" s="42"/>
      <c r="S11" s="42"/>
      <c r="T11" s="42"/>
      <c r="U11" s="42"/>
    </row>
    <row r="12" spans="1:21" s="11" customFormat="1">
      <c r="A12" s="52" t="s">
        <v>268</v>
      </c>
      <c r="B12" s="53">
        <v>45.32</v>
      </c>
      <c r="C12" s="53">
        <v>70.86</v>
      </c>
      <c r="D12" s="53">
        <v>74.27</v>
      </c>
      <c r="E12" s="53">
        <v>9.19</v>
      </c>
      <c r="F12" s="53">
        <v>3.86</v>
      </c>
      <c r="G12" s="53">
        <v>129.74</v>
      </c>
      <c r="H12" s="53">
        <v>37.409999999999997</v>
      </c>
      <c r="I12" s="53">
        <v>10.39</v>
      </c>
      <c r="J12" s="53">
        <v>1.1299999999999999</v>
      </c>
      <c r="K12" s="53">
        <v>61.24</v>
      </c>
      <c r="L12" s="53">
        <v>24.14</v>
      </c>
      <c r="M12" s="53">
        <v>60.89</v>
      </c>
      <c r="N12" s="53">
        <v>0</v>
      </c>
      <c r="O12" s="53">
        <v>0</v>
      </c>
      <c r="P12" s="53">
        <v>1.05</v>
      </c>
      <c r="Q12" s="53">
        <v>7.49</v>
      </c>
      <c r="R12" s="42"/>
      <c r="S12" s="42"/>
      <c r="T12" s="42"/>
      <c r="U12" s="42"/>
    </row>
    <row r="13" spans="1:21" s="11" customFormat="1">
      <c r="A13" s="52" t="s">
        <v>269</v>
      </c>
      <c r="B13" s="53">
        <v>44.28</v>
      </c>
      <c r="C13" s="53">
        <v>70.44</v>
      </c>
      <c r="D13" s="53">
        <v>73.66</v>
      </c>
      <c r="E13" s="53">
        <v>9.25</v>
      </c>
      <c r="F13" s="53">
        <v>3.77</v>
      </c>
      <c r="G13" s="53">
        <v>114.78</v>
      </c>
      <c r="H13" s="53">
        <v>35.42</v>
      </c>
      <c r="I13" s="53">
        <v>9.9700000000000006</v>
      </c>
      <c r="J13" s="53">
        <v>0.8</v>
      </c>
      <c r="K13" s="53">
        <v>72.7</v>
      </c>
      <c r="L13" s="53">
        <v>23.18</v>
      </c>
      <c r="M13" s="53">
        <v>64.08</v>
      </c>
      <c r="N13" s="53">
        <v>0</v>
      </c>
      <c r="O13" s="53">
        <v>0</v>
      </c>
      <c r="P13" s="53">
        <v>0.99</v>
      </c>
      <c r="Q13" s="53">
        <v>7.41</v>
      </c>
      <c r="R13" s="42"/>
      <c r="S13" s="42"/>
      <c r="T13" s="42"/>
      <c r="U13" s="42"/>
    </row>
    <row r="14" spans="1:21" s="11" customFormat="1">
      <c r="A14" s="52" t="s">
        <v>270</v>
      </c>
      <c r="B14" s="53">
        <v>44.66</v>
      </c>
      <c r="C14" s="53">
        <v>70.75</v>
      </c>
      <c r="D14" s="53">
        <v>74.13</v>
      </c>
      <c r="E14" s="53">
        <v>9.31</v>
      </c>
      <c r="F14" s="53">
        <v>3.71</v>
      </c>
      <c r="G14" s="53">
        <v>95.65</v>
      </c>
      <c r="H14" s="53">
        <v>30.97</v>
      </c>
      <c r="I14" s="53">
        <v>9.3000000000000007</v>
      </c>
      <c r="J14" s="53">
        <v>0.45</v>
      </c>
      <c r="K14" s="53">
        <v>164.11</v>
      </c>
      <c r="L14" s="53">
        <v>22.75</v>
      </c>
      <c r="M14" s="53">
        <v>67.37</v>
      </c>
      <c r="N14" s="53">
        <v>3.4</v>
      </c>
      <c r="O14" s="53">
        <v>0</v>
      </c>
      <c r="P14" s="53">
        <v>0.98</v>
      </c>
      <c r="Q14" s="53">
        <v>7.43</v>
      </c>
      <c r="R14" s="42"/>
      <c r="S14" s="42"/>
      <c r="T14" s="42"/>
      <c r="U14" s="42"/>
    </row>
    <row r="15" spans="1:21" s="11" customFormat="1">
      <c r="A15" s="52" t="s">
        <v>271</v>
      </c>
      <c r="B15" s="53">
        <v>44.19</v>
      </c>
      <c r="C15" s="53">
        <v>70.03</v>
      </c>
      <c r="D15" s="53">
        <v>73.38</v>
      </c>
      <c r="E15" s="53">
        <v>9.1</v>
      </c>
      <c r="F15" s="53">
        <v>3.73</v>
      </c>
      <c r="G15" s="53">
        <v>83.47</v>
      </c>
      <c r="H15" s="53">
        <v>30.01</v>
      </c>
      <c r="I15" s="53">
        <v>8.85</v>
      </c>
      <c r="J15" s="53">
        <v>0.32</v>
      </c>
      <c r="K15" s="53">
        <v>180.63</v>
      </c>
      <c r="L15" s="53">
        <v>23.55</v>
      </c>
      <c r="M15" s="53">
        <v>67.13</v>
      </c>
      <c r="N15" s="53">
        <v>69.400000000000006</v>
      </c>
      <c r="O15" s="53">
        <v>0</v>
      </c>
      <c r="P15" s="53">
        <v>0.96</v>
      </c>
      <c r="Q15" s="53">
        <v>7.37</v>
      </c>
      <c r="R15" s="42"/>
      <c r="S15" s="42"/>
      <c r="T15" s="42"/>
      <c r="U15" s="42"/>
    </row>
    <row r="16" spans="1:21" s="11" customFormat="1">
      <c r="A16" s="52" t="s">
        <v>272</v>
      </c>
      <c r="B16" s="53">
        <v>41.8</v>
      </c>
      <c r="C16" s="53">
        <v>71.98</v>
      </c>
      <c r="D16" s="53">
        <v>71.58</v>
      </c>
      <c r="E16" s="53">
        <v>9.73</v>
      </c>
      <c r="F16" s="53">
        <v>3.78</v>
      </c>
      <c r="G16" s="53">
        <v>68.66</v>
      </c>
      <c r="H16" s="53">
        <v>30.01</v>
      </c>
      <c r="I16" s="53">
        <v>8.44</v>
      </c>
      <c r="J16" s="53">
        <v>0.44</v>
      </c>
      <c r="K16" s="53">
        <v>231.23</v>
      </c>
      <c r="L16" s="53">
        <v>27.43</v>
      </c>
      <c r="M16" s="53">
        <v>60.55</v>
      </c>
      <c r="N16" s="53">
        <v>256.89999999999998</v>
      </c>
      <c r="O16" s="53">
        <v>0</v>
      </c>
      <c r="P16" s="53">
        <v>0.92</v>
      </c>
      <c r="Q16" s="53">
        <v>7.36</v>
      </c>
      <c r="R16" s="42"/>
      <c r="S16" s="42"/>
      <c r="T16" s="42"/>
      <c r="U16" s="42"/>
    </row>
    <row r="17" spans="1:21" s="11" customFormat="1">
      <c r="A17" s="52" t="s">
        <v>273</v>
      </c>
      <c r="B17" s="53">
        <v>37.83</v>
      </c>
      <c r="C17" s="53">
        <v>74.010000000000005</v>
      </c>
      <c r="D17" s="53">
        <v>69.31</v>
      </c>
      <c r="E17" s="53">
        <v>10.14</v>
      </c>
      <c r="F17" s="53">
        <v>4.47</v>
      </c>
      <c r="G17" s="53">
        <v>55.19</v>
      </c>
      <c r="H17" s="53">
        <v>26.83</v>
      </c>
      <c r="I17" s="53">
        <v>8.15</v>
      </c>
      <c r="J17" s="53">
        <v>0.79</v>
      </c>
      <c r="K17" s="53">
        <v>302.04000000000002</v>
      </c>
      <c r="L17" s="53">
        <v>29.67</v>
      </c>
      <c r="M17" s="53">
        <v>42.2</v>
      </c>
      <c r="N17" s="53">
        <v>276</v>
      </c>
      <c r="O17" s="53">
        <v>0</v>
      </c>
      <c r="P17" s="53">
        <v>0.89</v>
      </c>
      <c r="Q17" s="53">
        <v>7.27</v>
      </c>
      <c r="R17" s="42"/>
      <c r="S17" s="42"/>
      <c r="T17" s="42"/>
      <c r="U17" s="42"/>
    </row>
    <row r="18" spans="1:21" s="11" customFormat="1">
      <c r="A18" s="52" t="s">
        <v>274</v>
      </c>
      <c r="B18" s="53">
        <v>31.34</v>
      </c>
      <c r="C18" s="53">
        <v>75.92</v>
      </c>
      <c r="D18" s="53">
        <v>65.41</v>
      </c>
      <c r="E18" s="53">
        <v>9.81</v>
      </c>
      <c r="F18" s="53">
        <v>6.4</v>
      </c>
      <c r="G18" s="53">
        <v>55.1</v>
      </c>
      <c r="H18" s="53">
        <v>25.08</v>
      </c>
      <c r="I18" s="53">
        <v>7.7</v>
      </c>
      <c r="J18" s="53">
        <v>0.75</v>
      </c>
      <c r="K18" s="53">
        <v>302.82</v>
      </c>
      <c r="L18" s="53">
        <v>32.39</v>
      </c>
      <c r="M18" s="53">
        <v>34.96</v>
      </c>
      <c r="N18" s="53">
        <v>518.4</v>
      </c>
      <c r="O18" s="53">
        <v>0</v>
      </c>
      <c r="P18" s="53">
        <v>0.84</v>
      </c>
      <c r="Q18" s="53">
        <v>7.01</v>
      </c>
      <c r="R18" s="42"/>
      <c r="S18" s="42"/>
      <c r="T18" s="42"/>
      <c r="U18" s="42"/>
    </row>
    <row r="19" spans="1:21" s="11" customFormat="1">
      <c r="A19" s="52" t="s">
        <v>275</v>
      </c>
      <c r="B19" s="53">
        <v>22.48</v>
      </c>
      <c r="C19" s="53">
        <v>76.650000000000006</v>
      </c>
      <c r="D19" s="53">
        <v>59.42</v>
      </c>
      <c r="E19" s="53">
        <v>10.93</v>
      </c>
      <c r="F19" s="53">
        <v>7.59</v>
      </c>
      <c r="G19" s="53">
        <v>48.68</v>
      </c>
      <c r="H19" s="53">
        <v>24.23</v>
      </c>
      <c r="I19" s="53">
        <v>7.17</v>
      </c>
      <c r="J19" s="53">
        <v>0.73</v>
      </c>
      <c r="K19" s="53">
        <v>273.25</v>
      </c>
      <c r="L19" s="53">
        <v>34.42</v>
      </c>
      <c r="M19" s="53">
        <v>31.16</v>
      </c>
      <c r="N19" s="53">
        <v>690.5</v>
      </c>
      <c r="O19" s="53">
        <v>0</v>
      </c>
      <c r="P19" s="53">
        <v>0.78</v>
      </c>
      <c r="Q19" s="53">
        <v>6.56</v>
      </c>
      <c r="R19" s="42"/>
      <c r="S19" s="42"/>
      <c r="T19" s="42"/>
      <c r="U19" s="42"/>
    </row>
    <row r="20" spans="1:21" s="11" customFormat="1">
      <c r="A20" s="52" t="s">
        <v>276</v>
      </c>
      <c r="B20" s="53">
        <v>11.73</v>
      </c>
      <c r="C20" s="53">
        <v>75.510000000000005</v>
      </c>
      <c r="D20" s="53">
        <v>50.21</v>
      </c>
      <c r="E20" s="53">
        <v>11.95</v>
      </c>
      <c r="F20" s="53">
        <v>10.89</v>
      </c>
      <c r="G20" s="53">
        <v>48.24</v>
      </c>
      <c r="H20" s="53">
        <v>24.04</v>
      </c>
      <c r="I20" s="53">
        <v>6.69</v>
      </c>
      <c r="J20" s="53">
        <v>1.0900000000000001</v>
      </c>
      <c r="K20" s="53">
        <v>269.05</v>
      </c>
      <c r="L20" s="53">
        <v>35.72</v>
      </c>
      <c r="M20" s="53">
        <v>28.54</v>
      </c>
      <c r="N20" s="53">
        <v>773.3</v>
      </c>
      <c r="O20" s="53">
        <v>0</v>
      </c>
      <c r="P20" s="53">
        <v>0.72</v>
      </c>
      <c r="Q20" s="53">
        <v>6.03</v>
      </c>
      <c r="R20" s="42"/>
      <c r="S20" s="42"/>
      <c r="T20" s="42"/>
      <c r="U20" s="42"/>
    </row>
    <row r="21" spans="1:21" s="11" customFormat="1">
      <c r="A21" s="52" t="s">
        <v>277</v>
      </c>
      <c r="B21" s="53">
        <v>6.2</v>
      </c>
      <c r="C21" s="53">
        <v>70.069999999999993</v>
      </c>
      <c r="D21" s="53">
        <v>42.93</v>
      </c>
      <c r="E21" s="53">
        <v>12.84</v>
      </c>
      <c r="F21" s="53">
        <v>18.54</v>
      </c>
      <c r="G21" s="53">
        <v>48.24</v>
      </c>
      <c r="H21" s="53">
        <v>24.04</v>
      </c>
      <c r="I21" s="53">
        <v>6.22</v>
      </c>
      <c r="J21" s="53">
        <v>0.9</v>
      </c>
      <c r="K21" s="53">
        <v>254.83</v>
      </c>
      <c r="L21" s="53">
        <v>36.56</v>
      </c>
      <c r="M21" s="53">
        <v>26.67</v>
      </c>
      <c r="N21" s="53">
        <v>810.9</v>
      </c>
      <c r="O21" s="53">
        <v>0</v>
      </c>
      <c r="P21" s="53">
        <v>0.65</v>
      </c>
      <c r="Q21" s="53">
        <v>5.5</v>
      </c>
      <c r="R21" s="42"/>
      <c r="S21" s="42"/>
      <c r="T21" s="42"/>
      <c r="U21" s="42"/>
    </row>
    <row r="22" spans="1:21" s="11" customFormat="1">
      <c r="A22" s="52" t="s">
        <v>278</v>
      </c>
      <c r="B22" s="53">
        <v>6.17</v>
      </c>
      <c r="C22" s="53">
        <v>65.3</v>
      </c>
      <c r="D22" s="53">
        <v>40.32</v>
      </c>
      <c r="E22" s="53">
        <v>13.69</v>
      </c>
      <c r="F22" s="53">
        <v>23.01</v>
      </c>
      <c r="G22" s="53">
        <v>44.93</v>
      </c>
      <c r="H22" s="53">
        <v>23.29</v>
      </c>
      <c r="I22" s="53">
        <v>5.55</v>
      </c>
      <c r="J22" s="53">
        <v>0.96</v>
      </c>
      <c r="K22" s="53">
        <v>292.05</v>
      </c>
      <c r="L22" s="53">
        <v>36.869999999999997</v>
      </c>
      <c r="M22" s="53">
        <v>25.27</v>
      </c>
      <c r="N22" s="53">
        <v>718.6</v>
      </c>
      <c r="O22" s="53">
        <v>0</v>
      </c>
      <c r="P22" s="53">
        <v>0.6</v>
      </c>
      <c r="Q22" s="53">
        <v>5.16</v>
      </c>
      <c r="R22" s="42"/>
      <c r="S22" s="42"/>
      <c r="T22" s="42"/>
      <c r="U22" s="42"/>
    </row>
    <row r="23" spans="1:21" s="11" customFormat="1">
      <c r="A23" s="52" t="s">
        <v>279</v>
      </c>
      <c r="B23" s="53">
        <v>5.98</v>
      </c>
      <c r="C23" s="53">
        <v>59.69</v>
      </c>
      <c r="D23" s="53">
        <v>37.33</v>
      </c>
      <c r="E23" s="53">
        <v>15.67</v>
      </c>
      <c r="F23" s="53">
        <v>26.09</v>
      </c>
      <c r="G23" s="53">
        <v>42.56</v>
      </c>
      <c r="H23" s="53">
        <v>20.74</v>
      </c>
      <c r="I23" s="53">
        <v>5.25</v>
      </c>
      <c r="J23" s="53">
        <v>0.77</v>
      </c>
      <c r="K23" s="53">
        <v>285.08</v>
      </c>
      <c r="L23" s="53">
        <v>37.94</v>
      </c>
      <c r="M23" s="53">
        <v>23.81</v>
      </c>
      <c r="N23" s="53">
        <v>659.7</v>
      </c>
      <c r="O23" s="53">
        <v>0</v>
      </c>
      <c r="P23" s="53">
        <v>0.62</v>
      </c>
      <c r="Q23" s="53">
        <v>5.05</v>
      </c>
      <c r="R23" s="42"/>
      <c r="S23" s="42"/>
      <c r="T23" s="42"/>
      <c r="U23" s="42"/>
    </row>
    <row r="24" spans="1:21" s="11" customFormat="1">
      <c r="A24" s="52" t="s">
        <v>280</v>
      </c>
      <c r="B24" s="53">
        <v>5.59</v>
      </c>
      <c r="C24" s="53">
        <v>58.46</v>
      </c>
      <c r="D24" s="53">
        <v>36.340000000000003</v>
      </c>
      <c r="E24" s="53">
        <v>14.23</v>
      </c>
      <c r="F24" s="53">
        <v>28.12</v>
      </c>
      <c r="G24" s="53">
        <v>42.56</v>
      </c>
      <c r="H24" s="53">
        <v>20.74</v>
      </c>
      <c r="I24" s="53">
        <v>5.31</v>
      </c>
      <c r="J24" s="53">
        <v>1.27</v>
      </c>
      <c r="K24" s="53">
        <v>290.87</v>
      </c>
      <c r="L24" s="53">
        <v>37.299999999999997</v>
      </c>
      <c r="M24" s="53">
        <v>23.39</v>
      </c>
      <c r="N24" s="53">
        <v>563.29999999999995</v>
      </c>
      <c r="O24" s="53">
        <v>0</v>
      </c>
      <c r="P24" s="53">
        <v>0.6</v>
      </c>
      <c r="Q24" s="53">
        <v>4.9400000000000004</v>
      </c>
      <c r="R24" s="42"/>
      <c r="S24" s="42"/>
      <c r="T24" s="42"/>
      <c r="U24" s="42"/>
    </row>
    <row r="25" spans="1:21" s="11" customFormat="1">
      <c r="A25" s="52" t="s">
        <v>281</v>
      </c>
      <c r="B25" s="53">
        <v>5.22</v>
      </c>
      <c r="C25" s="53">
        <v>53.94</v>
      </c>
      <c r="D25" s="53">
        <v>33.54</v>
      </c>
      <c r="E25" s="53">
        <v>17.89</v>
      </c>
      <c r="F25" s="53">
        <v>46.18</v>
      </c>
      <c r="G25" s="53">
        <v>39.89</v>
      </c>
      <c r="H25" s="53">
        <v>18.96</v>
      </c>
      <c r="I25" s="53">
        <v>5.0999999999999996</v>
      </c>
      <c r="J25" s="53">
        <v>0.6</v>
      </c>
      <c r="K25" s="53">
        <v>257.45999999999998</v>
      </c>
      <c r="L25" s="53">
        <v>36.229999999999997</v>
      </c>
      <c r="M25" s="53">
        <v>24.64</v>
      </c>
      <c r="N25" s="53">
        <v>237.9</v>
      </c>
      <c r="O25" s="53">
        <v>0</v>
      </c>
      <c r="P25" s="53">
        <v>0.57999999999999996</v>
      </c>
      <c r="Q25" s="53">
        <v>4.8600000000000003</v>
      </c>
      <c r="R25" s="42"/>
      <c r="S25" s="42"/>
      <c r="T25" s="42"/>
      <c r="U25" s="42"/>
    </row>
    <row r="26" spans="1:21" s="11" customFormat="1">
      <c r="A26" s="52" t="s">
        <v>282</v>
      </c>
      <c r="B26" s="53">
        <v>5</v>
      </c>
      <c r="C26" s="53">
        <v>52.58</v>
      </c>
      <c r="D26" s="53">
        <v>32.79</v>
      </c>
      <c r="E26" s="53">
        <v>18.75</v>
      </c>
      <c r="F26" s="53">
        <v>39.229999999999997</v>
      </c>
      <c r="G26" s="53">
        <v>36.869999999999997</v>
      </c>
      <c r="H26" s="53">
        <v>19.100000000000001</v>
      </c>
      <c r="I26" s="53">
        <v>4.49</v>
      </c>
      <c r="J26" s="53">
        <v>0.28000000000000003</v>
      </c>
      <c r="K26" s="53">
        <v>174.34</v>
      </c>
      <c r="L26" s="53">
        <v>35.39</v>
      </c>
      <c r="M26" s="53">
        <v>27.05</v>
      </c>
      <c r="N26" s="53">
        <v>49.1</v>
      </c>
      <c r="O26" s="53">
        <v>0</v>
      </c>
      <c r="P26" s="53">
        <v>0.57999999999999996</v>
      </c>
      <c r="Q26" s="53">
        <v>4.9000000000000004</v>
      </c>
      <c r="R26" s="42"/>
      <c r="S26" s="42"/>
      <c r="T26" s="42"/>
      <c r="U26" s="42"/>
    </row>
    <row r="27" spans="1:21" s="11" customFormat="1">
      <c r="A27" s="52" t="s">
        <v>283</v>
      </c>
      <c r="B27" s="53">
        <v>5.81</v>
      </c>
      <c r="C27" s="53">
        <v>55.35</v>
      </c>
      <c r="D27" s="53">
        <v>34.92</v>
      </c>
      <c r="E27" s="53">
        <v>12.18</v>
      </c>
      <c r="F27" s="53">
        <v>29.8</v>
      </c>
      <c r="G27" s="53">
        <v>38.9</v>
      </c>
      <c r="H27" s="53">
        <v>19.100000000000001</v>
      </c>
      <c r="I27" s="53">
        <v>4.5999999999999996</v>
      </c>
      <c r="J27" s="53">
        <v>0.24</v>
      </c>
      <c r="K27" s="53">
        <v>165.84</v>
      </c>
      <c r="L27" s="53">
        <v>33.36</v>
      </c>
      <c r="M27" s="53">
        <v>37.39</v>
      </c>
      <c r="N27" s="53">
        <v>0.1</v>
      </c>
      <c r="O27" s="53">
        <v>0</v>
      </c>
      <c r="P27" s="53">
        <v>0.63</v>
      </c>
      <c r="Q27" s="53">
        <v>4.96</v>
      </c>
      <c r="R27" s="42"/>
      <c r="S27" s="42"/>
      <c r="T27" s="42"/>
      <c r="U27" s="42"/>
    </row>
    <row r="28" spans="1:21" s="11" customFormat="1">
      <c r="A28" s="52" t="s">
        <v>284</v>
      </c>
      <c r="B28" s="53">
        <v>6.98</v>
      </c>
      <c r="C28" s="53">
        <v>58.94</v>
      </c>
      <c r="D28" s="53">
        <v>37.75</v>
      </c>
      <c r="E28" s="53">
        <v>10.59</v>
      </c>
      <c r="F28" s="53">
        <v>15.87</v>
      </c>
      <c r="G28" s="53">
        <v>39.39</v>
      </c>
      <c r="H28" s="53">
        <v>18.89</v>
      </c>
      <c r="I28" s="53">
        <v>5.08</v>
      </c>
      <c r="J28" s="53">
        <v>0.2</v>
      </c>
      <c r="K28" s="53">
        <v>184.27</v>
      </c>
      <c r="L28" s="53">
        <v>31</v>
      </c>
      <c r="M28" s="53">
        <v>41.39</v>
      </c>
      <c r="N28" s="53">
        <v>0</v>
      </c>
      <c r="O28" s="53">
        <v>0</v>
      </c>
      <c r="P28" s="53">
        <v>0.68</v>
      </c>
      <c r="Q28" s="53">
        <v>5.14</v>
      </c>
      <c r="R28" s="42"/>
      <c r="S28" s="42"/>
      <c r="T28" s="42"/>
      <c r="U28" s="42"/>
    </row>
    <row r="29" spans="1:21" s="11" customFormat="1">
      <c r="A29" s="52" t="s">
        <v>285</v>
      </c>
      <c r="B29" s="53">
        <v>25.03</v>
      </c>
      <c r="C29" s="53">
        <v>70.180000000000007</v>
      </c>
      <c r="D29" s="53">
        <v>58.09</v>
      </c>
      <c r="E29" s="53">
        <v>11.59</v>
      </c>
      <c r="F29" s="53">
        <v>7.79</v>
      </c>
      <c r="G29" s="53">
        <v>65.61</v>
      </c>
      <c r="H29" s="53">
        <v>20.94</v>
      </c>
      <c r="I29" s="53">
        <v>6.02</v>
      </c>
      <c r="J29" s="53">
        <v>1.67</v>
      </c>
      <c r="K29" s="53">
        <v>163.44</v>
      </c>
      <c r="L29" s="53">
        <v>30.78</v>
      </c>
      <c r="M29" s="53">
        <v>39.549999999999997</v>
      </c>
      <c r="N29" s="53">
        <v>0</v>
      </c>
      <c r="O29" s="53">
        <v>0</v>
      </c>
      <c r="P29" s="53">
        <v>0.9</v>
      </c>
      <c r="Q29" s="53">
        <v>5.81</v>
      </c>
      <c r="R29" s="42"/>
      <c r="S29" s="42"/>
      <c r="T29" s="42"/>
      <c r="U29" s="42"/>
    </row>
    <row r="30" spans="1:21" s="11" customFormat="1">
      <c r="A30" s="52" t="s">
        <v>286</v>
      </c>
      <c r="B30" s="53">
        <v>14.32</v>
      </c>
      <c r="C30" s="53">
        <v>69.290000000000006</v>
      </c>
      <c r="D30" s="53">
        <v>48.95</v>
      </c>
      <c r="E30" s="53">
        <v>10.95</v>
      </c>
      <c r="F30" s="53">
        <v>7.5</v>
      </c>
      <c r="G30" s="53">
        <v>65.61</v>
      </c>
      <c r="H30" s="53">
        <v>20.94</v>
      </c>
      <c r="I30" s="53">
        <v>5.82</v>
      </c>
      <c r="J30" s="53">
        <v>1.49</v>
      </c>
      <c r="K30" s="53">
        <v>36.4</v>
      </c>
      <c r="L30" s="53">
        <v>28.56</v>
      </c>
      <c r="M30" s="53">
        <v>46.02</v>
      </c>
      <c r="N30" s="53">
        <v>0</v>
      </c>
      <c r="O30" s="53">
        <v>0</v>
      </c>
      <c r="P30" s="53">
        <v>0.74</v>
      </c>
      <c r="Q30" s="53">
        <v>5.75</v>
      </c>
      <c r="R30" s="42"/>
      <c r="S30" s="42"/>
      <c r="T30" s="42"/>
      <c r="U30" s="42"/>
    </row>
    <row r="31" spans="1:21" s="11" customFormat="1">
      <c r="A31" s="52" t="s">
        <v>287</v>
      </c>
      <c r="B31" s="53">
        <v>14.96</v>
      </c>
      <c r="C31" s="53">
        <v>67.69</v>
      </c>
      <c r="D31" s="53">
        <v>48.71</v>
      </c>
      <c r="E31" s="53">
        <v>8.89</v>
      </c>
      <c r="F31" s="53">
        <v>7.45</v>
      </c>
      <c r="G31" s="53">
        <v>61.38</v>
      </c>
      <c r="H31" s="53">
        <v>20.57</v>
      </c>
      <c r="I31" s="53">
        <v>5.23</v>
      </c>
      <c r="J31" s="53">
        <v>0.99</v>
      </c>
      <c r="K31" s="53">
        <v>51.46</v>
      </c>
      <c r="L31" s="53">
        <v>26.9</v>
      </c>
      <c r="M31" s="53">
        <v>46.7</v>
      </c>
      <c r="N31" s="53">
        <v>0</v>
      </c>
      <c r="O31" s="53">
        <v>0</v>
      </c>
      <c r="P31" s="53">
        <v>0.69</v>
      </c>
      <c r="Q31" s="53">
        <v>5.67</v>
      </c>
      <c r="R31" s="42"/>
      <c r="S31" s="42"/>
      <c r="T31" s="42"/>
      <c r="U31" s="42"/>
    </row>
    <row r="32" spans="1:21" s="11" customFormat="1">
      <c r="A32" s="52" t="s">
        <v>288</v>
      </c>
      <c r="B32" s="53">
        <v>17.48</v>
      </c>
      <c r="C32" s="53">
        <v>69.34</v>
      </c>
      <c r="D32" s="53">
        <v>51.22</v>
      </c>
      <c r="E32" s="53">
        <v>9.25</v>
      </c>
      <c r="F32" s="53">
        <v>5.3</v>
      </c>
      <c r="G32" s="53">
        <v>48.14</v>
      </c>
      <c r="H32" s="53">
        <v>17.41</v>
      </c>
      <c r="I32" s="53">
        <v>4.8499999999999996</v>
      </c>
      <c r="J32" s="53">
        <v>0.28999999999999998</v>
      </c>
      <c r="K32" s="53">
        <v>169.4</v>
      </c>
      <c r="L32" s="53">
        <v>26.47</v>
      </c>
      <c r="M32" s="53">
        <v>53.71</v>
      </c>
      <c r="N32" s="53">
        <v>0</v>
      </c>
      <c r="O32" s="53">
        <v>0</v>
      </c>
      <c r="P32" s="53">
        <v>0.64</v>
      </c>
      <c r="Q32" s="53">
        <v>5.73</v>
      </c>
      <c r="R32" s="42"/>
      <c r="S32" s="42"/>
      <c r="T32" s="42"/>
      <c r="U32" s="42"/>
    </row>
    <row r="33" spans="1:21" s="21" customFormat="1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>
      <c r="A34" s="27" t="s">
        <v>30</v>
      </c>
      <c r="B34" s="28">
        <f t="shared" ref="B34:Q34" si="0">MIN(B9:B32)</f>
        <v>5</v>
      </c>
      <c r="C34" s="28">
        <f t="shared" si="0"/>
        <v>52.58</v>
      </c>
      <c r="D34" s="28">
        <f t="shared" si="0"/>
        <v>32.79</v>
      </c>
      <c r="E34" s="28">
        <f t="shared" si="0"/>
        <v>8.5500000000000007</v>
      </c>
      <c r="F34" s="28">
        <f t="shared" si="0"/>
        <v>3.71</v>
      </c>
      <c r="G34" s="28">
        <f t="shared" si="0"/>
        <v>36.869999999999997</v>
      </c>
      <c r="H34" s="28">
        <f>MIN(H9:H32)</f>
        <v>17.41</v>
      </c>
      <c r="I34" s="28">
        <f t="shared" si="0"/>
        <v>4.49</v>
      </c>
      <c r="J34" s="28">
        <f t="shared" si="0"/>
        <v>0.2</v>
      </c>
      <c r="K34" s="28">
        <f t="shared" si="0"/>
        <v>36.4</v>
      </c>
      <c r="L34" s="28">
        <f t="shared" si="0"/>
        <v>22.75</v>
      </c>
      <c r="M34" s="28">
        <f t="shared" si="0"/>
        <v>23.39</v>
      </c>
      <c r="N34" s="28">
        <f t="shared" si="0"/>
        <v>0</v>
      </c>
      <c r="O34" s="28">
        <f t="shared" si="0"/>
        <v>0</v>
      </c>
      <c r="P34" s="28">
        <f t="shared" si="0"/>
        <v>0.57999999999999996</v>
      </c>
      <c r="Q34" s="28">
        <f t="shared" si="0"/>
        <v>4.8600000000000003</v>
      </c>
      <c r="R34" s="28"/>
      <c r="S34" s="28"/>
      <c r="T34" s="28"/>
      <c r="U34" s="28"/>
    </row>
    <row r="35" spans="1:21" s="21" customFormat="1">
      <c r="A35" s="27" t="s">
        <v>31</v>
      </c>
      <c r="B35" s="29">
        <f t="shared" ref="B35:Q35" si="1">MAX(B9:B32)</f>
        <v>45.32</v>
      </c>
      <c r="C35" s="29">
        <f t="shared" si="1"/>
        <v>76.650000000000006</v>
      </c>
      <c r="D35" s="29">
        <f t="shared" si="1"/>
        <v>75.099999999999994</v>
      </c>
      <c r="E35" s="29">
        <f t="shared" si="1"/>
        <v>18.75</v>
      </c>
      <c r="F35" s="29">
        <f t="shared" si="1"/>
        <v>46.18</v>
      </c>
      <c r="G35" s="29">
        <f>MAX(G9:G32)</f>
        <v>129.74</v>
      </c>
      <c r="H35" s="29">
        <f>MAX(H9:H32)</f>
        <v>37.409999999999997</v>
      </c>
      <c r="I35" s="29">
        <f t="shared" si="1"/>
        <v>10.41</v>
      </c>
      <c r="J35" s="29">
        <f t="shared" si="1"/>
        <v>1.67</v>
      </c>
      <c r="K35" s="29">
        <f t="shared" si="1"/>
        <v>302.82</v>
      </c>
      <c r="L35" s="29">
        <f t="shared" si="1"/>
        <v>37.94</v>
      </c>
      <c r="M35" s="29">
        <f t="shared" si="1"/>
        <v>67.37</v>
      </c>
      <c r="N35" s="29">
        <f t="shared" si="1"/>
        <v>810.9</v>
      </c>
      <c r="O35" s="29">
        <f t="shared" si="1"/>
        <v>0</v>
      </c>
      <c r="P35" s="29">
        <f t="shared" si="1"/>
        <v>1.07</v>
      </c>
      <c r="Q35" s="29">
        <f t="shared" si="1"/>
        <v>7.69</v>
      </c>
      <c r="R35" s="29"/>
      <c r="S35" s="29"/>
      <c r="T35" s="29"/>
      <c r="U35" s="29"/>
    </row>
    <row r="36" spans="1:21" s="21" customFormat="1">
      <c r="A36" s="27" t="s">
        <v>32</v>
      </c>
      <c r="B36" s="28">
        <f t="shared" ref="B36:Q36" si="2">AVERAGE(B9:B32)</f>
        <v>23.503750000000007</v>
      </c>
      <c r="C36" s="28">
        <f t="shared" si="2"/>
        <v>67.764583333333334</v>
      </c>
      <c r="D36" s="28">
        <f t="shared" si="2"/>
        <v>55.40291666666667</v>
      </c>
      <c r="E36" s="28">
        <f t="shared" si="2"/>
        <v>11.334583333333333</v>
      </c>
      <c r="F36" s="28">
        <f t="shared" si="2"/>
        <v>13.103333333333333</v>
      </c>
      <c r="G36" s="28">
        <f t="shared" si="2"/>
        <v>67.81750000000001</v>
      </c>
      <c r="H36" s="28">
        <f>AVERAGE(H9:H32)</f>
        <v>25.538750000000007</v>
      </c>
      <c r="I36" s="28">
        <f t="shared" si="2"/>
        <v>7.13</v>
      </c>
      <c r="J36" s="28">
        <f t="shared" si="2"/>
        <v>0.73416666666666641</v>
      </c>
      <c r="K36" s="28">
        <f t="shared" si="2"/>
        <v>195.88208333333333</v>
      </c>
      <c r="L36" s="28">
        <f t="shared" si="2"/>
        <v>30.21833333333333</v>
      </c>
      <c r="M36" s="28">
        <f t="shared" si="2"/>
        <v>43.883333333333326</v>
      </c>
      <c r="N36" s="28">
        <f t="shared" si="2"/>
        <v>234.47916666666666</v>
      </c>
      <c r="O36" s="28">
        <f t="shared" si="2"/>
        <v>0</v>
      </c>
      <c r="P36" s="28">
        <f t="shared" si="2"/>
        <v>0.7912499999999999</v>
      </c>
      <c r="Q36" s="28">
        <f t="shared" si="2"/>
        <v>6.237499999999998</v>
      </c>
      <c r="R36" s="28"/>
      <c r="S36" s="28"/>
      <c r="T36" s="28"/>
      <c r="U36" s="28"/>
    </row>
    <row r="37" spans="1:21" s="21" customFormat="1">
      <c r="A37" s="27" t="s">
        <v>38</v>
      </c>
      <c r="B37" s="28">
        <f>STDEV(B9:B32)</f>
        <v>16.349812606956938</v>
      </c>
      <c r="C37" s="28">
        <f t="shared" ref="C37:Q37" si="3">STDEV(C9:C32)</f>
        <v>7.2459121784010465</v>
      </c>
      <c r="D37" s="28">
        <f t="shared" si="3"/>
        <v>15.762873683924566</v>
      </c>
      <c r="E37" s="28">
        <f t="shared" si="3"/>
        <v>2.8788795815260384</v>
      </c>
      <c r="F37" s="28">
        <f t="shared" si="3"/>
        <v>12.489003046738727</v>
      </c>
      <c r="G37" s="28">
        <f t="shared" si="3"/>
        <v>30.871085986728737</v>
      </c>
      <c r="H37" s="28">
        <f>STDEV(H9:H32)</f>
        <v>6.3939117185973835</v>
      </c>
      <c r="I37" s="28">
        <f t="shared" si="3"/>
        <v>2.1233709868570041</v>
      </c>
      <c r="J37" s="28">
        <f t="shared" si="3"/>
        <v>0.40165869857993597</v>
      </c>
      <c r="K37" s="28">
        <f t="shared" si="3"/>
        <v>86.825152085104079</v>
      </c>
      <c r="L37" s="28">
        <f t="shared" si="3"/>
        <v>5.2286307681978368</v>
      </c>
      <c r="M37" s="28">
        <f t="shared" si="3"/>
        <v>15.670995547484425</v>
      </c>
      <c r="N37" s="28">
        <f t="shared" si="3"/>
        <v>306.20075111254062</v>
      </c>
      <c r="O37" s="28">
        <f t="shared" si="3"/>
        <v>0</v>
      </c>
      <c r="P37" s="28">
        <f t="shared" si="3"/>
        <v>0.16566893387770054</v>
      </c>
      <c r="Q37" s="28">
        <f t="shared" si="3"/>
        <v>1.0541522454189214</v>
      </c>
      <c r="R37" s="28"/>
      <c r="S37" s="28"/>
      <c r="T37" s="28"/>
      <c r="U37" s="28"/>
    </row>
    <row r="38" spans="1:21" s="21" customFormat="1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>COUNT(F9:F32)</f>
        <v>24</v>
      </c>
      <c r="G38" s="32">
        <f>COUNT(G9:G32)</f>
        <v>24</v>
      </c>
      <c r="H38" s="32">
        <f>COUNT(H9:H32)</f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>
      <c r="A42" s="13"/>
    </row>
    <row r="43" spans="1:21" s="21" customFormat="1">
      <c r="A43" s="14" t="s">
        <v>35</v>
      </c>
      <c r="B43" s="39" t="s">
        <v>58</v>
      </c>
      <c r="C43" s="41"/>
    </row>
    <row r="44" spans="1:21" s="21" customFormat="1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0"/>
      <c r="C45" s="40"/>
      <c r="D45" s="40"/>
      <c r="E45" s="40"/>
      <c r="F45" s="40"/>
      <c r="G45" s="40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</row>
    <row r="46" spans="1:21" s="21" customFormat="1"/>
    <row r="47" spans="1:21" s="21" customFormat="1"/>
    <row r="48" spans="1:21" s="21" customFormat="1"/>
    <row r="49" s="21" customFormat="1"/>
    <row r="50" s="21" customFormat="1"/>
    <row r="51" s="21" customFormat="1"/>
    <row r="52" s="21" customFormat="1"/>
    <row r="53" s="21" customFormat="1"/>
    <row r="54" s="21" customFormat="1"/>
    <row r="55" s="21" customFormat="1"/>
    <row r="56" s="21" customFormat="1"/>
    <row r="57" s="21" customFormat="1"/>
    <row r="58" s="21" customFormat="1"/>
    <row r="59" s="21" customFormat="1"/>
    <row r="60" s="21" customFormat="1"/>
    <row r="61" s="21" customFormat="1"/>
    <row r="62" s="21" customFormat="1"/>
    <row r="63" s="21" customFormat="1"/>
    <row r="64" s="21" customFormat="1"/>
    <row r="65" s="21" customFormat="1"/>
    <row r="66" s="21" customFormat="1"/>
    <row r="67" s="21" customFormat="1"/>
    <row r="68" s="21" customFormat="1"/>
    <row r="69" s="21" customFormat="1"/>
    <row r="70" s="21" customFormat="1"/>
    <row r="71" s="21" customFormat="1"/>
    <row r="72" s="21" customFormat="1"/>
    <row r="73" s="21" customFormat="1"/>
    <row r="74" s="21" customFormat="1"/>
    <row r="75" s="21" customFormat="1"/>
    <row r="76" s="21" customFormat="1"/>
    <row r="77" s="21" customFormat="1"/>
    <row r="78" s="21" customFormat="1"/>
    <row r="79" s="21" customFormat="1"/>
    <row r="80" s="21" customFormat="1"/>
    <row r="81" s="21" customFormat="1"/>
    <row r="82" s="21" customFormat="1"/>
    <row r="83" s="21" customFormat="1"/>
    <row r="84" s="21" customFormat="1"/>
    <row r="85" s="21" customFormat="1"/>
    <row r="86" s="21" customFormat="1"/>
    <row r="87" s="21" customFormat="1"/>
    <row r="88" s="21" customFormat="1"/>
    <row r="89" s="21" customFormat="1"/>
    <row r="90" s="21" customFormat="1"/>
    <row r="91" s="21" customFormat="1"/>
    <row r="92" s="21" customFormat="1"/>
    <row r="93" s="21" customFormat="1"/>
    <row r="94" s="21" customFormat="1"/>
    <row r="95" s="21" customFormat="1"/>
    <row r="96" s="21" customFormat="1"/>
    <row r="97" spans="1:1" s="21" customFormat="1"/>
    <row r="98" spans="1:1" s="21" customFormat="1"/>
    <row r="99" spans="1:1" s="21" customFormat="1"/>
    <row r="100" spans="1:1" s="21" customFormat="1"/>
    <row r="101" spans="1:1" s="21" customFormat="1"/>
    <row r="102" spans="1:1" s="21" customFormat="1"/>
    <row r="103" spans="1:1" s="21" customFormat="1"/>
    <row r="104" spans="1:1" s="21" customFormat="1"/>
    <row r="105" spans="1:1" s="21" customFormat="1"/>
    <row r="106" spans="1:1">
      <c r="A106" s="20"/>
    </row>
    <row r="107" spans="1:1" s="21" customFormat="1"/>
    <row r="108" spans="1:1" s="21" customFormat="1"/>
    <row r="109" spans="1:1" s="21" customFormat="1"/>
    <row r="110" spans="1:1" s="21" customFormat="1"/>
    <row r="111" spans="1:1" s="21" customFormat="1"/>
    <row r="112" spans="1:1" s="21" customFormat="1"/>
    <row r="113" spans="1:1" s="21" customFormat="1"/>
    <row r="114" spans="1:1" s="21" customFormat="1"/>
    <row r="115" spans="1:1" s="21" customFormat="1"/>
    <row r="116" spans="1:1" s="21" customFormat="1"/>
    <row r="117" spans="1:1" s="21" customFormat="1"/>
    <row r="118" spans="1:1">
      <c r="A118" s="20"/>
    </row>
    <row r="119" spans="1:1">
      <c r="A119" s="20"/>
    </row>
  </sheetData>
  <pageMargins left="0.7" right="0.7" top="0.75" bottom="0.75" header="0.3" footer="0.3"/>
  <pageSetup paperSize="9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2" ySplit="8" topLeftCell="C30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F32" sqref="F32"/>
    </sheetView>
  </sheetViews>
  <sheetFormatPr defaultColWidth="8.85546875" defaultRowHeight="15"/>
  <cols>
    <col min="1" max="1" width="18.28515625" style="26" customWidth="1"/>
    <col min="2" max="2" width="13.855468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>
      <c r="A1" s="14" t="s">
        <v>2</v>
      </c>
      <c r="B1" s="23" t="s">
        <v>55</v>
      </c>
      <c r="C1" s="36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>
      <c r="A2" s="14" t="s">
        <v>0</v>
      </c>
      <c r="B2" s="37" t="str">
        <f>$A$9</f>
        <v>10/04/2023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8" t="s">
        <v>7</v>
      </c>
      <c r="Q2" s="12"/>
      <c r="R2" s="8" t="s">
        <v>8</v>
      </c>
      <c r="S2" s="11"/>
      <c r="T2" s="11"/>
      <c r="U2" s="11"/>
    </row>
    <row r="3" spans="1:21" s="21" customFormat="1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8" t="s">
        <v>15</v>
      </c>
      <c r="Q3" s="12"/>
      <c r="R3" s="9" t="s">
        <v>15</v>
      </c>
      <c r="S3" s="11"/>
      <c r="T3" s="11"/>
      <c r="U3" s="11"/>
    </row>
    <row r="4" spans="1:21" s="21" customFormat="1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>
      <c r="A7" s="25" t="s">
        <v>21</v>
      </c>
      <c r="B7" s="48" t="s">
        <v>40</v>
      </c>
      <c r="C7" s="49" t="s">
        <v>41</v>
      </c>
      <c r="D7" s="49" t="s">
        <v>42</v>
      </c>
      <c r="E7" s="49" t="s">
        <v>43</v>
      </c>
      <c r="F7" s="49" t="s">
        <v>44</v>
      </c>
      <c r="G7" s="49" t="s">
        <v>45</v>
      </c>
      <c r="H7" s="49" t="s">
        <v>56</v>
      </c>
      <c r="I7" s="49" t="s">
        <v>46</v>
      </c>
      <c r="J7" s="49" t="s">
        <v>47</v>
      </c>
      <c r="K7" s="49" t="s">
        <v>48</v>
      </c>
      <c r="L7" s="49" t="s">
        <v>49</v>
      </c>
      <c r="M7" s="49" t="s">
        <v>50</v>
      </c>
      <c r="N7" s="49" t="s">
        <v>51</v>
      </c>
      <c r="O7" s="49" t="s">
        <v>52</v>
      </c>
      <c r="P7" s="49" t="s">
        <v>53</v>
      </c>
      <c r="Q7" s="49" t="s">
        <v>54</v>
      </c>
      <c r="R7" s="27"/>
      <c r="S7" s="29"/>
      <c r="T7" s="27"/>
      <c r="U7" s="27"/>
    </row>
    <row r="8" spans="1:21" s="21" customFormat="1">
      <c r="A8" s="25"/>
      <c r="B8" s="50" t="s">
        <v>22</v>
      </c>
      <c r="C8" s="50" t="s">
        <v>22</v>
      </c>
      <c r="D8" s="50" t="s">
        <v>22</v>
      </c>
      <c r="E8" s="50" t="s">
        <v>22</v>
      </c>
      <c r="F8" s="50" t="s">
        <v>22</v>
      </c>
      <c r="G8" s="50" t="s">
        <v>23</v>
      </c>
      <c r="H8" s="50" t="s">
        <v>22</v>
      </c>
      <c r="I8" s="50" t="s">
        <v>22</v>
      </c>
      <c r="J8" s="50" t="s">
        <v>24</v>
      </c>
      <c r="K8" s="50" t="s">
        <v>25</v>
      </c>
      <c r="L8" s="25" t="s">
        <v>27</v>
      </c>
      <c r="M8" s="50" t="s">
        <v>26</v>
      </c>
      <c r="N8" s="50" t="s">
        <v>28</v>
      </c>
      <c r="O8" s="25" t="s">
        <v>29</v>
      </c>
      <c r="P8" s="50" t="s">
        <v>22</v>
      </c>
      <c r="Q8" s="50" t="s">
        <v>22</v>
      </c>
      <c r="R8" s="27"/>
      <c r="S8" s="29"/>
      <c r="T8" s="27"/>
      <c r="U8" s="27"/>
    </row>
    <row r="9" spans="1:21" s="11" customFormat="1">
      <c r="A9" s="52" t="s">
        <v>289</v>
      </c>
      <c r="B9" s="53">
        <v>18.43</v>
      </c>
      <c r="C9" s="53">
        <v>69.53</v>
      </c>
      <c r="D9" s="53">
        <v>52.27</v>
      </c>
      <c r="E9" s="53">
        <v>6.99</v>
      </c>
      <c r="F9" s="53">
        <v>4.3499999999999996</v>
      </c>
      <c r="G9" s="53">
        <v>46.52</v>
      </c>
      <c r="H9" s="53">
        <v>17.41</v>
      </c>
      <c r="I9" s="53">
        <v>4.66</v>
      </c>
      <c r="J9" s="53">
        <v>0.34</v>
      </c>
      <c r="K9" s="53">
        <v>260.39</v>
      </c>
      <c r="L9" s="53">
        <v>24.95</v>
      </c>
      <c r="M9" s="53">
        <v>57.4</v>
      </c>
      <c r="N9" s="53">
        <v>0</v>
      </c>
      <c r="O9" s="53">
        <v>0</v>
      </c>
      <c r="P9" s="53">
        <v>0.62</v>
      </c>
      <c r="Q9" s="53">
        <v>5.77</v>
      </c>
      <c r="R9" s="42"/>
      <c r="S9" s="42"/>
      <c r="T9" s="42"/>
      <c r="U9" s="42"/>
    </row>
    <row r="10" spans="1:21" s="11" customFormat="1">
      <c r="A10" s="52" t="s">
        <v>290</v>
      </c>
      <c r="B10" s="53">
        <v>22.4</v>
      </c>
      <c r="C10" s="53">
        <v>68.5</v>
      </c>
      <c r="D10" s="53">
        <v>54.63</v>
      </c>
      <c r="E10" s="53">
        <v>7.09</v>
      </c>
      <c r="F10" s="53">
        <v>3.92</v>
      </c>
      <c r="G10" s="53">
        <v>35.43</v>
      </c>
      <c r="H10" s="53">
        <v>12.22</v>
      </c>
      <c r="I10" s="53">
        <v>4.5199999999999996</v>
      </c>
      <c r="J10" s="53">
        <v>0.45</v>
      </c>
      <c r="K10" s="53">
        <v>152.16</v>
      </c>
      <c r="L10" s="53">
        <v>24.74</v>
      </c>
      <c r="M10" s="53">
        <v>58.37</v>
      </c>
      <c r="N10" s="53">
        <v>0</v>
      </c>
      <c r="O10" s="53">
        <v>0</v>
      </c>
      <c r="P10" s="53">
        <v>0.6</v>
      </c>
      <c r="Q10" s="53">
        <v>5.91</v>
      </c>
      <c r="R10" s="42"/>
      <c r="S10" s="42"/>
      <c r="T10" s="42"/>
      <c r="U10" s="42"/>
    </row>
    <row r="11" spans="1:21" s="11" customFormat="1">
      <c r="A11" s="52" t="s">
        <v>291</v>
      </c>
      <c r="B11" s="53">
        <v>25.25</v>
      </c>
      <c r="C11" s="53">
        <v>68.31</v>
      </c>
      <c r="D11" s="53">
        <v>57.29</v>
      </c>
      <c r="E11" s="53">
        <v>6.99</v>
      </c>
      <c r="F11" s="53">
        <v>4</v>
      </c>
      <c r="G11" s="53">
        <v>34.270000000000003</v>
      </c>
      <c r="H11" s="53">
        <v>12.07</v>
      </c>
      <c r="I11" s="53">
        <v>4.46</v>
      </c>
      <c r="J11" s="53">
        <v>0.52</v>
      </c>
      <c r="K11" s="53">
        <v>157.91999999999999</v>
      </c>
      <c r="L11" s="53">
        <v>24.95</v>
      </c>
      <c r="M11" s="53">
        <v>56.7</v>
      </c>
      <c r="N11" s="53">
        <v>0</v>
      </c>
      <c r="O11" s="53">
        <v>0</v>
      </c>
      <c r="P11" s="53">
        <v>0.62</v>
      </c>
      <c r="Q11" s="53">
        <v>6.12</v>
      </c>
      <c r="R11" s="42"/>
      <c r="S11" s="42"/>
      <c r="T11" s="42"/>
      <c r="U11" s="42"/>
    </row>
    <row r="12" spans="1:21" s="11" customFormat="1">
      <c r="A12" s="52" t="s">
        <v>292</v>
      </c>
      <c r="B12" s="53">
        <v>25.5</v>
      </c>
      <c r="C12" s="53">
        <v>70.47</v>
      </c>
      <c r="D12" s="53">
        <v>58.29</v>
      </c>
      <c r="E12" s="53">
        <v>7.12</v>
      </c>
      <c r="F12" s="53">
        <v>3.91</v>
      </c>
      <c r="G12" s="53">
        <v>42.79</v>
      </c>
      <c r="H12" s="53">
        <v>15.27</v>
      </c>
      <c r="I12" s="53">
        <v>4.66</v>
      </c>
      <c r="J12" s="53">
        <v>0.31</v>
      </c>
      <c r="K12" s="53">
        <v>201.15</v>
      </c>
      <c r="L12" s="53">
        <v>24.28</v>
      </c>
      <c r="M12" s="53">
        <v>60.27</v>
      </c>
      <c r="N12" s="53">
        <v>0</v>
      </c>
      <c r="O12" s="53">
        <v>0</v>
      </c>
      <c r="P12" s="53">
        <v>0.69</v>
      </c>
      <c r="Q12" s="53">
        <v>6.3</v>
      </c>
      <c r="R12" s="42"/>
      <c r="S12" s="42"/>
      <c r="T12" s="42"/>
      <c r="U12" s="42"/>
    </row>
    <row r="13" spans="1:21" s="11" customFormat="1">
      <c r="A13" s="52" t="s">
        <v>293</v>
      </c>
      <c r="B13" s="53">
        <v>24.9</v>
      </c>
      <c r="C13" s="53">
        <v>70.400000000000006</v>
      </c>
      <c r="D13" s="53">
        <v>58.1</v>
      </c>
      <c r="E13" s="53">
        <v>6.97</v>
      </c>
      <c r="F13" s="53">
        <v>3.81</v>
      </c>
      <c r="G13" s="53">
        <v>46.61</v>
      </c>
      <c r="H13" s="53">
        <v>17.05</v>
      </c>
      <c r="I13" s="53">
        <v>4.7699999999999996</v>
      </c>
      <c r="J13" s="53">
        <v>0.3</v>
      </c>
      <c r="K13" s="53">
        <v>206.38</v>
      </c>
      <c r="L13" s="53">
        <v>24.24</v>
      </c>
      <c r="M13" s="53">
        <v>60.99</v>
      </c>
      <c r="N13" s="53">
        <v>0</v>
      </c>
      <c r="O13" s="53">
        <v>0</v>
      </c>
      <c r="P13" s="53">
        <v>0.7</v>
      </c>
      <c r="Q13" s="53">
        <v>6.28</v>
      </c>
      <c r="R13" s="42"/>
      <c r="S13" s="42"/>
      <c r="T13" s="42"/>
      <c r="U13" s="42"/>
    </row>
    <row r="14" spans="1:21" s="11" customFormat="1">
      <c r="A14" s="52" t="s">
        <v>294</v>
      </c>
      <c r="B14" s="53">
        <v>24.58</v>
      </c>
      <c r="C14" s="53">
        <v>70.22</v>
      </c>
      <c r="D14" s="53">
        <v>57.55</v>
      </c>
      <c r="E14" s="53">
        <v>6.68</v>
      </c>
      <c r="F14" s="53">
        <v>3.84</v>
      </c>
      <c r="G14" s="53">
        <v>47.36</v>
      </c>
      <c r="H14" s="53">
        <v>17.05</v>
      </c>
      <c r="I14" s="53">
        <v>4.75</v>
      </c>
      <c r="J14" s="53">
        <v>0.26</v>
      </c>
      <c r="K14" s="53">
        <v>186.71</v>
      </c>
      <c r="L14" s="53">
        <v>24.84</v>
      </c>
      <c r="M14" s="53">
        <v>59.32</v>
      </c>
      <c r="N14" s="53">
        <v>0.7</v>
      </c>
      <c r="O14" s="53">
        <v>0</v>
      </c>
      <c r="P14" s="53">
        <v>0.7</v>
      </c>
      <c r="Q14" s="53">
        <v>6.26</v>
      </c>
      <c r="R14" s="42"/>
      <c r="S14" s="42"/>
      <c r="T14" s="42"/>
      <c r="U14" s="42"/>
    </row>
    <row r="15" spans="1:21" s="11" customFormat="1">
      <c r="A15" s="52" t="s">
        <v>295</v>
      </c>
      <c r="B15" s="53">
        <v>23.42</v>
      </c>
      <c r="C15" s="53">
        <v>70.36</v>
      </c>
      <c r="D15" s="53">
        <v>56.74</v>
      </c>
      <c r="E15" s="53">
        <v>6.34</v>
      </c>
      <c r="F15" s="53">
        <v>3.67</v>
      </c>
      <c r="G15" s="53">
        <v>47.36</v>
      </c>
      <c r="H15" s="53">
        <v>15.23</v>
      </c>
      <c r="I15" s="53">
        <v>4.63</v>
      </c>
      <c r="J15" s="53">
        <v>0.25</v>
      </c>
      <c r="K15" s="53">
        <v>219.29</v>
      </c>
      <c r="L15" s="53">
        <v>25.61</v>
      </c>
      <c r="M15" s="53">
        <v>58.86</v>
      </c>
      <c r="N15" s="53">
        <v>26</v>
      </c>
      <c r="O15" s="53">
        <v>0</v>
      </c>
      <c r="P15" s="53">
        <v>0.67</v>
      </c>
      <c r="Q15" s="53">
        <v>6.18</v>
      </c>
      <c r="R15" s="42"/>
      <c r="S15" s="42"/>
      <c r="T15" s="42"/>
      <c r="U15" s="42"/>
    </row>
    <row r="16" spans="1:21" s="11" customFormat="1">
      <c r="A16" s="52" t="s">
        <v>296</v>
      </c>
      <c r="B16" s="53">
        <v>23.25</v>
      </c>
      <c r="C16" s="53">
        <v>70.760000000000005</v>
      </c>
      <c r="D16" s="53">
        <v>56.75</v>
      </c>
      <c r="E16" s="53">
        <v>6.77</v>
      </c>
      <c r="F16" s="53">
        <v>4.1100000000000003</v>
      </c>
      <c r="G16" s="53">
        <v>41.74</v>
      </c>
      <c r="H16" s="53">
        <v>15.23</v>
      </c>
      <c r="I16" s="53">
        <v>4.7</v>
      </c>
      <c r="J16" s="53">
        <v>1.3</v>
      </c>
      <c r="K16" s="53">
        <v>275.58999999999997</v>
      </c>
      <c r="L16" s="53">
        <v>27.89</v>
      </c>
      <c r="M16" s="53">
        <v>54.61</v>
      </c>
      <c r="N16" s="53">
        <v>196.5</v>
      </c>
      <c r="O16" s="53">
        <v>0</v>
      </c>
      <c r="P16" s="53">
        <v>0.7</v>
      </c>
      <c r="Q16" s="53">
        <v>6.21</v>
      </c>
      <c r="R16" s="42"/>
      <c r="S16" s="42"/>
      <c r="T16" s="42"/>
      <c r="U16" s="42"/>
    </row>
    <row r="17" spans="1:21" s="11" customFormat="1">
      <c r="A17" s="52" t="s">
        <v>297</v>
      </c>
      <c r="B17" s="53">
        <v>23</v>
      </c>
      <c r="C17" s="53">
        <v>68.55</v>
      </c>
      <c r="D17" s="53">
        <v>54.4</v>
      </c>
      <c r="E17" s="53">
        <v>8.41</v>
      </c>
      <c r="F17" s="53">
        <v>6.91</v>
      </c>
      <c r="G17" s="53">
        <v>46.24</v>
      </c>
      <c r="H17" s="53">
        <v>15.95</v>
      </c>
      <c r="I17" s="53">
        <v>5.15</v>
      </c>
      <c r="J17" s="53">
        <v>1.03</v>
      </c>
      <c r="K17" s="53">
        <v>290.77</v>
      </c>
      <c r="L17" s="53">
        <v>28.75</v>
      </c>
      <c r="M17" s="53">
        <v>45.34</v>
      </c>
      <c r="N17" s="53">
        <v>200.4</v>
      </c>
      <c r="O17" s="53">
        <v>0</v>
      </c>
      <c r="P17" s="53">
        <v>0.73</v>
      </c>
      <c r="Q17" s="53">
        <v>6.08</v>
      </c>
      <c r="R17" s="42"/>
      <c r="S17" s="42"/>
      <c r="T17" s="42"/>
      <c r="U17" s="42"/>
    </row>
    <row r="18" spans="1:21" s="11" customFormat="1">
      <c r="A18" s="52" t="s">
        <v>298</v>
      </c>
      <c r="B18" s="53">
        <v>21.16</v>
      </c>
      <c r="C18" s="53">
        <v>67.489999999999995</v>
      </c>
      <c r="D18" s="53">
        <v>53.58</v>
      </c>
      <c r="E18" s="53">
        <v>9.36</v>
      </c>
      <c r="F18" s="53">
        <v>8.26</v>
      </c>
      <c r="G18" s="53">
        <v>48.98</v>
      </c>
      <c r="H18" s="53">
        <v>16.760000000000002</v>
      </c>
      <c r="I18" s="53">
        <v>5.56</v>
      </c>
      <c r="J18" s="53">
        <v>0.94</v>
      </c>
      <c r="K18" s="53">
        <v>303.39</v>
      </c>
      <c r="L18" s="53">
        <v>31.72</v>
      </c>
      <c r="M18" s="53">
        <v>43.32</v>
      </c>
      <c r="N18" s="53">
        <v>531.79999999999995</v>
      </c>
      <c r="O18" s="53">
        <v>0</v>
      </c>
      <c r="P18" s="53">
        <v>0.83</v>
      </c>
      <c r="Q18" s="53">
        <v>5.94</v>
      </c>
      <c r="R18" s="42"/>
      <c r="S18" s="42"/>
      <c r="T18" s="42"/>
      <c r="U18" s="42"/>
    </row>
    <row r="19" spans="1:21" s="11" customFormat="1">
      <c r="A19" s="52" t="s">
        <v>299</v>
      </c>
      <c r="B19" s="53">
        <v>19.86</v>
      </c>
      <c r="C19" s="53">
        <v>68.209999999999994</v>
      </c>
      <c r="D19" s="53">
        <v>52.83</v>
      </c>
      <c r="E19" s="53">
        <v>11.94</v>
      </c>
      <c r="F19" s="53">
        <v>10.6</v>
      </c>
      <c r="G19" s="53">
        <v>57.83</v>
      </c>
      <c r="H19" s="53">
        <v>19.91</v>
      </c>
      <c r="I19" s="53">
        <v>6.28</v>
      </c>
      <c r="J19" s="53">
        <v>1.1399999999999999</v>
      </c>
      <c r="K19" s="53">
        <v>301.63</v>
      </c>
      <c r="L19" s="53">
        <v>32.06</v>
      </c>
      <c r="M19" s="53">
        <v>37.590000000000003</v>
      </c>
      <c r="N19" s="53">
        <v>401.9</v>
      </c>
      <c r="O19" s="53">
        <v>0</v>
      </c>
      <c r="P19" s="53">
        <v>0.85</v>
      </c>
      <c r="Q19" s="53">
        <v>5.92</v>
      </c>
      <c r="R19" s="42"/>
      <c r="S19" s="42"/>
      <c r="T19" s="42"/>
      <c r="U19" s="42"/>
    </row>
    <row r="20" spans="1:21" s="11" customFormat="1">
      <c r="A20" s="52" t="s">
        <v>300</v>
      </c>
      <c r="B20" s="53">
        <v>17.05</v>
      </c>
      <c r="C20" s="53">
        <v>69.540000000000006</v>
      </c>
      <c r="D20" s="53">
        <v>50.65</v>
      </c>
      <c r="E20" s="53">
        <v>11.04</v>
      </c>
      <c r="F20" s="53">
        <v>9.74</v>
      </c>
      <c r="G20" s="53">
        <v>57.83</v>
      </c>
      <c r="H20" s="53">
        <v>19.91</v>
      </c>
      <c r="I20" s="53">
        <v>6.28</v>
      </c>
      <c r="J20" s="53">
        <v>1.59</v>
      </c>
      <c r="K20" s="53">
        <v>292.73</v>
      </c>
      <c r="L20" s="53">
        <v>33.26</v>
      </c>
      <c r="M20" s="53">
        <v>35.479999999999997</v>
      </c>
      <c r="N20" s="53">
        <v>726.4</v>
      </c>
      <c r="O20" s="53">
        <v>0</v>
      </c>
      <c r="P20" s="53">
        <v>0.83</v>
      </c>
      <c r="Q20" s="53">
        <v>5.77</v>
      </c>
      <c r="R20" s="42"/>
      <c r="S20" s="42"/>
      <c r="T20" s="42"/>
      <c r="U20" s="42"/>
    </row>
    <row r="21" spans="1:21" s="11" customFormat="1">
      <c r="A21" s="52" t="s">
        <v>301</v>
      </c>
      <c r="B21" s="53">
        <v>13.28</v>
      </c>
      <c r="C21" s="53">
        <v>66.349999999999994</v>
      </c>
      <c r="D21" s="53">
        <v>45.64</v>
      </c>
      <c r="E21" s="53">
        <v>11.34</v>
      </c>
      <c r="F21" s="53">
        <v>18.05</v>
      </c>
      <c r="G21" s="53">
        <v>56.12</v>
      </c>
      <c r="H21" s="53">
        <v>18.61</v>
      </c>
      <c r="I21" s="53">
        <v>6.12</v>
      </c>
      <c r="J21" s="53">
        <v>1.1399999999999999</v>
      </c>
      <c r="K21" s="53">
        <v>299.01</v>
      </c>
      <c r="L21" s="53">
        <v>35.369999999999997</v>
      </c>
      <c r="M21" s="53">
        <v>30.43</v>
      </c>
      <c r="N21" s="53">
        <v>798.5</v>
      </c>
      <c r="O21" s="53">
        <v>0</v>
      </c>
      <c r="P21" s="53">
        <v>0.77</v>
      </c>
      <c r="Q21" s="53">
        <v>5.69</v>
      </c>
      <c r="R21" s="42"/>
      <c r="S21" s="42"/>
      <c r="T21" s="42"/>
      <c r="U21" s="42"/>
    </row>
    <row r="22" spans="1:21" s="11" customFormat="1">
      <c r="A22" s="52" t="s">
        <v>302</v>
      </c>
      <c r="B22" s="53">
        <v>9.2799999999999994</v>
      </c>
      <c r="C22" s="53">
        <v>68.31</v>
      </c>
      <c r="D22" s="53">
        <v>44.48</v>
      </c>
      <c r="E22" s="53">
        <v>10.89</v>
      </c>
      <c r="F22" s="53">
        <v>17.440000000000001</v>
      </c>
      <c r="G22" s="53">
        <v>51.38</v>
      </c>
      <c r="H22" s="53">
        <v>18.61</v>
      </c>
      <c r="I22" s="53">
        <v>5.79</v>
      </c>
      <c r="J22" s="53">
        <v>0.85</v>
      </c>
      <c r="K22" s="53">
        <v>300.06</v>
      </c>
      <c r="L22" s="53">
        <v>37.020000000000003</v>
      </c>
      <c r="M22" s="53">
        <v>28.01</v>
      </c>
      <c r="N22" s="53">
        <v>759.5</v>
      </c>
      <c r="O22" s="53">
        <v>0</v>
      </c>
      <c r="P22" s="53">
        <v>0.75</v>
      </c>
      <c r="Q22" s="53">
        <v>5.5</v>
      </c>
      <c r="R22" s="42"/>
      <c r="S22" s="42"/>
      <c r="T22" s="42"/>
      <c r="U22" s="42"/>
    </row>
    <row r="23" spans="1:21" s="11" customFormat="1">
      <c r="A23" s="52" t="s">
        <v>303</v>
      </c>
      <c r="B23" s="53">
        <v>6</v>
      </c>
      <c r="C23" s="53">
        <v>67.69</v>
      </c>
      <c r="D23" s="53">
        <v>41.53</v>
      </c>
      <c r="E23" s="53">
        <v>11.71</v>
      </c>
      <c r="F23" s="53">
        <v>16.600000000000001</v>
      </c>
      <c r="G23" s="53">
        <v>48.36</v>
      </c>
      <c r="H23" s="53">
        <v>18.510000000000002</v>
      </c>
      <c r="I23" s="53">
        <v>5.54</v>
      </c>
      <c r="J23" s="53">
        <v>0.84</v>
      </c>
      <c r="K23" s="53">
        <v>293.89</v>
      </c>
      <c r="L23" s="53">
        <v>37.46</v>
      </c>
      <c r="M23" s="53">
        <v>25.89</v>
      </c>
      <c r="N23" s="53">
        <v>704.1</v>
      </c>
      <c r="O23" s="53">
        <v>0</v>
      </c>
      <c r="P23" s="53">
        <v>0.72</v>
      </c>
      <c r="Q23" s="53">
        <v>5.28</v>
      </c>
      <c r="R23" s="42"/>
      <c r="S23" s="42"/>
      <c r="T23" s="42"/>
      <c r="U23" s="42"/>
    </row>
    <row r="24" spans="1:21" s="11" customFormat="1">
      <c r="A24" s="52" t="s">
        <v>304</v>
      </c>
      <c r="B24" s="53">
        <v>5.42</v>
      </c>
      <c r="C24" s="53">
        <v>67.13</v>
      </c>
      <c r="D24" s="53">
        <v>40.700000000000003</v>
      </c>
      <c r="E24" s="53">
        <v>11.63</v>
      </c>
      <c r="F24" s="53">
        <v>20.45</v>
      </c>
      <c r="G24" s="53">
        <v>45.78</v>
      </c>
      <c r="H24" s="53">
        <v>17.71</v>
      </c>
      <c r="I24" s="53">
        <v>5.6</v>
      </c>
      <c r="J24" s="53">
        <v>0.95</v>
      </c>
      <c r="K24" s="53">
        <v>300.85000000000002</v>
      </c>
      <c r="L24" s="53">
        <v>37.89</v>
      </c>
      <c r="M24" s="53">
        <v>24.43</v>
      </c>
      <c r="N24" s="53">
        <v>560.70000000000005</v>
      </c>
      <c r="O24" s="53">
        <v>0</v>
      </c>
      <c r="P24" s="53">
        <v>0.71</v>
      </c>
      <c r="Q24" s="53">
        <v>5.27</v>
      </c>
      <c r="R24" s="42"/>
      <c r="S24" s="42"/>
      <c r="T24" s="42"/>
      <c r="U24" s="42"/>
    </row>
    <row r="25" spans="1:21" s="11" customFormat="1">
      <c r="A25" s="52" t="s">
        <v>305</v>
      </c>
      <c r="B25" s="53">
        <v>5.28</v>
      </c>
      <c r="C25" s="53">
        <v>62.14</v>
      </c>
      <c r="D25" s="53">
        <v>37.89</v>
      </c>
      <c r="E25" s="53">
        <v>14.45</v>
      </c>
      <c r="F25" s="53">
        <v>35.909999999999997</v>
      </c>
      <c r="G25" s="53">
        <v>44.36</v>
      </c>
      <c r="H25" s="53">
        <v>19.079999999999998</v>
      </c>
      <c r="I25" s="53">
        <v>5.45</v>
      </c>
      <c r="J25" s="53">
        <v>0.4</v>
      </c>
      <c r="K25" s="53">
        <v>270.02999999999997</v>
      </c>
      <c r="L25" s="53">
        <v>38.06</v>
      </c>
      <c r="M25" s="53">
        <v>25.75</v>
      </c>
      <c r="N25" s="53">
        <v>334.3</v>
      </c>
      <c r="O25" s="53">
        <v>0</v>
      </c>
      <c r="P25" s="53">
        <v>0.68</v>
      </c>
      <c r="Q25" s="53">
        <v>5.19</v>
      </c>
      <c r="R25" s="42"/>
      <c r="S25" s="42"/>
      <c r="T25" s="42"/>
      <c r="U25" s="42"/>
    </row>
    <row r="26" spans="1:21" s="11" customFormat="1">
      <c r="A26" s="52" t="s">
        <v>306</v>
      </c>
      <c r="B26" s="53">
        <v>5.09</v>
      </c>
      <c r="C26" s="53">
        <v>58.76</v>
      </c>
      <c r="D26" s="53">
        <v>36.130000000000003</v>
      </c>
      <c r="E26" s="53">
        <v>18.3</v>
      </c>
      <c r="F26" s="53">
        <v>48.24</v>
      </c>
      <c r="G26" s="53">
        <v>43.02</v>
      </c>
      <c r="H26" s="53">
        <v>19.079999999999998</v>
      </c>
      <c r="I26" s="53">
        <v>5.28</v>
      </c>
      <c r="J26" s="53">
        <v>0.27</v>
      </c>
      <c r="K26" s="53">
        <v>220.23</v>
      </c>
      <c r="L26" s="53">
        <v>36.31</v>
      </c>
      <c r="M26" s="53">
        <v>31.55</v>
      </c>
      <c r="N26" s="53">
        <v>101.5</v>
      </c>
      <c r="O26" s="53">
        <v>0</v>
      </c>
      <c r="P26" s="53">
        <v>0.69</v>
      </c>
      <c r="Q26" s="53">
        <v>5.1100000000000003</v>
      </c>
      <c r="R26" s="42"/>
      <c r="S26" s="42"/>
      <c r="T26" s="42"/>
      <c r="U26" s="42"/>
    </row>
    <row r="27" spans="1:21" s="11" customFormat="1">
      <c r="A27" s="52" t="s">
        <v>307</v>
      </c>
      <c r="B27" s="53">
        <v>5.39</v>
      </c>
      <c r="C27" s="53">
        <v>48.53</v>
      </c>
      <c r="D27" s="53">
        <v>31.02</v>
      </c>
      <c r="E27" s="53">
        <v>13.48</v>
      </c>
      <c r="F27" s="53">
        <v>41.53</v>
      </c>
      <c r="G27" s="53">
        <v>54.46</v>
      </c>
      <c r="H27" s="53">
        <v>20.05</v>
      </c>
      <c r="I27" s="53">
        <v>5.07</v>
      </c>
      <c r="J27" s="53">
        <v>0.19</v>
      </c>
      <c r="K27" s="53">
        <v>216.75</v>
      </c>
      <c r="L27" s="53">
        <v>33.42</v>
      </c>
      <c r="M27" s="53">
        <v>37.979999999999997</v>
      </c>
      <c r="N27" s="53">
        <v>0.1</v>
      </c>
      <c r="O27" s="53">
        <v>0</v>
      </c>
      <c r="P27" s="53">
        <v>0.57999999999999996</v>
      </c>
      <c r="Q27" s="53">
        <v>4.75</v>
      </c>
      <c r="R27" s="42"/>
      <c r="S27" s="42"/>
      <c r="T27" s="42"/>
      <c r="U27" s="42"/>
    </row>
    <row r="28" spans="1:21" s="11" customFormat="1">
      <c r="A28" s="52" t="s">
        <v>308</v>
      </c>
      <c r="B28" s="53">
        <v>7.17</v>
      </c>
      <c r="C28" s="53">
        <v>49.69</v>
      </c>
      <c r="D28" s="53">
        <v>32.93</v>
      </c>
      <c r="E28" s="53">
        <v>12.26</v>
      </c>
      <c r="F28" s="53">
        <v>26.79</v>
      </c>
      <c r="G28" s="53">
        <v>54.46</v>
      </c>
      <c r="H28" s="53">
        <v>20.05</v>
      </c>
      <c r="I28" s="53">
        <v>4.8499999999999996</v>
      </c>
      <c r="J28" s="53">
        <v>0.18</v>
      </c>
      <c r="K28" s="53">
        <v>193.18</v>
      </c>
      <c r="L28" s="53">
        <v>30.95</v>
      </c>
      <c r="M28" s="53">
        <v>41.52</v>
      </c>
      <c r="N28" s="53">
        <v>0</v>
      </c>
      <c r="O28" s="53">
        <v>0</v>
      </c>
      <c r="P28" s="53">
        <v>0.62</v>
      </c>
      <c r="Q28" s="53">
        <v>4.79</v>
      </c>
      <c r="R28" s="42"/>
      <c r="S28" s="42"/>
      <c r="T28" s="42"/>
      <c r="U28" s="42"/>
    </row>
    <row r="29" spans="1:21" s="11" customFormat="1">
      <c r="A29" s="52" t="s">
        <v>309</v>
      </c>
      <c r="B29" s="53">
        <v>8.77</v>
      </c>
      <c r="C29" s="53">
        <v>54.21</v>
      </c>
      <c r="D29" s="53">
        <v>36.18</v>
      </c>
      <c r="E29" s="53">
        <v>11.73</v>
      </c>
      <c r="F29" s="53">
        <v>23.36</v>
      </c>
      <c r="G29" s="53">
        <v>48.27</v>
      </c>
      <c r="H29" s="53">
        <v>18.13</v>
      </c>
      <c r="I29" s="53">
        <v>5.27</v>
      </c>
      <c r="J29" s="53">
        <v>0.2</v>
      </c>
      <c r="K29" s="53">
        <v>163.19999999999999</v>
      </c>
      <c r="L29" s="53">
        <v>29.8</v>
      </c>
      <c r="M29" s="53">
        <v>49.08</v>
      </c>
      <c r="N29" s="53">
        <v>0</v>
      </c>
      <c r="O29" s="53">
        <v>0</v>
      </c>
      <c r="P29" s="53">
        <v>0.68</v>
      </c>
      <c r="Q29" s="53">
        <v>4.93</v>
      </c>
      <c r="R29" s="42"/>
      <c r="S29" s="42"/>
      <c r="T29" s="42"/>
      <c r="U29" s="42"/>
    </row>
    <row r="30" spans="1:21" s="11" customFormat="1">
      <c r="A30" s="52" t="s">
        <v>310</v>
      </c>
      <c r="B30" s="53">
        <v>10.64</v>
      </c>
      <c r="C30" s="53">
        <v>58.68</v>
      </c>
      <c r="D30" s="53">
        <v>40.409999999999997</v>
      </c>
      <c r="E30" s="53">
        <v>11.14</v>
      </c>
      <c r="F30" s="53">
        <v>14.5</v>
      </c>
      <c r="G30" s="53">
        <v>48.24</v>
      </c>
      <c r="H30" s="53">
        <v>21.55</v>
      </c>
      <c r="I30" s="53">
        <v>6</v>
      </c>
      <c r="J30" s="53">
        <v>0.21</v>
      </c>
      <c r="K30" s="53">
        <v>159.44999999999999</v>
      </c>
      <c r="L30" s="53">
        <v>28.87</v>
      </c>
      <c r="M30" s="53">
        <v>51.65</v>
      </c>
      <c r="N30" s="53">
        <v>0</v>
      </c>
      <c r="O30" s="53">
        <v>0</v>
      </c>
      <c r="P30" s="53">
        <v>0.71</v>
      </c>
      <c r="Q30" s="53">
        <v>5.09</v>
      </c>
      <c r="R30" s="42"/>
      <c r="S30" s="42"/>
      <c r="T30" s="42"/>
      <c r="U30" s="42"/>
    </row>
    <row r="31" spans="1:21" s="11" customFormat="1">
      <c r="A31" s="52" t="s">
        <v>311</v>
      </c>
      <c r="B31" s="53">
        <v>13.5</v>
      </c>
      <c r="C31" s="53">
        <v>66.05</v>
      </c>
      <c r="D31" s="53">
        <v>46.69</v>
      </c>
      <c r="E31" s="53">
        <v>10.69</v>
      </c>
      <c r="F31" s="53">
        <v>11.87</v>
      </c>
      <c r="G31" s="53">
        <v>48.29</v>
      </c>
      <c r="H31" s="53">
        <v>21.55</v>
      </c>
      <c r="I31" s="53">
        <v>6.21</v>
      </c>
      <c r="J31" s="53">
        <v>0.44</v>
      </c>
      <c r="K31" s="53">
        <v>234.94</v>
      </c>
      <c r="L31" s="53">
        <v>27.86</v>
      </c>
      <c r="M31" s="53">
        <v>49.3</v>
      </c>
      <c r="N31" s="53">
        <v>0</v>
      </c>
      <c r="O31" s="53">
        <v>0</v>
      </c>
      <c r="P31" s="53">
        <v>0.72</v>
      </c>
      <c r="Q31" s="53">
        <v>5.4</v>
      </c>
      <c r="R31" s="42"/>
      <c r="S31" s="42"/>
      <c r="T31" s="42"/>
      <c r="U31" s="42"/>
    </row>
    <row r="32" spans="1:21" s="11" customFormat="1">
      <c r="A32" s="52" t="s">
        <v>312</v>
      </c>
      <c r="B32" s="53">
        <v>15.29</v>
      </c>
      <c r="C32" s="53">
        <v>68.510000000000005</v>
      </c>
      <c r="D32" s="53">
        <v>49.4</v>
      </c>
      <c r="E32" s="53">
        <v>10.130000000000001</v>
      </c>
      <c r="F32" s="53">
        <v>5.71</v>
      </c>
      <c r="G32" s="53">
        <v>54.1</v>
      </c>
      <c r="H32" s="53">
        <v>21.11</v>
      </c>
      <c r="I32" s="53">
        <v>6.48</v>
      </c>
      <c r="J32" s="53">
        <v>0.34</v>
      </c>
      <c r="K32" s="53">
        <v>217.29</v>
      </c>
      <c r="L32" s="53">
        <v>27.89</v>
      </c>
      <c r="M32" s="53">
        <v>49.33</v>
      </c>
      <c r="N32" s="53">
        <v>0</v>
      </c>
      <c r="O32" s="53">
        <v>0</v>
      </c>
      <c r="P32" s="53">
        <v>0.77</v>
      </c>
      <c r="Q32" s="53">
        <v>5.69</v>
      </c>
      <c r="R32" s="42"/>
      <c r="S32" s="42"/>
      <c r="T32" s="42"/>
      <c r="U32" s="42"/>
    </row>
    <row r="33" spans="1:21" s="21" customFormat="1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>
      <c r="A34" s="27" t="s">
        <v>30</v>
      </c>
      <c r="B34" s="28">
        <f t="shared" ref="B34:Q34" si="0">MIN(B9:B32)</f>
        <v>5.09</v>
      </c>
      <c r="C34" s="28">
        <f t="shared" si="0"/>
        <v>48.53</v>
      </c>
      <c r="D34" s="28">
        <f t="shared" si="0"/>
        <v>31.02</v>
      </c>
      <c r="E34" s="28">
        <f t="shared" si="0"/>
        <v>6.34</v>
      </c>
      <c r="F34" s="28">
        <f t="shared" si="0"/>
        <v>3.67</v>
      </c>
      <c r="G34" s="28">
        <f t="shared" si="0"/>
        <v>34.270000000000003</v>
      </c>
      <c r="H34" s="28">
        <f>MIN(H9:H32)</f>
        <v>12.07</v>
      </c>
      <c r="I34" s="28">
        <f t="shared" si="0"/>
        <v>4.46</v>
      </c>
      <c r="J34" s="28">
        <f t="shared" si="0"/>
        <v>0.18</v>
      </c>
      <c r="K34" s="28">
        <f t="shared" si="0"/>
        <v>152.16</v>
      </c>
      <c r="L34" s="28">
        <f t="shared" si="0"/>
        <v>24.24</v>
      </c>
      <c r="M34" s="28">
        <f t="shared" si="0"/>
        <v>24.43</v>
      </c>
      <c r="N34" s="28">
        <f t="shared" si="0"/>
        <v>0</v>
      </c>
      <c r="O34" s="28">
        <f t="shared" si="0"/>
        <v>0</v>
      </c>
      <c r="P34" s="28">
        <f t="shared" si="0"/>
        <v>0.57999999999999996</v>
      </c>
      <c r="Q34" s="28">
        <f t="shared" si="0"/>
        <v>4.75</v>
      </c>
      <c r="R34" s="28"/>
      <c r="S34" s="28"/>
      <c r="T34" s="28"/>
      <c r="U34" s="28"/>
    </row>
    <row r="35" spans="1:21" s="21" customFormat="1">
      <c r="A35" s="27" t="s">
        <v>31</v>
      </c>
      <c r="B35" s="29">
        <f t="shared" ref="B35:Q35" si="1">MAX(B9:B32)</f>
        <v>25.5</v>
      </c>
      <c r="C35" s="29">
        <f t="shared" si="1"/>
        <v>70.760000000000005</v>
      </c>
      <c r="D35" s="29">
        <f t="shared" si="1"/>
        <v>58.29</v>
      </c>
      <c r="E35" s="29">
        <f t="shared" si="1"/>
        <v>18.3</v>
      </c>
      <c r="F35" s="29">
        <f t="shared" si="1"/>
        <v>48.24</v>
      </c>
      <c r="G35" s="29">
        <f>MAX(G9:G32)</f>
        <v>57.83</v>
      </c>
      <c r="H35" s="29">
        <f>MAX(H9:H32)</f>
        <v>21.55</v>
      </c>
      <c r="I35" s="29">
        <f t="shared" si="1"/>
        <v>6.48</v>
      </c>
      <c r="J35" s="29">
        <f t="shared" si="1"/>
        <v>1.59</v>
      </c>
      <c r="K35" s="29">
        <f t="shared" si="1"/>
        <v>303.39</v>
      </c>
      <c r="L35" s="29">
        <f t="shared" si="1"/>
        <v>38.06</v>
      </c>
      <c r="M35" s="29">
        <f t="shared" si="1"/>
        <v>60.99</v>
      </c>
      <c r="N35" s="29">
        <f t="shared" si="1"/>
        <v>798.5</v>
      </c>
      <c r="O35" s="29">
        <f t="shared" si="1"/>
        <v>0</v>
      </c>
      <c r="P35" s="29">
        <f t="shared" si="1"/>
        <v>0.85</v>
      </c>
      <c r="Q35" s="29">
        <f t="shared" si="1"/>
        <v>6.3</v>
      </c>
      <c r="R35" s="29"/>
      <c r="S35" s="29"/>
      <c r="T35" s="29"/>
      <c r="U35" s="29"/>
    </row>
    <row r="36" spans="1:21" s="21" customFormat="1">
      <c r="A36" s="27" t="s">
        <v>32</v>
      </c>
      <c r="B36" s="28">
        <f t="shared" ref="B36:Q36" si="2">AVERAGE(B9:B32)</f>
        <v>15.57958333333333</v>
      </c>
      <c r="C36" s="28">
        <f t="shared" si="2"/>
        <v>65.349583333333342</v>
      </c>
      <c r="D36" s="28">
        <f t="shared" si="2"/>
        <v>47.753333333333337</v>
      </c>
      <c r="E36" s="28">
        <f t="shared" si="2"/>
        <v>10.143749999999997</v>
      </c>
      <c r="F36" s="28">
        <f t="shared" si="2"/>
        <v>14.482083333333334</v>
      </c>
      <c r="G36" s="28">
        <f t="shared" si="2"/>
        <v>47.908333333333331</v>
      </c>
      <c r="H36" s="28">
        <f>AVERAGE(H9:H32)</f>
        <v>17.837499999999999</v>
      </c>
      <c r="I36" s="28">
        <f t="shared" si="2"/>
        <v>5.336666666666666</v>
      </c>
      <c r="J36" s="28">
        <f t="shared" si="2"/>
        <v>0.60166666666666668</v>
      </c>
      <c r="K36" s="28">
        <f t="shared" si="2"/>
        <v>238.20791666666662</v>
      </c>
      <c r="L36" s="28">
        <f t="shared" si="2"/>
        <v>30.341249999999992</v>
      </c>
      <c r="M36" s="28">
        <f t="shared" si="2"/>
        <v>44.715416666666663</v>
      </c>
      <c r="N36" s="28">
        <f t="shared" si="2"/>
        <v>222.60000000000002</v>
      </c>
      <c r="O36" s="28">
        <f t="shared" si="2"/>
        <v>0</v>
      </c>
      <c r="P36" s="28">
        <f t="shared" si="2"/>
        <v>0.70583333333333309</v>
      </c>
      <c r="Q36" s="28">
        <f t="shared" si="2"/>
        <v>5.6429166666666672</v>
      </c>
      <c r="R36" s="28"/>
      <c r="S36" s="28"/>
      <c r="T36" s="28"/>
      <c r="U36" s="28"/>
    </row>
    <row r="37" spans="1:21" s="21" customFormat="1">
      <c r="A37" s="27" t="s">
        <v>38</v>
      </c>
      <c r="B37" s="28">
        <f>STDEV(B9:B32)</f>
        <v>7.6534893884319652</v>
      </c>
      <c r="C37" s="28">
        <f t="shared" ref="C37:Q37" si="3">STDEV(C9:C32)</f>
        <v>6.5470328355120539</v>
      </c>
      <c r="D37" s="28">
        <f t="shared" si="3"/>
        <v>8.7828140813981168</v>
      </c>
      <c r="E37" s="28">
        <f t="shared" si="3"/>
        <v>2.9859538021703758</v>
      </c>
      <c r="F37" s="28">
        <f t="shared" si="3"/>
        <v>12.729792504599004</v>
      </c>
      <c r="G37" s="28">
        <f t="shared" si="3"/>
        <v>6.1015320005408116</v>
      </c>
      <c r="H37" s="28">
        <f>STDEV(H9:H32)</f>
        <v>2.5762109858236442</v>
      </c>
      <c r="I37" s="28">
        <f t="shared" si="3"/>
        <v>0.6445063271971172</v>
      </c>
      <c r="J37" s="28">
        <f t="shared" si="3"/>
        <v>0.41722339617864268</v>
      </c>
      <c r="K37" s="28">
        <f t="shared" si="3"/>
        <v>53.483326046874147</v>
      </c>
      <c r="L37" s="28">
        <f t="shared" si="3"/>
        <v>4.8241415658981817</v>
      </c>
      <c r="M37" s="28">
        <f t="shared" si="3"/>
        <v>12.501360614354988</v>
      </c>
      <c r="N37" s="28">
        <f t="shared" si="3"/>
        <v>295.53672765208785</v>
      </c>
      <c r="O37" s="28">
        <f t="shared" si="3"/>
        <v>0</v>
      </c>
      <c r="P37" s="28">
        <f t="shared" si="3"/>
        <v>7.0767019256805119E-2</v>
      </c>
      <c r="Q37" s="28">
        <f t="shared" si="3"/>
        <v>0.49774691636776813</v>
      </c>
      <c r="R37" s="28"/>
      <c r="S37" s="28"/>
      <c r="T37" s="28"/>
      <c r="U37" s="28"/>
    </row>
    <row r="38" spans="1:21" s="21" customFormat="1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>COUNT(F9:F32)</f>
        <v>24</v>
      </c>
      <c r="G38" s="32">
        <f>COUNT(G9:G32)</f>
        <v>24</v>
      </c>
      <c r="H38" s="32">
        <f>COUNT(H9:H32)</f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>
      <c r="A42" s="13"/>
    </row>
    <row r="43" spans="1:21" s="21" customFormat="1">
      <c r="A43" s="14" t="s">
        <v>35</v>
      </c>
      <c r="B43" s="39" t="s">
        <v>58</v>
      </c>
      <c r="C43" s="41"/>
    </row>
    <row r="44" spans="1:21" s="21" customFormat="1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0"/>
      <c r="C45" s="40"/>
      <c r="D45" s="40"/>
      <c r="E45" s="40"/>
      <c r="F45" s="40"/>
      <c r="G45" s="40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</row>
    <row r="46" spans="1:21" s="21" customFormat="1"/>
    <row r="47" spans="1:21" s="21" customFormat="1"/>
    <row r="48" spans="1:21" s="21" customFormat="1"/>
    <row r="49" s="21" customFormat="1"/>
    <row r="50" s="21" customFormat="1"/>
    <row r="51" s="21" customFormat="1"/>
    <row r="52" s="21" customFormat="1"/>
    <row r="53" s="21" customFormat="1"/>
    <row r="54" s="21" customFormat="1"/>
    <row r="55" s="21" customFormat="1"/>
    <row r="56" s="21" customFormat="1"/>
    <row r="57" s="21" customFormat="1"/>
    <row r="58" s="21" customFormat="1"/>
    <row r="59" s="21" customFormat="1"/>
    <row r="60" s="21" customFormat="1"/>
    <row r="61" s="21" customFormat="1"/>
    <row r="62" s="21" customFormat="1"/>
    <row r="63" s="21" customFormat="1"/>
    <row r="64" s="21" customFormat="1"/>
    <row r="65" s="21" customFormat="1"/>
    <row r="66" s="21" customFormat="1"/>
    <row r="67" s="21" customFormat="1"/>
    <row r="68" s="21" customFormat="1"/>
    <row r="69" s="21" customFormat="1"/>
    <row r="70" s="21" customFormat="1"/>
    <row r="71" s="21" customFormat="1"/>
    <row r="72" s="21" customFormat="1"/>
    <row r="73" s="21" customFormat="1"/>
    <row r="74" s="21" customFormat="1"/>
    <row r="75" s="21" customFormat="1"/>
    <row r="76" s="21" customFormat="1"/>
    <row r="77" s="21" customFormat="1"/>
    <row r="78" s="21" customFormat="1"/>
    <row r="79" s="21" customFormat="1"/>
    <row r="80" s="21" customFormat="1"/>
    <row r="81" s="21" customFormat="1"/>
    <row r="82" s="21" customFormat="1"/>
    <row r="83" s="21" customFormat="1"/>
    <row r="84" s="21" customFormat="1"/>
    <row r="85" s="21" customFormat="1"/>
    <row r="86" s="21" customFormat="1"/>
    <row r="87" s="21" customFormat="1"/>
    <row r="88" s="21" customFormat="1"/>
    <row r="89" s="21" customFormat="1"/>
    <row r="90" s="21" customFormat="1"/>
    <row r="91" s="21" customFormat="1"/>
    <row r="92" s="21" customFormat="1"/>
    <row r="93" s="21" customFormat="1"/>
    <row r="94" s="21" customFormat="1"/>
    <row r="95" s="21" customFormat="1"/>
    <row r="96" s="21" customFormat="1"/>
    <row r="97" spans="1:1" s="21" customFormat="1"/>
    <row r="98" spans="1:1" s="21" customFormat="1"/>
    <row r="99" spans="1:1" s="21" customFormat="1"/>
    <row r="100" spans="1:1" s="21" customFormat="1"/>
    <row r="101" spans="1:1" s="21" customFormat="1"/>
    <row r="102" spans="1:1" s="21" customFormat="1"/>
    <row r="103" spans="1:1" s="21" customFormat="1"/>
    <row r="104" spans="1:1" s="21" customFormat="1"/>
    <row r="105" spans="1:1" s="21" customFormat="1"/>
    <row r="106" spans="1:1">
      <c r="A106" s="20"/>
    </row>
    <row r="107" spans="1:1" s="21" customFormat="1"/>
    <row r="108" spans="1:1" s="21" customFormat="1"/>
    <row r="109" spans="1:1" s="21" customFormat="1"/>
    <row r="110" spans="1:1" s="21" customFormat="1"/>
    <row r="111" spans="1:1" s="21" customFormat="1"/>
    <row r="112" spans="1:1" s="21" customFormat="1"/>
    <row r="113" spans="1:1" s="21" customFormat="1"/>
    <row r="114" spans="1:1" s="21" customFormat="1"/>
    <row r="115" spans="1:1" s="21" customFormat="1"/>
    <row r="116" spans="1:1" s="21" customFormat="1"/>
    <row r="117" spans="1:1" s="21" customFormat="1"/>
    <row r="118" spans="1:1">
      <c r="A118" s="20"/>
    </row>
    <row r="119" spans="1:1">
      <c r="A119" s="20"/>
    </row>
  </sheetData>
  <pageMargins left="0.7" right="0.7" top="0.75" bottom="0.75" header="0.3" footer="0.3"/>
  <pageSetup paperSize="9"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2" ySplit="8" topLeftCell="C33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F24" sqref="F24"/>
    </sheetView>
  </sheetViews>
  <sheetFormatPr defaultColWidth="8.85546875" defaultRowHeight="15"/>
  <cols>
    <col min="1" max="1" width="18.28515625" style="26" customWidth="1"/>
    <col min="2" max="2" width="14.4257812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5.5" customHeight="1">
      <c r="A1" s="14" t="s">
        <v>2</v>
      </c>
      <c r="B1" s="23" t="s">
        <v>55</v>
      </c>
      <c r="C1" s="36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>
      <c r="A2" s="14" t="s">
        <v>0</v>
      </c>
      <c r="B2" s="37" t="str">
        <f>$A$9</f>
        <v>11/04/2023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8" t="s">
        <v>7</v>
      </c>
      <c r="Q2" s="12"/>
      <c r="R2" s="8" t="s">
        <v>8</v>
      </c>
      <c r="S2" s="11"/>
      <c r="T2" s="11"/>
      <c r="U2" s="11"/>
    </row>
    <row r="3" spans="1:21" s="21" customFormat="1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8" t="s">
        <v>15</v>
      </c>
      <c r="Q3" s="12"/>
      <c r="R3" s="9" t="s">
        <v>15</v>
      </c>
      <c r="S3" s="11"/>
      <c r="T3" s="11"/>
      <c r="U3" s="11"/>
    </row>
    <row r="4" spans="1:21" s="21" customFormat="1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>
      <c r="A7" s="25" t="s">
        <v>21</v>
      </c>
      <c r="B7" s="48" t="s">
        <v>40</v>
      </c>
      <c r="C7" s="49" t="s">
        <v>41</v>
      </c>
      <c r="D7" s="49" t="s">
        <v>42</v>
      </c>
      <c r="E7" s="49" t="s">
        <v>43</v>
      </c>
      <c r="F7" s="49" t="s">
        <v>44</v>
      </c>
      <c r="G7" s="49" t="s">
        <v>45</v>
      </c>
      <c r="H7" s="49" t="s">
        <v>56</v>
      </c>
      <c r="I7" s="49" t="s">
        <v>46</v>
      </c>
      <c r="J7" s="49" t="s">
        <v>47</v>
      </c>
      <c r="K7" s="49" t="s">
        <v>48</v>
      </c>
      <c r="L7" s="49" t="s">
        <v>49</v>
      </c>
      <c r="M7" s="49" t="s">
        <v>50</v>
      </c>
      <c r="N7" s="49" t="s">
        <v>51</v>
      </c>
      <c r="O7" s="49" t="s">
        <v>52</v>
      </c>
      <c r="P7" s="49" t="s">
        <v>53</v>
      </c>
      <c r="Q7" s="49" t="s">
        <v>54</v>
      </c>
      <c r="R7" s="27"/>
      <c r="S7" s="29"/>
      <c r="T7" s="27"/>
      <c r="U7" s="27"/>
    </row>
    <row r="8" spans="1:21" s="21" customFormat="1">
      <c r="A8" s="25"/>
      <c r="B8" s="50" t="s">
        <v>22</v>
      </c>
      <c r="C8" s="50" t="s">
        <v>22</v>
      </c>
      <c r="D8" s="50" t="s">
        <v>22</v>
      </c>
      <c r="E8" s="50" t="s">
        <v>22</v>
      </c>
      <c r="F8" s="50" t="s">
        <v>22</v>
      </c>
      <c r="G8" s="50" t="s">
        <v>23</v>
      </c>
      <c r="H8" s="50" t="s">
        <v>22</v>
      </c>
      <c r="I8" s="50" t="s">
        <v>22</v>
      </c>
      <c r="J8" s="50" t="s">
        <v>24</v>
      </c>
      <c r="K8" s="50" t="s">
        <v>25</v>
      </c>
      <c r="L8" s="25" t="s">
        <v>27</v>
      </c>
      <c r="M8" s="50" t="s">
        <v>26</v>
      </c>
      <c r="N8" s="50" t="s">
        <v>28</v>
      </c>
      <c r="O8" s="25" t="s">
        <v>29</v>
      </c>
      <c r="P8" s="50" t="s">
        <v>22</v>
      </c>
      <c r="Q8" s="50" t="s">
        <v>22</v>
      </c>
      <c r="R8" s="27"/>
      <c r="S8" s="29"/>
      <c r="T8" s="27"/>
      <c r="U8" s="27"/>
    </row>
    <row r="9" spans="1:21" s="11" customFormat="1">
      <c r="A9" s="52" t="s">
        <v>313</v>
      </c>
      <c r="B9" s="53">
        <v>15.33</v>
      </c>
      <c r="C9" s="53">
        <v>69.84</v>
      </c>
      <c r="D9" s="53">
        <v>49.93</v>
      </c>
      <c r="E9" s="53">
        <v>9.82</v>
      </c>
      <c r="F9" s="53">
        <v>5.26</v>
      </c>
      <c r="G9" s="53">
        <v>54.59</v>
      </c>
      <c r="H9" s="53">
        <v>22.98</v>
      </c>
      <c r="I9" s="53">
        <v>6.69</v>
      </c>
      <c r="J9" s="53">
        <v>0.22</v>
      </c>
      <c r="K9" s="53">
        <v>208.47</v>
      </c>
      <c r="L9" s="53">
        <v>27.62</v>
      </c>
      <c r="M9" s="53">
        <v>50.13</v>
      </c>
      <c r="N9" s="53">
        <v>0</v>
      </c>
      <c r="O9" s="53">
        <v>0</v>
      </c>
      <c r="P9" s="53">
        <v>0.77</v>
      </c>
      <c r="Q9" s="53">
        <v>5.76</v>
      </c>
      <c r="R9" s="42"/>
      <c r="S9" s="42"/>
      <c r="T9" s="42"/>
      <c r="U9" s="42"/>
    </row>
    <row r="10" spans="1:21" s="11" customFormat="1">
      <c r="A10" s="52" t="s">
        <v>314</v>
      </c>
      <c r="B10" s="53">
        <v>14.99</v>
      </c>
      <c r="C10" s="53">
        <v>70.91</v>
      </c>
      <c r="D10" s="53">
        <v>50.25</v>
      </c>
      <c r="E10" s="53">
        <v>9.5500000000000007</v>
      </c>
      <c r="F10" s="53">
        <v>4.5999999999999996</v>
      </c>
      <c r="G10" s="53">
        <v>54.59</v>
      </c>
      <c r="H10" s="53">
        <v>22.98</v>
      </c>
      <c r="I10" s="53">
        <v>6.64</v>
      </c>
      <c r="J10" s="53">
        <v>0.18</v>
      </c>
      <c r="K10" s="53">
        <v>185.35</v>
      </c>
      <c r="L10" s="53">
        <v>27.05</v>
      </c>
      <c r="M10" s="53">
        <v>54.62</v>
      </c>
      <c r="N10" s="53">
        <v>0</v>
      </c>
      <c r="O10" s="53">
        <v>0</v>
      </c>
      <c r="P10" s="53">
        <v>0.76</v>
      </c>
      <c r="Q10" s="53">
        <v>5.74</v>
      </c>
      <c r="R10" s="42"/>
      <c r="S10" s="42"/>
      <c r="T10" s="42"/>
      <c r="U10" s="42"/>
    </row>
    <row r="11" spans="1:21" s="11" customFormat="1">
      <c r="A11" s="52" t="s">
        <v>315</v>
      </c>
      <c r="B11" s="53">
        <v>14.96</v>
      </c>
      <c r="C11" s="53">
        <v>70.89</v>
      </c>
      <c r="D11" s="53">
        <v>50.39</v>
      </c>
      <c r="E11" s="53">
        <v>9.1999999999999993</v>
      </c>
      <c r="F11" s="53">
        <v>4.04</v>
      </c>
      <c r="G11" s="53">
        <v>50.18</v>
      </c>
      <c r="H11" s="53">
        <v>20.46</v>
      </c>
      <c r="I11" s="53">
        <v>6.34</v>
      </c>
      <c r="J11" s="53">
        <v>0.22</v>
      </c>
      <c r="K11" s="53">
        <v>152.5</v>
      </c>
      <c r="L11" s="53">
        <v>26.26</v>
      </c>
      <c r="M11" s="53">
        <v>58.66</v>
      </c>
      <c r="N11" s="53">
        <v>0</v>
      </c>
      <c r="O11" s="53">
        <v>0</v>
      </c>
      <c r="P11" s="53">
        <v>0.73</v>
      </c>
      <c r="Q11" s="53">
        <v>5.72</v>
      </c>
      <c r="R11" s="42"/>
      <c r="S11" s="42"/>
      <c r="T11" s="42"/>
      <c r="U11" s="42"/>
    </row>
    <row r="12" spans="1:21" s="11" customFormat="1">
      <c r="A12" s="52" t="s">
        <v>316</v>
      </c>
      <c r="B12" s="53">
        <v>18.489999999999998</v>
      </c>
      <c r="C12" s="53">
        <v>70.650000000000006</v>
      </c>
      <c r="D12" s="53">
        <v>51.39</v>
      </c>
      <c r="E12" s="53">
        <v>8.7200000000000006</v>
      </c>
      <c r="F12" s="53">
        <v>3.96</v>
      </c>
      <c r="G12" s="53">
        <v>41.76</v>
      </c>
      <c r="H12" s="53">
        <v>20.46</v>
      </c>
      <c r="I12" s="53">
        <v>6.19</v>
      </c>
      <c r="J12" s="53">
        <v>0.26</v>
      </c>
      <c r="K12" s="53">
        <v>169.79</v>
      </c>
      <c r="L12" s="53">
        <v>25.44</v>
      </c>
      <c r="M12" s="53">
        <v>62.52</v>
      </c>
      <c r="N12" s="53">
        <v>0</v>
      </c>
      <c r="O12" s="53">
        <v>0</v>
      </c>
      <c r="P12" s="53">
        <v>0.72</v>
      </c>
      <c r="Q12" s="53">
        <v>5.73</v>
      </c>
      <c r="R12" s="42"/>
      <c r="S12" s="42"/>
      <c r="T12" s="42"/>
      <c r="U12" s="42"/>
    </row>
    <row r="13" spans="1:21" s="11" customFormat="1">
      <c r="A13" s="52" t="s">
        <v>317</v>
      </c>
      <c r="B13" s="53">
        <v>21.68</v>
      </c>
      <c r="C13" s="53">
        <v>68.66</v>
      </c>
      <c r="D13" s="53">
        <v>54.07</v>
      </c>
      <c r="E13" s="53">
        <v>9</v>
      </c>
      <c r="F13" s="53">
        <v>3.7</v>
      </c>
      <c r="G13" s="53">
        <v>41.55</v>
      </c>
      <c r="H13" s="53">
        <v>17.59</v>
      </c>
      <c r="I13" s="53">
        <v>6.16</v>
      </c>
      <c r="J13" s="53">
        <v>0.22</v>
      </c>
      <c r="K13" s="53">
        <v>181.22</v>
      </c>
      <c r="L13" s="53">
        <v>24.23</v>
      </c>
      <c r="M13" s="53">
        <v>64.25</v>
      </c>
      <c r="N13" s="53">
        <v>0</v>
      </c>
      <c r="O13" s="53">
        <v>0</v>
      </c>
      <c r="P13" s="53">
        <v>0.7</v>
      </c>
      <c r="Q13" s="53">
        <v>5.86</v>
      </c>
      <c r="R13" s="42"/>
      <c r="S13" s="42"/>
      <c r="T13" s="42"/>
      <c r="U13" s="42"/>
    </row>
    <row r="14" spans="1:21" s="11" customFormat="1">
      <c r="A14" s="52" t="s">
        <v>318</v>
      </c>
      <c r="B14" s="53">
        <v>29.95</v>
      </c>
      <c r="C14" s="53">
        <v>69.97</v>
      </c>
      <c r="D14" s="53">
        <v>61.64</v>
      </c>
      <c r="E14" s="53">
        <v>9.3000000000000007</v>
      </c>
      <c r="F14" s="53">
        <v>3.72</v>
      </c>
      <c r="G14" s="53">
        <v>44.96</v>
      </c>
      <c r="H14" s="53">
        <v>18.809999999999999</v>
      </c>
      <c r="I14" s="53">
        <v>6.26</v>
      </c>
      <c r="J14" s="53">
        <v>0.21</v>
      </c>
      <c r="K14" s="53">
        <v>174.77</v>
      </c>
      <c r="L14" s="53">
        <v>24.37</v>
      </c>
      <c r="M14" s="53">
        <v>68.36</v>
      </c>
      <c r="N14" s="53">
        <v>1.2</v>
      </c>
      <c r="O14" s="53">
        <v>0</v>
      </c>
      <c r="P14" s="53">
        <v>0.71</v>
      </c>
      <c r="Q14" s="53">
        <v>6.41</v>
      </c>
      <c r="R14" s="42"/>
      <c r="S14" s="42"/>
      <c r="T14" s="42"/>
      <c r="U14" s="42"/>
    </row>
    <row r="15" spans="1:21" s="11" customFormat="1">
      <c r="A15" s="52" t="s">
        <v>319</v>
      </c>
      <c r="B15" s="53">
        <v>30.89</v>
      </c>
      <c r="C15" s="53">
        <v>68.78</v>
      </c>
      <c r="D15" s="53">
        <v>62</v>
      </c>
      <c r="E15" s="53">
        <v>9.4700000000000006</v>
      </c>
      <c r="F15" s="53">
        <v>3.8</v>
      </c>
      <c r="G15" s="53">
        <v>44.96</v>
      </c>
      <c r="H15" s="53">
        <v>19.59</v>
      </c>
      <c r="I15" s="53">
        <v>6.36</v>
      </c>
      <c r="J15" s="53">
        <v>0.24</v>
      </c>
      <c r="K15" s="53">
        <v>182.85</v>
      </c>
      <c r="L15" s="53">
        <v>25.28</v>
      </c>
      <c r="M15" s="53">
        <v>68.760000000000005</v>
      </c>
      <c r="N15" s="53">
        <v>46.6</v>
      </c>
      <c r="O15" s="53">
        <v>0</v>
      </c>
      <c r="P15" s="53">
        <v>0.73</v>
      </c>
      <c r="Q15" s="53">
        <v>6.5</v>
      </c>
      <c r="R15" s="42"/>
      <c r="S15" s="42"/>
      <c r="T15" s="42"/>
      <c r="U15" s="42"/>
    </row>
    <row r="16" spans="1:21" s="11" customFormat="1">
      <c r="A16" s="52" t="s">
        <v>320</v>
      </c>
      <c r="B16" s="53">
        <v>30.93</v>
      </c>
      <c r="C16" s="53">
        <v>68.47</v>
      </c>
      <c r="D16" s="53">
        <v>61.26</v>
      </c>
      <c r="E16" s="53">
        <v>10.37</v>
      </c>
      <c r="F16" s="53">
        <v>4.9000000000000004</v>
      </c>
      <c r="G16" s="53">
        <v>52.08</v>
      </c>
      <c r="H16" s="53">
        <v>22.76</v>
      </c>
      <c r="I16" s="53">
        <v>6.86</v>
      </c>
      <c r="J16" s="53">
        <v>0.48</v>
      </c>
      <c r="K16" s="53">
        <v>245.21</v>
      </c>
      <c r="L16" s="53">
        <v>28.89</v>
      </c>
      <c r="M16" s="53">
        <v>60.48</v>
      </c>
      <c r="N16" s="53">
        <v>234.9</v>
      </c>
      <c r="O16" s="53">
        <v>0</v>
      </c>
      <c r="P16" s="53">
        <v>0.77</v>
      </c>
      <c r="Q16" s="53">
        <v>6.53</v>
      </c>
      <c r="R16" s="42"/>
      <c r="S16" s="42"/>
      <c r="T16" s="42"/>
      <c r="U16" s="42"/>
    </row>
    <row r="17" spans="1:21" s="11" customFormat="1">
      <c r="A17" s="52" t="s">
        <v>321</v>
      </c>
      <c r="B17" s="53">
        <v>29.72</v>
      </c>
      <c r="C17" s="53">
        <v>73.239999999999995</v>
      </c>
      <c r="D17" s="53">
        <v>62.18</v>
      </c>
      <c r="E17" s="53">
        <v>10.1</v>
      </c>
      <c r="F17" s="53">
        <v>5.35</v>
      </c>
      <c r="G17" s="53">
        <v>70.400000000000006</v>
      </c>
      <c r="H17" s="53">
        <v>29.43</v>
      </c>
      <c r="I17" s="53">
        <v>7.59</v>
      </c>
      <c r="J17" s="53">
        <v>0.71</v>
      </c>
      <c r="K17" s="53">
        <v>243.22</v>
      </c>
      <c r="L17" s="53">
        <v>31.72</v>
      </c>
      <c r="M17" s="53">
        <v>46.5</v>
      </c>
      <c r="N17" s="53">
        <v>291.39999999999998</v>
      </c>
      <c r="O17" s="53">
        <v>0</v>
      </c>
      <c r="P17" s="53">
        <v>0.83</v>
      </c>
      <c r="Q17" s="53">
        <v>6.54</v>
      </c>
      <c r="R17" s="42"/>
      <c r="S17" s="42"/>
      <c r="T17" s="42"/>
      <c r="U17" s="42"/>
    </row>
    <row r="18" spans="1:21" s="11" customFormat="1">
      <c r="A18" s="52" t="s">
        <v>322</v>
      </c>
      <c r="B18" s="53">
        <v>21.13</v>
      </c>
      <c r="C18" s="53">
        <v>74.760000000000005</v>
      </c>
      <c r="D18" s="53">
        <v>57.07</v>
      </c>
      <c r="E18" s="53">
        <v>10.72</v>
      </c>
      <c r="F18" s="53">
        <v>8.98</v>
      </c>
      <c r="G18" s="53">
        <v>70.400000000000006</v>
      </c>
      <c r="H18" s="53">
        <v>29.45</v>
      </c>
      <c r="I18" s="53">
        <v>7.76</v>
      </c>
      <c r="J18" s="53">
        <v>0.46</v>
      </c>
      <c r="K18" s="53">
        <v>275.43</v>
      </c>
      <c r="L18" s="53">
        <v>35.39</v>
      </c>
      <c r="M18" s="53">
        <v>37.49</v>
      </c>
      <c r="N18" s="53">
        <v>530.79999999999995</v>
      </c>
      <c r="O18" s="53">
        <v>0</v>
      </c>
      <c r="P18" s="53">
        <v>0.84</v>
      </c>
      <c r="Q18" s="53">
        <v>6.38</v>
      </c>
      <c r="R18" s="42"/>
      <c r="S18" s="42"/>
      <c r="T18" s="42"/>
      <c r="U18" s="42"/>
    </row>
    <row r="19" spans="1:21" s="11" customFormat="1">
      <c r="A19" s="52" t="s">
        <v>323</v>
      </c>
      <c r="B19" s="53">
        <v>11.93</v>
      </c>
      <c r="C19" s="53">
        <v>73.22</v>
      </c>
      <c r="D19" s="53">
        <v>49.17</v>
      </c>
      <c r="E19" s="53">
        <v>17.100000000000001</v>
      </c>
      <c r="F19" s="53">
        <v>26.11</v>
      </c>
      <c r="G19" s="53">
        <v>69.14</v>
      </c>
      <c r="H19" s="53">
        <v>30.11</v>
      </c>
      <c r="I19" s="53">
        <v>7.67</v>
      </c>
      <c r="J19" s="53">
        <v>0.87</v>
      </c>
      <c r="K19" s="53">
        <v>327.13</v>
      </c>
      <c r="L19" s="53">
        <v>36.93</v>
      </c>
      <c r="M19" s="53">
        <v>31</v>
      </c>
      <c r="N19" s="53">
        <v>682.4</v>
      </c>
      <c r="O19" s="53">
        <v>0</v>
      </c>
      <c r="P19" s="53">
        <v>0.86</v>
      </c>
      <c r="Q19" s="53">
        <v>5.87</v>
      </c>
      <c r="R19" s="42"/>
      <c r="S19" s="42"/>
      <c r="T19" s="42"/>
      <c r="U19" s="42"/>
    </row>
    <row r="20" spans="1:21" s="11" customFormat="1">
      <c r="A20" s="52" t="s">
        <v>324</v>
      </c>
      <c r="B20" s="53">
        <v>5.69</v>
      </c>
      <c r="C20" s="53">
        <v>72.3</v>
      </c>
      <c r="D20" s="53">
        <v>43.67</v>
      </c>
      <c r="E20" s="53">
        <v>15.63</v>
      </c>
      <c r="F20" s="53">
        <v>19.71</v>
      </c>
      <c r="G20" s="53">
        <v>69.14</v>
      </c>
      <c r="H20" s="53">
        <v>30.11</v>
      </c>
      <c r="I20" s="53">
        <v>7.51</v>
      </c>
      <c r="J20" s="53">
        <v>0.71</v>
      </c>
      <c r="K20" s="53">
        <v>347.36</v>
      </c>
      <c r="L20" s="53">
        <v>38.94</v>
      </c>
      <c r="M20" s="53">
        <v>22.45</v>
      </c>
      <c r="N20" s="53">
        <v>774.4</v>
      </c>
      <c r="O20" s="53">
        <v>0</v>
      </c>
      <c r="P20" s="53">
        <v>0.87</v>
      </c>
      <c r="Q20" s="53">
        <v>5.6</v>
      </c>
      <c r="R20" s="42"/>
      <c r="S20" s="42"/>
      <c r="T20" s="42"/>
      <c r="U20" s="42"/>
    </row>
    <row r="21" spans="1:21" s="11" customFormat="1">
      <c r="A21" s="52" t="s">
        <v>325</v>
      </c>
      <c r="B21" s="53">
        <v>5.72</v>
      </c>
      <c r="C21" s="53">
        <v>67.45</v>
      </c>
      <c r="D21" s="53">
        <v>41.1</v>
      </c>
      <c r="E21" s="53">
        <v>12.41</v>
      </c>
      <c r="F21" s="53">
        <v>17.52</v>
      </c>
      <c r="G21" s="53">
        <v>67.989999999999995</v>
      </c>
      <c r="H21" s="53">
        <v>29.52</v>
      </c>
      <c r="I21" s="53">
        <v>7.21</v>
      </c>
      <c r="J21" s="53">
        <v>0.71</v>
      </c>
      <c r="K21" s="53">
        <v>295.31</v>
      </c>
      <c r="L21" s="53">
        <v>39.35</v>
      </c>
      <c r="M21" s="53">
        <v>18.12</v>
      </c>
      <c r="N21" s="53">
        <v>774.9</v>
      </c>
      <c r="O21" s="53">
        <v>0</v>
      </c>
      <c r="P21" s="53">
        <v>0.83</v>
      </c>
      <c r="Q21" s="53">
        <v>5.56</v>
      </c>
      <c r="R21" s="42"/>
      <c r="S21" s="42"/>
      <c r="T21" s="42"/>
      <c r="U21" s="42"/>
    </row>
    <row r="22" spans="1:21" s="11" customFormat="1">
      <c r="A22" s="52" t="s">
        <v>326</v>
      </c>
      <c r="B22" s="53">
        <v>5.71</v>
      </c>
      <c r="C22" s="53">
        <v>63.29</v>
      </c>
      <c r="D22" s="53">
        <v>38.950000000000003</v>
      </c>
      <c r="E22" s="53">
        <v>31.32</v>
      </c>
      <c r="F22" s="53">
        <v>50.61</v>
      </c>
      <c r="G22" s="53">
        <v>63.03</v>
      </c>
      <c r="H22" s="53">
        <v>27.37</v>
      </c>
      <c r="I22" s="53">
        <v>6.72</v>
      </c>
      <c r="J22" s="53">
        <v>0.97</v>
      </c>
      <c r="K22" s="53">
        <v>306.08999999999997</v>
      </c>
      <c r="L22" s="53">
        <v>39.200000000000003</v>
      </c>
      <c r="M22" s="53">
        <v>19.32</v>
      </c>
      <c r="N22" s="53">
        <v>679.8</v>
      </c>
      <c r="O22" s="53">
        <v>0</v>
      </c>
      <c r="P22" s="53">
        <v>0.79</v>
      </c>
      <c r="Q22" s="53">
        <v>5.58</v>
      </c>
      <c r="R22" s="42"/>
      <c r="S22" s="42"/>
      <c r="T22" s="42"/>
      <c r="U22" s="42"/>
    </row>
    <row r="23" spans="1:21" s="11" customFormat="1">
      <c r="A23" s="52" t="s">
        <v>327</v>
      </c>
      <c r="B23" s="53">
        <v>7.84</v>
      </c>
      <c r="C23" s="53">
        <v>46.88</v>
      </c>
      <c r="D23" s="53">
        <v>31.78</v>
      </c>
      <c r="E23" s="53">
        <v>43.52</v>
      </c>
      <c r="F23" s="53">
        <v>64.05</v>
      </c>
      <c r="G23" s="53">
        <v>70.98</v>
      </c>
      <c r="H23" s="53">
        <v>28.42</v>
      </c>
      <c r="I23" s="53">
        <v>6.15</v>
      </c>
      <c r="J23" s="53">
        <v>1.08</v>
      </c>
      <c r="K23" s="53">
        <v>238.1</v>
      </c>
      <c r="L23" s="53">
        <v>39.21</v>
      </c>
      <c r="M23" s="53">
        <v>19.350000000000001</v>
      </c>
      <c r="N23" s="53">
        <v>571.70000000000005</v>
      </c>
      <c r="O23" s="53">
        <v>0</v>
      </c>
      <c r="P23" s="53">
        <v>0.64</v>
      </c>
      <c r="Q23" s="53">
        <v>4.7300000000000004</v>
      </c>
      <c r="R23" s="42"/>
      <c r="S23" s="42"/>
      <c r="T23" s="42"/>
      <c r="U23" s="42"/>
    </row>
    <row r="24" spans="1:21" s="11" customFormat="1">
      <c r="A24" s="52" t="s">
        <v>328</v>
      </c>
      <c r="B24" s="53">
        <v>6.3</v>
      </c>
      <c r="C24" s="53">
        <v>52.64</v>
      </c>
      <c r="D24" s="53">
        <v>33.31</v>
      </c>
      <c r="E24" s="53">
        <v>21.56</v>
      </c>
      <c r="F24" s="53">
        <v>42.45</v>
      </c>
      <c r="G24" s="53">
        <v>70.98</v>
      </c>
      <c r="H24" s="53">
        <v>28.42</v>
      </c>
      <c r="I24" s="53">
        <v>5.22</v>
      </c>
      <c r="J24" s="53">
        <v>1.1499999999999999</v>
      </c>
      <c r="K24" s="53">
        <v>302.73</v>
      </c>
      <c r="L24" s="53">
        <v>39.5</v>
      </c>
      <c r="M24" s="53">
        <v>14.9</v>
      </c>
      <c r="N24" s="53">
        <v>551.20000000000005</v>
      </c>
      <c r="O24" s="53">
        <v>0</v>
      </c>
      <c r="P24" s="53">
        <v>0.64</v>
      </c>
      <c r="Q24" s="53">
        <v>4.7300000000000004</v>
      </c>
      <c r="R24" s="42"/>
      <c r="S24" s="42"/>
      <c r="T24" s="42"/>
      <c r="U24" s="42"/>
    </row>
    <row r="25" spans="1:21" s="11" customFormat="1">
      <c r="A25" s="52" t="s">
        <v>329</v>
      </c>
      <c r="B25" s="53">
        <v>8.11</v>
      </c>
      <c r="C25" s="53">
        <v>54.09</v>
      </c>
      <c r="D25" s="53">
        <v>36.11</v>
      </c>
      <c r="E25" s="53">
        <v>26.15</v>
      </c>
      <c r="F25" s="53">
        <v>45.56</v>
      </c>
      <c r="G25" s="53">
        <v>64.489999999999995</v>
      </c>
      <c r="H25" s="53">
        <v>26.49</v>
      </c>
      <c r="I25" s="53">
        <v>5.13</v>
      </c>
      <c r="J25" s="53">
        <v>0.98</v>
      </c>
      <c r="K25" s="53">
        <v>346.72</v>
      </c>
      <c r="L25" s="53">
        <v>38.950000000000003</v>
      </c>
      <c r="M25" s="53">
        <v>16.47</v>
      </c>
      <c r="N25" s="53">
        <v>302.2</v>
      </c>
      <c r="O25" s="53">
        <v>0</v>
      </c>
      <c r="P25" s="53">
        <v>0.61</v>
      </c>
      <c r="Q25" s="53">
        <v>4.84</v>
      </c>
      <c r="R25" s="42"/>
      <c r="S25" s="42"/>
      <c r="T25" s="42"/>
      <c r="U25" s="42"/>
    </row>
    <row r="26" spans="1:21" s="11" customFormat="1">
      <c r="A26" s="52" t="s">
        <v>330</v>
      </c>
      <c r="B26" s="53">
        <v>11.76</v>
      </c>
      <c r="C26" s="53">
        <v>65.77</v>
      </c>
      <c r="D26" s="53">
        <v>45.15</v>
      </c>
      <c r="E26" s="53">
        <v>23.2</v>
      </c>
      <c r="F26" s="53">
        <v>40.72</v>
      </c>
      <c r="G26" s="53">
        <v>70.150000000000006</v>
      </c>
      <c r="H26" s="53">
        <v>25.16</v>
      </c>
      <c r="I26" s="53">
        <v>4.71</v>
      </c>
      <c r="J26" s="53">
        <v>0.81</v>
      </c>
      <c r="K26" s="53">
        <v>137.44999999999999</v>
      </c>
      <c r="L26" s="53">
        <v>37.39</v>
      </c>
      <c r="M26" s="53">
        <v>22.77</v>
      </c>
      <c r="N26" s="53">
        <v>94.2</v>
      </c>
      <c r="O26" s="53">
        <v>0</v>
      </c>
      <c r="P26" s="53">
        <v>0.76</v>
      </c>
      <c r="Q26" s="53">
        <v>5.33</v>
      </c>
      <c r="R26" s="42"/>
      <c r="S26" s="42"/>
      <c r="T26" s="42"/>
      <c r="U26" s="42"/>
    </row>
    <row r="27" spans="1:21" s="11" customFormat="1">
      <c r="A27" s="52" t="s">
        <v>331</v>
      </c>
      <c r="B27" s="53">
        <v>11.04</v>
      </c>
      <c r="C27" s="53">
        <v>70.77</v>
      </c>
      <c r="D27" s="53">
        <v>47.18</v>
      </c>
      <c r="E27" s="53">
        <v>11.49</v>
      </c>
      <c r="F27" s="53">
        <v>15.71</v>
      </c>
      <c r="G27" s="53">
        <v>87.09</v>
      </c>
      <c r="H27" s="53">
        <v>25.75</v>
      </c>
      <c r="I27" s="53">
        <v>5.36</v>
      </c>
      <c r="J27" s="53">
        <v>0.28999999999999998</v>
      </c>
      <c r="K27" s="53">
        <v>166.99</v>
      </c>
      <c r="L27" s="53">
        <v>34.590000000000003</v>
      </c>
      <c r="M27" s="53">
        <v>31.2</v>
      </c>
      <c r="N27" s="53">
        <v>0</v>
      </c>
      <c r="O27" s="53">
        <v>0</v>
      </c>
      <c r="P27" s="53">
        <v>0.81</v>
      </c>
      <c r="Q27" s="53">
        <v>5.69</v>
      </c>
      <c r="R27" s="42"/>
      <c r="S27" s="42"/>
      <c r="T27" s="42"/>
      <c r="U27" s="42"/>
    </row>
    <row r="28" spans="1:21" s="11" customFormat="1">
      <c r="A28" s="52" t="s">
        <v>332</v>
      </c>
      <c r="B28" s="53">
        <v>12.66</v>
      </c>
      <c r="C28" s="53">
        <v>69.47</v>
      </c>
      <c r="D28" s="53">
        <v>47.8</v>
      </c>
      <c r="E28" s="53">
        <v>9.01</v>
      </c>
      <c r="F28" s="53">
        <v>15.18</v>
      </c>
      <c r="G28" s="53">
        <v>91.52</v>
      </c>
      <c r="H28" s="53">
        <v>25.75</v>
      </c>
      <c r="I28" s="53">
        <v>5.91</v>
      </c>
      <c r="J28" s="53">
        <v>0.28999999999999998</v>
      </c>
      <c r="K28" s="53">
        <v>236.26</v>
      </c>
      <c r="L28" s="53">
        <v>31.83</v>
      </c>
      <c r="M28" s="53">
        <v>36.479999999999997</v>
      </c>
      <c r="N28" s="53">
        <v>0</v>
      </c>
      <c r="O28" s="53">
        <v>0</v>
      </c>
      <c r="P28" s="53">
        <v>0.77</v>
      </c>
      <c r="Q28" s="53">
        <v>5.79</v>
      </c>
      <c r="R28" s="42"/>
      <c r="S28" s="42"/>
      <c r="T28" s="42"/>
      <c r="U28" s="42"/>
    </row>
    <row r="29" spans="1:21" s="11" customFormat="1">
      <c r="A29" s="52" t="s">
        <v>333</v>
      </c>
      <c r="B29" s="53">
        <v>13.2</v>
      </c>
      <c r="C29" s="53">
        <v>67.989999999999995</v>
      </c>
      <c r="D29" s="53">
        <v>47.46</v>
      </c>
      <c r="E29" s="53">
        <v>8.5</v>
      </c>
      <c r="F29" s="53">
        <v>10.44</v>
      </c>
      <c r="G29" s="53">
        <v>91.52</v>
      </c>
      <c r="H29" s="53">
        <v>25</v>
      </c>
      <c r="I29" s="53">
        <v>6.04</v>
      </c>
      <c r="J29" s="53">
        <v>0.18</v>
      </c>
      <c r="K29" s="53">
        <v>158.35</v>
      </c>
      <c r="L29" s="53">
        <v>30.11</v>
      </c>
      <c r="M29" s="53">
        <v>39.99</v>
      </c>
      <c r="N29" s="53">
        <v>0</v>
      </c>
      <c r="O29" s="53">
        <v>0</v>
      </c>
      <c r="P29" s="53">
        <v>0.8</v>
      </c>
      <c r="Q29" s="53">
        <v>5.79</v>
      </c>
      <c r="R29" s="42"/>
      <c r="S29" s="42"/>
      <c r="T29" s="42"/>
      <c r="U29" s="42"/>
    </row>
    <row r="30" spans="1:21" s="11" customFormat="1">
      <c r="A30" s="52" t="s">
        <v>334</v>
      </c>
      <c r="B30" s="53">
        <v>13.86</v>
      </c>
      <c r="C30" s="53">
        <v>70.83</v>
      </c>
      <c r="D30" s="53">
        <v>49.48</v>
      </c>
      <c r="E30" s="53">
        <v>8.3000000000000007</v>
      </c>
      <c r="F30" s="53">
        <v>8.67</v>
      </c>
      <c r="G30" s="53">
        <v>82.62</v>
      </c>
      <c r="H30" s="53">
        <v>24.38</v>
      </c>
      <c r="I30" s="53">
        <v>6.22</v>
      </c>
      <c r="J30" s="53">
        <v>0.16</v>
      </c>
      <c r="K30" s="53">
        <v>191.56</v>
      </c>
      <c r="L30" s="53">
        <v>29.24</v>
      </c>
      <c r="M30" s="53">
        <v>47.27</v>
      </c>
      <c r="N30" s="53">
        <v>0</v>
      </c>
      <c r="O30" s="53">
        <v>0</v>
      </c>
      <c r="P30" s="53">
        <v>0.81</v>
      </c>
      <c r="Q30" s="53">
        <v>5.85</v>
      </c>
      <c r="R30" s="42"/>
      <c r="S30" s="42"/>
      <c r="T30" s="42"/>
      <c r="U30" s="42"/>
    </row>
    <row r="31" spans="1:21" s="11" customFormat="1">
      <c r="A31" s="52" t="s">
        <v>335</v>
      </c>
      <c r="B31" s="53">
        <v>15.64</v>
      </c>
      <c r="C31" s="53">
        <v>73.569999999999993</v>
      </c>
      <c r="D31" s="53">
        <v>51.79</v>
      </c>
      <c r="E31" s="53">
        <v>7.67</v>
      </c>
      <c r="F31" s="53">
        <v>4.6100000000000003</v>
      </c>
      <c r="G31" s="53">
        <v>76.010000000000005</v>
      </c>
      <c r="H31" s="53">
        <v>24.02</v>
      </c>
      <c r="I31" s="53">
        <v>6.51</v>
      </c>
      <c r="J31" s="53">
        <v>0.44</v>
      </c>
      <c r="K31" s="53">
        <v>180.49</v>
      </c>
      <c r="L31" s="53">
        <v>28.15</v>
      </c>
      <c r="M31" s="53">
        <v>49.1</v>
      </c>
      <c r="N31" s="53">
        <v>0</v>
      </c>
      <c r="O31" s="53">
        <v>0</v>
      </c>
      <c r="P31" s="53">
        <v>0.84</v>
      </c>
      <c r="Q31" s="53">
        <v>5.96</v>
      </c>
      <c r="R31" s="42"/>
      <c r="S31" s="42"/>
      <c r="T31" s="42"/>
      <c r="U31" s="42"/>
    </row>
    <row r="32" spans="1:21" s="11" customFormat="1">
      <c r="A32" s="52" t="s">
        <v>336</v>
      </c>
      <c r="B32" s="53">
        <v>23.53</v>
      </c>
      <c r="C32" s="53">
        <v>79.06</v>
      </c>
      <c r="D32" s="53">
        <v>66.31</v>
      </c>
      <c r="E32" s="53">
        <v>8.35</v>
      </c>
      <c r="F32" s="53">
        <v>5.52</v>
      </c>
      <c r="G32" s="53">
        <v>87.12</v>
      </c>
      <c r="H32" s="53">
        <v>27.25</v>
      </c>
      <c r="I32" s="53">
        <v>7.26</v>
      </c>
      <c r="J32" s="53">
        <v>0.56999999999999995</v>
      </c>
      <c r="K32" s="53">
        <v>96.8</v>
      </c>
      <c r="L32" s="53">
        <v>28.69</v>
      </c>
      <c r="M32" s="53">
        <v>46.99</v>
      </c>
      <c r="N32" s="53">
        <v>0</v>
      </c>
      <c r="O32" s="53">
        <v>0</v>
      </c>
      <c r="P32" s="53">
        <v>0.87</v>
      </c>
      <c r="Q32" s="53">
        <v>6.76</v>
      </c>
      <c r="R32" s="42"/>
      <c r="S32" s="42"/>
      <c r="T32" s="42"/>
      <c r="U32" s="42"/>
    </row>
    <row r="33" spans="1:21" s="21" customFormat="1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>
      <c r="A34" s="27" t="s">
        <v>30</v>
      </c>
      <c r="B34" s="28">
        <f t="shared" ref="B34:Q34" si="0">MIN(B9:B32)</f>
        <v>5.69</v>
      </c>
      <c r="C34" s="28">
        <f t="shared" si="0"/>
        <v>46.88</v>
      </c>
      <c r="D34" s="28">
        <f t="shared" si="0"/>
        <v>31.78</v>
      </c>
      <c r="E34" s="28">
        <f t="shared" si="0"/>
        <v>7.67</v>
      </c>
      <c r="F34" s="28">
        <f t="shared" si="0"/>
        <v>3.7</v>
      </c>
      <c r="G34" s="28">
        <f t="shared" si="0"/>
        <v>41.55</v>
      </c>
      <c r="H34" s="28">
        <f>MIN(H9:H32)</f>
        <v>17.59</v>
      </c>
      <c r="I34" s="28">
        <f t="shared" si="0"/>
        <v>4.71</v>
      </c>
      <c r="J34" s="28">
        <f t="shared" si="0"/>
        <v>0.16</v>
      </c>
      <c r="K34" s="28">
        <f t="shared" si="0"/>
        <v>96.8</v>
      </c>
      <c r="L34" s="28">
        <f t="shared" si="0"/>
        <v>24.23</v>
      </c>
      <c r="M34" s="28">
        <f t="shared" si="0"/>
        <v>14.9</v>
      </c>
      <c r="N34" s="28">
        <f t="shared" si="0"/>
        <v>0</v>
      </c>
      <c r="O34" s="28">
        <f t="shared" si="0"/>
        <v>0</v>
      </c>
      <c r="P34" s="28">
        <f t="shared" si="0"/>
        <v>0.61</v>
      </c>
      <c r="Q34" s="28">
        <f t="shared" si="0"/>
        <v>4.7300000000000004</v>
      </c>
      <c r="R34" s="28"/>
      <c r="S34" s="28"/>
      <c r="T34" s="28"/>
      <c r="U34" s="28"/>
    </row>
    <row r="35" spans="1:21" s="21" customFormat="1">
      <c r="A35" s="27" t="s">
        <v>31</v>
      </c>
      <c r="B35" s="29">
        <f t="shared" ref="B35:Q35" si="1">MAX(B9:B32)</f>
        <v>30.93</v>
      </c>
      <c r="C35" s="29">
        <f t="shared" si="1"/>
        <v>79.06</v>
      </c>
      <c r="D35" s="29">
        <f t="shared" si="1"/>
        <v>66.31</v>
      </c>
      <c r="E35" s="29">
        <f t="shared" si="1"/>
        <v>43.52</v>
      </c>
      <c r="F35" s="29">
        <f t="shared" si="1"/>
        <v>64.05</v>
      </c>
      <c r="G35" s="29">
        <f>MAX(G9:G32)</f>
        <v>91.52</v>
      </c>
      <c r="H35" s="29">
        <f>MAX(H9:H32)</f>
        <v>30.11</v>
      </c>
      <c r="I35" s="29">
        <f t="shared" si="1"/>
        <v>7.76</v>
      </c>
      <c r="J35" s="29">
        <f t="shared" si="1"/>
        <v>1.1499999999999999</v>
      </c>
      <c r="K35" s="29">
        <f t="shared" si="1"/>
        <v>347.36</v>
      </c>
      <c r="L35" s="29">
        <f t="shared" si="1"/>
        <v>39.5</v>
      </c>
      <c r="M35" s="29">
        <f t="shared" si="1"/>
        <v>68.760000000000005</v>
      </c>
      <c r="N35" s="29">
        <f t="shared" si="1"/>
        <v>774.9</v>
      </c>
      <c r="O35" s="29">
        <f t="shared" si="1"/>
        <v>0</v>
      </c>
      <c r="P35" s="29">
        <f t="shared" si="1"/>
        <v>0.87</v>
      </c>
      <c r="Q35" s="29">
        <f t="shared" si="1"/>
        <v>6.76</v>
      </c>
      <c r="R35" s="29"/>
      <c r="S35" s="29"/>
      <c r="T35" s="29"/>
      <c r="U35" s="29"/>
    </row>
    <row r="36" spans="1:21" s="21" customFormat="1">
      <c r="A36" s="27" t="s">
        <v>32</v>
      </c>
      <c r="B36" s="28">
        <f t="shared" ref="B36:Q36" si="2">AVERAGE(B9:B32)</f>
        <v>15.877500000000003</v>
      </c>
      <c r="C36" s="28">
        <f t="shared" si="2"/>
        <v>68.062499999999986</v>
      </c>
      <c r="D36" s="28">
        <f t="shared" si="2"/>
        <v>49.559999999999981</v>
      </c>
      <c r="E36" s="28">
        <f t="shared" si="2"/>
        <v>14.185833333333335</v>
      </c>
      <c r="F36" s="28">
        <f t="shared" si="2"/>
        <v>17.298749999999998</v>
      </c>
      <c r="G36" s="28">
        <f t="shared" si="2"/>
        <v>66.135416666666671</v>
      </c>
      <c r="H36" s="28">
        <f>AVERAGE(H9:H32)</f>
        <v>25.09416666666667</v>
      </c>
      <c r="I36" s="28">
        <f t="shared" si="2"/>
        <v>6.4362499999999985</v>
      </c>
      <c r="J36" s="28">
        <f t="shared" si="2"/>
        <v>0.51708333333333323</v>
      </c>
      <c r="K36" s="28">
        <f t="shared" si="2"/>
        <v>222.92291666666668</v>
      </c>
      <c r="L36" s="28">
        <f t="shared" si="2"/>
        <v>32.013750000000009</v>
      </c>
      <c r="M36" s="28">
        <f t="shared" si="2"/>
        <v>41.132500000000007</v>
      </c>
      <c r="N36" s="28">
        <f t="shared" si="2"/>
        <v>230.65416666666661</v>
      </c>
      <c r="O36" s="28">
        <f t="shared" si="2"/>
        <v>0</v>
      </c>
      <c r="P36" s="28">
        <f t="shared" si="2"/>
        <v>0.76916666666666655</v>
      </c>
      <c r="Q36" s="28">
        <f t="shared" si="2"/>
        <v>5.802083333333333</v>
      </c>
      <c r="R36" s="28"/>
      <c r="S36" s="28"/>
      <c r="T36" s="28"/>
      <c r="U36" s="28"/>
    </row>
    <row r="37" spans="1:21" s="21" customFormat="1">
      <c r="A37" s="27" t="s">
        <v>38</v>
      </c>
      <c r="B37" s="28">
        <f>STDEV(B9:B32)</f>
        <v>8.2745388680131668</v>
      </c>
      <c r="C37" s="28">
        <f t="shared" ref="C37:Q37" si="3">STDEV(C9:C32)</f>
        <v>7.2988886884893907</v>
      </c>
      <c r="D37" s="28">
        <f t="shared" si="3"/>
        <v>9.2700279067166758</v>
      </c>
      <c r="E37" s="28">
        <f t="shared" si="3"/>
        <v>8.9337566550144203</v>
      </c>
      <c r="F37" s="28">
        <f t="shared" si="3"/>
        <v>17.893461597320478</v>
      </c>
      <c r="G37" s="28">
        <f t="shared" si="3"/>
        <v>15.442529635975122</v>
      </c>
      <c r="H37" s="28">
        <f>STDEV(H9:H32)</f>
        <v>3.7737697870692872</v>
      </c>
      <c r="I37" s="28">
        <f t="shared" si="3"/>
        <v>0.82030647772117282</v>
      </c>
      <c r="J37" s="28">
        <f t="shared" si="3"/>
        <v>0.32518194461170402</v>
      </c>
      <c r="K37" s="28">
        <f t="shared" si="3"/>
        <v>69.978529159286239</v>
      </c>
      <c r="L37" s="28">
        <f t="shared" si="3"/>
        <v>5.5649499489916519</v>
      </c>
      <c r="M37" s="28">
        <f t="shared" si="3"/>
        <v>17.821720077527271</v>
      </c>
      <c r="N37" s="28">
        <f t="shared" si="3"/>
        <v>295.32629850824281</v>
      </c>
      <c r="O37" s="28">
        <f t="shared" si="3"/>
        <v>0</v>
      </c>
      <c r="P37" s="28">
        <f t="shared" si="3"/>
        <v>7.3242697612958832E-2</v>
      </c>
      <c r="Q37" s="28">
        <f t="shared" si="3"/>
        <v>0.54550319145175596</v>
      </c>
      <c r="R37" s="28"/>
      <c r="S37" s="28"/>
      <c r="T37" s="28"/>
      <c r="U37" s="28"/>
    </row>
    <row r="38" spans="1:21" s="21" customFormat="1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>COUNT(F9:F32)</f>
        <v>24</v>
      </c>
      <c r="G38" s="32">
        <f>COUNT(G9:G32)</f>
        <v>24</v>
      </c>
      <c r="H38" s="32">
        <f>COUNT(H9:H32)</f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>
      <c r="A42" s="13"/>
    </row>
    <row r="43" spans="1:21" s="21" customFormat="1">
      <c r="A43" s="14" t="s">
        <v>35</v>
      </c>
      <c r="B43" s="39" t="s">
        <v>58</v>
      </c>
      <c r="C43" s="41"/>
    </row>
    <row r="44" spans="1:21" s="21" customFormat="1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0"/>
      <c r="C45" s="40"/>
      <c r="D45" s="40"/>
      <c r="E45" s="40"/>
      <c r="F45" s="40"/>
      <c r="G45" s="40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</row>
    <row r="46" spans="1:21" s="21" customFormat="1"/>
    <row r="47" spans="1:21" s="21" customFormat="1"/>
    <row r="48" spans="1:21" s="21" customFormat="1"/>
    <row r="49" s="21" customFormat="1"/>
    <row r="50" s="21" customFormat="1"/>
    <row r="51" s="21" customFormat="1"/>
    <row r="52" s="21" customFormat="1"/>
    <row r="53" s="21" customFormat="1"/>
    <row r="54" s="21" customFormat="1"/>
    <row r="55" s="21" customFormat="1"/>
    <row r="56" s="21" customFormat="1"/>
    <row r="57" s="21" customFormat="1"/>
    <row r="58" s="21" customFormat="1"/>
    <row r="59" s="21" customFormat="1"/>
    <row r="60" s="21" customFormat="1"/>
    <row r="61" s="21" customFormat="1"/>
    <row r="62" s="21" customFormat="1"/>
    <row r="63" s="21" customFormat="1"/>
    <row r="64" s="21" customFormat="1"/>
    <row r="65" s="21" customFormat="1"/>
    <row r="66" s="21" customFormat="1"/>
    <row r="67" s="21" customFormat="1"/>
    <row r="68" s="21" customFormat="1"/>
    <row r="69" s="21" customFormat="1"/>
    <row r="70" s="21" customFormat="1"/>
    <row r="71" s="21" customFormat="1"/>
    <row r="72" s="21" customFormat="1"/>
    <row r="73" s="21" customFormat="1"/>
    <row r="74" s="21" customFormat="1"/>
    <row r="75" s="21" customFormat="1"/>
    <row r="76" s="21" customFormat="1"/>
    <row r="77" s="21" customFormat="1"/>
    <row r="78" s="21" customFormat="1"/>
    <row r="79" s="21" customFormat="1"/>
    <row r="80" s="21" customFormat="1"/>
    <row r="81" s="21" customFormat="1"/>
    <row r="82" s="21" customFormat="1"/>
    <row r="83" s="21" customFormat="1"/>
    <row r="84" s="21" customFormat="1"/>
    <row r="85" s="21" customFormat="1"/>
    <row r="86" s="21" customFormat="1"/>
    <row r="87" s="21" customFormat="1"/>
    <row r="88" s="21" customFormat="1"/>
    <row r="89" s="21" customFormat="1"/>
    <row r="90" s="21" customFormat="1"/>
    <row r="91" s="21" customFormat="1"/>
    <row r="92" s="21" customFormat="1"/>
    <row r="93" s="21" customFormat="1"/>
    <row r="94" s="21" customFormat="1"/>
    <row r="95" s="21" customFormat="1"/>
    <row r="96" s="21" customFormat="1"/>
    <row r="97" spans="1:1" s="21" customFormat="1"/>
    <row r="98" spans="1:1" s="21" customFormat="1"/>
    <row r="99" spans="1:1" s="21" customFormat="1"/>
    <row r="100" spans="1:1" s="21" customFormat="1"/>
    <row r="101" spans="1:1" s="21" customFormat="1"/>
    <row r="102" spans="1:1" s="21" customFormat="1"/>
    <row r="103" spans="1:1" s="21" customFormat="1"/>
    <row r="104" spans="1:1" s="21" customFormat="1"/>
    <row r="105" spans="1:1" s="21" customFormat="1"/>
    <row r="106" spans="1:1">
      <c r="A106" s="20"/>
    </row>
    <row r="107" spans="1:1" s="21" customFormat="1"/>
    <row r="108" spans="1:1" s="21" customFormat="1"/>
    <row r="109" spans="1:1" s="21" customFormat="1"/>
    <row r="110" spans="1:1" s="21" customFormat="1"/>
    <row r="111" spans="1:1" s="21" customFormat="1"/>
    <row r="112" spans="1:1" s="21" customFormat="1"/>
    <row r="113" spans="1:1" s="21" customFormat="1"/>
    <row r="114" spans="1:1" s="21" customFormat="1"/>
    <row r="115" spans="1:1" s="21" customFormat="1"/>
    <row r="116" spans="1:1" s="21" customFormat="1"/>
    <row r="117" spans="1:1" s="21" customFormat="1"/>
    <row r="118" spans="1:1">
      <c r="A118" s="20"/>
    </row>
    <row r="119" spans="1:1">
      <c r="A119" s="20"/>
    </row>
  </sheetData>
  <pageMargins left="0.7" right="0.7" top="0.75" bottom="0.75" header="0.3" footer="0.3"/>
  <pageSetup paperSize="9" orientation="landscape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2" ySplit="8" topLeftCell="C27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A9" sqref="A9:Q32"/>
    </sheetView>
  </sheetViews>
  <sheetFormatPr defaultColWidth="8.85546875" defaultRowHeight="1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>
      <c r="A1" s="14" t="s">
        <v>2</v>
      </c>
      <c r="B1" s="23" t="s">
        <v>55</v>
      </c>
      <c r="C1" s="36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>
      <c r="A2" s="14" t="s">
        <v>0</v>
      </c>
      <c r="B2" s="37" t="str">
        <f>$A$9</f>
        <v>12/04/2023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8" t="s">
        <v>7</v>
      </c>
      <c r="Q2" s="12"/>
      <c r="R2" s="8" t="s">
        <v>8</v>
      </c>
      <c r="S2" s="11"/>
      <c r="T2" s="11"/>
      <c r="U2" s="11"/>
    </row>
    <row r="3" spans="1:21" s="21" customFormat="1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8" t="s">
        <v>15</v>
      </c>
      <c r="Q3" s="12"/>
      <c r="R3" s="9" t="s">
        <v>15</v>
      </c>
      <c r="S3" s="11"/>
      <c r="T3" s="11"/>
      <c r="U3" s="11"/>
    </row>
    <row r="4" spans="1:21" s="21" customFormat="1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>
      <c r="A7" s="25" t="s">
        <v>21</v>
      </c>
      <c r="B7" s="48" t="s">
        <v>40</v>
      </c>
      <c r="C7" s="49" t="s">
        <v>41</v>
      </c>
      <c r="D7" s="49" t="s">
        <v>42</v>
      </c>
      <c r="E7" s="49" t="s">
        <v>43</v>
      </c>
      <c r="F7" s="49" t="s">
        <v>44</v>
      </c>
      <c r="G7" s="49" t="s">
        <v>45</v>
      </c>
      <c r="H7" s="49" t="s">
        <v>56</v>
      </c>
      <c r="I7" s="49" t="s">
        <v>46</v>
      </c>
      <c r="J7" s="49" t="s">
        <v>47</v>
      </c>
      <c r="K7" s="49" t="s">
        <v>48</v>
      </c>
      <c r="L7" s="49" t="s">
        <v>49</v>
      </c>
      <c r="M7" s="49" t="s">
        <v>50</v>
      </c>
      <c r="N7" s="49" t="s">
        <v>51</v>
      </c>
      <c r="O7" s="49" t="s">
        <v>52</v>
      </c>
      <c r="P7" s="49" t="s">
        <v>53</v>
      </c>
      <c r="Q7" s="49" t="s">
        <v>54</v>
      </c>
      <c r="R7" s="27"/>
      <c r="S7" s="29"/>
      <c r="T7" s="27"/>
      <c r="U7" s="27"/>
    </row>
    <row r="8" spans="1:21" s="21" customFormat="1">
      <c r="A8" s="25"/>
      <c r="B8" s="50" t="s">
        <v>22</v>
      </c>
      <c r="C8" s="50" t="s">
        <v>22</v>
      </c>
      <c r="D8" s="50" t="s">
        <v>22</v>
      </c>
      <c r="E8" s="50" t="s">
        <v>22</v>
      </c>
      <c r="F8" s="50" t="s">
        <v>22</v>
      </c>
      <c r="G8" s="50" t="s">
        <v>23</v>
      </c>
      <c r="H8" s="50" t="s">
        <v>22</v>
      </c>
      <c r="I8" s="50" t="s">
        <v>22</v>
      </c>
      <c r="J8" s="50" t="s">
        <v>24</v>
      </c>
      <c r="K8" s="50" t="s">
        <v>25</v>
      </c>
      <c r="L8" s="25" t="s">
        <v>27</v>
      </c>
      <c r="M8" s="50" t="s">
        <v>26</v>
      </c>
      <c r="N8" s="50" t="s">
        <v>28</v>
      </c>
      <c r="O8" s="25" t="s">
        <v>29</v>
      </c>
      <c r="P8" s="50" t="s">
        <v>22</v>
      </c>
      <c r="Q8" s="50" t="s">
        <v>22</v>
      </c>
      <c r="R8" s="27"/>
      <c r="S8" s="29"/>
      <c r="T8" s="27"/>
      <c r="U8" s="27"/>
    </row>
    <row r="9" spans="1:21" s="11" customFormat="1">
      <c r="A9" s="52" t="s">
        <v>337</v>
      </c>
      <c r="B9" s="53">
        <v>27.82</v>
      </c>
      <c r="C9" s="53">
        <v>78.3</v>
      </c>
      <c r="D9" s="53">
        <v>66.59</v>
      </c>
      <c r="E9" s="53">
        <v>8.8000000000000007</v>
      </c>
      <c r="F9" s="53">
        <v>5.09</v>
      </c>
      <c r="G9" s="53">
        <v>103.47</v>
      </c>
      <c r="H9" s="53">
        <v>29.28</v>
      </c>
      <c r="I9" s="53">
        <v>7.47</v>
      </c>
      <c r="J9" s="53">
        <v>0.25</v>
      </c>
      <c r="K9" s="53">
        <v>185.15</v>
      </c>
      <c r="L9" s="53">
        <v>27.9</v>
      </c>
      <c r="M9" s="53">
        <v>54.26</v>
      </c>
      <c r="N9" s="53">
        <v>0</v>
      </c>
      <c r="O9" s="53">
        <v>0</v>
      </c>
      <c r="P9" s="53">
        <v>0.87</v>
      </c>
      <c r="Q9" s="53">
        <v>6.94</v>
      </c>
      <c r="R9" s="42"/>
      <c r="S9" s="42"/>
      <c r="T9" s="42"/>
      <c r="U9" s="42"/>
    </row>
    <row r="10" spans="1:21" s="11" customFormat="1">
      <c r="A10" s="52" t="s">
        <v>338</v>
      </c>
      <c r="B10" s="53">
        <v>29.48</v>
      </c>
      <c r="C10" s="53">
        <v>78.599999999999994</v>
      </c>
      <c r="D10" s="53">
        <v>66.31</v>
      </c>
      <c r="E10" s="53">
        <v>8.3800000000000008</v>
      </c>
      <c r="F10" s="53">
        <v>4.2300000000000004</v>
      </c>
      <c r="G10" s="53">
        <v>103.47</v>
      </c>
      <c r="H10" s="53">
        <v>31.57</v>
      </c>
      <c r="I10" s="53">
        <v>7.69</v>
      </c>
      <c r="J10" s="53">
        <v>0.52</v>
      </c>
      <c r="K10" s="53">
        <v>185.09</v>
      </c>
      <c r="L10" s="53">
        <v>26.73</v>
      </c>
      <c r="M10" s="53">
        <v>55.78</v>
      </c>
      <c r="N10" s="53">
        <v>0</v>
      </c>
      <c r="O10" s="53">
        <v>0</v>
      </c>
      <c r="P10" s="53">
        <v>0.88</v>
      </c>
      <c r="Q10" s="53">
        <v>6.89</v>
      </c>
      <c r="R10" s="42"/>
      <c r="S10" s="42"/>
      <c r="T10" s="42"/>
      <c r="U10" s="42"/>
    </row>
    <row r="11" spans="1:21" s="11" customFormat="1">
      <c r="A11" s="52" t="s">
        <v>339</v>
      </c>
      <c r="B11" s="53">
        <v>31.01</v>
      </c>
      <c r="C11" s="53">
        <v>76.66</v>
      </c>
      <c r="D11" s="53">
        <v>66.239999999999995</v>
      </c>
      <c r="E11" s="53">
        <v>8.27</v>
      </c>
      <c r="F11" s="53">
        <v>4.22</v>
      </c>
      <c r="G11" s="53">
        <v>101.13</v>
      </c>
      <c r="H11" s="53">
        <v>31.57</v>
      </c>
      <c r="I11" s="53">
        <v>7.8</v>
      </c>
      <c r="J11" s="53">
        <v>0.2</v>
      </c>
      <c r="K11" s="53">
        <v>200.08</v>
      </c>
      <c r="L11" s="53">
        <v>26.28</v>
      </c>
      <c r="M11" s="53">
        <v>58.81</v>
      </c>
      <c r="N11" s="53">
        <v>0</v>
      </c>
      <c r="O11" s="53">
        <v>0</v>
      </c>
      <c r="P11" s="53">
        <v>0.87</v>
      </c>
      <c r="Q11" s="53">
        <v>6.92</v>
      </c>
      <c r="R11" s="42"/>
      <c r="S11" s="42"/>
      <c r="T11" s="42"/>
      <c r="U11" s="42"/>
    </row>
    <row r="12" spans="1:21" s="11" customFormat="1">
      <c r="A12" s="52" t="s">
        <v>340</v>
      </c>
      <c r="B12" s="53">
        <v>34.67</v>
      </c>
      <c r="C12" s="53">
        <v>76.040000000000006</v>
      </c>
      <c r="D12" s="53">
        <v>68.13</v>
      </c>
      <c r="E12" s="53">
        <v>8.16</v>
      </c>
      <c r="F12" s="53">
        <v>3.7</v>
      </c>
      <c r="G12" s="53">
        <v>98.08</v>
      </c>
      <c r="H12" s="53">
        <v>31.41</v>
      </c>
      <c r="I12" s="53">
        <v>7.81</v>
      </c>
      <c r="J12" s="53">
        <v>0.24</v>
      </c>
      <c r="K12" s="53">
        <v>202.1</v>
      </c>
      <c r="L12" s="53">
        <v>24.95</v>
      </c>
      <c r="M12" s="53">
        <v>64.28</v>
      </c>
      <c r="N12" s="53">
        <v>0</v>
      </c>
      <c r="O12" s="53">
        <v>0</v>
      </c>
      <c r="P12" s="53">
        <v>0.87</v>
      </c>
      <c r="Q12" s="53">
        <v>7.05</v>
      </c>
      <c r="R12" s="42"/>
      <c r="S12" s="42"/>
      <c r="T12" s="42"/>
      <c r="U12" s="42"/>
    </row>
    <row r="13" spans="1:21" s="11" customFormat="1">
      <c r="A13" s="52" t="s">
        <v>341</v>
      </c>
      <c r="B13" s="53">
        <v>35.94</v>
      </c>
      <c r="C13" s="53">
        <v>75.180000000000007</v>
      </c>
      <c r="D13" s="53">
        <v>69.45</v>
      </c>
      <c r="E13" s="53">
        <v>7.92</v>
      </c>
      <c r="F13" s="53">
        <v>3.81</v>
      </c>
      <c r="G13" s="53">
        <v>92.67</v>
      </c>
      <c r="H13" s="53">
        <v>31.41</v>
      </c>
      <c r="I13" s="53">
        <v>7.82</v>
      </c>
      <c r="J13" s="53">
        <v>0.2</v>
      </c>
      <c r="K13" s="53">
        <v>162.61000000000001</v>
      </c>
      <c r="L13" s="53">
        <v>24.83</v>
      </c>
      <c r="M13" s="53">
        <v>60.88</v>
      </c>
      <c r="N13" s="53">
        <v>0</v>
      </c>
      <c r="O13" s="53">
        <v>0</v>
      </c>
      <c r="P13" s="53">
        <v>0.87</v>
      </c>
      <c r="Q13" s="53">
        <v>7.24</v>
      </c>
      <c r="R13" s="42"/>
      <c r="S13" s="42"/>
      <c r="T13" s="42"/>
      <c r="U13" s="42"/>
    </row>
    <row r="14" spans="1:21" s="11" customFormat="1">
      <c r="A14" s="52" t="s">
        <v>342</v>
      </c>
      <c r="B14" s="53">
        <v>35.72</v>
      </c>
      <c r="C14" s="53">
        <v>76.73</v>
      </c>
      <c r="D14" s="53">
        <v>69.62</v>
      </c>
      <c r="E14" s="53">
        <v>7.08</v>
      </c>
      <c r="F14" s="53">
        <v>3.73</v>
      </c>
      <c r="G14" s="53">
        <v>91.18</v>
      </c>
      <c r="H14" s="53">
        <v>29.92</v>
      </c>
      <c r="I14" s="53">
        <v>7.72</v>
      </c>
      <c r="J14" s="53">
        <v>0.31</v>
      </c>
      <c r="K14" s="53">
        <v>191.5</v>
      </c>
      <c r="L14" s="53">
        <v>24.34</v>
      </c>
      <c r="M14" s="53">
        <v>65.38</v>
      </c>
      <c r="N14" s="53">
        <v>1.5</v>
      </c>
      <c r="O14" s="53">
        <v>0</v>
      </c>
      <c r="P14" s="53">
        <v>0.85</v>
      </c>
      <c r="Q14" s="53">
        <v>7.23</v>
      </c>
      <c r="R14" s="42"/>
      <c r="S14" s="42"/>
      <c r="T14" s="42"/>
      <c r="U14" s="42"/>
    </row>
    <row r="15" spans="1:21" s="11" customFormat="1">
      <c r="A15" s="52" t="s">
        <v>343</v>
      </c>
      <c r="B15" s="53">
        <v>38.840000000000003</v>
      </c>
      <c r="C15" s="53">
        <v>77.709999999999994</v>
      </c>
      <c r="D15" s="53">
        <v>73.099999999999994</v>
      </c>
      <c r="E15" s="53">
        <v>7.46</v>
      </c>
      <c r="F15" s="53">
        <v>3.68</v>
      </c>
      <c r="G15" s="53">
        <v>87.17</v>
      </c>
      <c r="H15" s="53">
        <v>29.62</v>
      </c>
      <c r="I15" s="53">
        <v>7.75</v>
      </c>
      <c r="J15" s="53">
        <v>0.26</v>
      </c>
      <c r="K15" s="53">
        <v>287.91000000000003</v>
      </c>
      <c r="L15" s="53">
        <v>25.78</v>
      </c>
      <c r="M15" s="53">
        <v>65.459999999999994</v>
      </c>
      <c r="N15" s="53">
        <v>48.8</v>
      </c>
      <c r="O15" s="53">
        <v>0</v>
      </c>
      <c r="P15" s="53">
        <v>0.88</v>
      </c>
      <c r="Q15" s="53">
        <v>7.39</v>
      </c>
      <c r="R15" s="42"/>
      <c r="S15" s="42"/>
      <c r="T15" s="42"/>
      <c r="U15" s="42"/>
    </row>
    <row r="16" spans="1:21" s="11" customFormat="1">
      <c r="A16" s="52" t="s">
        <v>344</v>
      </c>
      <c r="B16" s="53">
        <v>41.5</v>
      </c>
      <c r="C16" s="53">
        <v>78.81</v>
      </c>
      <c r="D16" s="53">
        <v>75.47</v>
      </c>
      <c r="E16" s="53">
        <v>6.98</v>
      </c>
      <c r="F16" s="53">
        <v>3.9</v>
      </c>
      <c r="G16" s="53">
        <v>87.17</v>
      </c>
      <c r="H16" s="53">
        <v>29.12</v>
      </c>
      <c r="I16" s="53">
        <v>8.24</v>
      </c>
      <c r="J16" s="53">
        <v>0.3</v>
      </c>
      <c r="K16" s="53">
        <v>100.17</v>
      </c>
      <c r="L16" s="53">
        <v>30.84</v>
      </c>
      <c r="M16" s="53">
        <v>46.83</v>
      </c>
      <c r="N16" s="53">
        <v>230.4</v>
      </c>
      <c r="O16" s="53">
        <v>0</v>
      </c>
      <c r="P16" s="53">
        <v>0.89</v>
      </c>
      <c r="Q16" s="53">
        <v>7.65</v>
      </c>
      <c r="R16" s="42"/>
      <c r="S16" s="42"/>
      <c r="T16" s="42"/>
      <c r="U16" s="42"/>
    </row>
    <row r="17" spans="1:21" s="11" customFormat="1">
      <c r="A17" s="52" t="s">
        <v>345</v>
      </c>
      <c r="B17" s="53">
        <v>38.94</v>
      </c>
      <c r="C17" s="53">
        <v>78.790000000000006</v>
      </c>
      <c r="D17" s="53">
        <v>73.540000000000006</v>
      </c>
      <c r="E17" s="53">
        <v>10.81</v>
      </c>
      <c r="F17" s="53">
        <v>10.89</v>
      </c>
      <c r="G17" s="53">
        <v>86.19</v>
      </c>
      <c r="H17" s="53">
        <v>27.72</v>
      </c>
      <c r="I17" s="53">
        <v>8.23</v>
      </c>
      <c r="J17" s="53">
        <v>0.42</v>
      </c>
      <c r="K17" s="53">
        <v>347.18</v>
      </c>
      <c r="L17" s="53">
        <v>34.520000000000003</v>
      </c>
      <c r="M17" s="53">
        <v>29.47</v>
      </c>
      <c r="N17" s="53">
        <v>295.2</v>
      </c>
      <c r="O17" s="53">
        <v>0</v>
      </c>
      <c r="P17" s="53">
        <v>0.89</v>
      </c>
      <c r="Q17" s="53">
        <v>7.59</v>
      </c>
      <c r="R17" s="42"/>
      <c r="S17" s="42"/>
      <c r="T17" s="42"/>
      <c r="U17" s="42"/>
    </row>
    <row r="18" spans="1:21" s="11" customFormat="1">
      <c r="A18" s="52" t="s">
        <v>346</v>
      </c>
      <c r="B18" s="53">
        <v>27.98</v>
      </c>
      <c r="C18" s="53">
        <v>71.59</v>
      </c>
      <c r="D18" s="53">
        <v>61.19</v>
      </c>
      <c r="E18" s="53">
        <v>18.350000000000001</v>
      </c>
      <c r="F18" s="53">
        <v>19.14</v>
      </c>
      <c r="G18" s="53">
        <v>85.57</v>
      </c>
      <c r="H18" s="53">
        <v>28.2</v>
      </c>
      <c r="I18" s="53">
        <v>8.09</v>
      </c>
      <c r="J18" s="53">
        <v>0.59</v>
      </c>
      <c r="K18" s="53">
        <v>215.97</v>
      </c>
      <c r="L18" s="53">
        <v>37.44</v>
      </c>
      <c r="M18" s="53">
        <v>21.52</v>
      </c>
      <c r="N18" s="53">
        <v>530.20000000000005</v>
      </c>
      <c r="O18" s="53">
        <v>0</v>
      </c>
      <c r="P18" s="53">
        <v>0.86</v>
      </c>
      <c r="Q18" s="53">
        <v>7.01</v>
      </c>
      <c r="R18" s="42"/>
      <c r="S18" s="42"/>
      <c r="T18" s="42"/>
      <c r="U18" s="42"/>
    </row>
    <row r="19" spans="1:21" s="11" customFormat="1">
      <c r="A19" s="52" t="s">
        <v>347</v>
      </c>
      <c r="B19" s="53">
        <v>19.59</v>
      </c>
      <c r="C19" s="53">
        <v>71.5</v>
      </c>
      <c r="D19" s="53">
        <v>54.65</v>
      </c>
      <c r="E19" s="53">
        <v>22.22</v>
      </c>
      <c r="F19" s="53">
        <v>24.66</v>
      </c>
      <c r="G19" s="53">
        <v>74.86</v>
      </c>
      <c r="H19" s="53">
        <v>28.2</v>
      </c>
      <c r="I19" s="53">
        <v>7.2</v>
      </c>
      <c r="J19" s="53">
        <v>0.85</v>
      </c>
      <c r="K19" s="53">
        <v>108.34</v>
      </c>
      <c r="L19" s="53">
        <v>39.130000000000003</v>
      </c>
      <c r="M19" s="53">
        <v>11.26</v>
      </c>
      <c r="N19" s="53">
        <v>692.3</v>
      </c>
      <c r="O19" s="53">
        <v>0</v>
      </c>
      <c r="P19" s="53">
        <v>0.74</v>
      </c>
      <c r="Q19" s="53">
        <v>6.41</v>
      </c>
      <c r="R19" s="42"/>
      <c r="S19" s="42"/>
      <c r="T19" s="42"/>
      <c r="U19" s="42"/>
    </row>
    <row r="20" spans="1:21" s="11" customFormat="1">
      <c r="A20" s="52" t="s">
        <v>348</v>
      </c>
      <c r="B20" s="53">
        <v>12.62</v>
      </c>
      <c r="C20" s="53">
        <v>65.25</v>
      </c>
      <c r="D20" s="53">
        <v>44.86</v>
      </c>
      <c r="E20" s="53">
        <v>30.75</v>
      </c>
      <c r="F20" s="53">
        <v>44.97</v>
      </c>
      <c r="G20" s="53">
        <v>65.14</v>
      </c>
      <c r="H20" s="53">
        <v>26.49</v>
      </c>
      <c r="I20" s="53">
        <v>6.5</v>
      </c>
      <c r="J20" s="53">
        <v>0.62</v>
      </c>
      <c r="K20" s="53">
        <v>225.84</v>
      </c>
      <c r="L20" s="53">
        <v>39.909999999999997</v>
      </c>
      <c r="M20" s="53">
        <v>11.39</v>
      </c>
      <c r="N20" s="53">
        <v>757.7</v>
      </c>
      <c r="O20" s="53">
        <v>0</v>
      </c>
      <c r="P20" s="53">
        <v>0.66</v>
      </c>
      <c r="Q20" s="53">
        <v>5.91</v>
      </c>
      <c r="R20" s="42"/>
      <c r="S20" s="42"/>
      <c r="T20" s="42"/>
      <c r="U20" s="42"/>
    </row>
    <row r="21" spans="1:21" s="11" customFormat="1">
      <c r="A21" s="52" t="s">
        <v>349</v>
      </c>
      <c r="B21" s="53">
        <v>8.4</v>
      </c>
      <c r="C21" s="53">
        <v>62.63</v>
      </c>
      <c r="D21" s="53">
        <v>40.81</v>
      </c>
      <c r="E21" s="53">
        <v>22.76</v>
      </c>
      <c r="F21" s="53">
        <v>46.31</v>
      </c>
      <c r="G21" s="53">
        <v>61.85</v>
      </c>
      <c r="H21" s="53">
        <v>23.26</v>
      </c>
      <c r="I21" s="53">
        <v>5.99</v>
      </c>
      <c r="J21" s="53">
        <v>0.69</v>
      </c>
      <c r="K21" s="53">
        <v>163.41999999999999</v>
      </c>
      <c r="L21" s="53">
        <v>40.590000000000003</v>
      </c>
      <c r="M21" s="53">
        <v>11.48</v>
      </c>
      <c r="N21" s="53">
        <v>768.9</v>
      </c>
      <c r="O21" s="53">
        <v>0</v>
      </c>
      <c r="P21" s="53">
        <v>0.65</v>
      </c>
      <c r="Q21" s="53">
        <v>5.37</v>
      </c>
      <c r="R21" s="42"/>
      <c r="S21" s="42"/>
      <c r="T21" s="42"/>
      <c r="U21" s="42"/>
    </row>
    <row r="22" spans="1:21" s="11" customFormat="1">
      <c r="A22" s="52" t="s">
        <v>350</v>
      </c>
      <c r="B22" s="53">
        <v>6.07</v>
      </c>
      <c r="C22" s="53">
        <v>62.62</v>
      </c>
      <c r="D22" s="53">
        <v>38.6</v>
      </c>
      <c r="E22" s="53">
        <v>18.7</v>
      </c>
      <c r="F22" s="53">
        <v>44.08</v>
      </c>
      <c r="G22" s="53">
        <v>55.24</v>
      </c>
      <c r="H22" s="53">
        <v>23.95</v>
      </c>
      <c r="I22" s="53">
        <v>5.64</v>
      </c>
      <c r="J22" s="53">
        <v>0.64</v>
      </c>
      <c r="K22" s="53">
        <v>275.79000000000002</v>
      </c>
      <c r="L22" s="53">
        <v>41.25</v>
      </c>
      <c r="M22" s="53">
        <v>11.41</v>
      </c>
      <c r="N22" s="53">
        <v>749.4</v>
      </c>
      <c r="O22" s="53">
        <v>0</v>
      </c>
      <c r="P22" s="53">
        <v>0.6</v>
      </c>
      <c r="Q22" s="53">
        <v>5.04</v>
      </c>
      <c r="R22" s="42"/>
      <c r="S22" s="42"/>
      <c r="T22" s="42"/>
      <c r="U22" s="42"/>
    </row>
    <row r="23" spans="1:21" s="11" customFormat="1">
      <c r="A23" s="52" t="s">
        <v>351</v>
      </c>
      <c r="B23" s="53">
        <v>5.45</v>
      </c>
      <c r="C23" s="53">
        <v>61.91</v>
      </c>
      <c r="D23" s="53">
        <v>37.92</v>
      </c>
      <c r="E23" s="53">
        <v>16.86</v>
      </c>
      <c r="F23" s="53">
        <v>37.51</v>
      </c>
      <c r="G23" s="53">
        <v>47.64</v>
      </c>
      <c r="H23" s="53">
        <v>23.95</v>
      </c>
      <c r="I23" s="53">
        <v>5.96</v>
      </c>
      <c r="J23" s="53">
        <v>0.84</v>
      </c>
      <c r="K23" s="53">
        <v>283.76</v>
      </c>
      <c r="L23" s="53">
        <v>41.03</v>
      </c>
      <c r="M23" s="53">
        <v>10.63</v>
      </c>
      <c r="N23" s="53">
        <v>685.2</v>
      </c>
      <c r="O23" s="53">
        <v>0</v>
      </c>
      <c r="P23" s="53">
        <v>0.59</v>
      </c>
      <c r="Q23" s="53">
        <v>5.14</v>
      </c>
      <c r="R23" s="42"/>
      <c r="S23" s="42"/>
      <c r="T23" s="42"/>
      <c r="U23" s="42"/>
    </row>
    <row r="24" spans="1:21" s="11" customFormat="1">
      <c r="A24" s="52" t="s">
        <v>352</v>
      </c>
      <c r="B24" s="53">
        <v>5.32</v>
      </c>
      <c r="C24" s="53">
        <v>60.17</v>
      </c>
      <c r="D24" s="53">
        <v>37.06</v>
      </c>
      <c r="E24" s="53">
        <v>21.11</v>
      </c>
      <c r="F24" s="53">
        <v>48.89</v>
      </c>
      <c r="G24" s="53">
        <v>50.17</v>
      </c>
      <c r="H24" s="53">
        <v>21.99</v>
      </c>
      <c r="I24" s="53">
        <v>5.46</v>
      </c>
      <c r="J24" s="53">
        <v>0.41</v>
      </c>
      <c r="K24" s="53">
        <v>326.74</v>
      </c>
      <c r="L24" s="53">
        <v>41.05</v>
      </c>
      <c r="M24" s="53">
        <v>10.98</v>
      </c>
      <c r="N24" s="53">
        <v>476.9</v>
      </c>
      <c r="O24" s="53">
        <v>0</v>
      </c>
      <c r="P24" s="53">
        <v>0.57999999999999996</v>
      </c>
      <c r="Q24" s="53">
        <v>5.16</v>
      </c>
      <c r="R24" s="42"/>
      <c r="S24" s="42"/>
      <c r="T24" s="42"/>
      <c r="U24" s="42"/>
    </row>
    <row r="25" spans="1:21" s="11" customFormat="1">
      <c r="A25" s="52" t="s">
        <v>353</v>
      </c>
      <c r="B25" s="53">
        <v>5.24</v>
      </c>
      <c r="C25" s="53">
        <v>58.68</v>
      </c>
      <c r="D25" s="53">
        <v>36.21</v>
      </c>
      <c r="E25" s="53">
        <v>25.48</v>
      </c>
      <c r="F25" s="53">
        <v>68.19</v>
      </c>
      <c r="G25" s="53">
        <v>52</v>
      </c>
      <c r="H25" s="53">
        <v>21.9</v>
      </c>
      <c r="I25" s="53">
        <v>5.03</v>
      </c>
      <c r="J25" s="53">
        <v>0.41</v>
      </c>
      <c r="K25" s="53">
        <v>203.46</v>
      </c>
      <c r="L25" s="53">
        <v>40.869999999999997</v>
      </c>
      <c r="M25" s="53">
        <v>13.4</v>
      </c>
      <c r="N25" s="53">
        <v>260</v>
      </c>
      <c r="O25" s="53">
        <v>0</v>
      </c>
      <c r="P25" s="53">
        <v>0.56000000000000005</v>
      </c>
      <c r="Q25" s="53">
        <v>5.07</v>
      </c>
      <c r="R25" s="42"/>
      <c r="S25" s="42"/>
      <c r="T25" s="42"/>
      <c r="U25" s="42"/>
    </row>
    <row r="26" spans="1:21" s="11" customFormat="1">
      <c r="A26" s="52" t="s">
        <v>354</v>
      </c>
      <c r="B26" s="53">
        <v>4.59</v>
      </c>
      <c r="C26" s="53">
        <v>56.44</v>
      </c>
      <c r="D26" s="53">
        <v>34.520000000000003</v>
      </c>
      <c r="E26" s="53">
        <v>23.82</v>
      </c>
      <c r="F26" s="53">
        <v>63.53</v>
      </c>
      <c r="G26" s="53">
        <v>52</v>
      </c>
      <c r="H26" s="53">
        <v>21.75</v>
      </c>
      <c r="I26" s="53">
        <v>4.32</v>
      </c>
      <c r="J26" s="53">
        <v>0.31</v>
      </c>
      <c r="K26" s="53">
        <v>225.12</v>
      </c>
      <c r="L26" s="53">
        <v>38.71</v>
      </c>
      <c r="M26" s="53">
        <v>18.89</v>
      </c>
      <c r="N26" s="53">
        <v>88.8</v>
      </c>
      <c r="O26" s="53">
        <v>0</v>
      </c>
      <c r="P26" s="53">
        <v>0.54</v>
      </c>
      <c r="Q26" s="53">
        <v>4.95</v>
      </c>
      <c r="R26" s="42"/>
      <c r="S26" s="42"/>
      <c r="T26" s="42"/>
      <c r="U26" s="42"/>
    </row>
    <row r="27" spans="1:21" s="11" customFormat="1">
      <c r="A27" s="52" t="s">
        <v>355</v>
      </c>
      <c r="B27" s="53">
        <v>4.82</v>
      </c>
      <c r="C27" s="53">
        <v>52.3</v>
      </c>
      <c r="D27" s="53">
        <v>32.54</v>
      </c>
      <c r="E27" s="53">
        <v>16.309999999999999</v>
      </c>
      <c r="F27" s="53">
        <v>54.7</v>
      </c>
      <c r="G27" s="53">
        <v>54.55</v>
      </c>
      <c r="H27" s="53">
        <v>22.13</v>
      </c>
      <c r="I27" s="53">
        <v>4.3899999999999997</v>
      </c>
      <c r="J27" s="53">
        <v>0.28000000000000003</v>
      </c>
      <c r="K27" s="53">
        <v>156.5</v>
      </c>
      <c r="L27" s="53">
        <v>35.299999999999997</v>
      </c>
      <c r="M27" s="53">
        <v>28.62</v>
      </c>
      <c r="N27" s="53">
        <v>0.2</v>
      </c>
      <c r="O27" s="53">
        <v>0</v>
      </c>
      <c r="P27" s="53">
        <v>0.59</v>
      </c>
      <c r="Q27" s="53">
        <v>4.83</v>
      </c>
      <c r="R27" s="42"/>
      <c r="S27" s="42"/>
      <c r="T27" s="42"/>
      <c r="U27" s="42"/>
    </row>
    <row r="28" spans="1:21" s="11" customFormat="1">
      <c r="A28" s="52" t="s">
        <v>356</v>
      </c>
      <c r="B28" s="53">
        <v>6.01</v>
      </c>
      <c r="C28" s="53">
        <v>54.56</v>
      </c>
      <c r="D28" s="53">
        <v>34.67</v>
      </c>
      <c r="E28" s="53">
        <v>16.149999999999999</v>
      </c>
      <c r="F28" s="53">
        <v>42.09</v>
      </c>
      <c r="G28" s="53">
        <v>56.98</v>
      </c>
      <c r="H28" s="53">
        <v>22.13</v>
      </c>
      <c r="I28" s="53">
        <v>5.27</v>
      </c>
      <c r="J28" s="53">
        <v>0.2</v>
      </c>
      <c r="K28" s="53">
        <v>198.14</v>
      </c>
      <c r="L28" s="53">
        <v>32.340000000000003</v>
      </c>
      <c r="M28" s="53">
        <v>34.15</v>
      </c>
      <c r="N28" s="53">
        <v>0</v>
      </c>
      <c r="O28" s="53">
        <v>0</v>
      </c>
      <c r="P28" s="53">
        <v>0.63</v>
      </c>
      <c r="Q28" s="53">
        <v>4.72</v>
      </c>
      <c r="R28" s="42"/>
      <c r="S28" s="42"/>
      <c r="T28" s="42"/>
      <c r="U28" s="42"/>
    </row>
    <row r="29" spans="1:21" s="11" customFormat="1">
      <c r="A29" s="52" t="s">
        <v>357</v>
      </c>
      <c r="B29" s="53">
        <v>7.2</v>
      </c>
      <c r="C29" s="53">
        <v>53.2</v>
      </c>
      <c r="D29" s="53">
        <v>34.74</v>
      </c>
      <c r="E29" s="53">
        <v>12.58</v>
      </c>
      <c r="F29" s="53">
        <v>26.71</v>
      </c>
      <c r="G29" s="53">
        <v>64.739999999999995</v>
      </c>
      <c r="H29" s="53">
        <v>23.65</v>
      </c>
      <c r="I29" s="53">
        <v>6.01</v>
      </c>
      <c r="J29" s="53">
        <v>0.23</v>
      </c>
      <c r="K29" s="53">
        <v>162.11000000000001</v>
      </c>
      <c r="L29" s="53">
        <v>30.8</v>
      </c>
      <c r="M29" s="53">
        <v>35.04</v>
      </c>
      <c r="N29" s="53">
        <v>0</v>
      </c>
      <c r="O29" s="53">
        <v>0</v>
      </c>
      <c r="P29" s="53">
        <v>0.69</v>
      </c>
      <c r="Q29" s="53">
        <v>4.8099999999999996</v>
      </c>
      <c r="R29" s="42"/>
      <c r="S29" s="42"/>
      <c r="T29" s="42"/>
      <c r="U29" s="42"/>
    </row>
    <row r="30" spans="1:21" s="11" customFormat="1">
      <c r="A30" s="52" t="s">
        <v>358</v>
      </c>
      <c r="B30" s="53">
        <v>8.3800000000000008</v>
      </c>
      <c r="C30" s="53">
        <v>56.55</v>
      </c>
      <c r="D30" s="53">
        <v>37.549999999999997</v>
      </c>
      <c r="E30" s="53">
        <v>10.76</v>
      </c>
      <c r="F30" s="53">
        <v>25.13</v>
      </c>
      <c r="G30" s="53">
        <v>67.88</v>
      </c>
      <c r="H30" s="53">
        <v>27.11</v>
      </c>
      <c r="I30" s="53">
        <v>6.12</v>
      </c>
      <c r="J30" s="53">
        <v>0.21</v>
      </c>
      <c r="K30" s="53">
        <v>167.11</v>
      </c>
      <c r="L30" s="53">
        <v>29.66</v>
      </c>
      <c r="M30" s="53">
        <v>39.81</v>
      </c>
      <c r="N30" s="53">
        <v>0</v>
      </c>
      <c r="O30" s="53">
        <v>0</v>
      </c>
      <c r="P30" s="53">
        <v>0.7</v>
      </c>
      <c r="Q30" s="53">
        <v>4.95</v>
      </c>
      <c r="R30" s="42"/>
      <c r="S30" s="42"/>
      <c r="T30" s="42"/>
      <c r="U30" s="42"/>
    </row>
    <row r="31" spans="1:21" s="11" customFormat="1">
      <c r="A31" s="52" t="s">
        <v>359</v>
      </c>
      <c r="B31" s="53">
        <v>9.8699999999999992</v>
      </c>
      <c r="C31" s="53">
        <v>57.94</v>
      </c>
      <c r="D31" s="53">
        <v>39.54</v>
      </c>
      <c r="E31" s="53">
        <v>8.99</v>
      </c>
      <c r="F31" s="53">
        <v>13.56</v>
      </c>
      <c r="G31" s="53">
        <v>69.319999999999993</v>
      </c>
      <c r="H31" s="53">
        <v>27.11</v>
      </c>
      <c r="I31" s="53">
        <v>6.15</v>
      </c>
      <c r="J31" s="53">
        <v>0.27</v>
      </c>
      <c r="K31" s="53">
        <v>174.1</v>
      </c>
      <c r="L31" s="53">
        <v>28.55</v>
      </c>
      <c r="M31" s="53">
        <v>42.88</v>
      </c>
      <c r="N31" s="53">
        <v>0</v>
      </c>
      <c r="O31" s="53">
        <v>0</v>
      </c>
      <c r="P31" s="53">
        <v>0.71</v>
      </c>
      <c r="Q31" s="53">
        <v>5.0999999999999996</v>
      </c>
      <c r="R31" s="42"/>
      <c r="S31" s="42"/>
      <c r="T31" s="42"/>
      <c r="U31" s="42"/>
    </row>
    <row r="32" spans="1:21" s="11" customFormat="1">
      <c r="A32" s="52" t="s">
        <v>360</v>
      </c>
      <c r="B32" s="53">
        <v>12.18</v>
      </c>
      <c r="C32" s="53">
        <v>63.18</v>
      </c>
      <c r="D32" s="53">
        <v>44.13</v>
      </c>
      <c r="E32" s="53">
        <v>8.33</v>
      </c>
      <c r="F32" s="53">
        <v>12.07</v>
      </c>
      <c r="G32" s="53">
        <v>69.86</v>
      </c>
      <c r="H32" s="53">
        <v>27.1</v>
      </c>
      <c r="I32" s="53">
        <v>6.09</v>
      </c>
      <c r="J32" s="53">
        <v>0.27</v>
      </c>
      <c r="K32" s="53">
        <v>191.73</v>
      </c>
      <c r="L32" s="53">
        <v>28.1</v>
      </c>
      <c r="M32" s="53">
        <v>44.86</v>
      </c>
      <c r="N32" s="53">
        <v>0</v>
      </c>
      <c r="O32" s="53">
        <v>0</v>
      </c>
      <c r="P32" s="53">
        <v>0.73</v>
      </c>
      <c r="Q32" s="53">
        <v>5.37</v>
      </c>
      <c r="R32" s="42"/>
      <c r="S32" s="42"/>
      <c r="T32" s="42"/>
      <c r="U32" s="42"/>
    </row>
    <row r="33" spans="1:21" s="21" customFormat="1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>
      <c r="A34" s="27" t="s">
        <v>30</v>
      </c>
      <c r="B34" s="28">
        <f t="shared" ref="B34:Q34" si="0">MIN(B9:B32)</f>
        <v>4.59</v>
      </c>
      <c r="C34" s="28">
        <f t="shared" si="0"/>
        <v>52.3</v>
      </c>
      <c r="D34" s="28">
        <f t="shared" si="0"/>
        <v>32.54</v>
      </c>
      <c r="E34" s="28">
        <f t="shared" si="0"/>
        <v>6.98</v>
      </c>
      <c r="F34" s="28">
        <f t="shared" si="0"/>
        <v>3.68</v>
      </c>
      <c r="G34" s="28">
        <f t="shared" si="0"/>
        <v>47.64</v>
      </c>
      <c r="H34" s="28">
        <f>MIN(H9:H32)</f>
        <v>21.75</v>
      </c>
      <c r="I34" s="28">
        <f t="shared" si="0"/>
        <v>4.32</v>
      </c>
      <c r="J34" s="28">
        <f t="shared" si="0"/>
        <v>0.2</v>
      </c>
      <c r="K34" s="28">
        <f t="shared" si="0"/>
        <v>100.17</v>
      </c>
      <c r="L34" s="28">
        <f t="shared" si="0"/>
        <v>24.34</v>
      </c>
      <c r="M34" s="28">
        <f t="shared" si="0"/>
        <v>10.63</v>
      </c>
      <c r="N34" s="28">
        <f t="shared" si="0"/>
        <v>0</v>
      </c>
      <c r="O34" s="28">
        <f t="shared" si="0"/>
        <v>0</v>
      </c>
      <c r="P34" s="28">
        <f t="shared" si="0"/>
        <v>0.54</v>
      </c>
      <c r="Q34" s="28">
        <f t="shared" si="0"/>
        <v>4.72</v>
      </c>
      <c r="R34" s="28"/>
      <c r="S34" s="28"/>
      <c r="T34" s="28"/>
      <c r="U34" s="28"/>
    </row>
    <row r="35" spans="1:21" s="21" customFormat="1">
      <c r="A35" s="27" t="s">
        <v>31</v>
      </c>
      <c r="B35" s="29">
        <f t="shared" ref="B35:Q35" si="1">MAX(B9:B32)</f>
        <v>41.5</v>
      </c>
      <c r="C35" s="29">
        <f t="shared" si="1"/>
        <v>78.81</v>
      </c>
      <c r="D35" s="29">
        <f t="shared" si="1"/>
        <v>75.47</v>
      </c>
      <c r="E35" s="29">
        <f t="shared" si="1"/>
        <v>30.75</v>
      </c>
      <c r="F35" s="29">
        <f t="shared" si="1"/>
        <v>68.19</v>
      </c>
      <c r="G35" s="29">
        <f>MAX(G9:G32)</f>
        <v>103.47</v>
      </c>
      <c r="H35" s="29">
        <f>MAX(H9:H32)</f>
        <v>31.57</v>
      </c>
      <c r="I35" s="29">
        <f t="shared" si="1"/>
        <v>8.24</v>
      </c>
      <c r="J35" s="29">
        <f t="shared" si="1"/>
        <v>0.85</v>
      </c>
      <c r="K35" s="29">
        <f t="shared" si="1"/>
        <v>347.18</v>
      </c>
      <c r="L35" s="29">
        <f t="shared" si="1"/>
        <v>41.25</v>
      </c>
      <c r="M35" s="29">
        <f t="shared" si="1"/>
        <v>65.459999999999994</v>
      </c>
      <c r="N35" s="29">
        <f t="shared" si="1"/>
        <v>768.9</v>
      </c>
      <c r="O35" s="29">
        <f t="shared" si="1"/>
        <v>0</v>
      </c>
      <c r="P35" s="29">
        <f t="shared" si="1"/>
        <v>0.89</v>
      </c>
      <c r="Q35" s="29">
        <f t="shared" si="1"/>
        <v>7.65</v>
      </c>
      <c r="R35" s="29"/>
      <c r="S35" s="29"/>
      <c r="T35" s="29"/>
      <c r="U35" s="29"/>
    </row>
    <row r="36" spans="1:21" s="21" customFormat="1">
      <c r="A36" s="27" t="s">
        <v>32</v>
      </c>
      <c r="B36" s="28">
        <f t="shared" ref="B36:Q36" si="2">AVERAGE(B9:B32)</f>
        <v>19.068333333333332</v>
      </c>
      <c r="C36" s="28">
        <f t="shared" si="2"/>
        <v>66.889166666666668</v>
      </c>
      <c r="D36" s="28">
        <f t="shared" si="2"/>
        <v>51.559999999999995</v>
      </c>
      <c r="E36" s="28">
        <f t="shared" si="2"/>
        <v>14.459583333333333</v>
      </c>
      <c r="F36" s="28">
        <f t="shared" si="2"/>
        <v>25.616249999999997</v>
      </c>
      <c r="G36" s="28">
        <f t="shared" si="2"/>
        <v>74.09708333333333</v>
      </c>
      <c r="H36" s="28">
        <f>AVERAGE(H9:H32)</f>
        <v>26.689166666666665</v>
      </c>
      <c r="I36" s="28">
        <f t="shared" si="2"/>
        <v>6.614583333333333</v>
      </c>
      <c r="J36" s="28">
        <f t="shared" si="2"/>
        <v>0.39666666666666656</v>
      </c>
      <c r="K36" s="28">
        <f t="shared" si="2"/>
        <v>205.83</v>
      </c>
      <c r="L36" s="28">
        <f t="shared" si="2"/>
        <v>32.954166666666659</v>
      </c>
      <c r="M36" s="28">
        <f t="shared" si="2"/>
        <v>35.311249999999994</v>
      </c>
      <c r="N36" s="28">
        <f t="shared" si="2"/>
        <v>232.72916666666666</v>
      </c>
      <c r="O36" s="28">
        <f t="shared" si="2"/>
        <v>0</v>
      </c>
      <c r="P36" s="28">
        <f t="shared" si="2"/>
        <v>0.73749999999999993</v>
      </c>
      <c r="Q36" s="28">
        <f t="shared" si="2"/>
        <v>6.0308333333333328</v>
      </c>
      <c r="R36" s="28"/>
      <c r="S36" s="28"/>
      <c r="T36" s="28"/>
      <c r="U36" s="28"/>
    </row>
    <row r="37" spans="1:21" s="21" customFormat="1">
      <c r="A37" s="27" t="s">
        <v>38</v>
      </c>
      <c r="B37" s="28">
        <f>STDEV(B9:B32)</f>
        <v>13.771387371827414</v>
      </c>
      <c r="C37" s="28">
        <f t="shared" ref="C37:Q37" si="3">STDEV(C9:C32)</f>
        <v>9.5436730312566453</v>
      </c>
      <c r="D37" s="28">
        <f t="shared" si="3"/>
        <v>15.849042763578524</v>
      </c>
      <c r="E37" s="28">
        <f t="shared" si="3"/>
        <v>7.0406635551701733</v>
      </c>
      <c r="F37" s="28">
        <f t="shared" si="3"/>
        <v>21.374714808674614</v>
      </c>
      <c r="G37" s="28">
        <f t="shared" si="3"/>
        <v>18.609772673229415</v>
      </c>
      <c r="H37" s="28">
        <f>STDEV(H9:H32)</f>
        <v>3.47065326098289</v>
      </c>
      <c r="I37" s="28">
        <f t="shared" si="3"/>
        <v>1.2372162974462744</v>
      </c>
      <c r="J37" s="28">
        <f t="shared" si="3"/>
        <v>0.2047409108598236</v>
      </c>
      <c r="K37" s="28">
        <f t="shared" si="3"/>
        <v>61.055397297294249</v>
      </c>
      <c r="L37" s="28">
        <f t="shared" si="3"/>
        <v>6.2420369561801783</v>
      </c>
      <c r="M37" s="28">
        <f t="shared" si="3"/>
        <v>20.268804754983769</v>
      </c>
      <c r="N37" s="28">
        <f t="shared" si="3"/>
        <v>302.34075575512423</v>
      </c>
      <c r="O37" s="28">
        <f t="shared" si="3"/>
        <v>0</v>
      </c>
      <c r="P37" s="28">
        <f t="shared" si="3"/>
        <v>0.12725359822366356</v>
      </c>
      <c r="Q37" s="28">
        <f t="shared" si="3"/>
        <v>1.0732960881106564</v>
      </c>
      <c r="R37" s="28"/>
      <c r="S37" s="28"/>
      <c r="T37" s="28"/>
      <c r="U37" s="28"/>
    </row>
    <row r="38" spans="1:21" s="21" customFormat="1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>COUNT(F9:F32)</f>
        <v>24</v>
      </c>
      <c r="G38" s="32">
        <f>COUNT(G9:G32)</f>
        <v>24</v>
      </c>
      <c r="H38" s="32">
        <f>COUNT(H9:H32)</f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>
      <c r="A42" s="13"/>
    </row>
    <row r="43" spans="1:21" s="21" customFormat="1">
      <c r="A43" s="14" t="s">
        <v>35</v>
      </c>
      <c r="B43" s="39" t="s">
        <v>58</v>
      </c>
      <c r="C43" s="41"/>
    </row>
    <row r="44" spans="1:21" s="21" customFormat="1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0"/>
      <c r="C45" s="40"/>
      <c r="D45" s="40"/>
      <c r="E45" s="40"/>
      <c r="F45" s="40"/>
      <c r="G45" s="40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</row>
    <row r="46" spans="1:21" s="21" customFormat="1"/>
    <row r="47" spans="1:21" s="21" customFormat="1"/>
    <row r="48" spans="1:21" s="21" customFormat="1"/>
    <row r="49" s="21" customFormat="1"/>
    <row r="50" s="21" customFormat="1"/>
    <row r="51" s="21" customFormat="1"/>
    <row r="52" s="21" customFormat="1"/>
    <row r="53" s="21" customFormat="1"/>
    <row r="54" s="21" customFormat="1"/>
    <row r="55" s="21" customFormat="1"/>
    <row r="56" s="21" customFormat="1"/>
    <row r="57" s="21" customFormat="1"/>
    <row r="58" s="21" customFormat="1"/>
    <row r="59" s="21" customFormat="1"/>
    <row r="60" s="21" customFormat="1"/>
    <row r="61" s="21" customFormat="1"/>
    <row r="62" s="21" customFormat="1"/>
    <row r="63" s="21" customFormat="1"/>
    <row r="64" s="21" customFormat="1"/>
    <row r="65" s="21" customFormat="1"/>
    <row r="66" s="21" customFormat="1"/>
    <row r="67" s="21" customFormat="1"/>
    <row r="68" s="21" customFormat="1"/>
    <row r="69" s="21" customFormat="1"/>
    <row r="70" s="21" customFormat="1"/>
    <row r="71" s="21" customFormat="1"/>
    <row r="72" s="21" customFormat="1"/>
    <row r="73" s="21" customFormat="1"/>
    <row r="74" s="21" customFormat="1"/>
    <row r="75" s="21" customFormat="1"/>
    <row r="76" s="21" customFormat="1"/>
    <row r="77" s="21" customFormat="1"/>
    <row r="78" s="21" customFormat="1"/>
    <row r="79" s="21" customFormat="1"/>
    <row r="80" s="21" customFormat="1"/>
    <row r="81" s="21" customFormat="1"/>
    <row r="82" s="21" customFormat="1"/>
    <row r="83" s="21" customFormat="1"/>
    <row r="84" s="21" customFormat="1"/>
    <row r="85" s="21" customFormat="1"/>
    <row r="86" s="21" customFormat="1"/>
    <row r="87" s="21" customFormat="1"/>
    <row r="88" s="21" customFormat="1"/>
    <row r="89" s="21" customFormat="1"/>
    <row r="90" s="21" customFormat="1"/>
    <row r="91" s="21" customFormat="1"/>
    <row r="92" s="21" customFormat="1"/>
    <row r="93" s="21" customFormat="1"/>
    <row r="94" s="21" customFormat="1"/>
    <row r="95" s="21" customFormat="1"/>
    <row r="96" s="21" customFormat="1"/>
    <row r="97" spans="1:1" s="21" customFormat="1"/>
    <row r="98" spans="1:1" s="21" customFormat="1"/>
    <row r="99" spans="1:1" s="21" customFormat="1"/>
    <row r="100" spans="1:1" s="21" customFormat="1"/>
    <row r="101" spans="1:1" s="21" customFormat="1"/>
    <row r="102" spans="1:1" s="21" customFormat="1"/>
    <row r="103" spans="1:1" s="21" customFormat="1"/>
    <row r="104" spans="1:1" s="21" customFormat="1"/>
    <row r="105" spans="1:1" s="21" customFormat="1"/>
    <row r="106" spans="1:1">
      <c r="A106" s="20"/>
    </row>
    <row r="107" spans="1:1" s="21" customFormat="1"/>
    <row r="108" spans="1:1" s="21" customFormat="1"/>
    <row r="109" spans="1:1" s="21" customFormat="1"/>
    <row r="110" spans="1:1" s="21" customFormat="1"/>
    <row r="111" spans="1:1" s="21" customFormat="1"/>
    <row r="112" spans="1:1" s="21" customFormat="1"/>
    <row r="113" spans="1:1" s="21" customFormat="1"/>
    <row r="114" spans="1:1" s="21" customFormat="1"/>
    <row r="115" spans="1:1" s="21" customFormat="1"/>
    <row r="116" spans="1:1" s="21" customFormat="1"/>
    <row r="117" spans="1:1" s="21" customFormat="1"/>
    <row r="118" spans="1:1">
      <c r="A118" s="20"/>
    </row>
    <row r="119" spans="1:1">
      <c r="A119" s="20"/>
    </row>
  </sheetData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2" ySplit="8" topLeftCell="C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A9" sqref="A9:Q32"/>
    </sheetView>
  </sheetViews>
  <sheetFormatPr defaultColWidth="8.85546875" defaultRowHeight="15"/>
  <cols>
    <col min="1" max="1" width="18.28515625" style="26" customWidth="1"/>
    <col min="2" max="2" width="13.855468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>
      <c r="A1" s="14" t="s">
        <v>2</v>
      </c>
      <c r="B1" s="23" t="s">
        <v>55</v>
      </c>
      <c r="C1" s="36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>
      <c r="A2" s="14" t="s">
        <v>0</v>
      </c>
      <c r="B2" s="37">
        <f>$A$9</f>
        <v>45029.041666666664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8" t="s">
        <v>7</v>
      </c>
      <c r="Q2" s="12"/>
      <c r="R2" s="8" t="s">
        <v>8</v>
      </c>
      <c r="S2" s="11"/>
      <c r="T2" s="11"/>
      <c r="U2" s="11"/>
    </row>
    <row r="3" spans="1:21" s="21" customFormat="1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8" t="s">
        <v>15</v>
      </c>
      <c r="Q3" s="12"/>
      <c r="R3" s="9" t="s">
        <v>15</v>
      </c>
      <c r="S3" s="11"/>
      <c r="T3" s="11"/>
      <c r="U3" s="11"/>
    </row>
    <row r="4" spans="1:21" s="21" customFormat="1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>
      <c r="A7" s="25" t="s">
        <v>21</v>
      </c>
      <c r="B7" s="48" t="s">
        <v>40</v>
      </c>
      <c r="C7" s="49" t="s">
        <v>41</v>
      </c>
      <c r="D7" s="49" t="s">
        <v>42</v>
      </c>
      <c r="E7" s="49" t="s">
        <v>43</v>
      </c>
      <c r="F7" s="49" t="s">
        <v>44</v>
      </c>
      <c r="G7" s="49" t="s">
        <v>45</v>
      </c>
      <c r="H7" s="49" t="s">
        <v>56</v>
      </c>
      <c r="I7" s="49" t="s">
        <v>46</v>
      </c>
      <c r="J7" s="49" t="s">
        <v>47</v>
      </c>
      <c r="K7" s="49" t="s">
        <v>48</v>
      </c>
      <c r="L7" s="49" t="s">
        <v>49</v>
      </c>
      <c r="M7" s="49" t="s">
        <v>50</v>
      </c>
      <c r="N7" s="49" t="s">
        <v>51</v>
      </c>
      <c r="O7" s="49" t="s">
        <v>52</v>
      </c>
      <c r="P7" s="49" t="s">
        <v>53</v>
      </c>
      <c r="Q7" s="49" t="s">
        <v>54</v>
      </c>
      <c r="R7" s="27"/>
      <c r="S7" s="29"/>
      <c r="T7" s="27"/>
      <c r="U7" s="27"/>
    </row>
    <row r="8" spans="1:21" s="21" customFormat="1">
      <c r="A8" s="25"/>
      <c r="B8" s="50" t="s">
        <v>22</v>
      </c>
      <c r="C8" s="50" t="s">
        <v>22</v>
      </c>
      <c r="D8" s="50" t="s">
        <v>22</v>
      </c>
      <c r="E8" s="50" t="s">
        <v>22</v>
      </c>
      <c r="F8" s="50" t="s">
        <v>22</v>
      </c>
      <c r="G8" s="50" t="s">
        <v>23</v>
      </c>
      <c r="H8" s="50" t="s">
        <v>22</v>
      </c>
      <c r="I8" s="50" t="s">
        <v>22</v>
      </c>
      <c r="J8" s="50" t="s">
        <v>24</v>
      </c>
      <c r="K8" s="50" t="s">
        <v>25</v>
      </c>
      <c r="L8" s="25" t="s">
        <v>27</v>
      </c>
      <c r="M8" s="50" t="s">
        <v>26</v>
      </c>
      <c r="N8" s="50" t="s">
        <v>28</v>
      </c>
      <c r="O8" s="25" t="s">
        <v>29</v>
      </c>
      <c r="P8" s="50" t="s">
        <v>22</v>
      </c>
      <c r="Q8" s="50" t="s">
        <v>22</v>
      </c>
      <c r="R8" s="27"/>
      <c r="S8" s="29"/>
      <c r="T8" s="27"/>
      <c r="U8" s="27"/>
    </row>
    <row r="9" spans="1:21" s="11" customFormat="1">
      <c r="A9" s="54">
        <v>45029.041666666664</v>
      </c>
      <c r="B9" s="53">
        <v>14.57</v>
      </c>
      <c r="C9" s="53">
        <v>68.08</v>
      </c>
      <c r="D9" s="53">
        <v>48.61</v>
      </c>
      <c r="E9" s="53">
        <v>6.71</v>
      </c>
      <c r="F9" s="53">
        <v>5.67</v>
      </c>
      <c r="G9" s="53">
        <v>72.900000000000006</v>
      </c>
      <c r="H9" s="53">
        <v>27.22</v>
      </c>
      <c r="I9" s="53">
        <v>6.16</v>
      </c>
      <c r="J9" s="53">
        <v>0.25</v>
      </c>
      <c r="K9" s="53">
        <v>225.54</v>
      </c>
      <c r="L9" s="53">
        <v>27.4</v>
      </c>
      <c r="M9" s="53">
        <v>44.88</v>
      </c>
      <c r="N9" s="53">
        <v>0</v>
      </c>
      <c r="O9" s="53">
        <v>0</v>
      </c>
      <c r="P9" s="53">
        <v>0.74</v>
      </c>
      <c r="Q9" s="53">
        <v>5.55</v>
      </c>
      <c r="R9" s="42"/>
      <c r="S9" s="42"/>
      <c r="T9" s="42"/>
      <c r="U9" s="42"/>
    </row>
    <row r="10" spans="1:21" s="11" customFormat="1">
      <c r="A10" s="52" t="s">
        <v>361</v>
      </c>
      <c r="B10" s="53">
        <v>17.38</v>
      </c>
      <c r="C10" s="53">
        <v>70.790000000000006</v>
      </c>
      <c r="D10" s="53">
        <v>52.27</v>
      </c>
      <c r="E10" s="53">
        <v>5.91</v>
      </c>
      <c r="F10" s="53">
        <v>4.34</v>
      </c>
      <c r="G10" s="53">
        <v>72.900000000000006</v>
      </c>
      <c r="H10" s="53">
        <v>27.22</v>
      </c>
      <c r="I10" s="53">
        <v>6.17</v>
      </c>
      <c r="J10" s="53">
        <v>0.33</v>
      </c>
      <c r="K10" s="53">
        <v>241.44</v>
      </c>
      <c r="L10" s="53">
        <v>26.94</v>
      </c>
      <c r="M10" s="53">
        <v>47.61</v>
      </c>
      <c r="N10" s="53">
        <v>0</v>
      </c>
      <c r="O10" s="53">
        <v>0</v>
      </c>
      <c r="P10" s="53">
        <v>0.76</v>
      </c>
      <c r="Q10" s="53">
        <v>5.85</v>
      </c>
      <c r="R10" s="42"/>
      <c r="S10" s="42"/>
      <c r="T10" s="42"/>
      <c r="U10" s="42"/>
    </row>
    <row r="11" spans="1:21" s="11" customFormat="1">
      <c r="A11" s="54">
        <v>45029.125</v>
      </c>
      <c r="B11" s="53">
        <v>20.94</v>
      </c>
      <c r="C11" s="53">
        <v>72.2</v>
      </c>
      <c r="D11" s="53">
        <v>55.87</v>
      </c>
      <c r="E11" s="53">
        <v>7.88</v>
      </c>
      <c r="F11" s="53">
        <v>3.76</v>
      </c>
      <c r="G11" s="53">
        <v>64.92</v>
      </c>
      <c r="H11" s="53">
        <v>27.32</v>
      </c>
      <c r="I11" s="53">
        <v>6.23</v>
      </c>
      <c r="J11" s="53">
        <v>0.26</v>
      </c>
      <c r="K11" s="53">
        <v>183.12</v>
      </c>
      <c r="L11" s="53">
        <v>26.22</v>
      </c>
      <c r="M11" s="53">
        <v>52.02</v>
      </c>
      <c r="N11" s="53">
        <v>0</v>
      </c>
      <c r="O11" s="53">
        <v>0</v>
      </c>
      <c r="P11" s="53">
        <v>0.77</v>
      </c>
      <c r="Q11" s="53">
        <v>6.15</v>
      </c>
      <c r="R11" s="42"/>
      <c r="S11" s="42"/>
      <c r="T11" s="42"/>
      <c r="U11" s="42"/>
    </row>
    <row r="12" spans="1:21" s="11" customFormat="1">
      <c r="A12" s="52" t="s">
        <v>362</v>
      </c>
      <c r="B12" s="53">
        <v>32</v>
      </c>
      <c r="C12" s="53">
        <v>73.53</v>
      </c>
      <c r="D12" s="53">
        <v>65.430000000000007</v>
      </c>
      <c r="E12" s="53">
        <v>7.29</v>
      </c>
      <c r="F12" s="53">
        <v>3.76</v>
      </c>
      <c r="G12" s="53">
        <v>71.12</v>
      </c>
      <c r="H12" s="53">
        <v>27.32</v>
      </c>
      <c r="I12" s="53">
        <v>6.4</v>
      </c>
      <c r="J12" s="53">
        <v>0.22</v>
      </c>
      <c r="K12" s="53">
        <v>149.97</v>
      </c>
      <c r="L12" s="53">
        <v>25.96</v>
      </c>
      <c r="M12" s="53">
        <v>52.44</v>
      </c>
      <c r="N12" s="53">
        <v>0</v>
      </c>
      <c r="O12" s="53">
        <v>0</v>
      </c>
      <c r="P12" s="53">
        <v>0.8</v>
      </c>
      <c r="Q12" s="53">
        <v>6.73</v>
      </c>
      <c r="R12" s="42"/>
      <c r="S12" s="42"/>
      <c r="T12" s="42"/>
      <c r="U12" s="42"/>
    </row>
    <row r="13" spans="1:21" s="11" customFormat="1">
      <c r="A13" s="52" t="s">
        <v>363</v>
      </c>
      <c r="B13" s="53">
        <v>35.46</v>
      </c>
      <c r="C13" s="53">
        <v>73.8</v>
      </c>
      <c r="D13" s="53">
        <v>67.34</v>
      </c>
      <c r="E13" s="53">
        <v>7.5</v>
      </c>
      <c r="F13" s="53">
        <v>3.91</v>
      </c>
      <c r="G13" s="53">
        <v>79.260000000000005</v>
      </c>
      <c r="H13" s="53">
        <v>28.51</v>
      </c>
      <c r="I13" s="53">
        <v>8.35</v>
      </c>
      <c r="J13" s="53">
        <v>0.31</v>
      </c>
      <c r="K13" s="53">
        <v>176.04</v>
      </c>
      <c r="L13" s="53">
        <v>25.41</v>
      </c>
      <c r="M13" s="53">
        <v>56.91</v>
      </c>
      <c r="N13" s="53">
        <v>0</v>
      </c>
      <c r="O13" s="53">
        <v>0</v>
      </c>
      <c r="P13" s="53">
        <v>0.81</v>
      </c>
      <c r="Q13" s="53">
        <v>6.99</v>
      </c>
      <c r="R13" s="42"/>
      <c r="S13" s="42"/>
      <c r="T13" s="42"/>
      <c r="U13" s="42"/>
    </row>
    <row r="14" spans="1:21" s="11" customFormat="1">
      <c r="A14" s="52" t="s">
        <v>364</v>
      </c>
      <c r="B14" s="53">
        <v>41.26</v>
      </c>
      <c r="C14" s="53">
        <v>72.489999999999995</v>
      </c>
      <c r="D14" s="53">
        <v>72.319999999999993</v>
      </c>
      <c r="E14" s="53">
        <v>7.97</v>
      </c>
      <c r="F14" s="53">
        <v>3.69</v>
      </c>
      <c r="G14" s="53">
        <v>99.89</v>
      </c>
      <c r="H14" s="53">
        <v>35.97</v>
      </c>
      <c r="I14" s="53">
        <v>9.94</v>
      </c>
      <c r="J14" s="53">
        <v>0.22</v>
      </c>
      <c r="K14" s="53">
        <v>215.53</v>
      </c>
      <c r="L14" s="53">
        <v>24.56</v>
      </c>
      <c r="M14" s="53">
        <v>61.15</v>
      </c>
      <c r="N14" s="53">
        <v>1.3</v>
      </c>
      <c r="O14" s="53">
        <v>0</v>
      </c>
      <c r="P14" s="53">
        <v>0.87</v>
      </c>
      <c r="Q14" s="53">
        <v>7.13</v>
      </c>
      <c r="R14" s="42"/>
      <c r="S14" s="42"/>
      <c r="T14" s="42"/>
      <c r="U14" s="42"/>
    </row>
    <row r="15" spans="1:21" s="11" customFormat="1">
      <c r="A15" s="52" t="s">
        <v>365</v>
      </c>
      <c r="B15" s="53">
        <v>42.07</v>
      </c>
      <c r="C15" s="53">
        <v>72.53</v>
      </c>
      <c r="D15" s="53">
        <v>72.94</v>
      </c>
      <c r="E15" s="53">
        <v>8.24</v>
      </c>
      <c r="F15" s="53">
        <v>3.68</v>
      </c>
      <c r="G15" s="53">
        <v>112.41</v>
      </c>
      <c r="H15" s="53">
        <v>36.18</v>
      </c>
      <c r="I15" s="53">
        <v>11.16</v>
      </c>
      <c r="J15" s="53">
        <v>0.21</v>
      </c>
      <c r="K15" s="53">
        <v>179.13</v>
      </c>
      <c r="L15" s="53">
        <v>25.78</v>
      </c>
      <c r="M15" s="53">
        <v>61.22</v>
      </c>
      <c r="N15" s="53">
        <v>49</v>
      </c>
      <c r="O15" s="53">
        <v>0</v>
      </c>
      <c r="P15" s="53">
        <v>0.9</v>
      </c>
      <c r="Q15" s="53">
        <v>7.25</v>
      </c>
      <c r="R15" s="42"/>
      <c r="S15" s="42"/>
      <c r="T15" s="42"/>
      <c r="U15" s="42"/>
    </row>
    <row r="16" spans="1:21" s="11" customFormat="1">
      <c r="A16" s="52" t="s">
        <v>366</v>
      </c>
      <c r="B16" s="53">
        <v>39.840000000000003</v>
      </c>
      <c r="C16" s="53">
        <v>68.569999999999993</v>
      </c>
      <c r="D16" s="53">
        <v>69.13</v>
      </c>
      <c r="E16" s="53">
        <v>8.9600000000000009</v>
      </c>
      <c r="F16" s="53">
        <v>9.9499999999999993</v>
      </c>
      <c r="G16" s="53">
        <v>112.41</v>
      </c>
      <c r="H16" s="53">
        <v>36.450000000000003</v>
      </c>
      <c r="I16" s="53">
        <v>11.79</v>
      </c>
      <c r="J16" s="53">
        <v>0.31</v>
      </c>
      <c r="K16" s="53">
        <v>174.06</v>
      </c>
      <c r="L16" s="53">
        <v>30.93</v>
      </c>
      <c r="M16" s="53">
        <v>52.51</v>
      </c>
      <c r="N16" s="53">
        <v>213.5</v>
      </c>
      <c r="O16" s="53">
        <v>0</v>
      </c>
      <c r="P16" s="53">
        <v>0.93</v>
      </c>
      <c r="Q16" s="53">
        <v>7.23</v>
      </c>
      <c r="R16" s="42"/>
      <c r="S16" s="42"/>
      <c r="T16" s="42"/>
      <c r="U16" s="42"/>
    </row>
    <row r="17" spans="1:21" s="11" customFormat="1">
      <c r="A17" s="52" t="s">
        <v>367</v>
      </c>
      <c r="B17" s="53">
        <v>32.36</v>
      </c>
      <c r="C17" s="53">
        <v>68.84</v>
      </c>
      <c r="D17" s="53">
        <v>60.74</v>
      </c>
      <c r="E17" s="53">
        <v>9.44</v>
      </c>
      <c r="F17" s="53">
        <v>15.8</v>
      </c>
      <c r="G17" s="53">
        <v>108.61</v>
      </c>
      <c r="H17" s="53">
        <v>36.450000000000003</v>
      </c>
      <c r="I17" s="53">
        <v>11.63</v>
      </c>
      <c r="J17" s="53">
        <v>0.49</v>
      </c>
      <c r="K17" s="53">
        <v>258.56</v>
      </c>
      <c r="L17" s="53">
        <v>33.89</v>
      </c>
      <c r="M17" s="53">
        <v>35.28</v>
      </c>
      <c r="N17" s="53">
        <v>292.8</v>
      </c>
      <c r="O17" s="53">
        <v>0</v>
      </c>
      <c r="P17" s="53">
        <v>0.9</v>
      </c>
      <c r="Q17" s="53">
        <v>6.97</v>
      </c>
      <c r="R17" s="42"/>
      <c r="S17" s="42"/>
      <c r="T17" s="42"/>
      <c r="U17" s="42"/>
    </row>
    <row r="18" spans="1:21" s="11" customFormat="1">
      <c r="A18" s="52" t="s">
        <v>368</v>
      </c>
      <c r="B18" s="53">
        <v>24.39</v>
      </c>
      <c r="C18" s="53">
        <v>69.819999999999993</v>
      </c>
      <c r="D18" s="53">
        <v>56.89</v>
      </c>
      <c r="E18" s="53">
        <v>9.27</v>
      </c>
      <c r="F18" s="53">
        <v>12.86</v>
      </c>
      <c r="G18" s="53">
        <v>92.88</v>
      </c>
      <c r="H18" s="53">
        <v>34.57</v>
      </c>
      <c r="I18" s="53">
        <v>10.69</v>
      </c>
      <c r="J18" s="53">
        <v>1.1100000000000001</v>
      </c>
      <c r="K18" s="53">
        <v>259.2</v>
      </c>
      <c r="L18" s="53">
        <v>35.159999999999997</v>
      </c>
      <c r="M18" s="53">
        <v>30.17</v>
      </c>
      <c r="N18" s="53">
        <v>492.8</v>
      </c>
      <c r="O18" s="53">
        <v>0</v>
      </c>
      <c r="P18" s="53">
        <v>0.88</v>
      </c>
      <c r="Q18" s="53">
        <v>6.44</v>
      </c>
      <c r="R18" s="42"/>
      <c r="S18" s="42"/>
      <c r="T18" s="42"/>
      <c r="U18" s="42"/>
    </row>
    <row r="19" spans="1:21" s="11" customFormat="1">
      <c r="A19" s="52" t="s">
        <v>369</v>
      </c>
      <c r="B19" s="53">
        <v>14.85</v>
      </c>
      <c r="C19" s="53">
        <v>71.290000000000006</v>
      </c>
      <c r="D19" s="53">
        <v>50.46</v>
      </c>
      <c r="E19" s="53">
        <v>11.45</v>
      </c>
      <c r="F19" s="53">
        <v>17.09</v>
      </c>
      <c r="G19" s="53">
        <v>77.88</v>
      </c>
      <c r="H19" s="53">
        <v>36.07</v>
      </c>
      <c r="I19" s="53">
        <v>9.99</v>
      </c>
      <c r="J19" s="53">
        <v>1.2</v>
      </c>
      <c r="K19" s="53">
        <v>272.60000000000002</v>
      </c>
      <c r="L19" s="53">
        <v>37.22</v>
      </c>
      <c r="M19" s="53">
        <v>30.5</v>
      </c>
      <c r="N19" s="53">
        <v>643</v>
      </c>
      <c r="O19" s="53">
        <v>0</v>
      </c>
      <c r="P19" s="53">
        <v>0.88</v>
      </c>
      <c r="Q19" s="53">
        <v>6.04</v>
      </c>
      <c r="R19" s="42"/>
      <c r="S19" s="42"/>
      <c r="T19" s="42"/>
      <c r="U19" s="42"/>
    </row>
    <row r="20" spans="1:21" s="11" customFormat="1">
      <c r="A20" s="52" t="s">
        <v>370</v>
      </c>
      <c r="B20" s="53">
        <v>7.09</v>
      </c>
      <c r="C20" s="53">
        <v>68.239999999999995</v>
      </c>
      <c r="D20" s="53">
        <v>42.02</v>
      </c>
      <c r="E20" s="53">
        <v>35.36</v>
      </c>
      <c r="F20" s="53">
        <v>68.86</v>
      </c>
      <c r="G20" s="53">
        <v>82.32</v>
      </c>
      <c r="H20" s="53">
        <v>36.75</v>
      </c>
      <c r="I20" s="53">
        <v>10.68</v>
      </c>
      <c r="J20" s="53">
        <v>0.9</v>
      </c>
      <c r="K20" s="53">
        <v>285.2</v>
      </c>
      <c r="L20" s="53">
        <v>38.75</v>
      </c>
      <c r="M20" s="53">
        <v>26.16</v>
      </c>
      <c r="N20" s="53">
        <v>664.8</v>
      </c>
      <c r="O20" s="53">
        <v>0</v>
      </c>
      <c r="P20" s="53">
        <v>1.21</v>
      </c>
      <c r="Q20" s="53">
        <v>5.57</v>
      </c>
      <c r="R20" s="42"/>
      <c r="S20" s="42"/>
      <c r="T20" s="42"/>
      <c r="U20" s="42"/>
    </row>
    <row r="21" spans="1:21" s="11" customFormat="1">
      <c r="A21" s="52" t="s">
        <v>371</v>
      </c>
      <c r="B21" s="53">
        <v>4.1900000000000004</v>
      </c>
      <c r="C21" s="53">
        <v>48.7</v>
      </c>
      <c r="D21" s="53">
        <v>30.15</v>
      </c>
      <c r="E21" s="53">
        <v>48.31</v>
      </c>
      <c r="F21" s="53">
        <v>115.57</v>
      </c>
      <c r="G21" s="53">
        <v>86.37</v>
      </c>
      <c r="H21" s="53">
        <v>36.979999999999997</v>
      </c>
      <c r="I21" s="53">
        <v>13.72</v>
      </c>
      <c r="J21" s="53">
        <v>1.2</v>
      </c>
      <c r="K21" s="53">
        <v>286.13</v>
      </c>
      <c r="L21" s="53">
        <v>40.630000000000003</v>
      </c>
      <c r="M21" s="53">
        <v>23.66</v>
      </c>
      <c r="N21" s="53">
        <v>731.8</v>
      </c>
      <c r="O21" s="53">
        <v>0</v>
      </c>
      <c r="P21" s="53">
        <v>1.32</v>
      </c>
      <c r="Q21" s="53">
        <v>5.33</v>
      </c>
      <c r="R21" s="42"/>
      <c r="S21" s="42"/>
      <c r="T21" s="42"/>
      <c r="U21" s="42"/>
    </row>
    <row r="22" spans="1:21" s="11" customFormat="1">
      <c r="A22" s="52" t="s">
        <v>372</v>
      </c>
      <c r="B22" s="53">
        <v>3.6</v>
      </c>
      <c r="C22" s="53">
        <v>36</v>
      </c>
      <c r="D22" s="53">
        <v>22.96</v>
      </c>
      <c r="E22" s="53">
        <v>37.979999999999997</v>
      </c>
      <c r="F22" s="53">
        <v>96.88</v>
      </c>
      <c r="G22" s="53">
        <v>86.37</v>
      </c>
      <c r="H22" s="53">
        <v>36.979999999999997</v>
      </c>
      <c r="I22" s="53">
        <v>10.199999999999999</v>
      </c>
      <c r="J22" s="53">
        <v>0.73</v>
      </c>
      <c r="K22" s="53">
        <v>283.13</v>
      </c>
      <c r="L22" s="53">
        <v>41.27</v>
      </c>
      <c r="M22" s="53">
        <v>18.62</v>
      </c>
      <c r="N22" s="53">
        <v>679.5</v>
      </c>
      <c r="O22" s="53">
        <v>0</v>
      </c>
      <c r="P22" s="53">
        <v>0.76</v>
      </c>
      <c r="Q22" s="53">
        <v>4.84</v>
      </c>
      <c r="R22" s="42"/>
      <c r="S22" s="42"/>
      <c r="T22" s="42"/>
      <c r="U22" s="42"/>
    </row>
    <row r="23" spans="1:21" s="11" customFormat="1">
      <c r="A23" s="52" t="s">
        <v>373</v>
      </c>
      <c r="B23" s="53">
        <v>4.32</v>
      </c>
      <c r="C23" s="53">
        <v>47.25</v>
      </c>
      <c r="D23" s="53">
        <v>29.5</v>
      </c>
      <c r="E23" s="53">
        <v>24.86</v>
      </c>
      <c r="F23" s="53">
        <v>60.08</v>
      </c>
      <c r="G23" s="53">
        <v>73.34</v>
      </c>
      <c r="H23" s="53">
        <v>31.88</v>
      </c>
      <c r="I23" s="53">
        <v>7.68</v>
      </c>
      <c r="J23" s="53">
        <v>0.89</v>
      </c>
      <c r="K23" s="53">
        <v>251.11</v>
      </c>
      <c r="L23" s="53">
        <v>40.98</v>
      </c>
      <c r="M23" s="53">
        <v>18.329999999999998</v>
      </c>
      <c r="N23" s="53">
        <v>573.20000000000005</v>
      </c>
      <c r="O23" s="53">
        <v>0</v>
      </c>
      <c r="P23" s="53">
        <v>0.86</v>
      </c>
      <c r="Q23" s="53">
        <v>4.76</v>
      </c>
      <c r="R23" s="42"/>
      <c r="S23" s="42"/>
      <c r="T23" s="42"/>
      <c r="U23" s="42"/>
    </row>
    <row r="24" spans="1:21" s="11" customFormat="1">
      <c r="A24" s="52" t="s">
        <v>374</v>
      </c>
      <c r="B24" s="53">
        <v>4.3499999999999996</v>
      </c>
      <c r="C24" s="53">
        <v>47.18</v>
      </c>
      <c r="D24" s="53">
        <v>29.49</v>
      </c>
      <c r="E24" s="53">
        <v>24.97</v>
      </c>
      <c r="F24" s="53">
        <v>74.959999999999994</v>
      </c>
      <c r="G24" s="53">
        <v>65.16</v>
      </c>
      <c r="H24" s="53">
        <v>31.88</v>
      </c>
      <c r="I24" s="53">
        <v>7.32</v>
      </c>
      <c r="J24" s="53">
        <v>0.45</v>
      </c>
      <c r="K24" s="53">
        <v>237.05</v>
      </c>
      <c r="L24" s="53">
        <v>40.270000000000003</v>
      </c>
      <c r="M24" s="53">
        <v>20.55</v>
      </c>
      <c r="N24" s="53">
        <v>221</v>
      </c>
      <c r="O24" s="53">
        <v>0</v>
      </c>
      <c r="P24" s="53">
        <v>0.81</v>
      </c>
      <c r="Q24" s="53">
        <v>4.79</v>
      </c>
      <c r="R24" s="42"/>
      <c r="S24" s="42"/>
      <c r="T24" s="42"/>
      <c r="U24" s="42"/>
    </row>
    <row r="25" spans="1:21" s="11" customFormat="1">
      <c r="A25" s="52" t="s">
        <v>375</v>
      </c>
      <c r="B25" s="53">
        <v>4.57</v>
      </c>
      <c r="C25" s="53">
        <v>49.03</v>
      </c>
      <c r="D25" s="53">
        <v>30.63</v>
      </c>
      <c r="E25" s="53">
        <v>25.6</v>
      </c>
      <c r="F25" s="53">
        <v>69.3</v>
      </c>
      <c r="G25" s="53">
        <v>61.7</v>
      </c>
      <c r="H25" s="53">
        <v>29.45</v>
      </c>
      <c r="I25" s="53">
        <v>6.24</v>
      </c>
      <c r="J25" s="53">
        <v>0.61</v>
      </c>
      <c r="K25" s="53">
        <v>240.38</v>
      </c>
      <c r="L25" s="53">
        <v>39.31</v>
      </c>
      <c r="M25" s="53">
        <v>20.079999999999998</v>
      </c>
      <c r="N25" s="53">
        <v>242</v>
      </c>
      <c r="O25" s="53">
        <v>0</v>
      </c>
      <c r="P25" s="53">
        <v>0.74</v>
      </c>
      <c r="Q25" s="53">
        <v>4.78</v>
      </c>
      <c r="R25" s="42"/>
      <c r="S25" s="42"/>
      <c r="T25" s="42"/>
      <c r="U25" s="42"/>
    </row>
    <row r="26" spans="1:21" s="11" customFormat="1">
      <c r="A26" s="52" t="s">
        <v>376</v>
      </c>
      <c r="B26" s="53">
        <v>4.3</v>
      </c>
      <c r="C26" s="53">
        <v>42.6</v>
      </c>
      <c r="D26" s="53">
        <v>26.99</v>
      </c>
      <c r="E26" s="53">
        <v>26.07</v>
      </c>
      <c r="F26" s="53">
        <v>69.38</v>
      </c>
      <c r="G26" s="53">
        <v>58.66</v>
      </c>
      <c r="H26" s="53">
        <v>27.5</v>
      </c>
      <c r="I26" s="53">
        <v>5.96</v>
      </c>
      <c r="J26" s="53">
        <v>0.38</v>
      </c>
      <c r="K26" s="53">
        <v>236.92</v>
      </c>
      <c r="L26" s="53">
        <v>37.869999999999997</v>
      </c>
      <c r="M26" s="53">
        <v>25.25</v>
      </c>
      <c r="N26" s="53">
        <v>48.4</v>
      </c>
      <c r="O26" s="53">
        <v>0</v>
      </c>
      <c r="P26" s="53">
        <v>0.7</v>
      </c>
      <c r="Q26" s="53">
        <v>4.74</v>
      </c>
      <c r="R26" s="42"/>
      <c r="S26" s="42"/>
      <c r="T26" s="42"/>
      <c r="U26" s="42"/>
    </row>
    <row r="27" spans="1:21" s="11" customFormat="1">
      <c r="A27" s="52" t="s">
        <v>377</v>
      </c>
      <c r="B27" s="53">
        <v>5.46</v>
      </c>
      <c r="C27" s="53">
        <v>48.65</v>
      </c>
      <c r="D27" s="53">
        <v>31.15</v>
      </c>
      <c r="E27" s="53">
        <v>16.93</v>
      </c>
      <c r="F27" s="53">
        <v>60.44</v>
      </c>
      <c r="G27" s="53">
        <v>61.57</v>
      </c>
      <c r="H27" s="53">
        <v>28.96</v>
      </c>
      <c r="I27" s="53">
        <v>5.4</v>
      </c>
      <c r="J27" s="53">
        <v>0.28999999999999998</v>
      </c>
      <c r="K27" s="53">
        <v>161.47</v>
      </c>
      <c r="L27" s="53">
        <v>35.81</v>
      </c>
      <c r="M27" s="53">
        <v>35.99</v>
      </c>
      <c r="N27" s="53">
        <v>0</v>
      </c>
      <c r="O27" s="53">
        <v>0</v>
      </c>
      <c r="P27" s="53">
        <v>0.83</v>
      </c>
      <c r="Q27" s="53">
        <v>4.8099999999999996</v>
      </c>
      <c r="R27" s="42"/>
      <c r="S27" s="42"/>
      <c r="T27" s="42"/>
      <c r="U27" s="42"/>
    </row>
    <row r="28" spans="1:21" s="11" customFormat="1">
      <c r="A28" s="52" t="s">
        <v>378</v>
      </c>
      <c r="B28" s="53">
        <v>7.54</v>
      </c>
      <c r="C28" s="53">
        <v>60.21</v>
      </c>
      <c r="D28" s="53">
        <v>38.630000000000003</v>
      </c>
      <c r="E28" s="53">
        <v>17.100000000000001</v>
      </c>
      <c r="F28" s="53">
        <v>49.74</v>
      </c>
      <c r="G28" s="53">
        <v>69.75</v>
      </c>
      <c r="H28" s="53">
        <v>28.96</v>
      </c>
      <c r="I28" s="53">
        <v>6.19</v>
      </c>
      <c r="J28" s="53">
        <v>0.9</v>
      </c>
      <c r="K28" s="53">
        <v>302.16000000000003</v>
      </c>
      <c r="L28" s="53">
        <v>35.5</v>
      </c>
      <c r="M28" s="53">
        <v>30.83</v>
      </c>
      <c r="N28" s="53">
        <v>0</v>
      </c>
      <c r="O28" s="53">
        <v>0</v>
      </c>
      <c r="P28" s="53">
        <v>0.82</v>
      </c>
      <c r="Q28" s="53">
        <v>5.23</v>
      </c>
      <c r="R28" s="42"/>
      <c r="S28" s="42"/>
      <c r="T28" s="42"/>
      <c r="U28" s="42"/>
    </row>
    <row r="29" spans="1:21" s="11" customFormat="1">
      <c r="A29" s="52" t="s">
        <v>379</v>
      </c>
      <c r="B29" s="53">
        <v>7.7</v>
      </c>
      <c r="C29" s="53">
        <v>56.98</v>
      </c>
      <c r="D29" s="53">
        <v>37.28</v>
      </c>
      <c r="E29" s="53">
        <v>10.63</v>
      </c>
      <c r="F29" s="53">
        <v>33.25</v>
      </c>
      <c r="G29" s="53">
        <v>69.75</v>
      </c>
      <c r="H29" s="53">
        <v>28.2</v>
      </c>
      <c r="I29" s="53">
        <v>6.22</v>
      </c>
      <c r="J29" s="53">
        <v>0.28000000000000003</v>
      </c>
      <c r="K29" s="53">
        <v>181.58</v>
      </c>
      <c r="L29" s="53">
        <v>35.700000000000003</v>
      </c>
      <c r="M29" s="53">
        <v>25.7</v>
      </c>
      <c r="N29" s="53">
        <v>0</v>
      </c>
      <c r="O29" s="53">
        <v>0</v>
      </c>
      <c r="P29" s="53">
        <v>0.74</v>
      </c>
      <c r="Q29" s="53">
        <v>5.26</v>
      </c>
      <c r="R29" s="42"/>
      <c r="S29" s="42"/>
      <c r="T29" s="42"/>
      <c r="U29" s="42"/>
    </row>
    <row r="30" spans="1:21" s="11" customFormat="1">
      <c r="A30" s="52" t="s">
        <v>380</v>
      </c>
      <c r="B30" s="53">
        <v>6.66</v>
      </c>
      <c r="C30" s="53">
        <v>57.44</v>
      </c>
      <c r="D30" s="53">
        <v>36.700000000000003</v>
      </c>
      <c r="E30" s="53">
        <v>9.1300000000000008</v>
      </c>
      <c r="F30" s="53">
        <v>20.68</v>
      </c>
      <c r="G30" s="53">
        <v>75.75</v>
      </c>
      <c r="H30" s="53">
        <v>29.86</v>
      </c>
      <c r="I30" s="53">
        <v>5.49</v>
      </c>
      <c r="J30" s="53">
        <v>0.19</v>
      </c>
      <c r="K30" s="53">
        <v>210.25</v>
      </c>
      <c r="L30" s="53">
        <v>32.14</v>
      </c>
      <c r="M30" s="53">
        <v>32.83</v>
      </c>
      <c r="N30" s="53">
        <v>0</v>
      </c>
      <c r="O30" s="53">
        <v>0</v>
      </c>
      <c r="P30" s="53">
        <v>0.79</v>
      </c>
      <c r="Q30" s="53">
        <v>5.17</v>
      </c>
      <c r="R30" s="42"/>
      <c r="S30" s="42"/>
      <c r="T30" s="42"/>
      <c r="U30" s="42"/>
    </row>
    <row r="31" spans="1:21" s="11" customFormat="1">
      <c r="A31" s="52" t="s">
        <v>381</v>
      </c>
      <c r="B31" s="53">
        <v>8.2799999999999994</v>
      </c>
      <c r="C31" s="53">
        <v>60.93</v>
      </c>
      <c r="D31" s="53">
        <v>39.82</v>
      </c>
      <c r="E31" s="53">
        <v>7.87</v>
      </c>
      <c r="F31" s="53">
        <v>11.82</v>
      </c>
      <c r="G31" s="53">
        <v>95.78</v>
      </c>
      <c r="H31" s="53">
        <v>31.68</v>
      </c>
      <c r="I31" s="53">
        <v>5.91</v>
      </c>
      <c r="J31" s="53">
        <v>0.24</v>
      </c>
      <c r="K31" s="53">
        <v>226.08</v>
      </c>
      <c r="L31" s="53">
        <v>30.7</v>
      </c>
      <c r="M31" s="53">
        <v>38.24</v>
      </c>
      <c r="N31" s="53">
        <v>0</v>
      </c>
      <c r="O31" s="53">
        <v>0</v>
      </c>
      <c r="P31" s="53">
        <v>0.83</v>
      </c>
      <c r="Q31" s="53">
        <v>5.33</v>
      </c>
      <c r="R31" s="42"/>
      <c r="S31" s="42"/>
      <c r="T31" s="42"/>
      <c r="U31" s="42"/>
    </row>
    <row r="32" spans="1:21" s="11" customFormat="1">
      <c r="A32" s="52" t="s">
        <v>382</v>
      </c>
      <c r="B32" s="53">
        <v>9.33</v>
      </c>
      <c r="C32" s="53">
        <v>62.23</v>
      </c>
      <c r="D32" s="53">
        <v>41.26</v>
      </c>
      <c r="E32" s="53">
        <v>7.39</v>
      </c>
      <c r="F32" s="53">
        <v>12.01</v>
      </c>
      <c r="G32" s="53">
        <v>95.78</v>
      </c>
      <c r="H32" s="53">
        <v>33.17</v>
      </c>
      <c r="I32" s="53">
        <v>6.15</v>
      </c>
      <c r="J32" s="53">
        <v>0.24</v>
      </c>
      <c r="K32" s="53">
        <v>241.13</v>
      </c>
      <c r="L32" s="53">
        <v>30.07</v>
      </c>
      <c r="M32" s="53">
        <v>42.56</v>
      </c>
      <c r="N32" s="53">
        <v>0</v>
      </c>
      <c r="O32" s="53">
        <v>0</v>
      </c>
      <c r="P32" s="53">
        <v>0.85</v>
      </c>
      <c r="Q32" s="53">
        <v>5.49</v>
      </c>
      <c r="R32" s="42"/>
      <c r="S32" s="42"/>
      <c r="T32" s="42"/>
      <c r="U32" s="42"/>
    </row>
    <row r="33" spans="1:21" s="21" customFormat="1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>
      <c r="A34" s="27" t="s">
        <v>30</v>
      </c>
      <c r="B34" s="28">
        <f t="shared" ref="B34:Q34" si="0">MIN(B9:B32)</f>
        <v>3.6</v>
      </c>
      <c r="C34" s="28">
        <f t="shared" si="0"/>
        <v>36</v>
      </c>
      <c r="D34" s="28">
        <f t="shared" si="0"/>
        <v>22.96</v>
      </c>
      <c r="E34" s="28">
        <f t="shared" si="0"/>
        <v>5.91</v>
      </c>
      <c r="F34" s="28">
        <f t="shared" si="0"/>
        <v>3.68</v>
      </c>
      <c r="G34" s="28">
        <f t="shared" si="0"/>
        <v>58.66</v>
      </c>
      <c r="H34" s="28">
        <f>MIN(H9:H32)</f>
        <v>27.22</v>
      </c>
      <c r="I34" s="28">
        <f t="shared" si="0"/>
        <v>5.4</v>
      </c>
      <c r="J34" s="28">
        <f t="shared" si="0"/>
        <v>0.19</v>
      </c>
      <c r="K34" s="28">
        <f t="shared" si="0"/>
        <v>149.97</v>
      </c>
      <c r="L34" s="28">
        <f t="shared" si="0"/>
        <v>24.56</v>
      </c>
      <c r="M34" s="28">
        <f t="shared" si="0"/>
        <v>18.329999999999998</v>
      </c>
      <c r="N34" s="28">
        <f t="shared" si="0"/>
        <v>0</v>
      </c>
      <c r="O34" s="28">
        <f t="shared" si="0"/>
        <v>0</v>
      </c>
      <c r="P34" s="28">
        <f t="shared" si="0"/>
        <v>0.7</v>
      </c>
      <c r="Q34" s="28">
        <f t="shared" si="0"/>
        <v>4.74</v>
      </c>
      <c r="R34" s="28"/>
      <c r="S34" s="28"/>
      <c r="T34" s="28"/>
      <c r="U34" s="28"/>
    </row>
    <row r="35" spans="1:21" s="21" customFormat="1">
      <c r="A35" s="27" t="s">
        <v>31</v>
      </c>
      <c r="B35" s="29">
        <f t="shared" ref="B35:Q35" si="1">MAX(B9:B32)</f>
        <v>42.07</v>
      </c>
      <c r="C35" s="29">
        <f t="shared" si="1"/>
        <v>73.8</v>
      </c>
      <c r="D35" s="29">
        <f t="shared" si="1"/>
        <v>72.94</v>
      </c>
      <c r="E35" s="29">
        <f t="shared" si="1"/>
        <v>48.31</v>
      </c>
      <c r="F35" s="29">
        <f t="shared" si="1"/>
        <v>115.57</v>
      </c>
      <c r="G35" s="29">
        <f>MAX(G9:G32)</f>
        <v>112.41</v>
      </c>
      <c r="H35" s="29">
        <f>MAX(H9:H32)</f>
        <v>36.979999999999997</v>
      </c>
      <c r="I35" s="29">
        <f t="shared" si="1"/>
        <v>13.72</v>
      </c>
      <c r="J35" s="29">
        <f t="shared" si="1"/>
        <v>1.2</v>
      </c>
      <c r="K35" s="29">
        <f t="shared" si="1"/>
        <v>302.16000000000003</v>
      </c>
      <c r="L35" s="29">
        <f t="shared" si="1"/>
        <v>41.27</v>
      </c>
      <c r="M35" s="29">
        <f t="shared" si="1"/>
        <v>61.22</v>
      </c>
      <c r="N35" s="29">
        <f t="shared" si="1"/>
        <v>731.8</v>
      </c>
      <c r="O35" s="29">
        <f t="shared" si="1"/>
        <v>0</v>
      </c>
      <c r="P35" s="29">
        <f t="shared" si="1"/>
        <v>1.32</v>
      </c>
      <c r="Q35" s="29">
        <f t="shared" si="1"/>
        <v>7.25</v>
      </c>
      <c r="R35" s="29"/>
      <c r="S35" s="29"/>
      <c r="T35" s="29"/>
      <c r="U35" s="29"/>
    </row>
    <row r="36" spans="1:21" s="21" customFormat="1">
      <c r="A36" s="27" t="s">
        <v>32</v>
      </c>
      <c r="B36" s="28">
        <f t="shared" ref="B36:Q36" si="2">AVERAGE(B9:B32)</f>
        <v>16.354583333333334</v>
      </c>
      <c r="C36" s="28">
        <f t="shared" si="2"/>
        <v>61.140833333333347</v>
      </c>
      <c r="D36" s="28">
        <f t="shared" si="2"/>
        <v>46.19083333333333</v>
      </c>
      <c r="E36" s="28">
        <f t="shared" si="2"/>
        <v>15.950833333333335</v>
      </c>
      <c r="F36" s="28">
        <f t="shared" si="2"/>
        <v>34.478333333333332</v>
      </c>
      <c r="G36" s="28">
        <f t="shared" si="2"/>
        <v>81.144999999999996</v>
      </c>
      <c r="H36" s="28">
        <f>AVERAGE(H9:H32)</f>
        <v>31.897083333333338</v>
      </c>
      <c r="I36" s="28">
        <f t="shared" si="2"/>
        <v>8.1529166666666661</v>
      </c>
      <c r="J36" s="28">
        <f t="shared" si="2"/>
        <v>0.50874999999999992</v>
      </c>
      <c r="K36" s="28">
        <f t="shared" si="2"/>
        <v>228.24083333333331</v>
      </c>
      <c r="L36" s="28">
        <f t="shared" si="2"/>
        <v>33.269583333333344</v>
      </c>
      <c r="M36" s="28">
        <f t="shared" si="2"/>
        <v>36.812083333333341</v>
      </c>
      <c r="N36" s="28">
        <f t="shared" si="2"/>
        <v>202.21249999999998</v>
      </c>
      <c r="O36" s="28">
        <f t="shared" si="2"/>
        <v>0</v>
      </c>
      <c r="P36" s="28">
        <f t="shared" si="2"/>
        <v>0.85416666666666663</v>
      </c>
      <c r="Q36" s="28">
        <f t="shared" si="2"/>
        <v>5.7679166666666681</v>
      </c>
      <c r="R36" s="28"/>
      <c r="S36" s="28"/>
      <c r="T36" s="28"/>
      <c r="U36" s="28"/>
    </row>
    <row r="37" spans="1:21" s="21" customFormat="1">
      <c r="A37" s="27" t="s">
        <v>38</v>
      </c>
      <c r="B37" s="28">
        <f>STDEV(B9:B32)</f>
        <v>13.578482651724686</v>
      </c>
      <c r="C37" s="28">
        <f t="shared" ref="C37:Q37" si="3">STDEV(C9:C32)</f>
        <v>11.48398730810651</v>
      </c>
      <c r="D37" s="28">
        <f t="shared" si="3"/>
        <v>15.774528151605589</v>
      </c>
      <c r="E37" s="28">
        <f t="shared" si="3"/>
        <v>11.717918243912376</v>
      </c>
      <c r="F37" s="28">
        <f t="shared" si="3"/>
        <v>34.052673478223305</v>
      </c>
      <c r="G37" s="28">
        <f t="shared" si="3"/>
        <v>16.243774994962173</v>
      </c>
      <c r="H37" s="28">
        <f>STDEV(H9:H32)</f>
        <v>3.8184580078836476</v>
      </c>
      <c r="I37" s="28">
        <f t="shared" si="3"/>
        <v>2.5050826232432697</v>
      </c>
      <c r="J37" s="28">
        <f t="shared" si="3"/>
        <v>0.3420057525577731</v>
      </c>
      <c r="K37" s="28">
        <f t="shared" si="3"/>
        <v>43.463534432468222</v>
      </c>
      <c r="L37" s="28">
        <f t="shared" si="3"/>
        <v>5.6958401900873223</v>
      </c>
      <c r="M37" s="28">
        <f t="shared" si="3"/>
        <v>13.878188072175218</v>
      </c>
      <c r="N37" s="28">
        <f t="shared" si="3"/>
        <v>270.76192544694902</v>
      </c>
      <c r="O37" s="28">
        <f t="shared" si="3"/>
        <v>0</v>
      </c>
      <c r="P37" s="28">
        <f t="shared" si="3"/>
        <v>0.14083344052821556</v>
      </c>
      <c r="Q37" s="28">
        <f t="shared" si="3"/>
        <v>0.88386000842482249</v>
      </c>
      <c r="R37" s="28"/>
      <c r="S37" s="28"/>
      <c r="T37" s="28"/>
      <c r="U37" s="28"/>
    </row>
    <row r="38" spans="1:21" s="21" customFormat="1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>COUNT(F9:F32)</f>
        <v>24</v>
      </c>
      <c r="G38" s="32">
        <f>COUNT(G9:G32)</f>
        <v>24</v>
      </c>
      <c r="H38" s="32">
        <f>COUNT(H9:H32)</f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>
      <c r="A42" s="13"/>
    </row>
    <row r="43" spans="1:21" s="21" customFormat="1">
      <c r="A43" s="14" t="s">
        <v>35</v>
      </c>
      <c r="B43" s="39" t="s">
        <v>58</v>
      </c>
      <c r="C43" s="41"/>
    </row>
    <row r="44" spans="1:21" s="21" customFormat="1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0"/>
      <c r="C45" s="40"/>
      <c r="D45" s="40"/>
      <c r="E45" s="40"/>
      <c r="F45" s="40"/>
      <c r="G45" s="40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</row>
    <row r="46" spans="1:21" s="21" customFormat="1"/>
    <row r="47" spans="1:21" s="21" customFormat="1"/>
    <row r="48" spans="1:21" s="21" customFormat="1"/>
    <row r="49" s="21" customFormat="1"/>
    <row r="50" s="21" customFormat="1"/>
    <row r="51" s="21" customFormat="1"/>
    <row r="52" s="21" customFormat="1"/>
    <row r="53" s="21" customFormat="1"/>
    <row r="54" s="21" customFormat="1"/>
    <row r="55" s="21" customFormat="1"/>
    <row r="56" s="21" customFormat="1"/>
    <row r="57" s="21" customFormat="1"/>
    <row r="58" s="21" customFormat="1"/>
    <row r="59" s="21" customFormat="1"/>
    <row r="60" s="21" customFormat="1"/>
    <row r="61" s="21" customFormat="1"/>
    <row r="62" s="21" customFormat="1"/>
    <row r="63" s="21" customFormat="1"/>
    <row r="64" s="21" customFormat="1"/>
    <row r="65" s="21" customFormat="1"/>
    <row r="66" s="21" customFormat="1"/>
    <row r="67" s="21" customFormat="1"/>
    <row r="68" s="21" customFormat="1"/>
    <row r="69" s="21" customFormat="1"/>
    <row r="70" s="21" customFormat="1"/>
    <row r="71" s="21" customFormat="1"/>
    <row r="72" s="21" customFormat="1"/>
    <row r="73" s="21" customFormat="1"/>
    <row r="74" s="21" customFormat="1"/>
    <row r="75" s="21" customFormat="1"/>
    <row r="76" s="21" customFormat="1"/>
    <row r="77" s="21" customFormat="1"/>
    <row r="78" s="21" customFormat="1"/>
    <row r="79" s="21" customFormat="1"/>
    <row r="80" s="21" customFormat="1"/>
    <row r="81" s="21" customFormat="1"/>
    <row r="82" s="21" customFormat="1"/>
    <row r="83" s="21" customFormat="1"/>
    <row r="84" s="21" customFormat="1"/>
    <row r="85" s="21" customFormat="1"/>
    <row r="86" s="21" customFormat="1"/>
    <row r="87" s="21" customFormat="1"/>
    <row r="88" s="21" customFormat="1"/>
    <row r="89" s="21" customFormat="1"/>
    <row r="90" s="21" customFormat="1"/>
    <row r="91" s="21" customFormat="1"/>
    <row r="92" s="21" customFormat="1"/>
    <row r="93" s="21" customFormat="1"/>
    <row r="94" s="21" customFormat="1"/>
    <row r="95" s="21" customFormat="1"/>
    <row r="96" s="21" customFormat="1"/>
    <row r="97" spans="1:1" s="21" customFormat="1"/>
    <row r="98" spans="1:1" s="21" customFormat="1"/>
    <row r="99" spans="1:1" s="21" customFormat="1"/>
    <row r="100" spans="1:1" s="21" customFormat="1"/>
    <row r="101" spans="1:1" s="21" customFormat="1"/>
    <row r="102" spans="1:1" s="21" customFormat="1"/>
    <row r="103" spans="1:1" s="21" customFormat="1"/>
    <row r="104" spans="1:1" s="21" customFormat="1"/>
    <row r="105" spans="1:1" s="21" customFormat="1"/>
    <row r="106" spans="1:1">
      <c r="A106" s="20"/>
    </row>
    <row r="107" spans="1:1" s="21" customFormat="1"/>
    <row r="108" spans="1:1" s="21" customFormat="1"/>
    <row r="109" spans="1:1" s="21" customFormat="1"/>
    <row r="110" spans="1:1" s="21" customFormat="1"/>
    <row r="111" spans="1:1" s="21" customFormat="1"/>
    <row r="112" spans="1:1" s="21" customFormat="1"/>
    <row r="113" spans="1:1" s="21" customFormat="1"/>
    <row r="114" spans="1:1" s="21" customFormat="1"/>
    <row r="115" spans="1:1" s="21" customFormat="1"/>
    <row r="116" spans="1:1" s="21" customFormat="1"/>
    <row r="117" spans="1:1" s="21" customFormat="1"/>
    <row r="118" spans="1:1">
      <c r="A118" s="20"/>
    </row>
    <row r="119" spans="1:1">
      <c r="A119" s="20"/>
    </row>
  </sheetData>
  <pageMargins left="0.7" right="0.7" top="0.75" bottom="0.75" header="0.3" footer="0.3"/>
  <pageSetup paperSize="9" orientation="portrait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1" ySplit="8" topLeftCell="B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A9" sqref="A9:Q32"/>
    </sheetView>
  </sheetViews>
  <sheetFormatPr defaultColWidth="8.85546875" defaultRowHeight="1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>
      <c r="A1" s="14" t="s">
        <v>2</v>
      </c>
      <c r="B1" s="23" t="s">
        <v>55</v>
      </c>
      <c r="C1" s="36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>
      <c r="A2" s="14" t="s">
        <v>0</v>
      </c>
      <c r="B2" s="37" t="str">
        <f>$A$9</f>
        <v>14/04/2023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8" t="s">
        <v>7</v>
      </c>
      <c r="Q2" s="12"/>
      <c r="R2" s="8" t="s">
        <v>8</v>
      </c>
      <c r="S2" s="11"/>
      <c r="T2" s="11"/>
      <c r="U2" s="11"/>
    </row>
    <row r="3" spans="1:21" s="21" customFormat="1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8" t="s">
        <v>15</v>
      </c>
      <c r="Q3" s="12"/>
      <c r="R3" s="9" t="s">
        <v>15</v>
      </c>
      <c r="S3" s="11"/>
      <c r="T3" s="11"/>
      <c r="U3" s="11"/>
    </row>
    <row r="4" spans="1:21" s="21" customFormat="1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>
      <c r="A7" s="25" t="s">
        <v>21</v>
      </c>
      <c r="B7" s="48" t="s">
        <v>40</v>
      </c>
      <c r="C7" s="49" t="s">
        <v>41</v>
      </c>
      <c r="D7" s="49" t="s">
        <v>42</v>
      </c>
      <c r="E7" s="49" t="s">
        <v>43</v>
      </c>
      <c r="F7" s="49" t="s">
        <v>44</v>
      </c>
      <c r="G7" s="49" t="s">
        <v>45</v>
      </c>
      <c r="H7" s="49" t="s">
        <v>56</v>
      </c>
      <c r="I7" s="49" t="s">
        <v>46</v>
      </c>
      <c r="J7" s="49" t="s">
        <v>47</v>
      </c>
      <c r="K7" s="49" t="s">
        <v>48</v>
      </c>
      <c r="L7" s="49" t="s">
        <v>49</v>
      </c>
      <c r="M7" s="49" t="s">
        <v>50</v>
      </c>
      <c r="N7" s="49" t="s">
        <v>51</v>
      </c>
      <c r="O7" s="49" t="s">
        <v>52</v>
      </c>
      <c r="P7" s="49" t="s">
        <v>53</v>
      </c>
      <c r="Q7" s="49" t="s">
        <v>54</v>
      </c>
      <c r="R7" s="27"/>
      <c r="S7" s="29"/>
      <c r="T7" s="27"/>
      <c r="U7" s="27"/>
    </row>
    <row r="8" spans="1:21" s="21" customFormat="1">
      <c r="A8" s="25"/>
      <c r="B8" s="50" t="s">
        <v>22</v>
      </c>
      <c r="C8" s="50" t="s">
        <v>22</v>
      </c>
      <c r="D8" s="50" t="s">
        <v>22</v>
      </c>
      <c r="E8" s="50" t="s">
        <v>22</v>
      </c>
      <c r="F8" s="50" t="s">
        <v>22</v>
      </c>
      <c r="G8" s="50" t="s">
        <v>23</v>
      </c>
      <c r="H8" s="50" t="s">
        <v>22</v>
      </c>
      <c r="I8" s="50" t="s">
        <v>22</v>
      </c>
      <c r="J8" s="50" t="s">
        <v>24</v>
      </c>
      <c r="K8" s="50" t="s">
        <v>25</v>
      </c>
      <c r="L8" s="25" t="s">
        <v>27</v>
      </c>
      <c r="M8" s="50" t="s">
        <v>26</v>
      </c>
      <c r="N8" s="50" t="s">
        <v>28</v>
      </c>
      <c r="O8" s="25" t="s">
        <v>29</v>
      </c>
      <c r="P8" s="50" t="s">
        <v>22</v>
      </c>
      <c r="Q8" s="50" t="s">
        <v>22</v>
      </c>
      <c r="R8" s="27"/>
      <c r="S8" s="29"/>
      <c r="T8" s="27"/>
      <c r="U8" s="27"/>
    </row>
    <row r="9" spans="1:21" s="11" customFormat="1">
      <c r="A9" s="52" t="s">
        <v>383</v>
      </c>
      <c r="B9" s="53">
        <v>8.8699999999999992</v>
      </c>
      <c r="C9" s="53">
        <v>59.3</v>
      </c>
      <c r="D9" s="53">
        <v>39.44</v>
      </c>
      <c r="E9" s="53">
        <v>7.01</v>
      </c>
      <c r="F9" s="53">
        <v>21.77</v>
      </c>
      <c r="G9" s="53">
        <v>93.87</v>
      </c>
      <c r="H9" s="53">
        <v>33.270000000000003</v>
      </c>
      <c r="I9" s="53">
        <v>6.1</v>
      </c>
      <c r="J9" s="53">
        <v>0.18</v>
      </c>
      <c r="K9" s="53">
        <v>205.47</v>
      </c>
      <c r="L9" s="53">
        <v>29.67</v>
      </c>
      <c r="M9" s="53">
        <v>45.72</v>
      </c>
      <c r="N9" s="53">
        <v>0</v>
      </c>
      <c r="O9" s="53">
        <v>0</v>
      </c>
      <c r="P9" s="53">
        <v>0.83</v>
      </c>
      <c r="Q9" s="53">
        <v>5.46</v>
      </c>
      <c r="R9" s="42"/>
      <c r="S9" s="42"/>
      <c r="T9" s="42"/>
      <c r="U9" s="42"/>
    </row>
    <row r="10" spans="1:21" s="11" customFormat="1">
      <c r="A10" s="52" t="s">
        <v>384</v>
      </c>
      <c r="B10" s="53">
        <v>9.1</v>
      </c>
      <c r="C10" s="53">
        <v>57.08</v>
      </c>
      <c r="D10" s="53">
        <v>38.29</v>
      </c>
      <c r="E10" s="53">
        <v>7.09</v>
      </c>
      <c r="F10" s="53">
        <v>23.66</v>
      </c>
      <c r="G10" s="53">
        <v>79.680000000000007</v>
      </c>
      <c r="H10" s="53">
        <v>33.270000000000003</v>
      </c>
      <c r="I10" s="53">
        <v>5.65</v>
      </c>
      <c r="J10" s="53">
        <v>0.2</v>
      </c>
      <c r="K10" s="53">
        <v>192.07</v>
      </c>
      <c r="L10" s="53">
        <v>28.91</v>
      </c>
      <c r="M10" s="53">
        <v>42.74</v>
      </c>
      <c r="N10" s="53">
        <v>0</v>
      </c>
      <c r="O10" s="53">
        <v>0</v>
      </c>
      <c r="P10" s="53">
        <v>0.77</v>
      </c>
      <c r="Q10" s="53">
        <v>5.26</v>
      </c>
      <c r="R10" s="42"/>
      <c r="S10" s="42"/>
      <c r="T10" s="42"/>
      <c r="U10" s="42"/>
    </row>
    <row r="11" spans="1:21" s="11" customFormat="1">
      <c r="A11" s="52" t="s">
        <v>385</v>
      </c>
      <c r="B11" s="53">
        <v>9.56</v>
      </c>
      <c r="C11" s="53">
        <v>61.12</v>
      </c>
      <c r="D11" s="53">
        <v>40.950000000000003</v>
      </c>
      <c r="E11" s="53">
        <v>8.6999999999999993</v>
      </c>
      <c r="F11" s="53">
        <v>17.87</v>
      </c>
      <c r="G11" s="53">
        <v>61.53</v>
      </c>
      <c r="H11" s="53">
        <v>30.02</v>
      </c>
      <c r="I11" s="53">
        <v>5.48</v>
      </c>
      <c r="J11" s="53">
        <v>0.33</v>
      </c>
      <c r="K11" s="53">
        <v>209.32</v>
      </c>
      <c r="L11" s="53">
        <v>28.57</v>
      </c>
      <c r="M11" s="53">
        <v>47</v>
      </c>
      <c r="N11" s="53">
        <v>0</v>
      </c>
      <c r="O11" s="53">
        <v>0</v>
      </c>
      <c r="P11" s="53">
        <v>0.76</v>
      </c>
      <c r="Q11" s="53">
        <v>5.28</v>
      </c>
      <c r="R11" s="42"/>
      <c r="S11" s="42"/>
      <c r="T11" s="42"/>
      <c r="U11" s="42"/>
    </row>
    <row r="12" spans="1:21" s="11" customFormat="1">
      <c r="A12" s="52" t="s">
        <v>386</v>
      </c>
      <c r="B12" s="53">
        <v>10.59</v>
      </c>
      <c r="C12" s="53">
        <v>63.1</v>
      </c>
      <c r="D12" s="53">
        <v>42.42</v>
      </c>
      <c r="E12" s="53">
        <v>7.96</v>
      </c>
      <c r="F12" s="53">
        <v>11.35</v>
      </c>
      <c r="G12" s="53">
        <v>44.55</v>
      </c>
      <c r="H12" s="53">
        <v>26.61</v>
      </c>
      <c r="I12" s="53">
        <v>5.56</v>
      </c>
      <c r="J12" s="53">
        <v>0.18</v>
      </c>
      <c r="K12" s="53">
        <v>177.08</v>
      </c>
      <c r="L12" s="53">
        <v>27.16</v>
      </c>
      <c r="M12" s="53">
        <v>52.2</v>
      </c>
      <c r="N12" s="53">
        <v>0</v>
      </c>
      <c r="O12" s="53">
        <v>0</v>
      </c>
      <c r="P12" s="53">
        <v>0.76</v>
      </c>
      <c r="Q12" s="53">
        <v>5.35</v>
      </c>
      <c r="R12" s="42"/>
      <c r="S12" s="42"/>
      <c r="T12" s="42"/>
      <c r="U12" s="42"/>
    </row>
    <row r="13" spans="1:21" s="11" customFormat="1">
      <c r="A13" s="52" t="s">
        <v>387</v>
      </c>
      <c r="B13" s="53">
        <v>11.85</v>
      </c>
      <c r="C13" s="53">
        <v>65.83</v>
      </c>
      <c r="D13" s="53">
        <v>45.25</v>
      </c>
      <c r="E13" s="53">
        <v>7.56</v>
      </c>
      <c r="F13" s="53">
        <v>8.86</v>
      </c>
      <c r="G13" s="53">
        <v>42.69</v>
      </c>
      <c r="H13" s="53">
        <v>25.83</v>
      </c>
      <c r="I13" s="53">
        <v>5.47</v>
      </c>
      <c r="J13" s="53">
        <v>0.19</v>
      </c>
      <c r="K13" s="53">
        <v>178.66</v>
      </c>
      <c r="L13" s="53">
        <v>26.23</v>
      </c>
      <c r="M13" s="53">
        <v>55.26</v>
      </c>
      <c r="N13" s="53">
        <v>0</v>
      </c>
      <c r="O13" s="53">
        <v>0</v>
      </c>
      <c r="P13" s="53">
        <v>0.75</v>
      </c>
      <c r="Q13" s="53">
        <v>5.45</v>
      </c>
      <c r="R13" s="42"/>
      <c r="S13" s="42"/>
      <c r="T13" s="42"/>
      <c r="U13" s="42"/>
    </row>
    <row r="14" spans="1:21" s="11" customFormat="1">
      <c r="A14" s="52" t="s">
        <v>388</v>
      </c>
      <c r="B14" s="53">
        <v>12.66</v>
      </c>
      <c r="C14" s="53">
        <v>69.930000000000007</v>
      </c>
      <c r="D14" s="53">
        <v>48.02</v>
      </c>
      <c r="E14" s="53">
        <v>6.97</v>
      </c>
      <c r="F14" s="53">
        <v>5.38</v>
      </c>
      <c r="G14" s="53">
        <v>40.72</v>
      </c>
      <c r="H14" s="53">
        <v>24.14</v>
      </c>
      <c r="I14" s="53">
        <v>5.44</v>
      </c>
      <c r="J14" s="53">
        <v>0.24</v>
      </c>
      <c r="K14" s="53">
        <v>187.93</v>
      </c>
      <c r="L14" s="53">
        <v>26.2</v>
      </c>
      <c r="M14" s="53">
        <v>55.21</v>
      </c>
      <c r="N14" s="53">
        <v>1</v>
      </c>
      <c r="O14" s="53">
        <v>0</v>
      </c>
      <c r="P14" s="53">
        <v>0.76</v>
      </c>
      <c r="Q14" s="53">
        <v>5.68</v>
      </c>
      <c r="R14" s="42"/>
      <c r="S14" s="42"/>
      <c r="T14" s="42"/>
      <c r="U14" s="42"/>
    </row>
    <row r="15" spans="1:21" s="11" customFormat="1">
      <c r="A15" s="52" t="s">
        <v>389</v>
      </c>
      <c r="B15" s="53">
        <v>12.9</v>
      </c>
      <c r="C15" s="53">
        <v>71.03</v>
      </c>
      <c r="D15" s="53">
        <v>48.81</v>
      </c>
      <c r="E15" s="53">
        <v>6.69</v>
      </c>
      <c r="F15" s="53">
        <v>4.1900000000000004</v>
      </c>
      <c r="G15" s="53">
        <v>43.48</v>
      </c>
      <c r="H15" s="53">
        <v>24.18</v>
      </c>
      <c r="I15" s="53">
        <v>5.41</v>
      </c>
      <c r="J15" s="53">
        <v>0.39</v>
      </c>
      <c r="K15" s="53">
        <v>157.28</v>
      </c>
      <c r="L15" s="53">
        <v>27.4</v>
      </c>
      <c r="M15" s="53">
        <v>56.1</v>
      </c>
      <c r="N15" s="53">
        <v>47.2</v>
      </c>
      <c r="O15" s="53">
        <v>0</v>
      </c>
      <c r="P15" s="53">
        <v>0.75</v>
      </c>
      <c r="Q15" s="53">
        <v>5.77</v>
      </c>
      <c r="R15" s="42"/>
      <c r="S15" s="42"/>
      <c r="T15" s="42"/>
      <c r="U15" s="42"/>
    </row>
    <row r="16" spans="1:21" s="11" customFormat="1">
      <c r="A16" s="52" t="s">
        <v>390</v>
      </c>
      <c r="B16" s="53">
        <v>12.95</v>
      </c>
      <c r="C16" s="53">
        <v>71.13</v>
      </c>
      <c r="D16" s="53">
        <v>48.84</v>
      </c>
      <c r="E16" s="53">
        <v>6.09</v>
      </c>
      <c r="F16" s="53">
        <v>4.91</v>
      </c>
      <c r="G16" s="53">
        <v>46.49</v>
      </c>
      <c r="H16" s="53">
        <v>24.18</v>
      </c>
      <c r="I16" s="53">
        <v>5.55</v>
      </c>
      <c r="J16" s="53">
        <v>0.63</v>
      </c>
      <c r="K16" s="53">
        <v>227.49</v>
      </c>
      <c r="L16" s="53">
        <v>30.26</v>
      </c>
      <c r="M16" s="53">
        <v>51.78</v>
      </c>
      <c r="N16" s="53">
        <v>207</v>
      </c>
      <c r="O16" s="53">
        <v>0</v>
      </c>
      <c r="P16" s="53">
        <v>0.77</v>
      </c>
      <c r="Q16" s="53">
        <v>5.76</v>
      </c>
      <c r="R16" s="42"/>
      <c r="S16" s="42"/>
      <c r="T16" s="42"/>
      <c r="U16" s="42"/>
    </row>
    <row r="17" spans="1:21" s="11" customFormat="1">
      <c r="A17" s="52" t="s">
        <v>391</v>
      </c>
      <c r="B17" s="53">
        <v>11.74</v>
      </c>
      <c r="C17" s="53">
        <v>70.56</v>
      </c>
      <c r="D17" s="53">
        <v>47.31</v>
      </c>
      <c r="E17" s="53">
        <v>6.15</v>
      </c>
      <c r="F17" s="53">
        <v>6.45</v>
      </c>
      <c r="G17" s="53">
        <v>46.49</v>
      </c>
      <c r="H17" s="53">
        <v>23.58</v>
      </c>
      <c r="I17" s="53">
        <v>5.62</v>
      </c>
      <c r="J17" s="53">
        <v>0.77</v>
      </c>
      <c r="K17" s="53">
        <v>236.01</v>
      </c>
      <c r="L17" s="53">
        <v>33.51</v>
      </c>
      <c r="M17" s="53">
        <v>41.09</v>
      </c>
      <c r="N17" s="53">
        <v>279.39999999999998</v>
      </c>
      <c r="O17" s="53">
        <v>0</v>
      </c>
      <c r="P17" s="53">
        <v>0.77</v>
      </c>
      <c r="Q17" s="53">
        <v>5.73</v>
      </c>
      <c r="R17" s="42"/>
      <c r="S17" s="42"/>
      <c r="T17" s="42"/>
      <c r="U17" s="42"/>
    </row>
    <row r="18" spans="1:21" s="11" customFormat="1">
      <c r="A18" s="52" t="s">
        <v>392</v>
      </c>
      <c r="B18" s="53">
        <v>9.2100000000000009</v>
      </c>
      <c r="C18" s="53">
        <v>70.489999999999995</v>
      </c>
      <c r="D18" s="53">
        <v>44.97</v>
      </c>
      <c r="E18" s="53">
        <v>6.96</v>
      </c>
      <c r="F18" s="53">
        <v>11.39</v>
      </c>
      <c r="G18" s="53">
        <v>49.39</v>
      </c>
      <c r="H18" s="53">
        <v>26.8</v>
      </c>
      <c r="I18" s="53">
        <v>5.66</v>
      </c>
      <c r="J18" s="53">
        <v>0.99</v>
      </c>
      <c r="K18" s="53">
        <v>237.8</v>
      </c>
      <c r="L18" s="53">
        <v>36.380000000000003</v>
      </c>
      <c r="M18" s="53">
        <v>35.630000000000003</v>
      </c>
      <c r="N18" s="53">
        <v>515.79999999999995</v>
      </c>
      <c r="O18" s="53">
        <v>0</v>
      </c>
      <c r="P18" s="53">
        <v>0.78</v>
      </c>
      <c r="Q18" s="53">
        <v>5.6</v>
      </c>
      <c r="R18" s="42"/>
      <c r="S18" s="42"/>
      <c r="T18" s="42"/>
      <c r="U18" s="42"/>
    </row>
    <row r="19" spans="1:21" s="11" customFormat="1">
      <c r="A19" s="52" t="s">
        <v>393</v>
      </c>
      <c r="B19" s="53">
        <v>6.52</v>
      </c>
      <c r="C19" s="53">
        <v>64.150000000000006</v>
      </c>
      <c r="D19" s="53">
        <v>40.090000000000003</v>
      </c>
      <c r="E19" s="53">
        <v>11.96</v>
      </c>
      <c r="F19" s="53">
        <v>24.17</v>
      </c>
      <c r="G19" s="53">
        <v>56.8</v>
      </c>
      <c r="H19" s="53">
        <v>30.03</v>
      </c>
      <c r="I19" s="53">
        <v>5.66</v>
      </c>
      <c r="J19" s="53">
        <v>0.98</v>
      </c>
      <c r="K19" s="53">
        <v>253.92</v>
      </c>
      <c r="L19" s="53">
        <v>38.380000000000003</v>
      </c>
      <c r="M19" s="53">
        <v>29.45</v>
      </c>
      <c r="N19" s="53">
        <v>698.6</v>
      </c>
      <c r="O19" s="53">
        <v>0</v>
      </c>
      <c r="P19" s="53">
        <v>0.79</v>
      </c>
      <c r="Q19" s="53">
        <v>5.4</v>
      </c>
      <c r="R19" s="42"/>
      <c r="S19" s="42"/>
      <c r="T19" s="42"/>
      <c r="U19" s="42"/>
    </row>
    <row r="20" spans="1:21" s="11" customFormat="1">
      <c r="A20" s="52" t="s">
        <v>394</v>
      </c>
      <c r="B20" s="53">
        <v>5.59</v>
      </c>
      <c r="C20" s="53">
        <v>62.56</v>
      </c>
      <c r="D20" s="53">
        <v>38.520000000000003</v>
      </c>
      <c r="E20" s="53">
        <v>19.07</v>
      </c>
      <c r="F20" s="53">
        <v>43.69</v>
      </c>
      <c r="G20" s="53">
        <v>56.8</v>
      </c>
      <c r="H20" s="53">
        <v>30.03</v>
      </c>
      <c r="I20" s="53">
        <v>6.42</v>
      </c>
      <c r="J20" s="53">
        <v>0.87</v>
      </c>
      <c r="K20" s="53">
        <v>284.04000000000002</v>
      </c>
      <c r="L20" s="53">
        <v>40.07</v>
      </c>
      <c r="M20" s="53">
        <v>21.96</v>
      </c>
      <c r="N20" s="53">
        <v>731.2</v>
      </c>
      <c r="O20" s="53">
        <v>0</v>
      </c>
      <c r="P20" s="53">
        <v>0.81</v>
      </c>
      <c r="Q20" s="53">
        <v>5.25</v>
      </c>
      <c r="R20" s="42"/>
      <c r="S20" s="42"/>
      <c r="T20" s="42"/>
      <c r="U20" s="42"/>
    </row>
    <row r="21" spans="1:21" s="11" customFormat="1">
      <c r="A21" s="52" t="s">
        <v>395</v>
      </c>
      <c r="B21" s="53">
        <v>6.13</v>
      </c>
      <c r="C21" s="53">
        <v>61.04</v>
      </c>
      <c r="D21" s="53">
        <v>37.47</v>
      </c>
      <c r="E21" s="53">
        <v>17.79</v>
      </c>
      <c r="F21" s="53">
        <v>44.8</v>
      </c>
      <c r="G21" s="53">
        <v>57.4</v>
      </c>
      <c r="H21" s="53">
        <v>28.32</v>
      </c>
      <c r="I21" s="53">
        <v>7.03</v>
      </c>
      <c r="J21" s="53">
        <v>1.1200000000000001</v>
      </c>
      <c r="K21" s="53">
        <v>325.23</v>
      </c>
      <c r="L21" s="53">
        <v>41.04</v>
      </c>
      <c r="M21" s="53">
        <v>15.88</v>
      </c>
      <c r="N21" s="53">
        <v>743.7</v>
      </c>
      <c r="O21" s="53">
        <v>0</v>
      </c>
      <c r="P21" s="53">
        <v>0.79</v>
      </c>
      <c r="Q21" s="53">
        <v>5.25</v>
      </c>
      <c r="R21" s="42"/>
      <c r="S21" s="42"/>
      <c r="T21" s="42"/>
      <c r="U21" s="42"/>
    </row>
    <row r="22" spans="1:21" s="11" customFormat="1">
      <c r="A22" s="52" t="s">
        <v>396</v>
      </c>
      <c r="B22" s="53">
        <v>6.14</v>
      </c>
      <c r="C22" s="53">
        <v>58.66</v>
      </c>
      <c r="D22" s="53">
        <v>36.92</v>
      </c>
      <c r="E22" s="53">
        <v>19.36</v>
      </c>
      <c r="F22" s="53">
        <v>49.09</v>
      </c>
      <c r="G22" s="53">
        <v>57.4</v>
      </c>
      <c r="H22" s="53">
        <v>27.12</v>
      </c>
      <c r="I22" s="53">
        <v>5.63</v>
      </c>
      <c r="J22" s="53">
        <v>0.74</v>
      </c>
      <c r="K22" s="53">
        <v>328.9</v>
      </c>
      <c r="L22" s="53">
        <v>41.31</v>
      </c>
      <c r="M22" s="53">
        <v>13.16</v>
      </c>
      <c r="N22" s="53">
        <v>595.79999999999995</v>
      </c>
      <c r="O22" s="53">
        <v>0</v>
      </c>
      <c r="P22" s="53">
        <v>0.69</v>
      </c>
      <c r="Q22" s="53">
        <v>5.19</v>
      </c>
      <c r="R22" s="42"/>
      <c r="S22" s="42"/>
      <c r="T22" s="42"/>
      <c r="U22" s="42"/>
    </row>
    <row r="23" spans="1:21" s="11" customFormat="1">
      <c r="A23" s="52" t="s">
        <v>397</v>
      </c>
      <c r="B23" s="53">
        <v>6.1</v>
      </c>
      <c r="C23" s="53">
        <v>61.07</v>
      </c>
      <c r="D23" s="53">
        <v>38.15</v>
      </c>
      <c r="E23" s="53">
        <v>24.86</v>
      </c>
      <c r="F23" s="53">
        <v>62.14</v>
      </c>
      <c r="G23" s="53">
        <v>55.21</v>
      </c>
      <c r="H23" s="53">
        <v>20.9</v>
      </c>
      <c r="I23" s="53">
        <v>5.14</v>
      </c>
      <c r="J23" s="53">
        <v>0.92</v>
      </c>
      <c r="K23" s="53">
        <v>357.76</v>
      </c>
      <c r="L23" s="53">
        <v>41.63</v>
      </c>
      <c r="M23" s="53">
        <v>12.51</v>
      </c>
      <c r="N23" s="53">
        <v>497.4</v>
      </c>
      <c r="O23" s="53">
        <v>0</v>
      </c>
      <c r="P23" s="53">
        <v>0.61</v>
      </c>
      <c r="Q23" s="53">
        <v>5.0999999999999996</v>
      </c>
      <c r="R23" s="42"/>
      <c r="S23" s="42"/>
      <c r="T23" s="42"/>
      <c r="U23" s="42"/>
    </row>
    <row r="24" spans="1:21" s="11" customFormat="1">
      <c r="A24" s="52" t="s">
        <v>398</v>
      </c>
      <c r="B24" s="53">
        <v>6.13</v>
      </c>
      <c r="C24" s="53">
        <v>59.1</v>
      </c>
      <c r="D24" s="53">
        <v>37.14</v>
      </c>
      <c r="E24" s="53">
        <v>16.739999999999998</v>
      </c>
      <c r="F24" s="53">
        <v>50.71</v>
      </c>
      <c r="G24" s="53">
        <v>55.21</v>
      </c>
      <c r="H24" s="53">
        <v>21.19</v>
      </c>
      <c r="I24" s="53">
        <v>5.07</v>
      </c>
      <c r="J24" s="53">
        <v>0.73</v>
      </c>
      <c r="K24" s="53">
        <v>348.91</v>
      </c>
      <c r="L24" s="53">
        <v>40.909999999999997</v>
      </c>
      <c r="M24" s="53">
        <v>13.27</v>
      </c>
      <c r="N24" s="53">
        <v>370.1</v>
      </c>
      <c r="O24" s="53">
        <v>0</v>
      </c>
      <c r="P24" s="53">
        <v>0.62</v>
      </c>
      <c r="Q24" s="53">
        <v>5.27</v>
      </c>
      <c r="R24" s="42"/>
      <c r="S24" s="42"/>
      <c r="T24" s="42"/>
      <c r="U24" s="42"/>
    </row>
    <row r="25" spans="1:21" s="11" customFormat="1">
      <c r="A25" s="52" t="s">
        <v>399</v>
      </c>
      <c r="B25" s="53">
        <v>5.19</v>
      </c>
      <c r="C25" s="53">
        <v>58.19</v>
      </c>
      <c r="D25" s="53">
        <v>35.92</v>
      </c>
      <c r="E25" s="53">
        <v>16.12</v>
      </c>
      <c r="F25" s="53">
        <v>56.78</v>
      </c>
      <c r="G25" s="53">
        <v>52.57</v>
      </c>
      <c r="H25" s="53">
        <v>21.19</v>
      </c>
      <c r="I25" s="53">
        <v>4.8099999999999996</v>
      </c>
      <c r="J25" s="53">
        <v>0.26</v>
      </c>
      <c r="K25" s="53">
        <v>188.85</v>
      </c>
      <c r="L25" s="53">
        <v>39.85</v>
      </c>
      <c r="M25" s="53">
        <v>21.54</v>
      </c>
      <c r="N25" s="53">
        <v>70.3</v>
      </c>
      <c r="O25" s="53">
        <v>0</v>
      </c>
      <c r="P25" s="53">
        <v>0.62</v>
      </c>
      <c r="Q25" s="53">
        <v>5.25</v>
      </c>
      <c r="R25" s="42"/>
      <c r="S25" s="42"/>
      <c r="T25" s="42"/>
      <c r="U25" s="42"/>
    </row>
    <row r="26" spans="1:21" s="11" customFormat="1">
      <c r="A26" s="52" t="s">
        <v>400</v>
      </c>
      <c r="B26" s="53">
        <v>4.47</v>
      </c>
      <c r="C26" s="53">
        <v>50.37</v>
      </c>
      <c r="D26" s="53">
        <v>31.24</v>
      </c>
      <c r="E26" s="53">
        <v>15.96</v>
      </c>
      <c r="F26" s="53">
        <v>58.1</v>
      </c>
      <c r="G26" s="53">
        <v>52.32</v>
      </c>
      <c r="H26" s="53">
        <v>20.62</v>
      </c>
      <c r="I26" s="53">
        <v>4.37</v>
      </c>
      <c r="J26" s="53">
        <v>0.28000000000000003</v>
      </c>
      <c r="K26" s="53">
        <v>178.6</v>
      </c>
      <c r="L26" s="53">
        <v>37.17</v>
      </c>
      <c r="M26" s="53">
        <v>27.36</v>
      </c>
      <c r="N26" s="53">
        <v>16.899999999999999</v>
      </c>
      <c r="O26" s="53">
        <v>0</v>
      </c>
      <c r="P26" s="53">
        <v>0.62</v>
      </c>
      <c r="Q26" s="53">
        <v>5.0599999999999996</v>
      </c>
      <c r="R26" s="42"/>
      <c r="S26" s="42"/>
      <c r="T26" s="42"/>
      <c r="U26" s="42"/>
    </row>
    <row r="27" spans="1:21" s="11" customFormat="1">
      <c r="A27" s="52" t="s">
        <v>401</v>
      </c>
      <c r="B27" s="53">
        <v>4.6500000000000004</v>
      </c>
      <c r="C27" s="53">
        <v>51.63</v>
      </c>
      <c r="D27" s="53">
        <v>31.94</v>
      </c>
      <c r="E27" s="53">
        <v>14.99</v>
      </c>
      <c r="F27" s="53">
        <v>49.83</v>
      </c>
      <c r="G27" s="53">
        <v>60.86</v>
      </c>
      <c r="H27" s="53">
        <v>22.54</v>
      </c>
      <c r="I27" s="53">
        <v>5.34</v>
      </c>
      <c r="J27" s="53">
        <v>0.2</v>
      </c>
      <c r="K27" s="53">
        <v>175.42</v>
      </c>
      <c r="L27" s="53">
        <v>35.26</v>
      </c>
      <c r="M27" s="53">
        <v>30.77</v>
      </c>
      <c r="N27" s="53">
        <v>0</v>
      </c>
      <c r="O27" s="53">
        <v>0</v>
      </c>
      <c r="P27" s="53">
        <v>0.72</v>
      </c>
      <c r="Q27" s="53">
        <v>5</v>
      </c>
      <c r="R27" s="42"/>
      <c r="S27" s="42"/>
      <c r="T27" s="42"/>
      <c r="U27" s="42"/>
    </row>
    <row r="28" spans="1:21" s="11" customFormat="1">
      <c r="A28" s="52" t="s">
        <v>402</v>
      </c>
      <c r="B28" s="53">
        <v>5.79</v>
      </c>
      <c r="C28" s="53">
        <v>54.91</v>
      </c>
      <c r="D28" s="53">
        <v>34.47</v>
      </c>
      <c r="E28" s="53">
        <v>13.07</v>
      </c>
      <c r="F28" s="53">
        <v>34.450000000000003</v>
      </c>
      <c r="G28" s="53">
        <v>60.86</v>
      </c>
      <c r="H28" s="53">
        <v>22.54</v>
      </c>
      <c r="I28" s="53">
        <v>6.1</v>
      </c>
      <c r="J28" s="53">
        <v>0.39</v>
      </c>
      <c r="K28" s="53">
        <v>248.81</v>
      </c>
      <c r="L28" s="53">
        <v>34.090000000000003</v>
      </c>
      <c r="M28" s="53">
        <v>30.04</v>
      </c>
      <c r="N28" s="53">
        <v>0</v>
      </c>
      <c r="O28" s="53">
        <v>0</v>
      </c>
      <c r="P28" s="53">
        <v>0.8</v>
      </c>
      <c r="Q28" s="53">
        <v>5.0199999999999996</v>
      </c>
      <c r="R28" s="42"/>
      <c r="S28" s="42"/>
      <c r="T28" s="42"/>
      <c r="U28" s="42"/>
    </row>
    <row r="29" spans="1:21" s="11" customFormat="1">
      <c r="A29" s="52" t="s">
        <v>403</v>
      </c>
      <c r="B29" s="53">
        <v>6.76</v>
      </c>
      <c r="C29" s="53">
        <v>52.69</v>
      </c>
      <c r="D29" s="53">
        <v>34.28</v>
      </c>
      <c r="E29" s="53">
        <v>11.76</v>
      </c>
      <c r="F29" s="53">
        <v>38.619999999999997</v>
      </c>
      <c r="G29" s="53">
        <v>63.67</v>
      </c>
      <c r="H29" s="53">
        <v>24.73</v>
      </c>
      <c r="I29" s="53">
        <v>6.61</v>
      </c>
      <c r="J29" s="53">
        <v>0.27</v>
      </c>
      <c r="K29" s="53">
        <v>160.22</v>
      </c>
      <c r="L29" s="53">
        <v>33.61</v>
      </c>
      <c r="M29" s="53">
        <v>36.24</v>
      </c>
      <c r="N29" s="53">
        <v>0</v>
      </c>
      <c r="O29" s="53">
        <v>0</v>
      </c>
      <c r="P29" s="53">
        <v>0.81</v>
      </c>
      <c r="Q29" s="53">
        <v>4.99</v>
      </c>
      <c r="R29" s="42"/>
      <c r="S29" s="42"/>
      <c r="T29" s="42"/>
      <c r="U29" s="42"/>
    </row>
    <row r="30" spans="1:21" s="11" customFormat="1">
      <c r="A30" s="52" t="s">
        <v>404</v>
      </c>
      <c r="B30" s="53">
        <v>43.57</v>
      </c>
      <c r="C30" s="53">
        <v>71.19</v>
      </c>
      <c r="D30" s="53">
        <v>73.89</v>
      </c>
      <c r="E30" s="53">
        <v>11.31</v>
      </c>
      <c r="F30" s="53">
        <v>24.81</v>
      </c>
      <c r="G30" s="53">
        <v>64.59</v>
      </c>
      <c r="H30" s="53">
        <v>25.88</v>
      </c>
      <c r="I30" s="53">
        <v>6.77</v>
      </c>
      <c r="J30" s="53">
        <v>0.19</v>
      </c>
      <c r="K30" s="53">
        <v>155.79</v>
      </c>
      <c r="L30" s="53">
        <v>32.06</v>
      </c>
      <c r="M30" s="53">
        <v>37.659999999999997</v>
      </c>
      <c r="N30" s="53">
        <v>0</v>
      </c>
      <c r="O30" s="53">
        <v>0</v>
      </c>
      <c r="P30" s="53">
        <v>1.05</v>
      </c>
      <c r="Q30" s="53">
        <v>5.14</v>
      </c>
      <c r="R30" s="42"/>
      <c r="S30" s="42"/>
      <c r="T30" s="42"/>
      <c r="U30" s="42"/>
    </row>
    <row r="31" spans="1:21" s="11" customFormat="1">
      <c r="A31" s="52" t="s">
        <v>405</v>
      </c>
      <c r="B31" s="53">
        <v>41.85</v>
      </c>
      <c r="C31" s="53">
        <v>70.83</v>
      </c>
      <c r="D31" s="53">
        <v>70.59</v>
      </c>
      <c r="E31" s="53">
        <v>10.84</v>
      </c>
      <c r="F31" s="53">
        <v>3.92</v>
      </c>
      <c r="G31" s="53">
        <v>89.92</v>
      </c>
      <c r="H31" s="53">
        <v>33.17</v>
      </c>
      <c r="I31" s="53">
        <v>8.3699999999999992</v>
      </c>
      <c r="J31" s="53">
        <v>0.27</v>
      </c>
      <c r="K31" s="53">
        <v>173.7</v>
      </c>
      <c r="L31" s="53">
        <v>31.37</v>
      </c>
      <c r="M31" s="53">
        <v>44.5</v>
      </c>
      <c r="N31" s="53">
        <v>0</v>
      </c>
      <c r="O31" s="53">
        <v>0</v>
      </c>
      <c r="P31" s="53">
        <v>1.18</v>
      </c>
      <c r="Q31" s="53">
        <v>6.6</v>
      </c>
      <c r="R31" s="42"/>
      <c r="S31" s="42"/>
      <c r="T31" s="42"/>
      <c r="U31" s="42"/>
    </row>
    <row r="32" spans="1:21" s="11" customFormat="1">
      <c r="A32" s="52" t="s">
        <v>406</v>
      </c>
      <c r="B32" s="53">
        <v>24.38</v>
      </c>
      <c r="C32" s="53">
        <v>68.2</v>
      </c>
      <c r="D32" s="53">
        <v>56.53</v>
      </c>
      <c r="E32" s="53">
        <v>8.4600000000000009</v>
      </c>
      <c r="F32" s="53">
        <v>4.9400000000000004</v>
      </c>
      <c r="G32" s="53">
        <v>90.68</v>
      </c>
      <c r="H32" s="53">
        <v>33.17</v>
      </c>
      <c r="I32" s="53">
        <v>8.69</v>
      </c>
      <c r="J32" s="53">
        <v>0.22</v>
      </c>
      <c r="K32" s="53">
        <v>202.14</v>
      </c>
      <c r="L32" s="53">
        <v>29.28</v>
      </c>
      <c r="M32" s="53">
        <v>47.68</v>
      </c>
      <c r="N32" s="53">
        <v>0</v>
      </c>
      <c r="O32" s="53">
        <v>0</v>
      </c>
      <c r="P32" s="53">
        <v>1.1599999999999999</v>
      </c>
      <c r="Q32" s="53">
        <v>6.6</v>
      </c>
      <c r="R32" s="42"/>
      <c r="S32" s="42"/>
      <c r="T32" s="42"/>
      <c r="U32" s="42"/>
    </row>
    <row r="33" spans="1:21" s="21" customFormat="1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>
      <c r="A34" s="27" t="s">
        <v>30</v>
      </c>
      <c r="B34" s="28">
        <f t="shared" ref="B34:Q34" si="0">MIN(B9:B32)</f>
        <v>4.47</v>
      </c>
      <c r="C34" s="28">
        <f t="shared" si="0"/>
        <v>50.37</v>
      </c>
      <c r="D34" s="28">
        <f t="shared" si="0"/>
        <v>31.24</v>
      </c>
      <c r="E34" s="28">
        <f t="shared" si="0"/>
        <v>6.09</v>
      </c>
      <c r="F34" s="28">
        <f t="shared" si="0"/>
        <v>3.92</v>
      </c>
      <c r="G34" s="28">
        <f t="shared" si="0"/>
        <v>40.72</v>
      </c>
      <c r="H34" s="28">
        <f>MIN(H9:H32)</f>
        <v>20.62</v>
      </c>
      <c r="I34" s="28">
        <f t="shared" si="0"/>
        <v>4.37</v>
      </c>
      <c r="J34" s="28">
        <f t="shared" si="0"/>
        <v>0.18</v>
      </c>
      <c r="K34" s="28">
        <f t="shared" si="0"/>
        <v>155.79</v>
      </c>
      <c r="L34" s="28">
        <f t="shared" si="0"/>
        <v>26.2</v>
      </c>
      <c r="M34" s="28">
        <f t="shared" si="0"/>
        <v>12.51</v>
      </c>
      <c r="N34" s="28">
        <f t="shared" si="0"/>
        <v>0</v>
      </c>
      <c r="O34" s="28">
        <f t="shared" si="0"/>
        <v>0</v>
      </c>
      <c r="P34" s="28">
        <f t="shared" si="0"/>
        <v>0.61</v>
      </c>
      <c r="Q34" s="28">
        <f t="shared" si="0"/>
        <v>4.99</v>
      </c>
      <c r="R34" s="28"/>
      <c r="S34" s="28"/>
      <c r="T34" s="28"/>
      <c r="U34" s="28"/>
    </row>
    <row r="35" spans="1:21" s="21" customFormat="1">
      <c r="A35" s="27" t="s">
        <v>31</v>
      </c>
      <c r="B35" s="29">
        <f t="shared" ref="B35:Q35" si="1">MAX(B9:B32)</f>
        <v>43.57</v>
      </c>
      <c r="C35" s="29">
        <f t="shared" si="1"/>
        <v>71.19</v>
      </c>
      <c r="D35" s="29">
        <f t="shared" si="1"/>
        <v>73.89</v>
      </c>
      <c r="E35" s="29">
        <f t="shared" si="1"/>
        <v>24.86</v>
      </c>
      <c r="F35" s="29">
        <f t="shared" si="1"/>
        <v>62.14</v>
      </c>
      <c r="G35" s="29">
        <f>MAX(G9:G32)</f>
        <v>93.87</v>
      </c>
      <c r="H35" s="29">
        <f>MAX(H9:H32)</f>
        <v>33.270000000000003</v>
      </c>
      <c r="I35" s="29">
        <f t="shared" si="1"/>
        <v>8.69</v>
      </c>
      <c r="J35" s="29">
        <f t="shared" si="1"/>
        <v>1.1200000000000001</v>
      </c>
      <c r="K35" s="29">
        <f t="shared" si="1"/>
        <v>357.76</v>
      </c>
      <c r="L35" s="29">
        <f t="shared" si="1"/>
        <v>41.63</v>
      </c>
      <c r="M35" s="29">
        <f t="shared" si="1"/>
        <v>56.1</v>
      </c>
      <c r="N35" s="29">
        <f t="shared" si="1"/>
        <v>743.7</v>
      </c>
      <c r="O35" s="29">
        <f t="shared" si="1"/>
        <v>0</v>
      </c>
      <c r="P35" s="29">
        <f t="shared" si="1"/>
        <v>1.18</v>
      </c>
      <c r="Q35" s="29">
        <f t="shared" si="1"/>
        <v>6.6</v>
      </c>
      <c r="R35" s="29"/>
      <c r="S35" s="29"/>
      <c r="T35" s="29"/>
      <c r="U35" s="29"/>
    </row>
    <row r="36" spans="1:21" s="21" customFormat="1">
      <c r="A36" s="27" t="s">
        <v>32</v>
      </c>
      <c r="B36" s="28">
        <f t="shared" ref="B36:Q36" si="2">AVERAGE(B9:B32)</f>
        <v>11.779166666666667</v>
      </c>
      <c r="C36" s="28">
        <f t="shared" si="2"/>
        <v>62.673333333333339</v>
      </c>
      <c r="D36" s="28">
        <f t="shared" si="2"/>
        <v>43.393750000000004</v>
      </c>
      <c r="E36" s="28">
        <f t="shared" si="2"/>
        <v>11.811249999999996</v>
      </c>
      <c r="F36" s="28">
        <f t="shared" si="2"/>
        <v>27.578333333333337</v>
      </c>
      <c r="G36" s="28">
        <f t="shared" si="2"/>
        <v>59.299166666666672</v>
      </c>
      <c r="H36" s="28">
        <f>AVERAGE(H9:H32)</f>
        <v>26.387916666666658</v>
      </c>
      <c r="I36" s="28">
        <f t="shared" si="2"/>
        <v>5.9145833333333329</v>
      </c>
      <c r="J36" s="28">
        <f t="shared" si="2"/>
        <v>0.48083333333333328</v>
      </c>
      <c r="K36" s="28">
        <f t="shared" si="2"/>
        <v>224.64166666666674</v>
      </c>
      <c r="L36" s="28">
        <f t="shared" si="2"/>
        <v>33.763333333333335</v>
      </c>
      <c r="M36" s="28">
        <f t="shared" si="2"/>
        <v>36.031249999999993</v>
      </c>
      <c r="N36" s="28">
        <f t="shared" si="2"/>
        <v>198.93333333333331</v>
      </c>
      <c r="O36" s="28">
        <f t="shared" si="2"/>
        <v>0</v>
      </c>
      <c r="P36" s="28">
        <f t="shared" si="2"/>
        <v>0.79041666666666666</v>
      </c>
      <c r="Q36" s="28">
        <f t="shared" si="2"/>
        <v>5.4358333333333322</v>
      </c>
      <c r="R36" s="28"/>
      <c r="S36" s="28"/>
      <c r="T36" s="28"/>
      <c r="U36" s="28"/>
    </row>
    <row r="37" spans="1:21" s="21" customFormat="1">
      <c r="A37" s="27" t="s">
        <v>38</v>
      </c>
      <c r="B37" s="28">
        <f>STDEV(B9:B32)</f>
        <v>10.442920179914138</v>
      </c>
      <c r="C37" s="28">
        <f t="shared" ref="C37:Q37" si="3">STDEV(C9:C32)</f>
        <v>6.697865764338828</v>
      </c>
      <c r="D37" s="28">
        <f t="shared" si="3"/>
        <v>10.7707598587464</v>
      </c>
      <c r="E37" s="28">
        <f t="shared" si="3"/>
        <v>5.2162241153672868</v>
      </c>
      <c r="F37" s="28">
        <f t="shared" si="3"/>
        <v>20.116790016792191</v>
      </c>
      <c r="G37" s="28">
        <f t="shared" si="3"/>
        <v>15.111430144579048</v>
      </c>
      <c r="H37" s="28">
        <f>STDEV(H9:H32)</f>
        <v>4.1909322187693885</v>
      </c>
      <c r="I37" s="28">
        <f t="shared" si="3"/>
        <v>1.0055799934308594</v>
      </c>
      <c r="J37" s="28">
        <f t="shared" si="3"/>
        <v>0.31948214438323491</v>
      </c>
      <c r="K37" s="28">
        <f t="shared" si="3"/>
        <v>62.265778769698883</v>
      </c>
      <c r="L37" s="28">
        <f t="shared" si="3"/>
        <v>5.3088045544266524</v>
      </c>
      <c r="M37" s="28">
        <f t="shared" si="3"/>
        <v>14.348755532313163</v>
      </c>
      <c r="N37" s="28">
        <f t="shared" si="3"/>
        <v>276.60800495610584</v>
      </c>
      <c r="O37" s="28">
        <f t="shared" si="3"/>
        <v>0</v>
      </c>
      <c r="P37" s="28">
        <f t="shared" si="3"/>
        <v>0.14748556795030227</v>
      </c>
      <c r="Q37" s="28">
        <f t="shared" si="3"/>
        <v>0.43035795683882905</v>
      </c>
      <c r="R37" s="28"/>
      <c r="S37" s="28"/>
      <c r="T37" s="28"/>
      <c r="U37" s="28"/>
    </row>
    <row r="38" spans="1:21" s="21" customFormat="1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>COUNT(F9:F32)</f>
        <v>24</v>
      </c>
      <c r="G38" s="32">
        <f>COUNT(G9:G32)</f>
        <v>24</v>
      </c>
      <c r="H38" s="32">
        <f>COUNT(H9:H32)</f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>
      <c r="A42" s="13"/>
    </row>
    <row r="43" spans="1:21" s="21" customFormat="1">
      <c r="A43" s="14" t="s">
        <v>35</v>
      </c>
      <c r="B43" s="39" t="s">
        <v>58</v>
      </c>
      <c r="C43" s="41"/>
    </row>
    <row r="44" spans="1:21" s="21" customFormat="1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0"/>
      <c r="C45" s="40"/>
      <c r="D45" s="40"/>
      <c r="E45" s="40"/>
      <c r="F45" s="40"/>
      <c r="G45" s="40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</row>
    <row r="46" spans="1:21" s="21" customFormat="1"/>
    <row r="47" spans="1:21" s="21" customFormat="1"/>
    <row r="48" spans="1:21" s="21" customFormat="1"/>
    <row r="49" s="21" customFormat="1"/>
    <row r="50" s="21" customFormat="1"/>
    <row r="51" s="21" customFormat="1"/>
    <row r="52" s="21" customFormat="1"/>
    <row r="53" s="21" customFormat="1"/>
    <row r="54" s="21" customFormat="1"/>
    <row r="55" s="21" customFormat="1"/>
    <row r="56" s="21" customFormat="1"/>
    <row r="57" s="21" customFormat="1"/>
    <row r="58" s="21" customFormat="1"/>
    <row r="59" s="21" customFormat="1"/>
    <row r="60" s="21" customFormat="1"/>
    <row r="61" s="21" customFormat="1"/>
    <row r="62" s="21" customFormat="1"/>
    <row r="63" s="21" customFormat="1"/>
    <row r="64" s="21" customFormat="1"/>
    <row r="65" s="21" customFormat="1"/>
    <row r="66" s="21" customFormat="1"/>
    <row r="67" s="21" customFormat="1"/>
    <row r="68" s="21" customFormat="1"/>
    <row r="69" s="21" customFormat="1"/>
    <row r="70" s="21" customFormat="1"/>
    <row r="71" s="21" customFormat="1"/>
    <row r="72" s="21" customFormat="1"/>
    <row r="73" s="21" customFormat="1"/>
    <row r="74" s="21" customFormat="1"/>
    <row r="75" s="21" customFormat="1"/>
    <row r="76" s="21" customFormat="1"/>
    <row r="77" s="21" customFormat="1"/>
    <row r="78" s="21" customFormat="1"/>
    <row r="79" s="21" customFormat="1"/>
    <row r="80" s="21" customFormat="1"/>
    <row r="81" s="21" customFormat="1"/>
    <row r="82" s="21" customFormat="1"/>
    <row r="83" s="21" customFormat="1"/>
    <row r="84" s="21" customFormat="1"/>
    <row r="85" s="21" customFormat="1"/>
    <row r="86" s="21" customFormat="1"/>
    <row r="87" s="21" customFormat="1"/>
    <row r="88" s="21" customFormat="1"/>
    <row r="89" s="21" customFormat="1"/>
    <row r="90" s="21" customFormat="1"/>
    <row r="91" s="21" customFormat="1"/>
    <row r="92" s="21" customFormat="1"/>
    <row r="93" s="21" customFormat="1"/>
    <row r="94" s="21" customFormat="1"/>
    <row r="95" s="21" customFormat="1"/>
    <row r="96" s="21" customFormat="1"/>
    <row r="97" spans="1:1" s="21" customFormat="1"/>
    <row r="98" spans="1:1" s="21" customFormat="1"/>
    <row r="99" spans="1:1" s="21" customFormat="1"/>
    <row r="100" spans="1:1" s="21" customFormat="1"/>
    <row r="101" spans="1:1" s="21" customFormat="1"/>
    <row r="102" spans="1:1" s="21" customFormat="1"/>
    <row r="103" spans="1:1" s="21" customFormat="1"/>
    <row r="104" spans="1:1" s="21" customFormat="1"/>
    <row r="105" spans="1:1" s="21" customFormat="1"/>
    <row r="106" spans="1:1">
      <c r="A106" s="20"/>
    </row>
    <row r="107" spans="1:1" s="21" customFormat="1"/>
    <row r="108" spans="1:1" s="21" customFormat="1"/>
    <row r="109" spans="1:1" s="21" customFormat="1"/>
    <row r="110" spans="1:1" s="21" customFormat="1"/>
    <row r="111" spans="1:1" s="21" customFormat="1"/>
    <row r="112" spans="1:1" s="21" customFormat="1"/>
    <row r="113" spans="1:1" s="21" customFormat="1"/>
    <row r="114" spans="1:1" s="21" customFormat="1"/>
    <row r="115" spans="1:1" s="21" customFormat="1"/>
    <row r="116" spans="1:1" s="21" customFormat="1"/>
    <row r="117" spans="1:1" s="21" customFormat="1"/>
    <row r="118" spans="1:1">
      <c r="A118" s="20"/>
    </row>
    <row r="119" spans="1:1">
      <c r="A119" s="20"/>
    </row>
  </sheetData>
  <pageMargins left="0.7" right="0.7" top="0.75" bottom="0.75" header="0.3" footer="0.3"/>
  <pageSetup paperSize="9" orientation="portrait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1" ySplit="8" topLeftCell="B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A9" sqref="A9:Q32"/>
    </sheetView>
  </sheetViews>
  <sheetFormatPr defaultColWidth="8.85546875" defaultRowHeight="1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>
      <c r="A1" s="14" t="s">
        <v>2</v>
      </c>
      <c r="B1" s="23" t="s">
        <v>55</v>
      </c>
      <c r="C1" s="36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>
      <c r="A2" s="14" t="s">
        <v>0</v>
      </c>
      <c r="B2" s="37" t="str">
        <f>$A$9</f>
        <v>15/04/2023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8" t="s">
        <v>7</v>
      </c>
      <c r="Q2" s="12"/>
      <c r="R2" s="8" t="s">
        <v>8</v>
      </c>
      <c r="S2" s="11"/>
      <c r="T2" s="11"/>
      <c r="U2" s="11"/>
    </row>
    <row r="3" spans="1:21" s="21" customFormat="1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8" t="s">
        <v>15</v>
      </c>
      <c r="Q3" s="12"/>
      <c r="R3" s="9" t="s">
        <v>15</v>
      </c>
      <c r="S3" s="11"/>
      <c r="T3" s="11"/>
      <c r="U3" s="11"/>
    </row>
    <row r="4" spans="1:21" s="21" customFormat="1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>
      <c r="A7" s="25" t="s">
        <v>21</v>
      </c>
      <c r="B7" s="48" t="s">
        <v>40</v>
      </c>
      <c r="C7" s="49" t="s">
        <v>41</v>
      </c>
      <c r="D7" s="49" t="s">
        <v>42</v>
      </c>
      <c r="E7" s="49" t="s">
        <v>43</v>
      </c>
      <c r="F7" s="49" t="s">
        <v>44</v>
      </c>
      <c r="G7" s="49" t="s">
        <v>45</v>
      </c>
      <c r="H7" s="49" t="s">
        <v>56</v>
      </c>
      <c r="I7" s="49" t="s">
        <v>46</v>
      </c>
      <c r="J7" s="49" t="s">
        <v>47</v>
      </c>
      <c r="K7" s="49" t="s">
        <v>48</v>
      </c>
      <c r="L7" s="49" t="s">
        <v>49</v>
      </c>
      <c r="M7" s="49" t="s">
        <v>50</v>
      </c>
      <c r="N7" s="49" t="s">
        <v>51</v>
      </c>
      <c r="O7" s="49" t="s">
        <v>52</v>
      </c>
      <c r="P7" s="49" t="s">
        <v>53</v>
      </c>
      <c r="Q7" s="49" t="s">
        <v>54</v>
      </c>
      <c r="R7" s="27"/>
      <c r="S7" s="29"/>
      <c r="T7" s="27"/>
      <c r="U7" s="27"/>
    </row>
    <row r="8" spans="1:21" s="21" customFormat="1">
      <c r="A8" s="25"/>
      <c r="B8" s="50" t="s">
        <v>22</v>
      </c>
      <c r="C8" s="50" t="s">
        <v>22</v>
      </c>
      <c r="D8" s="50" t="s">
        <v>22</v>
      </c>
      <c r="E8" s="50" t="s">
        <v>22</v>
      </c>
      <c r="F8" s="50" t="s">
        <v>22</v>
      </c>
      <c r="G8" s="50" t="s">
        <v>23</v>
      </c>
      <c r="H8" s="50" t="s">
        <v>22</v>
      </c>
      <c r="I8" s="50" t="s">
        <v>22</v>
      </c>
      <c r="J8" s="50" t="s">
        <v>24</v>
      </c>
      <c r="K8" s="50" t="s">
        <v>25</v>
      </c>
      <c r="L8" s="25" t="s">
        <v>27</v>
      </c>
      <c r="M8" s="50" t="s">
        <v>26</v>
      </c>
      <c r="N8" s="50" t="s">
        <v>28</v>
      </c>
      <c r="O8" s="25" t="s">
        <v>29</v>
      </c>
      <c r="P8" s="50" t="s">
        <v>22</v>
      </c>
      <c r="Q8" s="50" t="s">
        <v>22</v>
      </c>
      <c r="R8" s="27"/>
      <c r="S8" s="29"/>
      <c r="T8" s="27"/>
      <c r="U8" s="27"/>
    </row>
    <row r="9" spans="1:21" s="11" customFormat="1">
      <c r="A9" s="52" t="s">
        <v>407</v>
      </c>
      <c r="B9" s="53">
        <v>25.96</v>
      </c>
      <c r="C9" s="53">
        <v>67.97</v>
      </c>
      <c r="D9" s="53">
        <v>57.68</v>
      </c>
      <c r="E9" s="53">
        <v>8.15</v>
      </c>
      <c r="F9" s="53">
        <v>9.7100000000000009</v>
      </c>
      <c r="G9" s="53">
        <v>90.68</v>
      </c>
      <c r="H9" s="53">
        <v>30.64</v>
      </c>
      <c r="I9" s="53">
        <v>8.86</v>
      </c>
      <c r="J9" s="53">
        <v>0.33</v>
      </c>
      <c r="K9" s="53">
        <v>237.2</v>
      </c>
      <c r="L9" s="53">
        <v>29.45</v>
      </c>
      <c r="M9" s="53">
        <v>48.28</v>
      </c>
      <c r="N9" s="53">
        <v>0</v>
      </c>
      <c r="O9" s="53">
        <v>0</v>
      </c>
      <c r="P9" s="53">
        <v>1.0900000000000001</v>
      </c>
      <c r="Q9" s="53">
        <v>6.52</v>
      </c>
      <c r="R9" s="42"/>
      <c r="S9" s="42"/>
      <c r="T9" s="42"/>
      <c r="U9" s="42"/>
    </row>
    <row r="10" spans="1:21" s="11" customFormat="1">
      <c r="A10" s="52" t="s">
        <v>408</v>
      </c>
      <c r="B10" s="53">
        <v>24.33</v>
      </c>
      <c r="C10" s="53">
        <v>68.69</v>
      </c>
      <c r="D10" s="53">
        <v>56.69</v>
      </c>
      <c r="E10" s="53">
        <v>6.98</v>
      </c>
      <c r="F10" s="53">
        <v>8.92</v>
      </c>
      <c r="G10" s="53">
        <v>85.03</v>
      </c>
      <c r="H10" s="53">
        <v>30.13</v>
      </c>
      <c r="I10" s="53">
        <v>8.8000000000000007</v>
      </c>
      <c r="J10" s="53">
        <v>0.65</v>
      </c>
      <c r="K10" s="53">
        <v>258.41000000000003</v>
      </c>
      <c r="L10" s="53">
        <v>31.03</v>
      </c>
      <c r="M10" s="53">
        <v>38.47</v>
      </c>
      <c r="N10" s="53">
        <v>0</v>
      </c>
      <c r="O10" s="53">
        <v>0</v>
      </c>
      <c r="P10" s="53">
        <v>1.07</v>
      </c>
      <c r="Q10" s="53">
        <v>6.49</v>
      </c>
      <c r="R10" s="42"/>
      <c r="S10" s="42"/>
      <c r="T10" s="42"/>
      <c r="U10" s="42"/>
    </row>
    <row r="11" spans="1:21" s="11" customFormat="1">
      <c r="A11" s="52" t="s">
        <v>409</v>
      </c>
      <c r="B11" s="53">
        <v>20.84</v>
      </c>
      <c r="C11" s="53">
        <v>70.180000000000007</v>
      </c>
      <c r="D11" s="53">
        <v>54.17</v>
      </c>
      <c r="E11" s="53">
        <v>10.59</v>
      </c>
      <c r="F11" s="53">
        <v>8.56</v>
      </c>
      <c r="G11" s="53">
        <v>71.16</v>
      </c>
      <c r="H11" s="53">
        <v>27.4</v>
      </c>
      <c r="I11" s="53">
        <v>8.81</v>
      </c>
      <c r="J11" s="53">
        <v>1.43</v>
      </c>
      <c r="K11" s="53">
        <v>290.14999999999998</v>
      </c>
      <c r="L11" s="53">
        <v>32.19</v>
      </c>
      <c r="M11" s="53">
        <v>26.15</v>
      </c>
      <c r="N11" s="53">
        <v>0</v>
      </c>
      <c r="O11" s="53">
        <v>0</v>
      </c>
      <c r="P11" s="53">
        <v>1.08</v>
      </c>
      <c r="Q11" s="53">
        <v>6.25</v>
      </c>
      <c r="R11" s="42"/>
      <c r="S11" s="42"/>
      <c r="T11" s="42"/>
      <c r="U11" s="42"/>
    </row>
    <row r="12" spans="1:21" s="11" customFormat="1">
      <c r="A12" s="52" t="s">
        <v>410</v>
      </c>
      <c r="B12" s="53">
        <v>18.149999999999999</v>
      </c>
      <c r="C12" s="53">
        <v>70.89</v>
      </c>
      <c r="D12" s="53">
        <v>52.33</v>
      </c>
      <c r="E12" s="53">
        <v>9.5500000000000007</v>
      </c>
      <c r="F12" s="53">
        <v>8.32</v>
      </c>
      <c r="G12" s="53">
        <v>64.91</v>
      </c>
      <c r="H12" s="53">
        <v>23.18</v>
      </c>
      <c r="I12" s="53">
        <v>9.2100000000000009</v>
      </c>
      <c r="J12" s="53">
        <v>1.29</v>
      </c>
      <c r="K12" s="53">
        <v>294.95999999999998</v>
      </c>
      <c r="L12" s="53">
        <v>32.06</v>
      </c>
      <c r="M12" s="53">
        <v>24.31</v>
      </c>
      <c r="N12" s="53">
        <v>0</v>
      </c>
      <c r="O12" s="53">
        <v>0</v>
      </c>
      <c r="P12" s="53">
        <v>1.05</v>
      </c>
      <c r="Q12" s="53">
        <v>6.1</v>
      </c>
      <c r="R12" s="42"/>
      <c r="S12" s="42"/>
      <c r="T12" s="42"/>
      <c r="U12" s="42"/>
    </row>
    <row r="13" spans="1:21" s="11" customFormat="1">
      <c r="A13" s="52" t="s">
        <v>411</v>
      </c>
      <c r="B13" s="53">
        <v>18.75</v>
      </c>
      <c r="C13" s="53">
        <v>69.73</v>
      </c>
      <c r="D13" s="53">
        <v>51.79</v>
      </c>
      <c r="E13" s="53">
        <v>9.2899999999999991</v>
      </c>
      <c r="F13" s="53">
        <v>8.16</v>
      </c>
      <c r="G13" s="53">
        <v>57.67</v>
      </c>
      <c r="H13" s="53">
        <v>22.22</v>
      </c>
      <c r="I13" s="53">
        <v>8.41</v>
      </c>
      <c r="J13" s="53">
        <v>1.1399999999999999</v>
      </c>
      <c r="K13" s="53">
        <v>297.18</v>
      </c>
      <c r="L13" s="53">
        <v>31.71</v>
      </c>
      <c r="M13" s="53">
        <v>27.48</v>
      </c>
      <c r="N13" s="53">
        <v>0</v>
      </c>
      <c r="O13" s="53">
        <v>0</v>
      </c>
      <c r="P13" s="53">
        <v>0.93</v>
      </c>
      <c r="Q13" s="53">
        <v>5.91</v>
      </c>
      <c r="R13" s="42"/>
      <c r="S13" s="42"/>
      <c r="T13" s="42"/>
      <c r="U13" s="42"/>
    </row>
    <row r="14" spans="1:21" s="11" customFormat="1">
      <c r="A14" s="52" t="s">
        <v>412</v>
      </c>
      <c r="B14" s="53">
        <v>16.53</v>
      </c>
      <c r="C14" s="53">
        <v>70.180000000000007</v>
      </c>
      <c r="D14" s="53">
        <v>51.28</v>
      </c>
      <c r="E14" s="53">
        <v>7.53</v>
      </c>
      <c r="F14" s="53">
        <v>10.14</v>
      </c>
      <c r="G14" s="53">
        <v>51.55</v>
      </c>
      <c r="H14" s="53">
        <v>19.5</v>
      </c>
      <c r="I14" s="53">
        <v>7.47</v>
      </c>
      <c r="J14" s="53">
        <v>0.95</v>
      </c>
      <c r="K14" s="53">
        <v>284.89999999999998</v>
      </c>
      <c r="L14" s="53">
        <v>30.54</v>
      </c>
      <c r="M14" s="53">
        <v>32.33</v>
      </c>
      <c r="N14" s="53">
        <v>6.1</v>
      </c>
      <c r="O14" s="53">
        <v>0</v>
      </c>
      <c r="P14" s="53">
        <v>0.84</v>
      </c>
      <c r="Q14" s="53">
        <v>5.9</v>
      </c>
      <c r="R14" s="42"/>
      <c r="S14" s="42"/>
      <c r="T14" s="42"/>
      <c r="U14" s="42"/>
    </row>
    <row r="15" spans="1:21" s="11" customFormat="1">
      <c r="A15" s="52" t="s">
        <v>413</v>
      </c>
      <c r="B15" s="53">
        <v>16.07</v>
      </c>
      <c r="C15" s="53">
        <v>68.83</v>
      </c>
      <c r="D15" s="53">
        <v>50.2</v>
      </c>
      <c r="E15" s="53">
        <v>7.76</v>
      </c>
      <c r="F15" s="53">
        <v>9.2799999999999994</v>
      </c>
      <c r="G15" s="53">
        <v>49.33</v>
      </c>
      <c r="H15" s="53">
        <v>19.34</v>
      </c>
      <c r="I15" s="53">
        <v>6.88</v>
      </c>
      <c r="J15" s="53">
        <v>0.76</v>
      </c>
      <c r="K15" s="53">
        <v>232.3</v>
      </c>
      <c r="L15" s="53">
        <v>29.1</v>
      </c>
      <c r="M15" s="53">
        <v>40.04</v>
      </c>
      <c r="N15" s="53">
        <v>49.5</v>
      </c>
      <c r="O15" s="53">
        <v>0</v>
      </c>
      <c r="P15" s="53">
        <v>0.75</v>
      </c>
      <c r="Q15" s="53">
        <v>5.69</v>
      </c>
      <c r="R15" s="42"/>
      <c r="S15" s="42"/>
      <c r="T15" s="42"/>
      <c r="U15" s="42"/>
    </row>
    <row r="16" spans="1:21" s="11" customFormat="1">
      <c r="A16" s="52" t="s">
        <v>414</v>
      </c>
      <c r="B16" s="53">
        <v>15.59</v>
      </c>
      <c r="C16" s="53">
        <v>65.2</v>
      </c>
      <c r="D16" s="53">
        <v>47.92</v>
      </c>
      <c r="E16" s="53">
        <v>7.36</v>
      </c>
      <c r="F16" s="53">
        <v>9.2799999999999994</v>
      </c>
      <c r="G16" s="53">
        <v>46.6</v>
      </c>
      <c r="H16" s="53">
        <v>19.34</v>
      </c>
      <c r="I16" s="53">
        <v>6.95</v>
      </c>
      <c r="J16" s="53">
        <v>0.39</v>
      </c>
      <c r="K16" s="53">
        <v>231.83</v>
      </c>
      <c r="L16" s="53">
        <v>29.97</v>
      </c>
      <c r="M16" s="53">
        <v>40.24</v>
      </c>
      <c r="N16" s="53">
        <v>106.4</v>
      </c>
      <c r="O16" s="53">
        <v>0</v>
      </c>
      <c r="P16" s="53">
        <v>0.75</v>
      </c>
      <c r="Q16" s="53">
        <v>5.67</v>
      </c>
      <c r="R16" s="42"/>
      <c r="S16" s="42"/>
      <c r="T16" s="42"/>
      <c r="U16" s="42"/>
    </row>
    <row r="17" spans="1:21" s="11" customFormat="1">
      <c r="A17" s="52" t="s">
        <v>415</v>
      </c>
      <c r="B17" s="53">
        <v>15.14</v>
      </c>
      <c r="C17" s="53">
        <v>63.76</v>
      </c>
      <c r="D17" s="53">
        <v>46.62</v>
      </c>
      <c r="E17" s="53">
        <v>11.43</v>
      </c>
      <c r="F17" s="53">
        <v>14.69</v>
      </c>
      <c r="G17" s="53">
        <v>47.96</v>
      </c>
      <c r="H17" s="53">
        <v>21.28</v>
      </c>
      <c r="I17" s="53">
        <v>6.75</v>
      </c>
      <c r="J17" s="53">
        <v>0.65</v>
      </c>
      <c r="K17" s="53">
        <v>291.19</v>
      </c>
      <c r="L17" s="53">
        <v>33.26</v>
      </c>
      <c r="M17" s="53">
        <v>38.909999999999997</v>
      </c>
      <c r="N17" s="53">
        <v>265.89999999999998</v>
      </c>
      <c r="O17" s="53">
        <v>0</v>
      </c>
      <c r="P17" s="53">
        <v>0.76</v>
      </c>
      <c r="Q17" s="53">
        <v>5.64</v>
      </c>
      <c r="R17" s="42"/>
      <c r="S17" s="42"/>
      <c r="T17" s="42"/>
      <c r="U17" s="42"/>
    </row>
    <row r="18" spans="1:21" s="11" customFormat="1">
      <c r="A18" s="52" t="s">
        <v>416</v>
      </c>
      <c r="B18" s="53">
        <v>15.85</v>
      </c>
      <c r="C18" s="53">
        <v>66.22</v>
      </c>
      <c r="D18" s="53">
        <v>48.21</v>
      </c>
      <c r="E18" s="53">
        <v>15.34</v>
      </c>
      <c r="F18" s="53">
        <v>18.16</v>
      </c>
      <c r="G18" s="53">
        <v>55.95</v>
      </c>
      <c r="H18" s="53">
        <v>21.51</v>
      </c>
      <c r="I18" s="53">
        <v>6.76</v>
      </c>
      <c r="J18" s="53">
        <v>1.1200000000000001</v>
      </c>
      <c r="K18" s="53">
        <v>359.95</v>
      </c>
      <c r="L18" s="53">
        <v>35.44</v>
      </c>
      <c r="M18" s="53">
        <v>28.01</v>
      </c>
      <c r="N18" s="53">
        <v>535.5</v>
      </c>
      <c r="O18" s="53">
        <v>0</v>
      </c>
      <c r="P18" s="53">
        <v>0.76</v>
      </c>
      <c r="Q18" s="53">
        <v>5.66</v>
      </c>
      <c r="R18" s="42"/>
      <c r="S18" s="42"/>
      <c r="T18" s="42"/>
      <c r="U18" s="42"/>
    </row>
    <row r="19" spans="1:21" s="11" customFormat="1">
      <c r="A19" s="52" t="s">
        <v>417</v>
      </c>
      <c r="B19" s="53">
        <v>13.46</v>
      </c>
      <c r="C19" s="53">
        <v>67.8</v>
      </c>
      <c r="D19" s="53">
        <v>45.71</v>
      </c>
      <c r="E19" s="53">
        <v>13.73</v>
      </c>
      <c r="F19" s="53">
        <v>18.38</v>
      </c>
      <c r="G19" s="53">
        <v>59.28</v>
      </c>
      <c r="H19" s="53">
        <v>23</v>
      </c>
      <c r="I19" s="53">
        <v>6.47</v>
      </c>
      <c r="J19" s="53">
        <v>1.0900000000000001</v>
      </c>
      <c r="K19" s="53">
        <v>343.84</v>
      </c>
      <c r="L19" s="53">
        <v>36.409999999999997</v>
      </c>
      <c r="M19" s="53">
        <v>24.76</v>
      </c>
      <c r="N19" s="53">
        <v>693.4</v>
      </c>
      <c r="O19" s="53">
        <v>0</v>
      </c>
      <c r="P19" s="53">
        <v>0.74</v>
      </c>
      <c r="Q19" s="53">
        <v>5.59</v>
      </c>
      <c r="R19" s="42"/>
      <c r="S19" s="42"/>
      <c r="T19" s="42"/>
      <c r="U19" s="42"/>
    </row>
    <row r="20" spans="1:21" s="11" customFormat="1">
      <c r="A20" s="52" t="s">
        <v>418</v>
      </c>
      <c r="B20" s="53">
        <v>8.8800000000000008</v>
      </c>
      <c r="C20" s="53">
        <v>65.459999999999994</v>
      </c>
      <c r="D20" s="53">
        <v>42.46</v>
      </c>
      <c r="E20" s="53">
        <v>16.3</v>
      </c>
      <c r="F20" s="53">
        <v>26.51</v>
      </c>
      <c r="G20" s="53">
        <v>62.4</v>
      </c>
      <c r="H20" s="53">
        <v>23.72</v>
      </c>
      <c r="I20" s="53">
        <v>6.41</v>
      </c>
      <c r="J20" s="53">
        <v>1.05</v>
      </c>
      <c r="K20" s="53">
        <v>332.22</v>
      </c>
      <c r="L20" s="53">
        <v>37.68</v>
      </c>
      <c r="M20" s="53">
        <v>21.58</v>
      </c>
      <c r="N20" s="53">
        <v>744</v>
      </c>
      <c r="O20" s="53">
        <v>0</v>
      </c>
      <c r="P20" s="53">
        <v>0.73</v>
      </c>
      <c r="Q20" s="53">
        <v>5.5</v>
      </c>
      <c r="R20" s="42"/>
      <c r="S20" s="42"/>
      <c r="T20" s="42"/>
      <c r="U20" s="42"/>
    </row>
    <row r="21" spans="1:21" s="11" customFormat="1">
      <c r="A21" s="52" t="s">
        <v>419</v>
      </c>
      <c r="B21" s="53">
        <v>6.87</v>
      </c>
      <c r="C21" s="53">
        <v>64.25</v>
      </c>
      <c r="D21" s="53">
        <v>40.43</v>
      </c>
      <c r="E21" s="53">
        <v>13.88</v>
      </c>
      <c r="F21" s="53">
        <v>26.16</v>
      </c>
      <c r="G21" s="53">
        <v>64.97</v>
      </c>
      <c r="H21" s="53">
        <v>23.72</v>
      </c>
      <c r="I21" s="53">
        <v>6.13</v>
      </c>
      <c r="J21" s="53">
        <v>1.1499999999999999</v>
      </c>
      <c r="K21" s="53">
        <v>338.12</v>
      </c>
      <c r="L21" s="53">
        <v>38.590000000000003</v>
      </c>
      <c r="M21" s="53">
        <v>20.28</v>
      </c>
      <c r="N21" s="53">
        <v>735.8</v>
      </c>
      <c r="O21" s="53">
        <v>0</v>
      </c>
      <c r="P21" s="53">
        <v>0.71</v>
      </c>
      <c r="Q21" s="53">
        <v>5.3</v>
      </c>
      <c r="R21" s="42"/>
      <c r="S21" s="42"/>
      <c r="T21" s="42"/>
      <c r="U21" s="42"/>
    </row>
    <row r="22" spans="1:21" s="11" customFormat="1">
      <c r="A22" s="52" t="s">
        <v>420</v>
      </c>
      <c r="B22" s="53">
        <v>6.57</v>
      </c>
      <c r="C22" s="53">
        <v>62.78</v>
      </c>
      <c r="D22" s="53">
        <v>39.18</v>
      </c>
      <c r="E22" s="53">
        <v>9.4</v>
      </c>
      <c r="F22" s="53">
        <v>19.829999999999998</v>
      </c>
      <c r="G22" s="53">
        <v>64.97</v>
      </c>
      <c r="H22" s="53">
        <v>23.22</v>
      </c>
      <c r="I22" s="53">
        <v>5.81</v>
      </c>
      <c r="J22" s="53">
        <v>1.7</v>
      </c>
      <c r="K22" s="53">
        <v>343.67</v>
      </c>
      <c r="L22" s="53">
        <v>38.78</v>
      </c>
      <c r="M22" s="53">
        <v>16.63</v>
      </c>
      <c r="N22" s="53">
        <v>708.5</v>
      </c>
      <c r="O22" s="53">
        <v>0</v>
      </c>
      <c r="P22" s="53">
        <v>0.65</v>
      </c>
      <c r="Q22" s="53">
        <v>5.2</v>
      </c>
      <c r="R22" s="42"/>
      <c r="S22" s="42"/>
      <c r="T22" s="42"/>
      <c r="U22" s="42"/>
    </row>
    <row r="23" spans="1:21" s="11" customFormat="1">
      <c r="A23" s="52" t="s">
        <v>421</v>
      </c>
      <c r="B23" s="53">
        <v>6.42</v>
      </c>
      <c r="C23" s="53">
        <v>61.16</v>
      </c>
      <c r="D23" s="53">
        <v>38.450000000000003</v>
      </c>
      <c r="E23" s="53">
        <v>8.5299999999999994</v>
      </c>
      <c r="F23" s="53">
        <v>23.72</v>
      </c>
      <c r="G23" s="53">
        <v>56.97</v>
      </c>
      <c r="H23" s="53">
        <v>20.350000000000001</v>
      </c>
      <c r="I23" s="53">
        <v>5.23</v>
      </c>
      <c r="J23" s="53">
        <v>1.47</v>
      </c>
      <c r="K23" s="53">
        <v>312.27999999999997</v>
      </c>
      <c r="L23" s="53">
        <v>39.14</v>
      </c>
      <c r="M23" s="53">
        <v>16.05</v>
      </c>
      <c r="N23" s="53">
        <v>680.7</v>
      </c>
      <c r="O23" s="53">
        <v>0</v>
      </c>
      <c r="P23" s="53">
        <v>0.56000000000000005</v>
      </c>
      <c r="Q23" s="53">
        <v>5.03</v>
      </c>
      <c r="R23" s="42"/>
      <c r="S23" s="42"/>
      <c r="T23" s="42"/>
      <c r="U23" s="42"/>
    </row>
    <row r="24" spans="1:21" s="11" customFormat="1">
      <c r="A24" s="52" t="s">
        <v>422</v>
      </c>
      <c r="B24" s="53">
        <v>7.95</v>
      </c>
      <c r="C24" s="53">
        <v>58.42</v>
      </c>
      <c r="D24" s="53">
        <v>37.549999999999997</v>
      </c>
      <c r="E24" s="53">
        <v>9.16</v>
      </c>
      <c r="F24" s="53">
        <v>34.03</v>
      </c>
      <c r="G24" s="53">
        <v>56.47</v>
      </c>
      <c r="H24" s="53">
        <v>20.350000000000001</v>
      </c>
      <c r="I24" s="53">
        <v>4.7300000000000004</v>
      </c>
      <c r="J24" s="53">
        <v>1.45</v>
      </c>
      <c r="K24" s="53">
        <v>305.58</v>
      </c>
      <c r="L24" s="53">
        <v>38.700000000000003</v>
      </c>
      <c r="M24" s="53">
        <v>15.91</v>
      </c>
      <c r="N24" s="53">
        <v>409</v>
      </c>
      <c r="O24" s="53">
        <v>0</v>
      </c>
      <c r="P24" s="53">
        <v>0.53</v>
      </c>
      <c r="Q24" s="53">
        <v>4.9800000000000004</v>
      </c>
      <c r="R24" s="42"/>
      <c r="S24" s="42"/>
      <c r="T24" s="42"/>
      <c r="U24" s="42"/>
    </row>
    <row r="25" spans="1:21" s="11" customFormat="1">
      <c r="A25" s="52" t="s">
        <v>423</v>
      </c>
      <c r="B25" s="53">
        <v>7.52</v>
      </c>
      <c r="C25" s="53">
        <v>58.55</v>
      </c>
      <c r="D25" s="53">
        <v>37.81</v>
      </c>
      <c r="E25" s="53">
        <v>8.9499999999999993</v>
      </c>
      <c r="F25" s="53">
        <v>33.130000000000003</v>
      </c>
      <c r="G25" s="53">
        <v>48.92</v>
      </c>
      <c r="H25" s="53">
        <v>19.27</v>
      </c>
      <c r="I25" s="53">
        <v>4.2</v>
      </c>
      <c r="J25" s="53">
        <v>1.66</v>
      </c>
      <c r="K25" s="53">
        <v>347.69</v>
      </c>
      <c r="L25" s="53">
        <v>38.81</v>
      </c>
      <c r="M25" s="53">
        <v>16.14</v>
      </c>
      <c r="N25" s="53">
        <v>341.6</v>
      </c>
      <c r="O25" s="53">
        <v>0</v>
      </c>
      <c r="P25" s="53">
        <v>0.49</v>
      </c>
      <c r="Q25" s="53">
        <v>4.96</v>
      </c>
      <c r="R25" s="42"/>
      <c r="S25" s="42"/>
      <c r="T25" s="42"/>
      <c r="U25" s="42"/>
    </row>
    <row r="26" spans="1:21" s="11" customFormat="1">
      <c r="A26" s="52" t="s">
        <v>424</v>
      </c>
      <c r="B26" s="53">
        <v>7.7</v>
      </c>
      <c r="C26" s="53">
        <v>62.55</v>
      </c>
      <c r="D26" s="53">
        <v>40.21</v>
      </c>
      <c r="E26" s="53">
        <v>8.2100000000000009</v>
      </c>
      <c r="F26" s="53">
        <v>14.08</v>
      </c>
      <c r="G26" s="53">
        <v>53.42</v>
      </c>
      <c r="H26" s="53">
        <v>16.149999999999999</v>
      </c>
      <c r="I26" s="53">
        <v>4.33</v>
      </c>
      <c r="J26" s="53">
        <v>2.42</v>
      </c>
      <c r="K26" s="53">
        <v>294.88</v>
      </c>
      <c r="L26" s="53">
        <v>36.840000000000003</v>
      </c>
      <c r="M26" s="53">
        <v>18.45</v>
      </c>
      <c r="N26" s="53">
        <v>64.3</v>
      </c>
      <c r="O26" s="53">
        <v>0</v>
      </c>
      <c r="P26" s="53">
        <v>0.5</v>
      </c>
      <c r="Q26" s="53">
        <v>4.93</v>
      </c>
      <c r="R26" s="42"/>
      <c r="S26" s="42"/>
      <c r="T26" s="42"/>
      <c r="U26" s="42"/>
    </row>
    <row r="27" spans="1:21" s="11" customFormat="1">
      <c r="A27" s="52" t="s">
        <v>425</v>
      </c>
      <c r="B27" s="53">
        <v>8.24</v>
      </c>
      <c r="C27" s="53">
        <v>61.39</v>
      </c>
      <c r="D27" s="53">
        <v>39.700000000000003</v>
      </c>
      <c r="E27" s="53">
        <v>10.68</v>
      </c>
      <c r="F27" s="53">
        <v>18.52</v>
      </c>
      <c r="G27" s="53">
        <v>56.53</v>
      </c>
      <c r="H27" s="53">
        <v>17.7</v>
      </c>
      <c r="I27" s="53">
        <v>4.4800000000000004</v>
      </c>
      <c r="J27" s="53">
        <v>1.58</v>
      </c>
      <c r="K27" s="53">
        <v>297.39</v>
      </c>
      <c r="L27" s="53">
        <v>35.340000000000003</v>
      </c>
      <c r="M27" s="53">
        <v>20.13</v>
      </c>
      <c r="N27" s="53">
        <v>0.8</v>
      </c>
      <c r="O27" s="53">
        <v>0</v>
      </c>
      <c r="P27" s="53">
        <v>0.52</v>
      </c>
      <c r="Q27" s="53">
        <v>4.91</v>
      </c>
      <c r="R27" s="42"/>
      <c r="S27" s="42"/>
      <c r="T27" s="42"/>
      <c r="U27" s="42"/>
    </row>
    <row r="28" spans="1:21" s="11" customFormat="1">
      <c r="A28" s="52" t="s">
        <v>426</v>
      </c>
      <c r="B28" s="53">
        <v>9.6300000000000008</v>
      </c>
      <c r="C28" s="53">
        <v>61.25</v>
      </c>
      <c r="D28" s="53">
        <v>41.08</v>
      </c>
      <c r="E28" s="53">
        <v>9.6199999999999992</v>
      </c>
      <c r="F28" s="53">
        <v>11.93</v>
      </c>
      <c r="G28" s="53">
        <v>59.55</v>
      </c>
      <c r="H28" s="53">
        <v>17.850000000000001</v>
      </c>
      <c r="I28" s="53">
        <v>4.7</v>
      </c>
      <c r="J28" s="53">
        <v>2.39</v>
      </c>
      <c r="K28" s="53">
        <v>295.42</v>
      </c>
      <c r="L28" s="53">
        <v>33.97</v>
      </c>
      <c r="M28" s="53">
        <v>21.11</v>
      </c>
      <c r="N28" s="53">
        <v>0</v>
      </c>
      <c r="O28" s="53">
        <v>0</v>
      </c>
      <c r="P28" s="53">
        <v>0.56000000000000005</v>
      </c>
      <c r="Q28" s="53">
        <v>4.96</v>
      </c>
      <c r="R28" s="42"/>
      <c r="S28" s="42"/>
      <c r="T28" s="42"/>
      <c r="U28" s="42"/>
    </row>
    <row r="29" spans="1:21" s="11" customFormat="1">
      <c r="A29" s="52" t="s">
        <v>427</v>
      </c>
      <c r="B29" s="53">
        <v>9.2100000000000009</v>
      </c>
      <c r="C29" s="53">
        <v>61.71</v>
      </c>
      <c r="D29" s="53">
        <v>40.76</v>
      </c>
      <c r="E29" s="53">
        <v>8.3699999999999992</v>
      </c>
      <c r="F29" s="53">
        <v>12.39</v>
      </c>
      <c r="G29" s="53">
        <v>59.55</v>
      </c>
      <c r="H29" s="53">
        <v>17.850000000000001</v>
      </c>
      <c r="I29" s="53">
        <v>4.88</v>
      </c>
      <c r="J29" s="53">
        <v>2.36</v>
      </c>
      <c r="K29" s="53">
        <v>313.07</v>
      </c>
      <c r="L29" s="53">
        <v>33.299999999999997</v>
      </c>
      <c r="M29" s="53">
        <v>21.23</v>
      </c>
      <c r="N29" s="53">
        <v>0</v>
      </c>
      <c r="O29" s="53">
        <v>0</v>
      </c>
      <c r="P29" s="53">
        <v>0.56999999999999995</v>
      </c>
      <c r="Q29" s="53">
        <v>4.9800000000000004</v>
      </c>
      <c r="R29" s="42"/>
      <c r="S29" s="42"/>
      <c r="T29" s="42"/>
      <c r="U29" s="42"/>
    </row>
    <row r="30" spans="1:21" s="11" customFormat="1">
      <c r="A30" s="52" t="s">
        <v>428</v>
      </c>
      <c r="B30" s="53">
        <v>9.4700000000000006</v>
      </c>
      <c r="C30" s="53">
        <v>63.58</v>
      </c>
      <c r="D30" s="53">
        <v>42.16</v>
      </c>
      <c r="E30" s="53">
        <v>8.1999999999999993</v>
      </c>
      <c r="F30" s="53">
        <v>11.94</v>
      </c>
      <c r="G30" s="53">
        <v>54.88</v>
      </c>
      <c r="H30" s="53">
        <v>15.77</v>
      </c>
      <c r="I30" s="53">
        <v>4.87</v>
      </c>
      <c r="J30" s="53">
        <v>0.9</v>
      </c>
      <c r="K30" s="53">
        <v>353.67</v>
      </c>
      <c r="L30" s="53">
        <v>32.36</v>
      </c>
      <c r="M30" s="53">
        <v>23.61</v>
      </c>
      <c r="N30" s="53">
        <v>0</v>
      </c>
      <c r="O30" s="53">
        <v>0</v>
      </c>
      <c r="P30" s="53">
        <v>0.56999999999999995</v>
      </c>
      <c r="Q30" s="53">
        <v>5.0199999999999996</v>
      </c>
      <c r="R30" s="42"/>
      <c r="S30" s="42"/>
      <c r="T30" s="42"/>
      <c r="U30" s="42"/>
    </row>
    <row r="31" spans="1:21" s="11" customFormat="1">
      <c r="A31" s="52" t="s">
        <v>429</v>
      </c>
      <c r="B31" s="53">
        <v>16.8</v>
      </c>
      <c r="C31" s="53">
        <v>67.72</v>
      </c>
      <c r="D31" s="53">
        <v>50.2</v>
      </c>
      <c r="E31" s="53">
        <v>13.52</v>
      </c>
      <c r="F31" s="53">
        <v>8.5299999999999994</v>
      </c>
      <c r="G31" s="53">
        <v>52.97</v>
      </c>
      <c r="H31" s="53">
        <v>17.86</v>
      </c>
      <c r="I31" s="53">
        <v>4.8600000000000003</v>
      </c>
      <c r="J31" s="53">
        <v>0.37</v>
      </c>
      <c r="K31" s="53">
        <v>52.84</v>
      </c>
      <c r="L31" s="53">
        <v>31.3</v>
      </c>
      <c r="M31" s="53">
        <v>27.12</v>
      </c>
      <c r="N31" s="53">
        <v>0</v>
      </c>
      <c r="O31" s="53">
        <v>0</v>
      </c>
      <c r="P31" s="53">
        <v>0.56999999999999995</v>
      </c>
      <c r="Q31" s="53">
        <v>5.52</v>
      </c>
      <c r="R31" s="42"/>
      <c r="S31" s="42"/>
      <c r="T31" s="42"/>
      <c r="U31" s="42"/>
    </row>
    <row r="32" spans="1:21" s="11" customFormat="1">
      <c r="A32" s="52" t="s">
        <v>430</v>
      </c>
      <c r="B32" s="53">
        <v>17.43</v>
      </c>
      <c r="C32" s="53">
        <v>69.12</v>
      </c>
      <c r="D32" s="53">
        <v>51.44</v>
      </c>
      <c r="E32" s="53">
        <v>12.49</v>
      </c>
      <c r="F32" s="53">
        <v>6.68</v>
      </c>
      <c r="G32" s="53">
        <v>53.55</v>
      </c>
      <c r="H32" s="53">
        <v>17.86</v>
      </c>
      <c r="I32" s="53">
        <v>4.93</v>
      </c>
      <c r="J32" s="53">
        <v>0.25</v>
      </c>
      <c r="K32" s="53">
        <v>162.72</v>
      </c>
      <c r="L32" s="53">
        <v>30.14</v>
      </c>
      <c r="M32" s="53">
        <v>33.11</v>
      </c>
      <c r="N32" s="53">
        <v>0</v>
      </c>
      <c r="O32" s="53">
        <v>0</v>
      </c>
      <c r="P32" s="53">
        <v>0.56999999999999995</v>
      </c>
      <c r="Q32" s="53">
        <v>5.78</v>
      </c>
      <c r="R32" s="42"/>
      <c r="S32" s="42"/>
      <c r="T32" s="42"/>
      <c r="U32" s="42"/>
    </row>
    <row r="33" spans="1:21" s="21" customFormat="1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>
      <c r="A34" s="27" t="s">
        <v>30</v>
      </c>
      <c r="B34" s="28">
        <f t="shared" ref="B34:Q34" si="0">MIN(B9:B32)</f>
        <v>6.42</v>
      </c>
      <c r="C34" s="28">
        <f t="shared" si="0"/>
        <v>58.42</v>
      </c>
      <c r="D34" s="28">
        <f t="shared" si="0"/>
        <v>37.549999999999997</v>
      </c>
      <c r="E34" s="28">
        <f t="shared" si="0"/>
        <v>6.98</v>
      </c>
      <c r="F34" s="28">
        <f t="shared" si="0"/>
        <v>6.68</v>
      </c>
      <c r="G34" s="28">
        <f t="shared" si="0"/>
        <v>46.6</v>
      </c>
      <c r="H34" s="28">
        <f>MIN(H9:H32)</f>
        <v>15.77</v>
      </c>
      <c r="I34" s="28">
        <f t="shared" si="0"/>
        <v>4.2</v>
      </c>
      <c r="J34" s="28">
        <f t="shared" si="0"/>
        <v>0.25</v>
      </c>
      <c r="K34" s="28">
        <f t="shared" si="0"/>
        <v>52.84</v>
      </c>
      <c r="L34" s="28">
        <f t="shared" si="0"/>
        <v>29.1</v>
      </c>
      <c r="M34" s="28">
        <f t="shared" si="0"/>
        <v>15.91</v>
      </c>
      <c r="N34" s="28">
        <f t="shared" si="0"/>
        <v>0</v>
      </c>
      <c r="O34" s="28">
        <f t="shared" si="0"/>
        <v>0</v>
      </c>
      <c r="P34" s="28">
        <f t="shared" si="0"/>
        <v>0.49</v>
      </c>
      <c r="Q34" s="28">
        <f t="shared" si="0"/>
        <v>4.91</v>
      </c>
      <c r="R34" s="28"/>
      <c r="S34" s="28"/>
      <c r="T34" s="28"/>
      <c r="U34" s="28"/>
    </row>
    <row r="35" spans="1:21" s="21" customFormat="1">
      <c r="A35" s="27" t="s">
        <v>31</v>
      </c>
      <c r="B35" s="29">
        <f t="shared" ref="B35:Q35" si="1">MAX(B9:B32)</f>
        <v>25.96</v>
      </c>
      <c r="C35" s="29">
        <f t="shared" si="1"/>
        <v>70.89</v>
      </c>
      <c r="D35" s="29">
        <f t="shared" si="1"/>
        <v>57.68</v>
      </c>
      <c r="E35" s="29">
        <f t="shared" si="1"/>
        <v>16.3</v>
      </c>
      <c r="F35" s="29">
        <f t="shared" si="1"/>
        <v>34.03</v>
      </c>
      <c r="G35" s="29">
        <f>MAX(G9:G32)</f>
        <v>90.68</v>
      </c>
      <c r="H35" s="29">
        <f>MAX(H9:H32)</f>
        <v>30.64</v>
      </c>
      <c r="I35" s="29">
        <f t="shared" si="1"/>
        <v>9.2100000000000009</v>
      </c>
      <c r="J35" s="29">
        <f t="shared" si="1"/>
        <v>2.42</v>
      </c>
      <c r="K35" s="29">
        <f t="shared" si="1"/>
        <v>359.95</v>
      </c>
      <c r="L35" s="29">
        <f t="shared" si="1"/>
        <v>39.14</v>
      </c>
      <c r="M35" s="29">
        <f t="shared" si="1"/>
        <v>48.28</v>
      </c>
      <c r="N35" s="29">
        <f t="shared" si="1"/>
        <v>744</v>
      </c>
      <c r="O35" s="29">
        <f t="shared" si="1"/>
        <v>0</v>
      </c>
      <c r="P35" s="29">
        <f t="shared" si="1"/>
        <v>1.0900000000000001</v>
      </c>
      <c r="Q35" s="29">
        <f t="shared" si="1"/>
        <v>6.52</v>
      </c>
      <c r="R35" s="29"/>
      <c r="S35" s="29"/>
      <c r="T35" s="29"/>
      <c r="U35" s="29"/>
    </row>
    <row r="36" spans="1:21" s="21" customFormat="1">
      <c r="A36" s="27" t="s">
        <v>32</v>
      </c>
      <c r="B36" s="28">
        <f t="shared" ref="B36:Q36" si="2">AVERAGE(B9:B32)</f>
        <v>13.473333333333334</v>
      </c>
      <c r="C36" s="28">
        <f t="shared" si="2"/>
        <v>65.307916666666657</v>
      </c>
      <c r="D36" s="28">
        <f t="shared" si="2"/>
        <v>46.001250000000006</v>
      </c>
      <c r="E36" s="28">
        <f t="shared" si="2"/>
        <v>10.209166666666667</v>
      </c>
      <c r="F36" s="28">
        <f t="shared" si="2"/>
        <v>15.460416666666662</v>
      </c>
      <c r="G36" s="28">
        <f t="shared" si="2"/>
        <v>59.386250000000011</v>
      </c>
      <c r="H36" s="28">
        <f>AVERAGE(H9:H32)</f>
        <v>21.217083333333338</v>
      </c>
      <c r="I36" s="28">
        <f t="shared" si="2"/>
        <v>6.2887500000000012</v>
      </c>
      <c r="J36" s="28">
        <f t="shared" si="2"/>
        <v>1.1895833333333334</v>
      </c>
      <c r="K36" s="28">
        <f t="shared" si="2"/>
        <v>286.31083333333333</v>
      </c>
      <c r="L36" s="28">
        <f t="shared" si="2"/>
        <v>34.004583333333329</v>
      </c>
      <c r="M36" s="28">
        <f t="shared" si="2"/>
        <v>26.68041666666667</v>
      </c>
      <c r="N36" s="28">
        <f t="shared" si="2"/>
        <v>222.56250000000003</v>
      </c>
      <c r="O36" s="28">
        <f t="shared" si="2"/>
        <v>0</v>
      </c>
      <c r="P36" s="28">
        <f t="shared" si="2"/>
        <v>0.72291666666666676</v>
      </c>
      <c r="Q36" s="28">
        <f t="shared" si="2"/>
        <v>5.5204166666666659</v>
      </c>
      <c r="R36" s="28"/>
      <c r="S36" s="28"/>
      <c r="T36" s="28"/>
      <c r="U36" s="28"/>
    </row>
    <row r="37" spans="1:21" s="21" customFormat="1">
      <c r="A37" s="27" t="s">
        <v>38</v>
      </c>
      <c r="B37" s="28">
        <f>STDEV(B9:B32)</f>
        <v>5.790665401929334</v>
      </c>
      <c r="C37" s="28">
        <f t="shared" ref="C37:Q37" si="3">STDEV(C9:C32)</f>
        <v>3.8000205710732775</v>
      </c>
      <c r="D37" s="28">
        <f t="shared" si="3"/>
        <v>6.3176944835086966</v>
      </c>
      <c r="E37" s="28">
        <f t="shared" si="3"/>
        <v>2.6578904951216358</v>
      </c>
      <c r="F37" s="28">
        <f t="shared" si="3"/>
        <v>8.076962665866251</v>
      </c>
      <c r="G37" s="28">
        <f t="shared" si="3"/>
        <v>10.656798937155362</v>
      </c>
      <c r="H37" s="28">
        <f>STDEV(H9:H32)</f>
        <v>3.9527024098177983</v>
      </c>
      <c r="I37" s="28">
        <f t="shared" si="3"/>
        <v>1.623973421553758</v>
      </c>
      <c r="J37" s="28">
        <f t="shared" si="3"/>
        <v>0.6273649459145122</v>
      </c>
      <c r="K37" s="28">
        <f t="shared" si="3"/>
        <v>67.968113426470964</v>
      </c>
      <c r="L37" s="28">
        <f t="shared" si="3"/>
        <v>3.4058415025629238</v>
      </c>
      <c r="M37" s="28">
        <f t="shared" si="3"/>
        <v>9.0692885868194928</v>
      </c>
      <c r="N37" s="28">
        <f t="shared" si="3"/>
        <v>295.73978840469226</v>
      </c>
      <c r="O37" s="28">
        <f t="shared" si="3"/>
        <v>0</v>
      </c>
      <c r="P37" s="28">
        <f t="shared" si="3"/>
        <v>0.19619154718897938</v>
      </c>
      <c r="Q37" s="28">
        <f t="shared" si="3"/>
        <v>0.50374665101199934</v>
      </c>
      <c r="R37" s="28"/>
      <c r="S37" s="28"/>
      <c r="T37" s="28"/>
      <c r="U37" s="28"/>
    </row>
    <row r="38" spans="1:21" s="21" customFormat="1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>COUNT(F9:F32)</f>
        <v>24</v>
      </c>
      <c r="G38" s="32">
        <f>COUNT(G9:G32)</f>
        <v>24</v>
      </c>
      <c r="H38" s="32">
        <f>COUNT(H9:H32)</f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>
      <c r="A42" s="13"/>
    </row>
    <row r="43" spans="1:21" s="21" customFormat="1">
      <c r="A43" s="14" t="s">
        <v>35</v>
      </c>
      <c r="B43" s="39" t="s">
        <v>58</v>
      </c>
      <c r="C43" s="41"/>
    </row>
    <row r="44" spans="1:21" s="21" customFormat="1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0"/>
      <c r="C45" s="40"/>
      <c r="D45" s="40"/>
      <c r="E45" s="40"/>
      <c r="F45" s="40"/>
      <c r="G45" s="40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</row>
    <row r="46" spans="1:21" s="21" customFormat="1"/>
    <row r="47" spans="1:21" s="21" customFormat="1"/>
    <row r="48" spans="1:21" s="21" customFormat="1"/>
    <row r="49" s="21" customFormat="1"/>
    <row r="50" s="21" customFormat="1"/>
    <row r="51" s="21" customFormat="1"/>
    <row r="52" s="21" customFormat="1"/>
    <row r="53" s="21" customFormat="1"/>
    <row r="54" s="21" customFormat="1"/>
    <row r="55" s="21" customFormat="1"/>
    <row r="56" s="21" customFormat="1"/>
    <row r="57" s="21" customFormat="1"/>
    <row r="58" s="21" customFormat="1"/>
    <row r="59" s="21" customFormat="1"/>
    <row r="60" s="21" customFormat="1"/>
    <row r="61" s="21" customFormat="1"/>
    <row r="62" s="21" customFormat="1"/>
    <row r="63" s="21" customFormat="1"/>
    <row r="64" s="21" customFormat="1"/>
    <row r="65" s="21" customFormat="1"/>
    <row r="66" s="21" customFormat="1"/>
    <row r="67" s="21" customFormat="1"/>
    <row r="68" s="21" customFormat="1"/>
    <row r="69" s="21" customFormat="1"/>
    <row r="70" s="21" customFormat="1"/>
    <row r="71" s="21" customFormat="1"/>
    <row r="72" s="21" customFormat="1"/>
    <row r="73" s="21" customFormat="1"/>
    <row r="74" s="21" customFormat="1"/>
    <row r="75" s="21" customFormat="1"/>
    <row r="76" s="21" customFormat="1"/>
    <row r="77" s="21" customFormat="1"/>
    <row r="78" s="21" customFormat="1"/>
    <row r="79" s="21" customFormat="1"/>
    <row r="80" s="21" customFormat="1"/>
    <row r="81" s="21" customFormat="1"/>
    <row r="82" s="21" customFormat="1"/>
    <row r="83" s="21" customFormat="1"/>
    <row r="84" s="21" customFormat="1"/>
    <row r="85" s="21" customFormat="1"/>
    <row r="86" s="21" customFormat="1"/>
    <row r="87" s="21" customFormat="1"/>
    <row r="88" s="21" customFormat="1"/>
    <row r="89" s="21" customFormat="1"/>
    <row r="90" s="21" customFormat="1"/>
    <row r="91" s="21" customFormat="1"/>
    <row r="92" s="21" customFormat="1"/>
    <row r="93" s="21" customFormat="1"/>
    <row r="94" s="21" customFormat="1"/>
    <row r="95" s="21" customFormat="1"/>
    <row r="96" s="21" customFormat="1"/>
    <row r="97" spans="1:1" s="21" customFormat="1"/>
    <row r="98" spans="1:1" s="21" customFormat="1"/>
    <row r="99" spans="1:1" s="21" customFormat="1"/>
    <row r="100" spans="1:1" s="21" customFormat="1"/>
    <row r="101" spans="1:1" s="21" customFormat="1"/>
    <row r="102" spans="1:1" s="21" customFormat="1"/>
    <row r="103" spans="1:1" s="21" customFormat="1"/>
    <row r="104" spans="1:1" s="21" customFormat="1"/>
    <row r="105" spans="1:1" s="21" customFormat="1"/>
    <row r="106" spans="1:1">
      <c r="A106" s="20"/>
    </row>
    <row r="107" spans="1:1" s="21" customFormat="1"/>
    <row r="108" spans="1:1" s="21" customFormat="1"/>
    <row r="109" spans="1:1" s="21" customFormat="1"/>
    <row r="110" spans="1:1" s="21" customFormat="1"/>
    <row r="111" spans="1:1" s="21" customFormat="1"/>
    <row r="112" spans="1:1" s="21" customFormat="1"/>
    <row r="113" spans="1:1" s="21" customFormat="1"/>
    <row r="114" spans="1:1" s="21" customFormat="1"/>
    <row r="115" spans="1:1" s="21" customFormat="1"/>
    <row r="116" spans="1:1" s="21" customFormat="1"/>
    <row r="117" spans="1:1" s="21" customFormat="1"/>
    <row r="118" spans="1:1">
      <c r="A118" s="20"/>
    </row>
    <row r="119" spans="1:1">
      <c r="A119" s="20"/>
    </row>
  </sheetData>
  <pageMargins left="0.7" right="0.7" top="0.75" bottom="0.75" header="0.3" footer="0.3"/>
  <pageSetup paperSize="9" orientation="portrait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1" ySplit="8" topLeftCell="B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A9" sqref="A9:Q32"/>
    </sheetView>
  </sheetViews>
  <sheetFormatPr defaultColWidth="8.85546875" defaultRowHeight="1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>
      <c r="A1" s="14" t="s">
        <v>2</v>
      </c>
      <c r="B1" s="23" t="s">
        <v>55</v>
      </c>
      <c r="C1" s="36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>
      <c r="A2" s="14" t="s">
        <v>0</v>
      </c>
      <c r="B2" s="37" t="str">
        <f>$A$9</f>
        <v>16/04/2023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8" t="s">
        <v>7</v>
      </c>
      <c r="Q2" s="12"/>
      <c r="R2" s="8" t="s">
        <v>8</v>
      </c>
      <c r="S2" s="11"/>
      <c r="T2" s="11"/>
      <c r="U2" s="11"/>
    </row>
    <row r="3" spans="1:21" s="21" customFormat="1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8" t="s">
        <v>15</v>
      </c>
      <c r="Q3" s="12"/>
      <c r="R3" s="9" t="s">
        <v>15</v>
      </c>
      <c r="S3" s="11"/>
      <c r="T3" s="11"/>
      <c r="U3" s="11"/>
    </row>
    <row r="4" spans="1:21" s="21" customFormat="1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>
      <c r="A7" s="25" t="s">
        <v>21</v>
      </c>
      <c r="B7" s="48" t="s">
        <v>40</v>
      </c>
      <c r="C7" s="49" t="s">
        <v>41</v>
      </c>
      <c r="D7" s="49" t="s">
        <v>42</v>
      </c>
      <c r="E7" s="49" t="s">
        <v>43</v>
      </c>
      <c r="F7" s="49" t="s">
        <v>44</v>
      </c>
      <c r="G7" s="49" t="s">
        <v>45</v>
      </c>
      <c r="H7" s="49" t="s">
        <v>56</v>
      </c>
      <c r="I7" s="49" t="s">
        <v>46</v>
      </c>
      <c r="J7" s="49" t="s">
        <v>47</v>
      </c>
      <c r="K7" s="49" t="s">
        <v>48</v>
      </c>
      <c r="L7" s="49" t="s">
        <v>49</v>
      </c>
      <c r="M7" s="49" t="s">
        <v>50</v>
      </c>
      <c r="N7" s="49" t="s">
        <v>51</v>
      </c>
      <c r="O7" s="49" t="s">
        <v>52</v>
      </c>
      <c r="P7" s="49" t="s">
        <v>53</v>
      </c>
      <c r="Q7" s="49" t="s">
        <v>54</v>
      </c>
      <c r="R7" s="27"/>
      <c r="S7" s="29"/>
      <c r="T7" s="27"/>
      <c r="U7" s="27"/>
    </row>
    <row r="8" spans="1:21" s="21" customFormat="1">
      <c r="A8" s="25"/>
      <c r="B8" s="50" t="s">
        <v>22</v>
      </c>
      <c r="C8" s="50" t="s">
        <v>22</v>
      </c>
      <c r="D8" s="50" t="s">
        <v>22</v>
      </c>
      <c r="E8" s="50" t="s">
        <v>22</v>
      </c>
      <c r="F8" s="50" t="s">
        <v>22</v>
      </c>
      <c r="G8" s="50" t="s">
        <v>23</v>
      </c>
      <c r="H8" s="50" t="s">
        <v>22</v>
      </c>
      <c r="I8" s="50" t="s">
        <v>22</v>
      </c>
      <c r="J8" s="50" t="s">
        <v>24</v>
      </c>
      <c r="K8" s="50" t="s">
        <v>25</v>
      </c>
      <c r="L8" s="25" t="s">
        <v>27</v>
      </c>
      <c r="M8" s="50" t="s">
        <v>26</v>
      </c>
      <c r="N8" s="50" t="s">
        <v>28</v>
      </c>
      <c r="O8" s="25" t="s">
        <v>29</v>
      </c>
      <c r="P8" s="50" t="s">
        <v>22</v>
      </c>
      <c r="Q8" s="50" t="s">
        <v>22</v>
      </c>
      <c r="R8" s="27"/>
      <c r="S8" s="29"/>
      <c r="T8" s="27"/>
      <c r="U8" s="27"/>
    </row>
    <row r="9" spans="1:21" s="11" customFormat="1">
      <c r="A9" s="52" t="s">
        <v>431</v>
      </c>
      <c r="B9" s="53">
        <v>18.28</v>
      </c>
      <c r="C9" s="53">
        <v>70.790000000000006</v>
      </c>
      <c r="D9" s="53">
        <v>52.68</v>
      </c>
      <c r="E9" s="53">
        <v>8.4700000000000006</v>
      </c>
      <c r="F9" s="53">
        <v>4.3499999999999996</v>
      </c>
      <c r="G9" s="53">
        <v>56.98</v>
      </c>
      <c r="H9" s="53">
        <v>18.329999999999998</v>
      </c>
      <c r="I9" s="53">
        <v>5.52</v>
      </c>
      <c r="J9" s="53">
        <v>0.35</v>
      </c>
      <c r="K9" s="53">
        <v>186.59</v>
      </c>
      <c r="L9" s="53">
        <v>28.79</v>
      </c>
      <c r="M9" s="53">
        <v>35.85</v>
      </c>
      <c r="N9" s="53">
        <v>0</v>
      </c>
      <c r="O9" s="53">
        <v>0</v>
      </c>
      <c r="P9" s="53">
        <v>0.56999999999999995</v>
      </c>
      <c r="Q9" s="53">
        <v>5.84</v>
      </c>
      <c r="R9" s="42"/>
      <c r="S9" s="42"/>
      <c r="T9" s="42"/>
      <c r="U9" s="42"/>
    </row>
    <row r="10" spans="1:21" s="11" customFormat="1">
      <c r="A10" s="52" t="s">
        <v>432</v>
      </c>
      <c r="B10" s="53">
        <v>19.57</v>
      </c>
      <c r="C10" s="53">
        <v>68.709999999999994</v>
      </c>
      <c r="D10" s="53">
        <v>52.89</v>
      </c>
      <c r="E10" s="53">
        <v>8.68</v>
      </c>
      <c r="F10" s="53">
        <v>4.4800000000000004</v>
      </c>
      <c r="G10" s="53">
        <v>56.98</v>
      </c>
      <c r="H10" s="53">
        <v>18.329999999999998</v>
      </c>
      <c r="I10" s="53">
        <v>5.51</v>
      </c>
      <c r="J10" s="53">
        <v>0.26</v>
      </c>
      <c r="K10" s="53">
        <v>196.58</v>
      </c>
      <c r="L10" s="53">
        <v>27.63</v>
      </c>
      <c r="M10" s="53">
        <v>41.08</v>
      </c>
      <c r="N10" s="53">
        <v>0</v>
      </c>
      <c r="O10" s="53">
        <v>0</v>
      </c>
      <c r="P10" s="53">
        <v>0.57999999999999996</v>
      </c>
      <c r="Q10" s="53">
        <v>5.84</v>
      </c>
      <c r="R10" s="42"/>
      <c r="S10" s="42"/>
      <c r="T10" s="42"/>
      <c r="U10" s="42"/>
    </row>
    <row r="11" spans="1:21" s="11" customFormat="1">
      <c r="A11" s="52" t="s">
        <v>433</v>
      </c>
      <c r="B11" s="53">
        <v>20.11</v>
      </c>
      <c r="C11" s="53">
        <v>65.22</v>
      </c>
      <c r="D11" s="53">
        <v>51.32</v>
      </c>
      <c r="E11" s="53">
        <v>12.24</v>
      </c>
      <c r="F11" s="53">
        <v>4.7300000000000004</v>
      </c>
      <c r="G11" s="53">
        <v>57.3</v>
      </c>
      <c r="H11" s="53">
        <v>15.94</v>
      </c>
      <c r="I11" s="53">
        <v>5.48</v>
      </c>
      <c r="J11" s="53">
        <v>0.28000000000000003</v>
      </c>
      <c r="K11" s="53">
        <v>257.93</v>
      </c>
      <c r="L11" s="53">
        <v>26.42</v>
      </c>
      <c r="M11" s="53">
        <v>43.91</v>
      </c>
      <c r="N11" s="53">
        <v>0</v>
      </c>
      <c r="O11" s="53">
        <v>0</v>
      </c>
      <c r="P11" s="53">
        <v>0.56999999999999995</v>
      </c>
      <c r="Q11" s="53">
        <v>5.8</v>
      </c>
      <c r="R11" s="42"/>
      <c r="S11" s="42"/>
      <c r="T11" s="42"/>
      <c r="U11" s="42"/>
    </row>
    <row r="12" spans="1:21" s="11" customFormat="1">
      <c r="A12" s="52" t="s">
        <v>434</v>
      </c>
      <c r="B12" s="53">
        <v>20.91</v>
      </c>
      <c r="C12" s="53">
        <v>65.3</v>
      </c>
      <c r="D12" s="53">
        <v>52.24</v>
      </c>
      <c r="E12" s="53">
        <v>11.5</v>
      </c>
      <c r="F12" s="53">
        <v>5.42</v>
      </c>
      <c r="G12" s="53">
        <v>57.3</v>
      </c>
      <c r="H12" s="53">
        <v>15.94</v>
      </c>
      <c r="I12" s="53">
        <v>5.82</v>
      </c>
      <c r="J12" s="53">
        <v>0.24</v>
      </c>
      <c r="K12" s="53">
        <v>195.19</v>
      </c>
      <c r="L12" s="53">
        <v>26.8</v>
      </c>
      <c r="M12" s="53">
        <v>42.31</v>
      </c>
      <c r="N12" s="53">
        <v>0</v>
      </c>
      <c r="O12" s="53">
        <v>0</v>
      </c>
      <c r="P12" s="53">
        <v>0.56999999999999995</v>
      </c>
      <c r="Q12" s="53">
        <v>5.82</v>
      </c>
      <c r="R12" s="42"/>
      <c r="S12" s="42"/>
      <c r="T12" s="42"/>
      <c r="U12" s="42"/>
    </row>
    <row r="13" spans="1:21" s="11" customFormat="1">
      <c r="A13" s="52" t="s">
        <v>435</v>
      </c>
      <c r="B13" s="53">
        <v>21.85</v>
      </c>
      <c r="C13" s="53">
        <v>66.87</v>
      </c>
      <c r="D13" s="53">
        <v>53.81</v>
      </c>
      <c r="E13" s="53">
        <v>10</v>
      </c>
      <c r="F13" s="53">
        <v>6.68</v>
      </c>
      <c r="G13" s="53">
        <v>54.4</v>
      </c>
      <c r="H13" s="53">
        <v>15.55</v>
      </c>
      <c r="I13" s="53">
        <v>5.83</v>
      </c>
      <c r="J13" s="53">
        <v>0.25</v>
      </c>
      <c r="K13" s="53">
        <v>240.04</v>
      </c>
      <c r="L13" s="53">
        <v>26.32</v>
      </c>
      <c r="M13" s="53">
        <v>44.39</v>
      </c>
      <c r="N13" s="53">
        <v>0</v>
      </c>
      <c r="O13" s="53">
        <v>0</v>
      </c>
      <c r="P13" s="53">
        <v>0.56000000000000005</v>
      </c>
      <c r="Q13" s="53">
        <v>5.83</v>
      </c>
      <c r="R13" s="42"/>
      <c r="S13" s="42"/>
      <c r="T13" s="42"/>
      <c r="U13" s="42"/>
    </row>
    <row r="14" spans="1:21" s="11" customFormat="1">
      <c r="A14" s="52" t="s">
        <v>436</v>
      </c>
      <c r="B14" s="53">
        <v>20.95</v>
      </c>
      <c r="C14" s="53">
        <v>65.63</v>
      </c>
      <c r="D14" s="53">
        <v>52.45</v>
      </c>
      <c r="E14" s="53">
        <v>10.1</v>
      </c>
      <c r="F14" s="53">
        <v>6.22</v>
      </c>
      <c r="G14" s="53">
        <v>48.84</v>
      </c>
      <c r="H14" s="53">
        <v>15.55</v>
      </c>
      <c r="I14" s="53">
        <v>5.62</v>
      </c>
      <c r="J14" s="53">
        <v>0.21</v>
      </c>
      <c r="K14" s="53">
        <v>176.39</v>
      </c>
      <c r="L14" s="53">
        <v>25.92</v>
      </c>
      <c r="M14" s="53">
        <v>49.62</v>
      </c>
      <c r="N14" s="53">
        <v>2</v>
      </c>
      <c r="O14" s="53">
        <v>0</v>
      </c>
      <c r="P14" s="53">
        <v>0.56999999999999995</v>
      </c>
      <c r="Q14" s="53">
        <v>5.82</v>
      </c>
      <c r="R14" s="42"/>
      <c r="S14" s="42"/>
      <c r="T14" s="42"/>
      <c r="U14" s="42"/>
    </row>
    <row r="15" spans="1:21" s="11" customFormat="1">
      <c r="A15" s="52" t="s">
        <v>437</v>
      </c>
      <c r="B15" s="53">
        <v>21.4</v>
      </c>
      <c r="C15" s="53">
        <v>68.88</v>
      </c>
      <c r="D15" s="53">
        <v>54.18</v>
      </c>
      <c r="E15" s="53">
        <v>9.9</v>
      </c>
      <c r="F15" s="53">
        <v>4.34</v>
      </c>
      <c r="G15" s="53">
        <v>42.87</v>
      </c>
      <c r="H15" s="53">
        <v>15.82</v>
      </c>
      <c r="I15" s="53">
        <v>5.55</v>
      </c>
      <c r="J15" s="53">
        <v>0.23</v>
      </c>
      <c r="K15" s="53">
        <v>198.19</v>
      </c>
      <c r="L15" s="53">
        <v>26.91</v>
      </c>
      <c r="M15" s="53">
        <v>50.08</v>
      </c>
      <c r="N15" s="53">
        <v>54.7</v>
      </c>
      <c r="O15" s="53">
        <v>0</v>
      </c>
      <c r="P15" s="53">
        <v>0.61</v>
      </c>
      <c r="Q15" s="53">
        <v>5.93</v>
      </c>
      <c r="R15" s="42"/>
      <c r="S15" s="42"/>
      <c r="T15" s="42"/>
      <c r="U15" s="42"/>
    </row>
    <row r="16" spans="1:21" s="11" customFormat="1">
      <c r="A16" s="52" t="s">
        <v>438</v>
      </c>
      <c r="B16" s="53">
        <v>20.27</v>
      </c>
      <c r="C16" s="53">
        <v>69.38</v>
      </c>
      <c r="D16" s="53">
        <v>53.85</v>
      </c>
      <c r="E16" s="53">
        <v>9.69</v>
      </c>
      <c r="F16" s="53">
        <v>5.86</v>
      </c>
      <c r="G16" s="53">
        <v>40.619999999999997</v>
      </c>
      <c r="H16" s="53">
        <v>15.82</v>
      </c>
      <c r="I16" s="53">
        <v>5.73</v>
      </c>
      <c r="J16" s="53">
        <v>0.38</v>
      </c>
      <c r="K16" s="53">
        <v>224.15</v>
      </c>
      <c r="L16" s="53">
        <v>30.47</v>
      </c>
      <c r="M16" s="53">
        <v>44.65</v>
      </c>
      <c r="N16" s="53">
        <v>144.19999999999999</v>
      </c>
      <c r="O16" s="53">
        <v>0</v>
      </c>
      <c r="P16" s="53">
        <v>0.63</v>
      </c>
      <c r="Q16" s="53">
        <v>5.95</v>
      </c>
      <c r="R16" s="42"/>
      <c r="S16" s="42"/>
      <c r="T16" s="42"/>
      <c r="U16" s="42"/>
    </row>
    <row r="17" spans="1:21" s="11" customFormat="1">
      <c r="A17" s="52" t="s">
        <v>439</v>
      </c>
      <c r="B17" s="53">
        <v>17.53</v>
      </c>
      <c r="C17" s="53">
        <v>70.88</v>
      </c>
      <c r="D17" s="53">
        <v>51.5</v>
      </c>
      <c r="E17" s="53">
        <v>9.8000000000000007</v>
      </c>
      <c r="F17" s="53">
        <v>5.49</v>
      </c>
      <c r="G17" s="53">
        <v>43.32</v>
      </c>
      <c r="H17" s="53">
        <v>14.71</v>
      </c>
      <c r="I17" s="53">
        <v>5.79</v>
      </c>
      <c r="J17" s="53">
        <v>0.54</v>
      </c>
      <c r="K17" s="53">
        <v>248.84</v>
      </c>
      <c r="L17" s="53">
        <v>33.29</v>
      </c>
      <c r="M17" s="53">
        <v>33.619999999999997</v>
      </c>
      <c r="N17" s="53">
        <v>235.3</v>
      </c>
      <c r="O17" s="53">
        <v>0</v>
      </c>
      <c r="P17" s="53">
        <v>0.63</v>
      </c>
      <c r="Q17" s="53">
        <v>5.9</v>
      </c>
      <c r="R17" s="42"/>
      <c r="S17" s="42"/>
      <c r="T17" s="42"/>
      <c r="U17" s="42"/>
    </row>
    <row r="18" spans="1:21" s="11" customFormat="1">
      <c r="A18" s="52" t="s">
        <v>440</v>
      </c>
      <c r="B18" s="53">
        <v>13.47</v>
      </c>
      <c r="C18" s="53">
        <v>70.989999999999995</v>
      </c>
      <c r="D18" s="53">
        <v>49.24</v>
      </c>
      <c r="E18" s="53">
        <v>13.12</v>
      </c>
      <c r="F18" s="53">
        <v>16.12</v>
      </c>
      <c r="G18" s="53">
        <v>45.45</v>
      </c>
      <c r="H18" s="53">
        <v>17.52</v>
      </c>
      <c r="I18" s="53">
        <v>5.99</v>
      </c>
      <c r="J18" s="53">
        <v>0.63</v>
      </c>
      <c r="K18" s="53">
        <v>349.72</v>
      </c>
      <c r="L18" s="53">
        <v>36.119999999999997</v>
      </c>
      <c r="M18" s="53">
        <v>26.25</v>
      </c>
      <c r="N18" s="53">
        <v>503.7</v>
      </c>
      <c r="O18" s="53">
        <v>0</v>
      </c>
      <c r="P18" s="53">
        <v>0.68</v>
      </c>
      <c r="Q18" s="53">
        <v>5.7</v>
      </c>
      <c r="R18" s="42"/>
      <c r="S18" s="42"/>
      <c r="T18" s="42"/>
      <c r="U18" s="42"/>
    </row>
    <row r="19" spans="1:21" s="11" customFormat="1">
      <c r="A19" s="52" t="s">
        <v>441</v>
      </c>
      <c r="B19" s="53">
        <v>8.99</v>
      </c>
      <c r="C19" s="53">
        <v>66.08</v>
      </c>
      <c r="D19" s="53">
        <v>43.08</v>
      </c>
      <c r="E19" s="53">
        <v>13.95</v>
      </c>
      <c r="F19" s="53">
        <v>26.06</v>
      </c>
      <c r="G19" s="53">
        <v>51.45</v>
      </c>
      <c r="H19" s="53">
        <v>21.02</v>
      </c>
      <c r="I19" s="53">
        <v>6.7</v>
      </c>
      <c r="J19" s="53">
        <v>1.33</v>
      </c>
      <c r="K19" s="53">
        <v>358.02</v>
      </c>
      <c r="L19" s="53">
        <v>37.700000000000003</v>
      </c>
      <c r="M19" s="53">
        <v>18.690000000000001</v>
      </c>
      <c r="N19" s="53">
        <v>692</v>
      </c>
      <c r="O19" s="53">
        <v>0</v>
      </c>
      <c r="P19" s="53">
        <v>0.7</v>
      </c>
      <c r="Q19" s="53">
        <v>5.44</v>
      </c>
      <c r="R19" s="42"/>
      <c r="S19" s="42"/>
      <c r="T19" s="42"/>
      <c r="U19" s="42"/>
    </row>
    <row r="20" spans="1:21" s="11" customFormat="1">
      <c r="A20" s="52" t="s">
        <v>442</v>
      </c>
      <c r="B20" s="53">
        <v>7.41</v>
      </c>
      <c r="C20" s="53">
        <v>61.19</v>
      </c>
      <c r="D20" s="53">
        <v>39.14</v>
      </c>
      <c r="E20" s="53">
        <v>15.43</v>
      </c>
      <c r="F20" s="53">
        <v>33.32</v>
      </c>
      <c r="G20" s="53">
        <v>53.89</v>
      </c>
      <c r="H20" s="53">
        <v>21.45</v>
      </c>
      <c r="I20" s="53">
        <v>6.31</v>
      </c>
      <c r="J20" s="53">
        <v>0.92</v>
      </c>
      <c r="K20" s="53">
        <v>337.38</v>
      </c>
      <c r="L20" s="53">
        <v>39.22</v>
      </c>
      <c r="M20" s="53">
        <v>15.31</v>
      </c>
      <c r="N20" s="53">
        <v>761.2</v>
      </c>
      <c r="O20" s="53">
        <v>0</v>
      </c>
      <c r="P20" s="53">
        <v>0.64</v>
      </c>
      <c r="Q20" s="53">
        <v>5.24</v>
      </c>
      <c r="R20" s="42"/>
      <c r="S20" s="42"/>
      <c r="T20" s="42"/>
      <c r="U20" s="42"/>
    </row>
    <row r="21" spans="1:21" s="11" customFormat="1">
      <c r="A21" s="52" t="s">
        <v>443</v>
      </c>
      <c r="B21" s="53">
        <v>7.14</v>
      </c>
      <c r="C21" s="53">
        <v>62.36</v>
      </c>
      <c r="D21" s="53">
        <v>39.659999999999997</v>
      </c>
      <c r="E21" s="53">
        <v>15.48</v>
      </c>
      <c r="F21" s="53">
        <v>43.46</v>
      </c>
      <c r="G21" s="53">
        <v>53.89</v>
      </c>
      <c r="H21" s="53">
        <v>21.45</v>
      </c>
      <c r="I21" s="53">
        <v>5.73</v>
      </c>
      <c r="J21" s="53">
        <v>0.95</v>
      </c>
      <c r="K21" s="53">
        <v>285.38</v>
      </c>
      <c r="L21" s="53">
        <v>40.29</v>
      </c>
      <c r="M21" s="53">
        <v>13.44</v>
      </c>
      <c r="N21" s="53">
        <v>759</v>
      </c>
      <c r="O21" s="53">
        <v>0</v>
      </c>
      <c r="P21" s="53">
        <v>0.62</v>
      </c>
      <c r="Q21" s="53">
        <v>5.1100000000000003</v>
      </c>
      <c r="R21" s="42"/>
      <c r="S21" s="42"/>
      <c r="T21" s="42"/>
      <c r="U21" s="42"/>
    </row>
    <row r="22" spans="1:21" s="11" customFormat="1">
      <c r="A22" s="52" t="s">
        <v>444</v>
      </c>
      <c r="B22" s="53">
        <v>6.31</v>
      </c>
      <c r="C22" s="53">
        <v>59.07</v>
      </c>
      <c r="D22" s="53">
        <v>37.28</v>
      </c>
      <c r="E22" s="53">
        <v>14.37</v>
      </c>
      <c r="F22" s="53">
        <v>43.57</v>
      </c>
      <c r="G22" s="53">
        <v>49.88</v>
      </c>
      <c r="H22" s="53">
        <v>21</v>
      </c>
      <c r="I22" s="53">
        <v>5.62</v>
      </c>
      <c r="J22" s="53">
        <v>1.19</v>
      </c>
      <c r="K22" s="53">
        <v>282.32</v>
      </c>
      <c r="L22" s="53">
        <v>41.05</v>
      </c>
      <c r="M22" s="53">
        <v>13.05</v>
      </c>
      <c r="N22" s="53">
        <v>706.3</v>
      </c>
      <c r="O22" s="53">
        <v>0</v>
      </c>
      <c r="P22" s="53">
        <v>0.56999999999999995</v>
      </c>
      <c r="Q22" s="53">
        <v>5.0199999999999996</v>
      </c>
      <c r="R22" s="42"/>
      <c r="S22" s="42"/>
      <c r="T22" s="42"/>
      <c r="U22" s="42"/>
    </row>
    <row r="23" spans="1:21" s="11" customFormat="1">
      <c r="A23" s="52" t="s">
        <v>445</v>
      </c>
      <c r="B23" s="53">
        <v>5.52</v>
      </c>
      <c r="C23" s="53">
        <v>56.41</v>
      </c>
      <c r="D23" s="53">
        <v>35.25</v>
      </c>
      <c r="E23" s="53">
        <v>14.81</v>
      </c>
      <c r="F23" s="53">
        <v>54.22</v>
      </c>
      <c r="G23" s="53">
        <v>45.78</v>
      </c>
      <c r="H23" s="53">
        <v>18.72</v>
      </c>
      <c r="I23" s="53">
        <v>5.15</v>
      </c>
      <c r="J23" s="53">
        <v>0.56999999999999995</v>
      </c>
      <c r="K23" s="53">
        <v>232.99</v>
      </c>
      <c r="L23" s="53">
        <v>41.54</v>
      </c>
      <c r="M23" s="53">
        <v>12.16</v>
      </c>
      <c r="N23" s="53">
        <v>618</v>
      </c>
      <c r="O23" s="53">
        <v>0</v>
      </c>
      <c r="P23" s="53">
        <v>0.52</v>
      </c>
      <c r="Q23" s="53">
        <v>4.87</v>
      </c>
      <c r="R23" s="42"/>
      <c r="S23" s="42"/>
      <c r="T23" s="42"/>
      <c r="U23" s="42"/>
    </row>
    <row r="24" spans="1:21" s="11" customFormat="1">
      <c r="A24" s="52" t="s">
        <v>446</v>
      </c>
      <c r="B24" s="53">
        <v>5.76</v>
      </c>
      <c r="C24" s="53">
        <v>57.99</v>
      </c>
      <c r="D24" s="53">
        <v>36.26</v>
      </c>
      <c r="E24" s="53">
        <v>15.61</v>
      </c>
      <c r="F24" s="53">
        <v>59.54</v>
      </c>
      <c r="G24" s="53">
        <v>42.04</v>
      </c>
      <c r="H24" s="53">
        <v>18.72</v>
      </c>
      <c r="I24" s="53">
        <v>4.66</v>
      </c>
      <c r="J24" s="53">
        <v>0.8</v>
      </c>
      <c r="K24" s="53">
        <v>298.62</v>
      </c>
      <c r="L24" s="53">
        <v>40.880000000000003</v>
      </c>
      <c r="M24" s="53">
        <v>13.14</v>
      </c>
      <c r="N24" s="53">
        <v>465.2</v>
      </c>
      <c r="O24" s="53">
        <v>0</v>
      </c>
      <c r="P24" s="53">
        <v>0.51</v>
      </c>
      <c r="Q24" s="53">
        <v>4.78</v>
      </c>
      <c r="R24" s="42"/>
      <c r="S24" s="42"/>
      <c r="T24" s="42"/>
      <c r="U24" s="42"/>
    </row>
    <row r="25" spans="1:21" s="11" customFormat="1">
      <c r="A25" s="52" t="s">
        <v>447</v>
      </c>
      <c r="B25" s="53">
        <v>5.53</v>
      </c>
      <c r="C25" s="53">
        <v>58.09</v>
      </c>
      <c r="D25" s="53">
        <v>36.130000000000003</v>
      </c>
      <c r="E25" s="53">
        <v>17.059999999999999</v>
      </c>
      <c r="F25" s="53">
        <v>44.86</v>
      </c>
      <c r="G25" s="53">
        <v>38.75</v>
      </c>
      <c r="H25" s="53">
        <v>16.78</v>
      </c>
      <c r="I25" s="53">
        <v>4.8499999999999996</v>
      </c>
      <c r="J25" s="53">
        <v>0.79</v>
      </c>
      <c r="K25" s="53">
        <v>238.14</v>
      </c>
      <c r="L25" s="53">
        <v>39.54</v>
      </c>
      <c r="M25" s="53">
        <v>15.41</v>
      </c>
      <c r="N25" s="53">
        <v>286.5</v>
      </c>
      <c r="O25" s="53">
        <v>0</v>
      </c>
      <c r="P25" s="53">
        <v>0.54</v>
      </c>
      <c r="Q25" s="53">
        <v>4.88</v>
      </c>
      <c r="R25" s="42"/>
      <c r="S25" s="42"/>
      <c r="T25" s="42"/>
      <c r="U25" s="42"/>
    </row>
    <row r="26" spans="1:21" s="11" customFormat="1">
      <c r="A26" s="52" t="s">
        <v>448</v>
      </c>
      <c r="B26" s="53">
        <v>5.07</v>
      </c>
      <c r="C26" s="53">
        <v>54.71</v>
      </c>
      <c r="D26" s="53">
        <v>33.81</v>
      </c>
      <c r="E26" s="53">
        <v>17.89</v>
      </c>
      <c r="F26" s="53">
        <v>56.04</v>
      </c>
      <c r="G26" s="53">
        <v>38.76</v>
      </c>
      <c r="H26" s="53">
        <v>16.010000000000002</v>
      </c>
      <c r="I26" s="53">
        <v>4.75</v>
      </c>
      <c r="J26" s="53">
        <v>0.35</v>
      </c>
      <c r="K26" s="53">
        <v>228.89</v>
      </c>
      <c r="L26" s="53">
        <v>38.76</v>
      </c>
      <c r="M26" s="53">
        <v>19.079999999999998</v>
      </c>
      <c r="N26" s="53">
        <v>108.7</v>
      </c>
      <c r="O26" s="53">
        <v>0</v>
      </c>
      <c r="P26" s="53">
        <v>0.54</v>
      </c>
      <c r="Q26" s="53">
        <v>4.8099999999999996</v>
      </c>
      <c r="R26" s="42"/>
      <c r="S26" s="42"/>
      <c r="T26" s="42"/>
      <c r="U26" s="42"/>
    </row>
    <row r="27" spans="1:21" s="11" customFormat="1">
      <c r="A27" s="52" t="s">
        <v>449</v>
      </c>
      <c r="B27" s="53">
        <v>5.24</v>
      </c>
      <c r="C27" s="53">
        <v>49.62</v>
      </c>
      <c r="D27" s="53">
        <v>31.48</v>
      </c>
      <c r="E27" s="53">
        <v>13.16</v>
      </c>
      <c r="F27" s="53">
        <v>47.5</v>
      </c>
      <c r="G27" s="53">
        <v>41.87</v>
      </c>
      <c r="H27" s="53">
        <v>15.94</v>
      </c>
      <c r="I27" s="53">
        <v>4.1100000000000003</v>
      </c>
      <c r="J27" s="53">
        <v>0.17</v>
      </c>
      <c r="K27" s="53">
        <v>229.81</v>
      </c>
      <c r="L27" s="53">
        <v>35.57</v>
      </c>
      <c r="M27" s="53">
        <v>24.99</v>
      </c>
      <c r="N27" s="53">
        <v>0.3</v>
      </c>
      <c r="O27" s="53">
        <v>0</v>
      </c>
      <c r="P27" s="53">
        <v>0.56000000000000005</v>
      </c>
      <c r="Q27" s="53">
        <v>4.68</v>
      </c>
      <c r="R27" s="42"/>
      <c r="S27" s="42"/>
      <c r="T27" s="42"/>
      <c r="U27" s="42"/>
    </row>
    <row r="28" spans="1:21" s="11" customFormat="1">
      <c r="A28" s="52" t="s">
        <v>450</v>
      </c>
      <c r="B28" s="53">
        <v>5.9</v>
      </c>
      <c r="C28" s="53">
        <v>50.94</v>
      </c>
      <c r="D28" s="53">
        <v>32.33</v>
      </c>
      <c r="E28" s="53">
        <v>13.73</v>
      </c>
      <c r="F28" s="53">
        <v>34.94</v>
      </c>
      <c r="G28" s="53">
        <v>44.09</v>
      </c>
      <c r="H28" s="53">
        <v>16.75</v>
      </c>
      <c r="I28" s="53">
        <v>4.67</v>
      </c>
      <c r="J28" s="53">
        <v>0.19</v>
      </c>
      <c r="K28" s="53">
        <v>188.47</v>
      </c>
      <c r="L28" s="53">
        <v>33.36</v>
      </c>
      <c r="M28" s="53">
        <v>29.96</v>
      </c>
      <c r="N28" s="53">
        <v>0</v>
      </c>
      <c r="O28" s="53">
        <v>0</v>
      </c>
      <c r="P28" s="53">
        <v>0.61</v>
      </c>
      <c r="Q28" s="53">
        <v>4.75</v>
      </c>
      <c r="R28" s="42"/>
      <c r="S28" s="42"/>
      <c r="T28" s="42"/>
      <c r="U28" s="42"/>
    </row>
    <row r="29" spans="1:21" s="11" customFormat="1">
      <c r="A29" s="52" t="s">
        <v>451</v>
      </c>
      <c r="B29" s="53">
        <v>6.73</v>
      </c>
      <c r="C29" s="53">
        <v>56.35</v>
      </c>
      <c r="D29" s="53">
        <v>36.19</v>
      </c>
      <c r="E29" s="53">
        <v>13.39</v>
      </c>
      <c r="F29" s="53">
        <v>23.44</v>
      </c>
      <c r="G29" s="53">
        <v>47.77</v>
      </c>
      <c r="H29" s="53">
        <v>18.3</v>
      </c>
      <c r="I29" s="53">
        <v>5.25</v>
      </c>
      <c r="J29" s="53">
        <v>0.26</v>
      </c>
      <c r="K29" s="53">
        <v>176.3</v>
      </c>
      <c r="L29" s="53">
        <v>31.61</v>
      </c>
      <c r="M29" s="53">
        <v>33.65</v>
      </c>
      <c r="N29" s="53">
        <v>0</v>
      </c>
      <c r="O29" s="53">
        <v>0</v>
      </c>
      <c r="P29" s="53">
        <v>0.67</v>
      </c>
      <c r="Q29" s="53">
        <v>4.8899999999999997</v>
      </c>
      <c r="R29" s="42"/>
      <c r="S29" s="42"/>
      <c r="T29" s="42"/>
      <c r="U29" s="42"/>
    </row>
    <row r="30" spans="1:21" s="11" customFormat="1">
      <c r="A30" s="52" t="s">
        <v>452</v>
      </c>
      <c r="B30" s="53">
        <v>7.64</v>
      </c>
      <c r="C30" s="53">
        <v>55.06</v>
      </c>
      <c r="D30" s="53">
        <v>36.25</v>
      </c>
      <c r="E30" s="53">
        <v>15.39</v>
      </c>
      <c r="F30" s="53">
        <v>29.26</v>
      </c>
      <c r="G30" s="53">
        <v>58.25</v>
      </c>
      <c r="H30" s="53">
        <v>22.17</v>
      </c>
      <c r="I30" s="53">
        <v>5.23</v>
      </c>
      <c r="J30" s="53">
        <v>0.21</v>
      </c>
      <c r="K30" s="53">
        <v>153.94999999999999</v>
      </c>
      <c r="L30" s="53">
        <v>30.77</v>
      </c>
      <c r="M30" s="53">
        <v>36.840000000000003</v>
      </c>
      <c r="N30" s="53">
        <v>0</v>
      </c>
      <c r="O30" s="53">
        <v>0</v>
      </c>
      <c r="P30" s="53">
        <v>0.72</v>
      </c>
      <c r="Q30" s="53">
        <v>4.87</v>
      </c>
      <c r="R30" s="42"/>
      <c r="S30" s="42"/>
      <c r="T30" s="42"/>
      <c r="U30" s="42"/>
    </row>
    <row r="31" spans="1:21" s="11" customFormat="1">
      <c r="A31" s="52" t="s">
        <v>453</v>
      </c>
      <c r="B31" s="53">
        <v>45.74</v>
      </c>
      <c r="C31" s="53">
        <v>72.959999999999994</v>
      </c>
      <c r="D31" s="53">
        <v>74.400000000000006</v>
      </c>
      <c r="E31" s="53">
        <v>14.98</v>
      </c>
      <c r="F31" s="53">
        <v>9.59</v>
      </c>
      <c r="G31" s="53">
        <v>76.5</v>
      </c>
      <c r="H31" s="53">
        <v>24.57</v>
      </c>
      <c r="I31" s="53">
        <v>6.39</v>
      </c>
      <c r="J31" s="53">
        <v>0.23</v>
      </c>
      <c r="K31" s="53">
        <v>176.37</v>
      </c>
      <c r="L31" s="53">
        <v>30.3</v>
      </c>
      <c r="M31" s="53">
        <v>39.5</v>
      </c>
      <c r="N31" s="53">
        <v>0</v>
      </c>
      <c r="O31" s="53">
        <v>0</v>
      </c>
      <c r="P31" s="53">
        <v>0.92</v>
      </c>
      <c r="Q31" s="53">
        <v>5.97</v>
      </c>
      <c r="R31" s="42"/>
      <c r="S31" s="42"/>
      <c r="T31" s="42"/>
      <c r="U31" s="42"/>
    </row>
    <row r="32" spans="1:21" s="11" customFormat="1">
      <c r="A32" s="52" t="s">
        <v>454</v>
      </c>
      <c r="B32" s="53">
        <v>15.76</v>
      </c>
      <c r="C32" s="53">
        <v>63.54</v>
      </c>
      <c r="D32" s="53">
        <v>47.19</v>
      </c>
      <c r="E32" s="53">
        <v>11.44</v>
      </c>
      <c r="F32" s="53">
        <v>10.28</v>
      </c>
      <c r="G32" s="53">
        <v>76.5</v>
      </c>
      <c r="H32" s="53">
        <v>25.57</v>
      </c>
      <c r="I32" s="53">
        <v>6.08</v>
      </c>
      <c r="J32" s="53">
        <v>0.25</v>
      </c>
      <c r="K32" s="53">
        <v>178.11</v>
      </c>
      <c r="L32" s="53">
        <v>28.68</v>
      </c>
      <c r="M32" s="53">
        <v>44.58</v>
      </c>
      <c r="N32" s="53">
        <v>0</v>
      </c>
      <c r="O32" s="53">
        <v>0</v>
      </c>
      <c r="P32" s="53">
        <v>0.8</v>
      </c>
      <c r="Q32" s="53">
        <v>5.68</v>
      </c>
      <c r="R32" s="42"/>
      <c r="S32" s="42"/>
      <c r="T32" s="42"/>
      <c r="U32" s="42"/>
    </row>
    <row r="33" spans="1:21" s="21" customFormat="1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>
      <c r="A34" s="27" t="s">
        <v>30</v>
      </c>
      <c r="B34" s="28">
        <f t="shared" ref="B34:Q34" si="0">MIN(B9:B32)</f>
        <v>5.07</v>
      </c>
      <c r="C34" s="28">
        <f t="shared" si="0"/>
        <v>49.62</v>
      </c>
      <c r="D34" s="28">
        <f t="shared" si="0"/>
        <v>31.48</v>
      </c>
      <c r="E34" s="28">
        <f t="shared" si="0"/>
        <v>8.4700000000000006</v>
      </c>
      <c r="F34" s="28">
        <f t="shared" si="0"/>
        <v>4.34</v>
      </c>
      <c r="G34" s="28">
        <f t="shared" si="0"/>
        <v>38.75</v>
      </c>
      <c r="H34" s="28">
        <f>MIN(H9:H32)</f>
        <v>14.71</v>
      </c>
      <c r="I34" s="28">
        <f t="shared" si="0"/>
        <v>4.1100000000000003</v>
      </c>
      <c r="J34" s="28">
        <f t="shared" si="0"/>
        <v>0.17</v>
      </c>
      <c r="K34" s="28">
        <f t="shared" si="0"/>
        <v>153.94999999999999</v>
      </c>
      <c r="L34" s="28">
        <f t="shared" si="0"/>
        <v>25.92</v>
      </c>
      <c r="M34" s="28">
        <f t="shared" si="0"/>
        <v>12.16</v>
      </c>
      <c r="N34" s="28">
        <f t="shared" si="0"/>
        <v>0</v>
      </c>
      <c r="O34" s="28">
        <f t="shared" si="0"/>
        <v>0</v>
      </c>
      <c r="P34" s="28">
        <f t="shared" si="0"/>
        <v>0.51</v>
      </c>
      <c r="Q34" s="28">
        <f t="shared" si="0"/>
        <v>4.68</v>
      </c>
      <c r="R34" s="28"/>
      <c r="S34" s="28"/>
      <c r="T34" s="28"/>
      <c r="U34" s="28"/>
    </row>
    <row r="35" spans="1:21" s="21" customFormat="1">
      <c r="A35" s="27" t="s">
        <v>31</v>
      </c>
      <c r="B35" s="29">
        <f t="shared" ref="B35:Q35" si="1">MAX(B9:B32)</f>
        <v>45.74</v>
      </c>
      <c r="C35" s="29">
        <f t="shared" si="1"/>
        <v>72.959999999999994</v>
      </c>
      <c r="D35" s="29">
        <f t="shared" si="1"/>
        <v>74.400000000000006</v>
      </c>
      <c r="E35" s="29">
        <f t="shared" si="1"/>
        <v>17.89</v>
      </c>
      <c r="F35" s="29">
        <f t="shared" si="1"/>
        <v>59.54</v>
      </c>
      <c r="G35" s="29">
        <f>MAX(G9:G32)</f>
        <v>76.5</v>
      </c>
      <c r="H35" s="29">
        <f>MAX(H9:H32)</f>
        <v>25.57</v>
      </c>
      <c r="I35" s="29">
        <f t="shared" si="1"/>
        <v>6.7</v>
      </c>
      <c r="J35" s="29">
        <f t="shared" si="1"/>
        <v>1.33</v>
      </c>
      <c r="K35" s="29">
        <f t="shared" si="1"/>
        <v>358.02</v>
      </c>
      <c r="L35" s="29">
        <f t="shared" si="1"/>
        <v>41.54</v>
      </c>
      <c r="M35" s="29">
        <f t="shared" si="1"/>
        <v>50.08</v>
      </c>
      <c r="N35" s="29">
        <f t="shared" si="1"/>
        <v>761.2</v>
      </c>
      <c r="O35" s="29">
        <f t="shared" si="1"/>
        <v>0</v>
      </c>
      <c r="P35" s="29">
        <f t="shared" si="1"/>
        <v>0.92</v>
      </c>
      <c r="Q35" s="29">
        <f t="shared" si="1"/>
        <v>5.97</v>
      </c>
      <c r="R35" s="29"/>
      <c r="S35" s="29"/>
      <c r="T35" s="29"/>
      <c r="U35" s="29"/>
    </row>
    <row r="36" spans="1:21" s="21" customFormat="1">
      <c r="A36" s="27" t="s">
        <v>32</v>
      </c>
      <c r="B36" s="28">
        <f t="shared" ref="B36:Q36" si="2">AVERAGE(B9:B32)</f>
        <v>13.878333333333332</v>
      </c>
      <c r="C36" s="28">
        <f t="shared" si="2"/>
        <v>62.79249999999999</v>
      </c>
      <c r="D36" s="28">
        <f t="shared" si="2"/>
        <v>45.108750000000008</v>
      </c>
      <c r="E36" s="28">
        <f t="shared" si="2"/>
        <v>12.924583333333331</v>
      </c>
      <c r="F36" s="28">
        <f t="shared" si="2"/>
        <v>24.157083333333336</v>
      </c>
      <c r="G36" s="28">
        <f t="shared" si="2"/>
        <v>50.978333333333332</v>
      </c>
      <c r="H36" s="28">
        <f>AVERAGE(H9:H32)</f>
        <v>18.414999999999999</v>
      </c>
      <c r="I36" s="28">
        <f t="shared" si="2"/>
        <v>5.5141666666666671</v>
      </c>
      <c r="J36" s="28">
        <f t="shared" si="2"/>
        <v>0.4825000000000001</v>
      </c>
      <c r="K36" s="28">
        <f t="shared" si="2"/>
        <v>234.93208333333337</v>
      </c>
      <c r="L36" s="28">
        <f t="shared" si="2"/>
        <v>33.247499999999995</v>
      </c>
      <c r="M36" s="28">
        <f t="shared" si="2"/>
        <v>30.898333333333341</v>
      </c>
      <c r="N36" s="28">
        <f t="shared" si="2"/>
        <v>222.37916666666669</v>
      </c>
      <c r="O36" s="28">
        <f t="shared" si="2"/>
        <v>0</v>
      </c>
      <c r="P36" s="28">
        <f t="shared" si="2"/>
        <v>0.62041666666666651</v>
      </c>
      <c r="Q36" s="28">
        <f t="shared" si="2"/>
        <v>5.3924999999999992</v>
      </c>
      <c r="R36" s="28"/>
      <c r="S36" s="28"/>
      <c r="T36" s="28"/>
      <c r="U36" s="28"/>
    </row>
    <row r="37" spans="1:21" s="21" customFormat="1">
      <c r="A37" s="27" t="s">
        <v>38</v>
      </c>
      <c r="B37" s="28">
        <f>STDEV(B9:B32)</f>
        <v>9.4707810001933446</v>
      </c>
      <c r="C37" s="28">
        <f t="shared" ref="C37:Q37" si="3">STDEV(C9:C32)</f>
        <v>6.7462873847963039</v>
      </c>
      <c r="D37" s="28">
        <f t="shared" si="3"/>
        <v>10.294339648775324</v>
      </c>
      <c r="E37" s="28">
        <f t="shared" si="3"/>
        <v>2.7042655181682274</v>
      </c>
      <c r="F37" s="28">
        <f t="shared" si="3"/>
        <v>19.567203590206226</v>
      </c>
      <c r="G37" s="28">
        <f t="shared" si="3"/>
        <v>10.110074470403328</v>
      </c>
      <c r="H37" s="28">
        <f>STDEV(H9:H32)</f>
        <v>3.016630714815002</v>
      </c>
      <c r="I37" s="28">
        <f t="shared" si="3"/>
        <v>0.60658643361789577</v>
      </c>
      <c r="J37" s="28">
        <f t="shared" si="3"/>
        <v>0.34062921317697525</v>
      </c>
      <c r="K37" s="28">
        <f t="shared" si="3"/>
        <v>58.080887148809531</v>
      </c>
      <c r="L37" s="28">
        <f t="shared" si="3"/>
        <v>5.5332027442246954</v>
      </c>
      <c r="M37" s="28">
        <f t="shared" si="3"/>
        <v>13.100915224141573</v>
      </c>
      <c r="N37" s="28">
        <f t="shared" si="3"/>
        <v>292.77331040624568</v>
      </c>
      <c r="O37" s="28">
        <f t="shared" si="3"/>
        <v>0</v>
      </c>
      <c r="P37" s="28">
        <f t="shared" si="3"/>
        <v>9.3691406810577263E-2</v>
      </c>
      <c r="Q37" s="28">
        <f t="shared" si="3"/>
        <v>0.48596161952583611</v>
      </c>
      <c r="R37" s="28"/>
      <c r="S37" s="28"/>
      <c r="T37" s="28"/>
      <c r="U37" s="28"/>
    </row>
    <row r="38" spans="1:21" s="21" customFormat="1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>COUNT(F9:F32)</f>
        <v>24</v>
      </c>
      <c r="G38" s="32">
        <f>COUNT(G9:G32)</f>
        <v>24</v>
      </c>
      <c r="H38" s="32">
        <f>COUNT(H9:H32)</f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>
      <c r="A42" s="13"/>
    </row>
    <row r="43" spans="1:21" s="21" customFormat="1">
      <c r="A43" s="14" t="s">
        <v>35</v>
      </c>
      <c r="B43" s="39" t="s">
        <v>58</v>
      </c>
      <c r="C43" s="41"/>
    </row>
    <row r="44" spans="1:21" s="21" customFormat="1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0"/>
      <c r="C45" s="40"/>
      <c r="D45" s="40"/>
      <c r="E45" s="40"/>
      <c r="F45" s="40"/>
      <c r="G45" s="40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</row>
    <row r="46" spans="1:21" s="21" customFormat="1"/>
    <row r="47" spans="1:21" s="21" customFormat="1"/>
    <row r="48" spans="1:21" s="21" customFormat="1"/>
    <row r="49" s="21" customFormat="1"/>
    <row r="50" s="21" customFormat="1"/>
    <row r="51" s="21" customFormat="1"/>
    <row r="52" s="21" customFormat="1"/>
    <row r="53" s="21" customFormat="1"/>
    <row r="54" s="21" customFormat="1"/>
    <row r="55" s="21" customFormat="1"/>
    <row r="56" s="21" customFormat="1"/>
    <row r="57" s="21" customFormat="1"/>
    <row r="58" s="21" customFormat="1"/>
    <row r="59" s="21" customFormat="1"/>
    <row r="60" s="21" customFormat="1"/>
    <row r="61" s="21" customFormat="1"/>
    <row r="62" s="21" customFormat="1"/>
    <row r="63" s="21" customFormat="1"/>
    <row r="64" s="21" customFormat="1"/>
    <row r="65" s="21" customFormat="1"/>
    <row r="66" s="21" customFormat="1"/>
    <row r="67" s="21" customFormat="1"/>
    <row r="68" s="21" customFormat="1"/>
    <row r="69" s="21" customFormat="1"/>
    <row r="70" s="21" customFormat="1"/>
    <row r="71" s="21" customFormat="1"/>
    <row r="72" s="21" customFormat="1"/>
    <row r="73" s="21" customFormat="1"/>
    <row r="74" s="21" customFormat="1"/>
    <row r="75" s="21" customFormat="1"/>
    <row r="76" s="21" customFormat="1"/>
    <row r="77" s="21" customFormat="1"/>
    <row r="78" s="21" customFormat="1"/>
    <row r="79" s="21" customFormat="1"/>
    <row r="80" s="21" customFormat="1"/>
    <row r="81" s="21" customFormat="1"/>
    <row r="82" s="21" customFormat="1"/>
    <row r="83" s="21" customFormat="1"/>
    <row r="84" s="21" customFormat="1"/>
    <row r="85" s="21" customFormat="1"/>
    <row r="86" s="21" customFormat="1"/>
    <row r="87" s="21" customFormat="1"/>
    <row r="88" s="21" customFormat="1"/>
    <row r="89" s="21" customFormat="1"/>
    <row r="90" s="21" customFormat="1"/>
    <row r="91" s="21" customFormat="1"/>
    <row r="92" s="21" customFormat="1"/>
    <row r="93" s="21" customFormat="1"/>
    <row r="94" s="21" customFormat="1"/>
    <row r="95" s="21" customFormat="1"/>
    <row r="96" s="21" customFormat="1"/>
    <row r="97" spans="1:1" s="21" customFormat="1"/>
    <row r="98" spans="1:1" s="21" customFormat="1"/>
    <row r="99" spans="1:1" s="21" customFormat="1"/>
    <row r="100" spans="1:1" s="21" customFormat="1"/>
    <row r="101" spans="1:1" s="21" customFormat="1"/>
    <row r="102" spans="1:1" s="21" customFormat="1"/>
    <row r="103" spans="1:1" s="21" customFormat="1"/>
    <row r="104" spans="1:1" s="21" customFormat="1"/>
    <row r="105" spans="1:1" s="21" customFormat="1"/>
    <row r="106" spans="1:1">
      <c r="A106" s="20"/>
    </row>
    <row r="107" spans="1:1" s="21" customFormat="1"/>
    <row r="108" spans="1:1" s="21" customFormat="1"/>
    <row r="109" spans="1:1" s="21" customFormat="1"/>
    <row r="110" spans="1:1" s="21" customFormat="1"/>
    <row r="111" spans="1:1" s="21" customFormat="1"/>
    <row r="112" spans="1:1" s="21" customFormat="1"/>
    <row r="113" spans="1:1" s="21" customFormat="1"/>
    <row r="114" spans="1:1" s="21" customFormat="1"/>
    <row r="115" spans="1:1" s="21" customFormat="1"/>
    <row r="116" spans="1:1" s="21" customFormat="1"/>
    <row r="117" spans="1:1" s="21" customFormat="1"/>
    <row r="118" spans="1:1">
      <c r="A118" s="20"/>
    </row>
    <row r="119" spans="1:1">
      <c r="A119" s="20"/>
    </row>
  </sheetData>
  <pageMargins left="0.7" right="0.7" top="0.75" bottom="0.75" header="0.3" footer="0.3"/>
  <pageSetup paperSize="9" orientation="portrait" horizontalDpi="300" verticalDpi="300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1" ySplit="8" topLeftCell="B15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E22" sqref="E22:E32"/>
    </sheetView>
  </sheetViews>
  <sheetFormatPr defaultColWidth="8.85546875" defaultRowHeight="1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>
      <c r="A1" s="14" t="s">
        <v>2</v>
      </c>
      <c r="B1" s="23" t="s">
        <v>55</v>
      </c>
      <c r="C1" s="36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>
      <c r="A2" s="14" t="s">
        <v>0</v>
      </c>
      <c r="B2" s="37" t="str">
        <f>$A$9</f>
        <v>17/04/2023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8" t="s">
        <v>7</v>
      </c>
      <c r="Q2" s="12"/>
      <c r="R2" s="8" t="s">
        <v>8</v>
      </c>
      <c r="S2" s="11"/>
      <c r="T2" s="11"/>
      <c r="U2" s="11"/>
    </row>
    <row r="3" spans="1:21" s="21" customFormat="1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8" t="s">
        <v>15</v>
      </c>
      <c r="Q3" s="12"/>
      <c r="R3" s="9" t="s">
        <v>15</v>
      </c>
      <c r="S3" s="11"/>
      <c r="T3" s="11"/>
      <c r="U3" s="11"/>
    </row>
    <row r="4" spans="1:21" s="21" customFormat="1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>
      <c r="A7" s="25" t="s">
        <v>21</v>
      </c>
      <c r="B7" s="48" t="s">
        <v>40</v>
      </c>
      <c r="C7" s="49" t="s">
        <v>41</v>
      </c>
      <c r="D7" s="49" t="s">
        <v>42</v>
      </c>
      <c r="E7" s="49" t="s">
        <v>43</v>
      </c>
      <c r="F7" s="49" t="s">
        <v>44</v>
      </c>
      <c r="G7" s="49" t="s">
        <v>45</v>
      </c>
      <c r="H7" s="49" t="s">
        <v>56</v>
      </c>
      <c r="I7" s="49" t="s">
        <v>46</v>
      </c>
      <c r="J7" s="49" t="s">
        <v>47</v>
      </c>
      <c r="K7" s="49" t="s">
        <v>48</v>
      </c>
      <c r="L7" s="49" t="s">
        <v>49</v>
      </c>
      <c r="M7" s="49" t="s">
        <v>50</v>
      </c>
      <c r="N7" s="49" t="s">
        <v>51</v>
      </c>
      <c r="O7" s="49" t="s">
        <v>52</v>
      </c>
      <c r="P7" s="49" t="s">
        <v>53</v>
      </c>
      <c r="Q7" s="49" t="s">
        <v>54</v>
      </c>
      <c r="R7" s="27"/>
      <c r="S7" s="29"/>
      <c r="T7" s="27"/>
      <c r="U7" s="27"/>
    </row>
    <row r="8" spans="1:21" s="21" customFormat="1">
      <c r="A8" s="25"/>
      <c r="B8" s="50" t="s">
        <v>22</v>
      </c>
      <c r="C8" s="50" t="s">
        <v>22</v>
      </c>
      <c r="D8" s="50" t="s">
        <v>22</v>
      </c>
      <c r="E8" s="50" t="s">
        <v>22</v>
      </c>
      <c r="F8" s="50" t="s">
        <v>22</v>
      </c>
      <c r="G8" s="50" t="s">
        <v>23</v>
      </c>
      <c r="H8" s="50" t="s">
        <v>22</v>
      </c>
      <c r="I8" s="50" t="s">
        <v>22</v>
      </c>
      <c r="J8" s="50" t="s">
        <v>24</v>
      </c>
      <c r="K8" s="50" t="s">
        <v>25</v>
      </c>
      <c r="L8" s="25" t="s">
        <v>27</v>
      </c>
      <c r="M8" s="50" t="s">
        <v>26</v>
      </c>
      <c r="N8" s="50" t="s">
        <v>28</v>
      </c>
      <c r="O8" s="25" t="s">
        <v>29</v>
      </c>
      <c r="P8" s="50" t="s">
        <v>22</v>
      </c>
      <c r="Q8" s="50" t="s">
        <v>22</v>
      </c>
      <c r="R8" s="27"/>
      <c r="S8" s="29"/>
      <c r="T8" s="27"/>
      <c r="U8" s="27"/>
    </row>
    <row r="9" spans="1:21" s="11" customFormat="1">
      <c r="A9" s="52" t="s">
        <v>455</v>
      </c>
      <c r="B9" s="53">
        <v>25.36</v>
      </c>
      <c r="C9" s="53">
        <v>69.31</v>
      </c>
      <c r="D9" s="53">
        <v>57.9</v>
      </c>
      <c r="E9" s="53">
        <v>10.43</v>
      </c>
      <c r="F9" s="53">
        <v>7.94</v>
      </c>
      <c r="G9" s="53">
        <v>65.7</v>
      </c>
      <c r="H9" s="53">
        <v>25.57</v>
      </c>
      <c r="I9" s="53">
        <v>6.24</v>
      </c>
      <c r="J9" s="53">
        <v>0.23</v>
      </c>
      <c r="K9" s="53">
        <v>176.82</v>
      </c>
      <c r="L9" s="53">
        <v>27.96</v>
      </c>
      <c r="M9" s="53">
        <v>46.24</v>
      </c>
      <c r="N9" s="53">
        <v>0</v>
      </c>
      <c r="O9" s="53">
        <v>0</v>
      </c>
      <c r="P9" s="53">
        <v>0.86</v>
      </c>
      <c r="Q9" s="53">
        <v>5.83</v>
      </c>
      <c r="R9" s="42"/>
      <c r="S9" s="42"/>
      <c r="T9" s="42"/>
      <c r="U9" s="42"/>
    </row>
    <row r="10" spans="1:21" s="11" customFormat="1">
      <c r="A10" s="52" t="s">
        <v>456</v>
      </c>
      <c r="B10" s="53">
        <v>25.94</v>
      </c>
      <c r="C10" s="53">
        <v>70.95</v>
      </c>
      <c r="D10" s="53">
        <v>58.26</v>
      </c>
      <c r="E10" s="53">
        <v>10.16</v>
      </c>
      <c r="F10" s="53">
        <v>8.51</v>
      </c>
      <c r="G10" s="53">
        <v>63.57</v>
      </c>
      <c r="H10" s="53">
        <v>25.09</v>
      </c>
      <c r="I10" s="53">
        <v>6.26</v>
      </c>
      <c r="J10" s="53">
        <v>0.23</v>
      </c>
      <c r="K10" s="53">
        <v>177.45</v>
      </c>
      <c r="L10" s="53">
        <v>27.33</v>
      </c>
      <c r="M10" s="53">
        <v>45.97</v>
      </c>
      <c r="N10" s="53">
        <v>0</v>
      </c>
      <c r="O10" s="53">
        <v>0</v>
      </c>
      <c r="P10" s="53">
        <v>0.85</v>
      </c>
      <c r="Q10" s="53">
        <v>6</v>
      </c>
      <c r="R10" s="42"/>
      <c r="S10" s="42"/>
      <c r="T10" s="42"/>
      <c r="U10" s="42"/>
    </row>
    <row r="11" spans="1:21" s="11" customFormat="1">
      <c r="A11" s="52" t="s">
        <v>457</v>
      </c>
      <c r="B11" s="53">
        <v>19.420000000000002</v>
      </c>
      <c r="C11" s="53">
        <v>71.37</v>
      </c>
      <c r="D11" s="53">
        <v>53.8</v>
      </c>
      <c r="E11" s="53">
        <v>8.2799999999999994</v>
      </c>
      <c r="F11" s="53">
        <v>4.92</v>
      </c>
      <c r="G11" s="53">
        <v>52.86</v>
      </c>
      <c r="H11" s="53">
        <v>24.6</v>
      </c>
      <c r="I11" s="53">
        <v>6.36</v>
      </c>
      <c r="J11" s="53">
        <v>0.24</v>
      </c>
      <c r="K11" s="53">
        <v>182.98</v>
      </c>
      <c r="L11" s="53">
        <v>26.74</v>
      </c>
      <c r="M11" s="53">
        <v>47.68</v>
      </c>
      <c r="N11" s="53">
        <v>0</v>
      </c>
      <c r="O11" s="53">
        <v>0</v>
      </c>
      <c r="P11" s="53">
        <v>0.85</v>
      </c>
      <c r="Q11" s="53">
        <v>6.02</v>
      </c>
      <c r="R11" s="42"/>
      <c r="S11" s="42"/>
      <c r="T11" s="42"/>
      <c r="U11" s="42"/>
    </row>
    <row r="12" spans="1:21" s="11" customFormat="1">
      <c r="A12" s="52" t="s">
        <v>458</v>
      </c>
      <c r="B12" s="53">
        <v>17.98</v>
      </c>
      <c r="C12" s="53">
        <v>71.349999999999994</v>
      </c>
      <c r="D12" s="53">
        <v>53.04</v>
      </c>
      <c r="E12" s="53">
        <v>8.01</v>
      </c>
      <c r="F12" s="53">
        <v>4.9000000000000004</v>
      </c>
      <c r="G12" s="53">
        <v>52.86</v>
      </c>
      <c r="H12" s="53">
        <v>25.08</v>
      </c>
      <c r="I12" s="53">
        <v>6.34</v>
      </c>
      <c r="J12" s="53">
        <v>0.18</v>
      </c>
      <c r="K12" s="53">
        <v>225.19</v>
      </c>
      <c r="L12" s="53">
        <v>26.27</v>
      </c>
      <c r="M12" s="53">
        <v>49.79</v>
      </c>
      <c r="N12" s="53">
        <v>0</v>
      </c>
      <c r="O12" s="53">
        <v>0</v>
      </c>
      <c r="P12" s="53">
        <v>0.84</v>
      </c>
      <c r="Q12" s="53">
        <v>5.95</v>
      </c>
      <c r="R12" s="42"/>
      <c r="S12" s="42"/>
      <c r="T12" s="42"/>
      <c r="U12" s="42"/>
    </row>
    <row r="13" spans="1:21" s="11" customFormat="1">
      <c r="A13" s="52" t="s">
        <v>459</v>
      </c>
      <c r="B13" s="53">
        <v>16.12</v>
      </c>
      <c r="C13" s="53">
        <v>72.14</v>
      </c>
      <c r="D13" s="53">
        <v>51.83</v>
      </c>
      <c r="E13" s="53">
        <v>7.73</v>
      </c>
      <c r="F13" s="53">
        <v>4.16</v>
      </c>
      <c r="G13" s="53">
        <v>51.67</v>
      </c>
      <c r="H13" s="53">
        <v>27.05</v>
      </c>
      <c r="I13" s="53">
        <v>6.38</v>
      </c>
      <c r="J13" s="53">
        <v>0.25</v>
      </c>
      <c r="K13" s="53">
        <v>180.97</v>
      </c>
      <c r="L13" s="53">
        <v>25.88</v>
      </c>
      <c r="M13" s="53">
        <v>50.99</v>
      </c>
      <c r="N13" s="53">
        <v>0</v>
      </c>
      <c r="O13" s="53">
        <v>0</v>
      </c>
      <c r="P13" s="53">
        <v>0.85</v>
      </c>
      <c r="Q13" s="53">
        <v>5.82</v>
      </c>
      <c r="R13" s="42"/>
      <c r="S13" s="42"/>
      <c r="T13" s="42"/>
      <c r="U13" s="42"/>
    </row>
    <row r="14" spans="1:21" s="11" customFormat="1">
      <c r="A14" s="52" t="s">
        <v>460</v>
      </c>
      <c r="B14" s="53">
        <v>15.59</v>
      </c>
      <c r="C14" s="53">
        <v>71.989999999999995</v>
      </c>
      <c r="D14" s="53">
        <v>51.46</v>
      </c>
      <c r="E14" s="53">
        <v>7.16</v>
      </c>
      <c r="F14" s="53">
        <v>4.43</v>
      </c>
      <c r="G14" s="53">
        <v>47.75</v>
      </c>
      <c r="H14" s="53">
        <v>27.05</v>
      </c>
      <c r="I14" s="53">
        <v>6.57</v>
      </c>
      <c r="J14" s="53">
        <v>0.22</v>
      </c>
      <c r="K14" s="53">
        <v>213.11</v>
      </c>
      <c r="L14" s="53">
        <v>25.52</v>
      </c>
      <c r="M14" s="53">
        <v>51.9</v>
      </c>
      <c r="N14" s="53">
        <v>3</v>
      </c>
      <c r="O14" s="53">
        <v>0</v>
      </c>
      <c r="P14" s="53">
        <v>0.86</v>
      </c>
      <c r="Q14" s="53">
        <v>5.78</v>
      </c>
      <c r="R14" s="42"/>
      <c r="S14" s="42"/>
      <c r="T14" s="42"/>
      <c r="U14" s="42"/>
    </row>
    <row r="15" spans="1:21" s="11" customFormat="1">
      <c r="A15" s="52" t="s">
        <v>461</v>
      </c>
      <c r="B15" s="53">
        <v>14.7</v>
      </c>
      <c r="C15" s="53">
        <v>71.83</v>
      </c>
      <c r="D15" s="53">
        <v>50.67</v>
      </c>
      <c r="E15" s="53">
        <v>7.08</v>
      </c>
      <c r="F15" s="53">
        <v>5.59</v>
      </c>
      <c r="G15" s="53">
        <v>48.28</v>
      </c>
      <c r="H15" s="53">
        <v>24.96</v>
      </c>
      <c r="I15" s="53">
        <v>6.71</v>
      </c>
      <c r="J15" s="53">
        <v>0.3</v>
      </c>
      <c r="K15" s="53">
        <v>173.78</v>
      </c>
      <c r="L15" s="53">
        <v>26.8</v>
      </c>
      <c r="M15" s="53">
        <v>52.83</v>
      </c>
      <c r="N15" s="53">
        <v>45.5</v>
      </c>
      <c r="O15" s="53">
        <v>0</v>
      </c>
      <c r="P15" s="53">
        <v>0.87</v>
      </c>
      <c r="Q15" s="53">
        <v>5.73</v>
      </c>
      <c r="R15" s="42"/>
      <c r="S15" s="42"/>
      <c r="T15" s="42"/>
      <c r="U15" s="42"/>
    </row>
    <row r="16" spans="1:21" s="11" customFormat="1">
      <c r="A16" s="52" t="s">
        <v>462</v>
      </c>
      <c r="B16" s="53">
        <v>15.38</v>
      </c>
      <c r="C16" s="53">
        <v>70.72</v>
      </c>
      <c r="D16" s="53">
        <v>50.63</v>
      </c>
      <c r="E16" s="53">
        <v>8.06</v>
      </c>
      <c r="F16" s="53">
        <v>10.28</v>
      </c>
      <c r="G16" s="53">
        <v>60.71</v>
      </c>
      <c r="H16" s="53">
        <v>27.79</v>
      </c>
      <c r="I16" s="53">
        <v>6.94</v>
      </c>
      <c r="J16" s="53">
        <v>0.45</v>
      </c>
      <c r="K16" s="53">
        <v>244.15</v>
      </c>
      <c r="L16" s="53">
        <v>30.6</v>
      </c>
      <c r="M16" s="53">
        <v>49.31</v>
      </c>
      <c r="N16" s="53">
        <v>198.1</v>
      </c>
      <c r="O16" s="53">
        <v>0</v>
      </c>
      <c r="P16" s="53">
        <v>0.88</v>
      </c>
      <c r="Q16" s="53">
        <v>5.64</v>
      </c>
      <c r="R16" s="42"/>
      <c r="S16" s="42"/>
      <c r="T16" s="42"/>
      <c r="U16" s="42"/>
    </row>
    <row r="17" spans="1:21" s="11" customFormat="1">
      <c r="A17" s="52" t="s">
        <v>463</v>
      </c>
      <c r="B17" s="53">
        <v>14.15</v>
      </c>
      <c r="C17" s="53">
        <v>67.900000000000006</v>
      </c>
      <c r="D17" s="53">
        <v>47.91</v>
      </c>
      <c r="E17" s="53">
        <v>9.57</v>
      </c>
      <c r="F17" s="53">
        <v>15.17</v>
      </c>
      <c r="G17" s="53">
        <v>60.85</v>
      </c>
      <c r="H17" s="53">
        <v>27.79</v>
      </c>
      <c r="I17" s="53">
        <v>7.19</v>
      </c>
      <c r="J17" s="53">
        <v>0.46</v>
      </c>
      <c r="K17" s="53">
        <v>252.67</v>
      </c>
      <c r="L17" s="53">
        <v>34.24</v>
      </c>
      <c r="M17" s="53">
        <v>36.24</v>
      </c>
      <c r="N17" s="53">
        <v>360.5</v>
      </c>
      <c r="O17" s="53">
        <v>0</v>
      </c>
      <c r="P17" s="53">
        <v>0.93</v>
      </c>
      <c r="Q17" s="53">
        <v>5.6</v>
      </c>
      <c r="R17" s="42"/>
      <c r="S17" s="42"/>
      <c r="T17" s="42"/>
      <c r="U17" s="42"/>
    </row>
    <row r="18" spans="1:21" s="11" customFormat="1">
      <c r="A18" s="52" t="s">
        <v>464</v>
      </c>
      <c r="B18" s="53">
        <v>10.47</v>
      </c>
      <c r="C18" s="53">
        <v>65.45</v>
      </c>
      <c r="D18" s="53">
        <v>43.71</v>
      </c>
      <c r="E18" s="53">
        <v>10.7</v>
      </c>
      <c r="F18" s="53">
        <v>21.14</v>
      </c>
      <c r="G18" s="53">
        <v>60.85</v>
      </c>
      <c r="H18" s="53">
        <v>27.18</v>
      </c>
      <c r="I18" s="53">
        <v>7.55</v>
      </c>
      <c r="J18" s="53">
        <v>0.67</v>
      </c>
      <c r="K18" s="53">
        <v>253.7</v>
      </c>
      <c r="L18" s="53">
        <v>37.29</v>
      </c>
      <c r="M18" s="53">
        <v>27.32</v>
      </c>
      <c r="N18" s="53">
        <v>519</v>
      </c>
      <c r="O18" s="53">
        <v>0</v>
      </c>
      <c r="P18" s="53">
        <v>0.91</v>
      </c>
      <c r="Q18" s="53">
        <v>5.41</v>
      </c>
      <c r="R18" s="42"/>
      <c r="S18" s="42"/>
      <c r="T18" s="42"/>
      <c r="U18" s="42"/>
    </row>
    <row r="19" spans="1:21" s="11" customFormat="1">
      <c r="A19" s="52" t="s">
        <v>465</v>
      </c>
      <c r="B19" s="53">
        <v>7.45</v>
      </c>
      <c r="C19" s="53">
        <v>60.96</v>
      </c>
      <c r="D19" s="53">
        <v>38.99</v>
      </c>
      <c r="E19" s="53">
        <v>10.82</v>
      </c>
      <c r="F19" s="53">
        <v>38.090000000000003</v>
      </c>
      <c r="G19" s="53">
        <v>56.38</v>
      </c>
      <c r="H19" s="53">
        <v>27.18</v>
      </c>
      <c r="I19" s="53">
        <v>7.47</v>
      </c>
      <c r="J19" s="53">
        <v>0.39</v>
      </c>
      <c r="K19" s="53">
        <v>359.55</v>
      </c>
      <c r="L19" s="53">
        <v>40</v>
      </c>
      <c r="M19" s="53">
        <v>18.16</v>
      </c>
      <c r="N19" s="53">
        <v>740.2</v>
      </c>
      <c r="O19" s="53">
        <v>0</v>
      </c>
      <c r="P19" s="53">
        <v>0.9</v>
      </c>
      <c r="Q19" s="53">
        <v>5.19</v>
      </c>
      <c r="R19" s="42"/>
      <c r="S19" s="42"/>
      <c r="T19" s="42"/>
      <c r="U19" s="42"/>
    </row>
    <row r="20" spans="1:21" s="11" customFormat="1">
      <c r="A20" s="52" t="s">
        <v>466</v>
      </c>
      <c r="B20" s="53">
        <v>5.79</v>
      </c>
      <c r="C20" s="53">
        <v>60.87</v>
      </c>
      <c r="D20" s="53">
        <v>37.44</v>
      </c>
      <c r="E20" s="53">
        <v>15.75</v>
      </c>
      <c r="F20" s="53">
        <v>44.58</v>
      </c>
      <c r="G20" s="53">
        <v>53.2</v>
      </c>
      <c r="H20" s="53">
        <v>26.19</v>
      </c>
      <c r="I20" s="53">
        <v>7.72</v>
      </c>
      <c r="J20" s="53">
        <v>0.75</v>
      </c>
      <c r="K20" s="53">
        <v>292.74</v>
      </c>
      <c r="L20" s="53">
        <v>40.61</v>
      </c>
      <c r="M20" s="53">
        <v>14.8</v>
      </c>
      <c r="N20" s="53">
        <v>774.5</v>
      </c>
      <c r="O20" s="53">
        <v>0</v>
      </c>
      <c r="P20" s="53">
        <v>0.85</v>
      </c>
      <c r="Q20" s="53">
        <v>5.17</v>
      </c>
      <c r="R20" s="42"/>
      <c r="S20" s="42"/>
      <c r="T20" s="42"/>
      <c r="U20" s="42"/>
    </row>
    <row r="21" spans="1:21" s="11" customFormat="1">
      <c r="A21" s="52" t="s">
        <v>467</v>
      </c>
      <c r="B21" s="53">
        <v>4.71</v>
      </c>
      <c r="C21" s="53">
        <v>63.97</v>
      </c>
      <c r="D21" s="53">
        <v>38.549999999999997</v>
      </c>
      <c r="E21" s="53">
        <v>12.66</v>
      </c>
      <c r="F21" s="53">
        <v>34.04</v>
      </c>
      <c r="G21" s="53">
        <v>57.01</v>
      </c>
      <c r="H21" s="53">
        <v>27.51</v>
      </c>
      <c r="I21" s="53">
        <v>7.68</v>
      </c>
      <c r="J21" s="53">
        <v>1.05</v>
      </c>
      <c r="K21" s="53">
        <v>275.89999999999998</v>
      </c>
      <c r="L21" s="53">
        <v>41.28</v>
      </c>
      <c r="M21" s="53">
        <v>13.42</v>
      </c>
      <c r="N21" s="53">
        <v>744.6</v>
      </c>
      <c r="O21" s="53">
        <v>0</v>
      </c>
      <c r="P21" s="53">
        <v>0.84</v>
      </c>
      <c r="Q21" s="53">
        <v>5.0999999999999996</v>
      </c>
      <c r="R21" s="42"/>
      <c r="S21" s="42"/>
      <c r="T21" s="42"/>
      <c r="U21" s="42"/>
    </row>
    <row r="22" spans="1:21" s="11" customFormat="1">
      <c r="A22" s="52" t="s">
        <v>468</v>
      </c>
      <c r="B22" s="53">
        <v>4.6900000000000004</v>
      </c>
      <c r="C22" s="53">
        <v>63.57</v>
      </c>
      <c r="D22" s="53">
        <v>38.33</v>
      </c>
      <c r="E22" s="53">
        <v>9.1999999999999993</v>
      </c>
      <c r="F22" s="53">
        <v>26.02</v>
      </c>
      <c r="G22" s="53">
        <v>57.01</v>
      </c>
      <c r="H22" s="53">
        <v>27.51</v>
      </c>
      <c r="I22" s="53">
        <v>7.36</v>
      </c>
      <c r="J22" s="53">
        <v>1.06</v>
      </c>
      <c r="K22" s="53">
        <v>267.62</v>
      </c>
      <c r="L22" s="53">
        <v>42.25</v>
      </c>
      <c r="M22" s="53">
        <v>10.8</v>
      </c>
      <c r="N22" s="53">
        <v>714.9</v>
      </c>
      <c r="O22" s="53">
        <v>0</v>
      </c>
      <c r="P22" s="53">
        <v>0.76</v>
      </c>
      <c r="Q22" s="53">
        <v>5.0599999999999996</v>
      </c>
      <c r="R22" s="42"/>
      <c r="S22" s="42"/>
      <c r="T22" s="42"/>
      <c r="U22" s="42"/>
    </row>
    <row r="23" spans="1:21" s="11" customFormat="1">
      <c r="A23" s="52" t="s">
        <v>469</v>
      </c>
      <c r="B23" s="53">
        <v>5.25</v>
      </c>
      <c r="C23" s="53">
        <v>67</v>
      </c>
      <c r="D23" s="53">
        <v>40.36</v>
      </c>
      <c r="E23" s="53">
        <v>9.31</v>
      </c>
      <c r="F23" s="53">
        <v>33.24</v>
      </c>
      <c r="G23" s="53">
        <v>52.09</v>
      </c>
      <c r="H23" s="53">
        <v>22.98</v>
      </c>
      <c r="I23" s="53">
        <v>7.01</v>
      </c>
      <c r="J23" s="53">
        <v>0.61</v>
      </c>
      <c r="K23" s="53">
        <v>314.67</v>
      </c>
      <c r="L23" s="53">
        <v>42.51</v>
      </c>
      <c r="M23" s="53">
        <v>10.89</v>
      </c>
      <c r="N23" s="53">
        <v>568.70000000000005</v>
      </c>
      <c r="O23" s="53">
        <v>0</v>
      </c>
      <c r="P23" s="53">
        <v>0.65</v>
      </c>
      <c r="Q23" s="53">
        <v>5.19</v>
      </c>
      <c r="R23" s="42"/>
      <c r="S23" s="42"/>
      <c r="T23" s="42"/>
      <c r="U23" s="42"/>
    </row>
    <row r="24" spans="1:21" s="11" customFormat="1">
      <c r="A24" s="52" t="s">
        <v>470</v>
      </c>
      <c r="B24" s="53">
        <v>5.19</v>
      </c>
      <c r="C24" s="53">
        <v>69.53</v>
      </c>
      <c r="D24" s="53">
        <v>41.77</v>
      </c>
      <c r="E24" s="53">
        <v>9.75</v>
      </c>
      <c r="F24" s="53">
        <v>18.02</v>
      </c>
      <c r="G24" s="53">
        <v>45.01</v>
      </c>
      <c r="H24" s="53">
        <v>21.22</v>
      </c>
      <c r="I24" s="53">
        <v>6.73</v>
      </c>
      <c r="J24" s="53">
        <v>1.01</v>
      </c>
      <c r="K24" s="53">
        <v>318.11</v>
      </c>
      <c r="L24" s="53">
        <v>42.18</v>
      </c>
      <c r="M24" s="53">
        <v>11.47</v>
      </c>
      <c r="N24" s="53">
        <v>462.6</v>
      </c>
      <c r="O24" s="53">
        <v>0</v>
      </c>
      <c r="P24" s="53">
        <v>0.64</v>
      </c>
      <c r="Q24" s="53">
        <v>5.32</v>
      </c>
      <c r="R24" s="42"/>
      <c r="S24" s="42"/>
      <c r="T24" s="42"/>
      <c r="U24" s="42"/>
    </row>
    <row r="25" spans="1:21" s="11" customFormat="1">
      <c r="A25" s="52" t="s">
        <v>471</v>
      </c>
      <c r="B25" s="53">
        <v>4.75</v>
      </c>
      <c r="C25" s="53">
        <v>66.540000000000006</v>
      </c>
      <c r="D25" s="53">
        <v>39.92</v>
      </c>
      <c r="E25" s="53">
        <v>8.4600000000000009</v>
      </c>
      <c r="F25" s="53">
        <v>66.06</v>
      </c>
      <c r="G25" s="53">
        <v>45.01</v>
      </c>
      <c r="H25" s="53">
        <v>20.16</v>
      </c>
      <c r="I25" s="53">
        <v>6.29</v>
      </c>
      <c r="J25" s="53">
        <v>0.78</v>
      </c>
      <c r="K25" s="53">
        <v>268.56</v>
      </c>
      <c r="L25" s="53">
        <v>41.14</v>
      </c>
      <c r="M25" s="53">
        <v>13.37</v>
      </c>
      <c r="N25" s="53">
        <v>225.1</v>
      </c>
      <c r="O25" s="53">
        <v>0</v>
      </c>
      <c r="P25" s="53">
        <v>0.59</v>
      </c>
      <c r="Q25" s="53">
        <v>5.26</v>
      </c>
      <c r="R25" s="42"/>
      <c r="S25" s="42"/>
      <c r="T25" s="42"/>
      <c r="U25" s="42"/>
    </row>
    <row r="26" spans="1:21" s="11" customFormat="1">
      <c r="A26" s="52" t="s">
        <v>472</v>
      </c>
      <c r="B26" s="53">
        <v>4.25</v>
      </c>
      <c r="C26" s="53">
        <v>47.11</v>
      </c>
      <c r="D26" s="53">
        <v>29.38</v>
      </c>
      <c r="E26" s="53">
        <v>8.23</v>
      </c>
      <c r="F26" s="53">
        <v>80.849999999999994</v>
      </c>
      <c r="G26" s="53">
        <v>43.45</v>
      </c>
      <c r="H26" s="53">
        <v>19.34</v>
      </c>
      <c r="I26" s="53">
        <v>4.95</v>
      </c>
      <c r="J26" s="53">
        <v>0.34</v>
      </c>
      <c r="K26" s="53">
        <v>240.54</v>
      </c>
      <c r="L26" s="53">
        <v>39.28</v>
      </c>
      <c r="M26" s="53">
        <v>18.89</v>
      </c>
      <c r="N26" s="53">
        <v>102.9</v>
      </c>
      <c r="O26" s="53">
        <v>0</v>
      </c>
      <c r="P26" s="53">
        <v>0.53</v>
      </c>
      <c r="Q26" s="53">
        <v>4.8099999999999996</v>
      </c>
      <c r="R26" s="42"/>
      <c r="S26" s="42"/>
      <c r="T26" s="42"/>
      <c r="U26" s="42"/>
    </row>
    <row r="27" spans="1:21" s="11" customFormat="1">
      <c r="A27" s="52" t="s">
        <v>473</v>
      </c>
      <c r="B27" s="53">
        <v>4.8600000000000003</v>
      </c>
      <c r="C27" s="53">
        <v>46.9</v>
      </c>
      <c r="D27" s="53">
        <v>29.75</v>
      </c>
      <c r="E27" s="53">
        <v>8.58</v>
      </c>
      <c r="F27" s="53">
        <v>63.36</v>
      </c>
      <c r="G27" s="53">
        <v>41.6</v>
      </c>
      <c r="H27" s="53">
        <v>18.440000000000001</v>
      </c>
      <c r="I27" s="53">
        <v>5.46</v>
      </c>
      <c r="J27" s="53">
        <v>0.2</v>
      </c>
      <c r="K27" s="53">
        <v>250.1</v>
      </c>
      <c r="L27" s="53">
        <v>36.31</v>
      </c>
      <c r="M27" s="53">
        <v>22.82</v>
      </c>
      <c r="N27" s="53">
        <v>0</v>
      </c>
      <c r="O27" s="53">
        <v>0</v>
      </c>
      <c r="P27" s="53">
        <v>0.6</v>
      </c>
      <c r="Q27" s="53">
        <v>4.5599999999999996</v>
      </c>
      <c r="R27" s="42"/>
      <c r="S27" s="42"/>
      <c r="T27" s="42"/>
      <c r="U27" s="42"/>
    </row>
    <row r="28" spans="1:21" s="11" customFormat="1">
      <c r="A28" s="52" t="s">
        <v>474</v>
      </c>
      <c r="B28" s="53">
        <v>5.73</v>
      </c>
      <c r="C28" s="53">
        <v>49.46</v>
      </c>
      <c r="D28" s="53">
        <v>31.69</v>
      </c>
      <c r="E28" s="53">
        <v>7.63</v>
      </c>
      <c r="F28" s="53">
        <v>43.76</v>
      </c>
      <c r="G28" s="53">
        <v>46.36</v>
      </c>
      <c r="H28" s="53">
        <v>18.440000000000001</v>
      </c>
      <c r="I28" s="53">
        <v>6.67</v>
      </c>
      <c r="J28" s="53">
        <v>0.21</v>
      </c>
      <c r="K28" s="53">
        <v>173.18</v>
      </c>
      <c r="L28" s="53">
        <v>34.369999999999997</v>
      </c>
      <c r="M28" s="53">
        <v>27.46</v>
      </c>
      <c r="N28" s="53">
        <v>0</v>
      </c>
      <c r="O28" s="53">
        <v>0</v>
      </c>
      <c r="P28" s="53">
        <v>0.7</v>
      </c>
      <c r="Q28" s="53">
        <v>4.6100000000000003</v>
      </c>
      <c r="R28" s="42"/>
      <c r="S28" s="42"/>
      <c r="T28" s="42"/>
      <c r="U28" s="42"/>
    </row>
    <row r="29" spans="1:21" s="11" customFormat="1">
      <c r="A29" s="52" t="s">
        <v>475</v>
      </c>
      <c r="B29" s="53">
        <v>7.26</v>
      </c>
      <c r="C29" s="53">
        <v>51.5</v>
      </c>
      <c r="D29" s="53">
        <v>33.69</v>
      </c>
      <c r="E29" s="53">
        <v>7.61</v>
      </c>
      <c r="F29" s="53">
        <v>26.93</v>
      </c>
      <c r="G29" s="53">
        <v>50.19</v>
      </c>
      <c r="H29" s="53">
        <v>20.55</v>
      </c>
      <c r="I29" s="53">
        <v>6.62</v>
      </c>
      <c r="J29" s="53">
        <v>0.25</v>
      </c>
      <c r="K29" s="53">
        <v>168.46</v>
      </c>
      <c r="L29" s="53">
        <v>32.75</v>
      </c>
      <c r="M29" s="53">
        <v>32.299999999999997</v>
      </c>
      <c r="N29" s="53">
        <v>0</v>
      </c>
      <c r="O29" s="53">
        <v>0</v>
      </c>
      <c r="P29" s="53">
        <v>0.73</v>
      </c>
      <c r="Q29" s="53">
        <v>4.8099999999999996</v>
      </c>
      <c r="R29" s="42"/>
      <c r="S29" s="42"/>
      <c r="T29" s="42"/>
      <c r="U29" s="42"/>
    </row>
    <row r="30" spans="1:21" s="11" customFormat="1">
      <c r="A30" s="52" t="s">
        <v>476</v>
      </c>
      <c r="B30" s="53">
        <v>8.86</v>
      </c>
      <c r="C30" s="53">
        <v>59.02</v>
      </c>
      <c r="D30" s="53">
        <v>39.29</v>
      </c>
      <c r="E30" s="53">
        <v>7.59</v>
      </c>
      <c r="F30" s="53">
        <v>19.84</v>
      </c>
      <c r="G30" s="53">
        <v>55.82</v>
      </c>
      <c r="H30" s="53">
        <v>20.55</v>
      </c>
      <c r="I30" s="53">
        <v>6.6</v>
      </c>
      <c r="J30" s="53">
        <v>0.25</v>
      </c>
      <c r="K30" s="53">
        <v>155.81</v>
      </c>
      <c r="L30" s="53">
        <v>31.38</v>
      </c>
      <c r="M30" s="53">
        <v>33.340000000000003</v>
      </c>
      <c r="N30" s="53">
        <v>0</v>
      </c>
      <c r="O30" s="53">
        <v>0</v>
      </c>
      <c r="P30" s="53">
        <v>0.75</v>
      </c>
      <c r="Q30" s="53">
        <v>5.0599999999999996</v>
      </c>
      <c r="R30" s="42"/>
      <c r="S30" s="42"/>
      <c r="T30" s="42"/>
      <c r="U30" s="42"/>
    </row>
    <row r="31" spans="1:21" s="11" customFormat="1">
      <c r="A31" s="52" t="s">
        <v>477</v>
      </c>
      <c r="B31" s="53">
        <v>9.94</v>
      </c>
      <c r="C31" s="53">
        <v>62.95</v>
      </c>
      <c r="D31" s="53">
        <v>42.21</v>
      </c>
      <c r="E31" s="53">
        <v>8.11</v>
      </c>
      <c r="F31" s="53">
        <v>11.84</v>
      </c>
      <c r="G31" s="53">
        <v>55.82</v>
      </c>
      <c r="H31" s="53">
        <v>21.09</v>
      </c>
      <c r="I31" s="53">
        <v>6.74</v>
      </c>
      <c r="J31" s="53">
        <v>0.24</v>
      </c>
      <c r="K31" s="53">
        <v>187.83</v>
      </c>
      <c r="L31" s="53">
        <v>30.6</v>
      </c>
      <c r="M31" s="53">
        <v>36.93</v>
      </c>
      <c r="N31" s="53">
        <v>0</v>
      </c>
      <c r="O31" s="53">
        <v>0</v>
      </c>
      <c r="P31" s="53">
        <v>0.78</v>
      </c>
      <c r="Q31" s="53">
        <v>5.18</v>
      </c>
      <c r="R31" s="42"/>
      <c r="S31" s="42"/>
      <c r="T31" s="42"/>
      <c r="U31" s="42"/>
    </row>
    <row r="32" spans="1:21" s="11" customFormat="1">
      <c r="A32" s="52" t="s">
        <v>478</v>
      </c>
      <c r="B32" s="53">
        <v>11.25</v>
      </c>
      <c r="C32" s="53">
        <v>63.6</v>
      </c>
      <c r="D32" s="53">
        <v>43.6</v>
      </c>
      <c r="E32" s="53">
        <v>7.14</v>
      </c>
      <c r="F32" s="53">
        <v>8.1300000000000008</v>
      </c>
      <c r="G32" s="53">
        <v>53.49</v>
      </c>
      <c r="H32" s="53">
        <v>21.09</v>
      </c>
      <c r="I32" s="53">
        <v>6.89</v>
      </c>
      <c r="J32" s="53">
        <v>0.21</v>
      </c>
      <c r="K32" s="53">
        <v>180.35</v>
      </c>
      <c r="L32" s="53">
        <v>29.31</v>
      </c>
      <c r="M32" s="53">
        <v>40.270000000000003</v>
      </c>
      <c r="N32" s="53">
        <v>0</v>
      </c>
      <c r="O32" s="53">
        <v>0</v>
      </c>
      <c r="P32" s="53">
        <v>0.78</v>
      </c>
      <c r="Q32" s="53">
        <v>5.3</v>
      </c>
      <c r="R32" s="42"/>
      <c r="S32" s="42"/>
      <c r="T32" s="42"/>
      <c r="U32" s="42"/>
    </row>
    <row r="33" spans="1:21" s="21" customFormat="1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>
      <c r="A34" s="27" t="s">
        <v>30</v>
      </c>
      <c r="B34" s="28">
        <f t="shared" ref="B34:Q34" si="0">MIN(B9:B32)</f>
        <v>4.25</v>
      </c>
      <c r="C34" s="28">
        <f t="shared" si="0"/>
        <v>46.9</v>
      </c>
      <c r="D34" s="28">
        <f t="shared" si="0"/>
        <v>29.38</v>
      </c>
      <c r="E34" s="28">
        <f t="shared" si="0"/>
        <v>7.08</v>
      </c>
      <c r="F34" s="28">
        <f t="shared" si="0"/>
        <v>4.16</v>
      </c>
      <c r="G34" s="28">
        <f t="shared" si="0"/>
        <v>41.6</v>
      </c>
      <c r="H34" s="28">
        <f>MIN(H9:H32)</f>
        <v>18.440000000000001</v>
      </c>
      <c r="I34" s="28">
        <f t="shared" si="0"/>
        <v>4.95</v>
      </c>
      <c r="J34" s="28">
        <f t="shared" si="0"/>
        <v>0.18</v>
      </c>
      <c r="K34" s="28">
        <f t="shared" si="0"/>
        <v>155.81</v>
      </c>
      <c r="L34" s="28">
        <f t="shared" si="0"/>
        <v>25.52</v>
      </c>
      <c r="M34" s="28">
        <f t="shared" si="0"/>
        <v>10.8</v>
      </c>
      <c r="N34" s="28">
        <f t="shared" si="0"/>
        <v>0</v>
      </c>
      <c r="O34" s="28">
        <f t="shared" si="0"/>
        <v>0</v>
      </c>
      <c r="P34" s="28">
        <f t="shared" si="0"/>
        <v>0.53</v>
      </c>
      <c r="Q34" s="28">
        <f t="shared" si="0"/>
        <v>4.5599999999999996</v>
      </c>
      <c r="R34" s="28"/>
      <c r="S34" s="28"/>
      <c r="T34" s="28"/>
      <c r="U34" s="28"/>
    </row>
    <row r="35" spans="1:21" s="21" customFormat="1">
      <c r="A35" s="27" t="s">
        <v>31</v>
      </c>
      <c r="B35" s="29">
        <f t="shared" ref="B35:Q35" si="1">MAX(B9:B32)</f>
        <v>25.94</v>
      </c>
      <c r="C35" s="29">
        <f t="shared" si="1"/>
        <v>72.14</v>
      </c>
      <c r="D35" s="29">
        <f t="shared" si="1"/>
        <v>58.26</v>
      </c>
      <c r="E35" s="29">
        <f t="shared" si="1"/>
        <v>15.75</v>
      </c>
      <c r="F35" s="29">
        <f t="shared" si="1"/>
        <v>80.849999999999994</v>
      </c>
      <c r="G35" s="29">
        <f>MAX(G9:G32)</f>
        <v>65.7</v>
      </c>
      <c r="H35" s="29">
        <f>MAX(H9:H32)</f>
        <v>27.79</v>
      </c>
      <c r="I35" s="29">
        <f t="shared" si="1"/>
        <v>7.72</v>
      </c>
      <c r="J35" s="29">
        <f t="shared" si="1"/>
        <v>1.06</v>
      </c>
      <c r="K35" s="29">
        <f t="shared" si="1"/>
        <v>359.55</v>
      </c>
      <c r="L35" s="29">
        <f t="shared" si="1"/>
        <v>42.51</v>
      </c>
      <c r="M35" s="29">
        <f t="shared" si="1"/>
        <v>52.83</v>
      </c>
      <c r="N35" s="29">
        <f t="shared" si="1"/>
        <v>774.5</v>
      </c>
      <c r="O35" s="29">
        <f t="shared" si="1"/>
        <v>0</v>
      </c>
      <c r="P35" s="29">
        <f t="shared" si="1"/>
        <v>0.93</v>
      </c>
      <c r="Q35" s="29">
        <f t="shared" si="1"/>
        <v>6.02</v>
      </c>
      <c r="R35" s="29"/>
      <c r="S35" s="29"/>
      <c r="T35" s="29"/>
      <c r="U35" s="29"/>
    </row>
    <row r="36" spans="1:21" s="21" customFormat="1">
      <c r="A36" s="27" t="s">
        <v>32</v>
      </c>
      <c r="B36" s="28">
        <f t="shared" ref="B36:Q36" si="2">AVERAGE(B9:B32)</f>
        <v>11.045416666666666</v>
      </c>
      <c r="C36" s="28">
        <f t="shared" si="2"/>
        <v>63.999583333333334</v>
      </c>
      <c r="D36" s="28">
        <f t="shared" si="2"/>
        <v>43.5075</v>
      </c>
      <c r="E36" s="28">
        <f t="shared" si="2"/>
        <v>9.0841666666666665</v>
      </c>
      <c r="F36" s="28">
        <f t="shared" si="2"/>
        <v>25.074999999999999</v>
      </c>
      <c r="G36" s="28">
        <f t="shared" si="2"/>
        <v>53.230833333333329</v>
      </c>
      <c r="H36" s="28">
        <f>AVERAGE(H9:H32)</f>
        <v>23.933750000000003</v>
      </c>
      <c r="I36" s="28">
        <f t="shared" si="2"/>
        <v>6.6970833333333326</v>
      </c>
      <c r="J36" s="28">
        <f t="shared" si="2"/>
        <v>0.44083333333333341</v>
      </c>
      <c r="K36" s="28">
        <f t="shared" si="2"/>
        <v>230.59333333333345</v>
      </c>
      <c r="L36" s="28">
        <f t="shared" si="2"/>
        <v>33.858333333333334</v>
      </c>
      <c r="M36" s="28">
        <f t="shared" si="2"/>
        <v>31.799583333333334</v>
      </c>
      <c r="N36" s="28">
        <f t="shared" si="2"/>
        <v>227.48333333333335</v>
      </c>
      <c r="O36" s="28">
        <f t="shared" si="2"/>
        <v>0</v>
      </c>
      <c r="P36" s="28">
        <f t="shared" si="2"/>
        <v>0.78333333333333333</v>
      </c>
      <c r="Q36" s="28">
        <f t="shared" si="2"/>
        <v>5.3500000000000014</v>
      </c>
      <c r="R36" s="28"/>
      <c r="S36" s="28"/>
      <c r="T36" s="28"/>
      <c r="U36" s="28"/>
    </row>
    <row r="37" spans="1:21" s="21" customFormat="1">
      <c r="A37" s="27" t="s">
        <v>38</v>
      </c>
      <c r="B37" s="28">
        <f>STDEV(B9:B32)</f>
        <v>6.5777523445168677</v>
      </c>
      <c r="C37" s="28">
        <f t="shared" ref="C37:Q37" si="3">STDEV(C9:C32)</f>
        <v>8.0091819476782238</v>
      </c>
      <c r="D37" s="28">
        <f t="shared" si="3"/>
        <v>8.4809701301104496</v>
      </c>
      <c r="E37" s="28">
        <f t="shared" si="3"/>
        <v>1.9954424521168559</v>
      </c>
      <c r="F37" s="28">
        <f t="shared" si="3"/>
        <v>21.672705134017935</v>
      </c>
      <c r="G37" s="28">
        <f t="shared" si="3"/>
        <v>6.4857709921271303</v>
      </c>
      <c r="H37" s="28">
        <f>STDEV(H9:H32)</f>
        <v>3.3020965836610392</v>
      </c>
      <c r="I37" s="28">
        <f t="shared" si="3"/>
        <v>0.65072854934107682</v>
      </c>
      <c r="J37" s="28">
        <f t="shared" si="3"/>
        <v>0.2921720259600894</v>
      </c>
      <c r="K37" s="28">
        <f t="shared" si="3"/>
        <v>56.29122154642198</v>
      </c>
      <c r="L37" s="28">
        <f t="shared" si="3"/>
        <v>6.1555041941385884</v>
      </c>
      <c r="M37" s="28">
        <f t="shared" si="3"/>
        <v>15.261385622648694</v>
      </c>
      <c r="N37" s="28">
        <f t="shared" si="3"/>
        <v>295.66508912540928</v>
      </c>
      <c r="O37" s="28">
        <f t="shared" si="3"/>
        <v>0</v>
      </c>
      <c r="P37" s="28">
        <f t="shared" si="3"/>
        <v>0.11208175070268844</v>
      </c>
      <c r="Q37" s="28">
        <f t="shared" si="3"/>
        <v>0.43096454005241347</v>
      </c>
      <c r="R37" s="28"/>
      <c r="S37" s="28"/>
      <c r="T37" s="28"/>
      <c r="U37" s="28"/>
    </row>
    <row r="38" spans="1:21" s="21" customFormat="1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>COUNT(F9:F32)</f>
        <v>24</v>
      </c>
      <c r="G38" s="32">
        <f>COUNT(G9:G32)</f>
        <v>24</v>
      </c>
      <c r="H38" s="32">
        <f>COUNT(H9:H32)</f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>
      <c r="A42" s="13"/>
    </row>
    <row r="43" spans="1:21" s="21" customFormat="1">
      <c r="A43" s="14" t="s">
        <v>35</v>
      </c>
      <c r="B43" s="39" t="s">
        <v>58</v>
      </c>
      <c r="C43" s="41"/>
    </row>
    <row r="44" spans="1:21" s="21" customFormat="1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0"/>
      <c r="C45" s="40"/>
      <c r="D45" s="40"/>
      <c r="E45" s="40"/>
      <c r="F45" s="40"/>
      <c r="G45" s="40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</row>
    <row r="46" spans="1:21" s="21" customFormat="1"/>
    <row r="47" spans="1:21" s="21" customFormat="1"/>
    <row r="48" spans="1:21" s="21" customFormat="1"/>
    <row r="49" s="21" customFormat="1"/>
    <row r="50" s="21" customFormat="1"/>
    <row r="51" s="21" customFormat="1"/>
    <row r="52" s="21" customFormat="1"/>
    <row r="53" s="21" customFormat="1"/>
    <row r="54" s="21" customFormat="1"/>
    <row r="55" s="21" customFormat="1"/>
    <row r="56" s="21" customFormat="1"/>
    <row r="57" s="21" customFormat="1"/>
    <row r="58" s="21" customFormat="1"/>
    <row r="59" s="21" customFormat="1"/>
    <row r="60" s="21" customFormat="1"/>
    <row r="61" s="21" customFormat="1"/>
    <row r="62" s="21" customFormat="1"/>
    <row r="63" s="21" customFormat="1"/>
    <row r="64" s="21" customFormat="1"/>
    <row r="65" s="21" customFormat="1"/>
    <row r="66" s="21" customFormat="1"/>
    <row r="67" s="21" customFormat="1"/>
    <row r="68" s="21" customFormat="1"/>
    <row r="69" s="21" customFormat="1"/>
    <row r="70" s="21" customFormat="1"/>
    <row r="71" s="21" customFormat="1"/>
    <row r="72" s="21" customFormat="1"/>
    <row r="73" s="21" customFormat="1"/>
    <row r="74" s="21" customFormat="1"/>
    <row r="75" s="21" customFormat="1"/>
    <row r="76" s="21" customFormat="1"/>
    <row r="77" s="21" customFormat="1"/>
    <row r="78" s="21" customFormat="1"/>
    <row r="79" s="21" customFormat="1"/>
    <row r="80" s="21" customFormat="1"/>
    <row r="81" s="21" customFormat="1"/>
    <row r="82" s="21" customFormat="1"/>
    <row r="83" s="21" customFormat="1"/>
    <row r="84" s="21" customFormat="1"/>
    <row r="85" s="21" customFormat="1"/>
    <row r="86" s="21" customFormat="1"/>
    <row r="87" s="21" customFormat="1"/>
    <row r="88" s="21" customFormat="1"/>
    <row r="89" s="21" customFormat="1"/>
    <row r="90" s="21" customFormat="1"/>
    <row r="91" s="21" customFormat="1"/>
    <row r="92" s="21" customFormat="1"/>
    <row r="93" s="21" customFormat="1"/>
    <row r="94" s="21" customFormat="1"/>
    <row r="95" s="21" customFormat="1"/>
    <row r="96" s="21" customFormat="1"/>
    <row r="97" spans="1:1" s="21" customFormat="1"/>
    <row r="98" spans="1:1" s="21" customFormat="1"/>
    <row r="99" spans="1:1" s="21" customFormat="1"/>
    <row r="100" spans="1:1" s="21" customFormat="1"/>
    <row r="101" spans="1:1" s="21" customFormat="1"/>
    <row r="102" spans="1:1" s="21" customFormat="1"/>
    <row r="103" spans="1:1" s="21" customFormat="1"/>
    <row r="104" spans="1:1" s="21" customFormat="1"/>
    <row r="105" spans="1:1" s="21" customFormat="1"/>
    <row r="106" spans="1:1">
      <c r="A106" s="20"/>
    </row>
    <row r="107" spans="1:1" s="21" customFormat="1"/>
    <row r="108" spans="1:1" s="21" customFormat="1"/>
    <row r="109" spans="1:1" s="21" customFormat="1"/>
    <row r="110" spans="1:1" s="21" customFormat="1"/>
    <row r="111" spans="1:1" s="21" customFormat="1"/>
    <row r="112" spans="1:1" s="21" customFormat="1"/>
    <row r="113" spans="1:1" s="21" customFormat="1"/>
    <row r="114" spans="1:1" s="21" customFormat="1"/>
    <row r="115" spans="1:1" s="21" customFormat="1"/>
    <row r="116" spans="1:1" s="21" customFormat="1"/>
    <row r="117" spans="1:1" s="21" customFormat="1"/>
    <row r="118" spans="1:1">
      <c r="A118" s="20"/>
    </row>
    <row r="119" spans="1:1">
      <c r="A119" s="20"/>
    </row>
  </sheetData>
  <pageMargins left="0.7" right="0.7" top="0.75" bottom="0.75" header="0.3" footer="0.3"/>
  <pageSetup paperSize="9" orientation="portrait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1" ySplit="8" topLeftCell="B24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E9" sqref="E9:E32"/>
    </sheetView>
  </sheetViews>
  <sheetFormatPr defaultColWidth="8.85546875" defaultRowHeight="1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>
      <c r="A1" s="14" t="s">
        <v>2</v>
      </c>
      <c r="B1" s="23" t="s">
        <v>55</v>
      </c>
      <c r="C1" s="36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>
      <c r="A2" s="14" t="s">
        <v>0</v>
      </c>
      <c r="B2" s="37" t="str">
        <f>$A$9</f>
        <v>18/04/2023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8" t="s">
        <v>7</v>
      </c>
      <c r="Q2" s="12"/>
      <c r="R2" s="8" t="s">
        <v>8</v>
      </c>
      <c r="S2" s="11"/>
      <c r="T2" s="11"/>
      <c r="U2" s="11"/>
    </row>
    <row r="3" spans="1:21" s="21" customFormat="1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8" t="s">
        <v>15</v>
      </c>
      <c r="Q3" s="12"/>
      <c r="R3" s="9" t="s">
        <v>15</v>
      </c>
      <c r="S3" s="11"/>
      <c r="T3" s="11"/>
      <c r="U3" s="11"/>
    </row>
    <row r="4" spans="1:21" s="21" customFormat="1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>
      <c r="A7" s="25" t="s">
        <v>21</v>
      </c>
      <c r="B7" s="48" t="s">
        <v>40</v>
      </c>
      <c r="C7" s="49" t="s">
        <v>41</v>
      </c>
      <c r="D7" s="49" t="s">
        <v>42</v>
      </c>
      <c r="E7" s="49" t="s">
        <v>43</v>
      </c>
      <c r="F7" s="49" t="s">
        <v>44</v>
      </c>
      <c r="G7" s="49" t="s">
        <v>45</v>
      </c>
      <c r="H7" s="49" t="s">
        <v>56</v>
      </c>
      <c r="I7" s="49" t="s">
        <v>46</v>
      </c>
      <c r="J7" s="49" t="s">
        <v>47</v>
      </c>
      <c r="K7" s="49" t="s">
        <v>48</v>
      </c>
      <c r="L7" s="49" t="s">
        <v>49</v>
      </c>
      <c r="M7" s="49" t="s">
        <v>50</v>
      </c>
      <c r="N7" s="49" t="s">
        <v>51</v>
      </c>
      <c r="O7" s="49" t="s">
        <v>52</v>
      </c>
      <c r="P7" s="49" t="s">
        <v>53</v>
      </c>
      <c r="Q7" s="49" t="s">
        <v>54</v>
      </c>
      <c r="R7" s="27"/>
      <c r="S7" s="29"/>
      <c r="T7" s="27"/>
      <c r="U7" s="27"/>
    </row>
    <row r="8" spans="1:21" s="21" customFormat="1">
      <c r="A8" s="25"/>
      <c r="B8" s="50" t="s">
        <v>22</v>
      </c>
      <c r="C8" s="50" t="s">
        <v>22</v>
      </c>
      <c r="D8" s="50" t="s">
        <v>22</v>
      </c>
      <c r="E8" s="50" t="s">
        <v>22</v>
      </c>
      <c r="F8" s="50" t="s">
        <v>22</v>
      </c>
      <c r="G8" s="50" t="s">
        <v>23</v>
      </c>
      <c r="H8" s="50" t="s">
        <v>22</v>
      </c>
      <c r="I8" s="50" t="s">
        <v>22</v>
      </c>
      <c r="J8" s="50" t="s">
        <v>24</v>
      </c>
      <c r="K8" s="50" t="s">
        <v>25</v>
      </c>
      <c r="L8" s="25" t="s">
        <v>27</v>
      </c>
      <c r="M8" s="50" t="s">
        <v>26</v>
      </c>
      <c r="N8" s="50" t="s">
        <v>28</v>
      </c>
      <c r="O8" s="25" t="s">
        <v>29</v>
      </c>
      <c r="P8" s="50" t="s">
        <v>22</v>
      </c>
      <c r="Q8" s="50" t="s">
        <v>22</v>
      </c>
      <c r="R8" s="27"/>
      <c r="S8" s="29"/>
      <c r="T8" s="27"/>
      <c r="U8" s="27"/>
    </row>
    <row r="9" spans="1:21" s="11" customFormat="1">
      <c r="A9" s="52" t="s">
        <v>479</v>
      </c>
      <c r="B9" s="53">
        <v>13.05</v>
      </c>
      <c r="C9" s="53">
        <v>65.45</v>
      </c>
      <c r="D9" s="53">
        <v>45.71</v>
      </c>
      <c r="E9" s="53">
        <v>7.06</v>
      </c>
      <c r="F9" s="53">
        <v>5.54</v>
      </c>
      <c r="G9" s="53">
        <v>56.75</v>
      </c>
      <c r="H9" s="53">
        <v>21.58</v>
      </c>
      <c r="I9" s="53">
        <v>6.98</v>
      </c>
      <c r="J9" s="53">
        <v>0.27</v>
      </c>
      <c r="K9" s="53">
        <v>204.22</v>
      </c>
      <c r="L9" s="53">
        <v>28.72</v>
      </c>
      <c r="M9" s="53">
        <v>42.4</v>
      </c>
      <c r="N9" s="53">
        <v>0</v>
      </c>
      <c r="O9" s="53">
        <v>0</v>
      </c>
      <c r="P9" s="53">
        <v>0.8</v>
      </c>
      <c r="Q9" s="53">
        <v>5.45</v>
      </c>
      <c r="R9" s="42"/>
      <c r="S9" s="42"/>
      <c r="T9" s="42"/>
      <c r="U9" s="42"/>
    </row>
    <row r="10" spans="1:21" s="11" customFormat="1">
      <c r="A10" s="52" t="s">
        <v>480</v>
      </c>
      <c r="B10" s="53">
        <v>15.4</v>
      </c>
      <c r="C10" s="53">
        <v>66.959999999999994</v>
      </c>
      <c r="D10" s="53">
        <v>48.68</v>
      </c>
      <c r="E10" s="53">
        <v>6.82</v>
      </c>
      <c r="F10" s="53">
        <v>4.87</v>
      </c>
      <c r="G10" s="53">
        <v>56.75</v>
      </c>
      <c r="H10" s="53">
        <v>21.58</v>
      </c>
      <c r="I10" s="53">
        <v>7.1</v>
      </c>
      <c r="J10" s="53">
        <v>0.23</v>
      </c>
      <c r="K10" s="53">
        <v>175.25</v>
      </c>
      <c r="L10" s="53">
        <v>28.1</v>
      </c>
      <c r="M10" s="53">
        <v>42.68</v>
      </c>
      <c r="N10" s="53">
        <v>0</v>
      </c>
      <c r="O10" s="53">
        <v>0</v>
      </c>
      <c r="P10" s="53">
        <v>0.81</v>
      </c>
      <c r="Q10" s="53">
        <v>5.59</v>
      </c>
      <c r="R10" s="42"/>
      <c r="S10" s="42"/>
      <c r="T10" s="42"/>
      <c r="U10" s="42"/>
    </row>
    <row r="11" spans="1:21" s="11" customFormat="1">
      <c r="A11" s="52" t="s">
        <v>481</v>
      </c>
      <c r="B11" s="53">
        <v>16.75</v>
      </c>
      <c r="C11" s="53">
        <v>67.09</v>
      </c>
      <c r="D11" s="53">
        <v>49.13</v>
      </c>
      <c r="E11" s="53">
        <v>7.1</v>
      </c>
      <c r="F11" s="53">
        <v>4.97</v>
      </c>
      <c r="G11" s="53">
        <v>55.84</v>
      </c>
      <c r="H11" s="53">
        <v>18.88</v>
      </c>
      <c r="I11" s="53">
        <v>7.42</v>
      </c>
      <c r="J11" s="53">
        <v>0.21</v>
      </c>
      <c r="K11" s="53">
        <v>157.04</v>
      </c>
      <c r="L11" s="53">
        <v>27.37</v>
      </c>
      <c r="M11" s="53">
        <v>44.02</v>
      </c>
      <c r="N11" s="53">
        <v>0</v>
      </c>
      <c r="O11" s="53">
        <v>0</v>
      </c>
      <c r="P11" s="53">
        <v>0.82</v>
      </c>
      <c r="Q11" s="53">
        <v>5.6</v>
      </c>
      <c r="R11" s="42"/>
      <c r="S11" s="42"/>
      <c r="T11" s="42"/>
      <c r="U11" s="42"/>
    </row>
    <row r="12" spans="1:21" s="11" customFormat="1">
      <c r="A12" s="52" t="s">
        <v>482</v>
      </c>
      <c r="B12" s="53">
        <v>18.48</v>
      </c>
      <c r="C12" s="53">
        <v>66.83</v>
      </c>
      <c r="D12" s="53">
        <v>50.85</v>
      </c>
      <c r="E12" s="53">
        <v>7</v>
      </c>
      <c r="F12" s="53">
        <v>4.7300000000000004</v>
      </c>
      <c r="G12" s="53">
        <v>56.75</v>
      </c>
      <c r="H12" s="53">
        <v>19.989999999999998</v>
      </c>
      <c r="I12" s="53">
        <v>7.7</v>
      </c>
      <c r="J12" s="53">
        <v>0.28000000000000003</v>
      </c>
      <c r="K12" s="53">
        <v>205.69</v>
      </c>
      <c r="L12" s="53">
        <v>26.26</v>
      </c>
      <c r="M12" s="53">
        <v>48.24</v>
      </c>
      <c r="N12" s="53">
        <v>0</v>
      </c>
      <c r="O12" s="53">
        <v>0</v>
      </c>
      <c r="P12" s="53">
        <v>0.81</v>
      </c>
      <c r="Q12" s="53">
        <v>5.71</v>
      </c>
      <c r="R12" s="42"/>
      <c r="S12" s="42"/>
      <c r="T12" s="42"/>
      <c r="U12" s="42"/>
    </row>
    <row r="13" spans="1:21" s="11" customFormat="1">
      <c r="A13" s="52" t="s">
        <v>483</v>
      </c>
      <c r="B13" s="53">
        <v>18.48</v>
      </c>
      <c r="C13" s="53">
        <v>64.62</v>
      </c>
      <c r="D13" s="53">
        <v>49.55</v>
      </c>
      <c r="E13" s="53">
        <v>6.95</v>
      </c>
      <c r="F13" s="53">
        <v>7.56</v>
      </c>
      <c r="G13" s="53">
        <v>56.75</v>
      </c>
      <c r="H13" s="53">
        <v>19.989999999999998</v>
      </c>
      <c r="I13" s="53">
        <v>7.69</v>
      </c>
      <c r="J13" s="53">
        <v>0.22</v>
      </c>
      <c r="K13" s="53">
        <v>204.08</v>
      </c>
      <c r="L13" s="53">
        <v>26.57</v>
      </c>
      <c r="M13" s="53">
        <v>42.99</v>
      </c>
      <c r="N13" s="53">
        <v>0</v>
      </c>
      <c r="O13" s="53">
        <v>0</v>
      </c>
      <c r="P13" s="53">
        <v>0.81</v>
      </c>
      <c r="Q13" s="53">
        <v>5.7</v>
      </c>
      <c r="R13" s="42"/>
      <c r="S13" s="42"/>
      <c r="T13" s="42"/>
      <c r="U13" s="42"/>
    </row>
    <row r="14" spans="1:21" s="11" customFormat="1">
      <c r="A14" s="52" t="s">
        <v>484</v>
      </c>
      <c r="B14" s="53">
        <v>18.64</v>
      </c>
      <c r="C14" s="53">
        <v>64.63</v>
      </c>
      <c r="D14" s="53">
        <v>50.06</v>
      </c>
      <c r="E14" s="53">
        <v>7.03</v>
      </c>
      <c r="F14" s="53">
        <v>7.34</v>
      </c>
      <c r="G14" s="53">
        <v>54.37</v>
      </c>
      <c r="H14" s="53">
        <v>22.31</v>
      </c>
      <c r="I14" s="53">
        <v>7.7</v>
      </c>
      <c r="J14" s="53">
        <v>0.26</v>
      </c>
      <c r="K14" s="53">
        <v>176.68</v>
      </c>
      <c r="L14" s="53">
        <v>26.34</v>
      </c>
      <c r="M14" s="53">
        <v>42.23</v>
      </c>
      <c r="N14" s="53">
        <v>13.1</v>
      </c>
      <c r="O14" s="53">
        <v>0</v>
      </c>
      <c r="P14" s="53">
        <v>0.81</v>
      </c>
      <c r="Q14" s="53">
        <v>5.72</v>
      </c>
      <c r="R14" s="42"/>
      <c r="S14" s="42"/>
      <c r="T14" s="42"/>
      <c r="U14" s="42"/>
    </row>
    <row r="15" spans="1:21" s="11" customFormat="1">
      <c r="A15" s="52" t="s">
        <v>485</v>
      </c>
      <c r="B15" s="53">
        <v>18.32</v>
      </c>
      <c r="C15" s="53">
        <v>63.96</v>
      </c>
      <c r="D15" s="53">
        <v>49.46</v>
      </c>
      <c r="E15" s="53">
        <v>7.44</v>
      </c>
      <c r="F15" s="53">
        <v>7.71</v>
      </c>
      <c r="G15" s="53">
        <v>54.37</v>
      </c>
      <c r="H15" s="53">
        <v>25.61</v>
      </c>
      <c r="I15" s="53">
        <v>7.68</v>
      </c>
      <c r="J15" s="53">
        <v>0.28000000000000003</v>
      </c>
      <c r="K15" s="53">
        <v>191.98</v>
      </c>
      <c r="L15" s="53">
        <v>27.57</v>
      </c>
      <c r="M15" s="53">
        <v>44.2</v>
      </c>
      <c r="N15" s="53">
        <v>40.4</v>
      </c>
      <c r="O15" s="53">
        <v>0</v>
      </c>
      <c r="P15" s="53">
        <v>0.8</v>
      </c>
      <c r="Q15" s="53">
        <v>5.71</v>
      </c>
      <c r="R15" s="42"/>
      <c r="S15" s="42"/>
      <c r="T15" s="42"/>
      <c r="U15" s="42"/>
    </row>
    <row r="16" spans="1:21" s="11" customFormat="1">
      <c r="A16" s="52" t="s">
        <v>486</v>
      </c>
      <c r="B16" s="53">
        <v>18.190000000000001</v>
      </c>
      <c r="C16" s="53">
        <v>67.56</v>
      </c>
      <c r="D16" s="53">
        <v>51</v>
      </c>
      <c r="E16" s="53">
        <v>6.71</v>
      </c>
      <c r="F16" s="53">
        <v>7.12</v>
      </c>
      <c r="G16" s="53">
        <v>53.31</v>
      </c>
      <c r="H16" s="53">
        <v>26.53</v>
      </c>
      <c r="I16" s="53">
        <v>7.58</v>
      </c>
      <c r="J16" s="53">
        <v>0.55000000000000004</v>
      </c>
      <c r="K16" s="53">
        <v>250.16</v>
      </c>
      <c r="L16" s="53">
        <v>31.21</v>
      </c>
      <c r="M16" s="53">
        <v>42.06</v>
      </c>
      <c r="N16" s="53">
        <v>168.3</v>
      </c>
      <c r="O16" s="53">
        <v>0</v>
      </c>
      <c r="P16" s="53">
        <v>0.85</v>
      </c>
      <c r="Q16" s="53">
        <v>5.74</v>
      </c>
      <c r="R16" s="42"/>
      <c r="S16" s="42"/>
      <c r="T16" s="42"/>
      <c r="U16" s="42"/>
    </row>
    <row r="17" spans="1:21" s="11" customFormat="1">
      <c r="A17" s="52" t="s">
        <v>487</v>
      </c>
      <c r="B17" s="53">
        <v>14.69</v>
      </c>
      <c r="C17" s="53">
        <v>71.819999999999993</v>
      </c>
      <c r="D17" s="53">
        <v>49.04</v>
      </c>
      <c r="E17" s="53">
        <v>7.03</v>
      </c>
      <c r="F17" s="53">
        <v>10.02</v>
      </c>
      <c r="G17" s="53">
        <v>61.54</v>
      </c>
      <c r="H17" s="53">
        <v>27.72</v>
      </c>
      <c r="I17" s="53">
        <v>7.71</v>
      </c>
      <c r="J17" s="53">
        <v>1.03</v>
      </c>
      <c r="K17" s="53">
        <v>280.39999999999998</v>
      </c>
      <c r="L17" s="53">
        <v>34.64</v>
      </c>
      <c r="M17" s="53">
        <v>31.73</v>
      </c>
      <c r="N17" s="53">
        <v>287</v>
      </c>
      <c r="O17" s="53">
        <v>0</v>
      </c>
      <c r="P17" s="53">
        <v>1</v>
      </c>
      <c r="Q17" s="53">
        <v>5.7</v>
      </c>
      <c r="R17" s="42"/>
      <c r="S17" s="42"/>
      <c r="T17" s="42"/>
      <c r="U17" s="42"/>
    </row>
    <row r="18" spans="1:21" s="11" customFormat="1">
      <c r="A18" s="52" t="s">
        <v>488</v>
      </c>
      <c r="B18" s="53">
        <v>10.16</v>
      </c>
      <c r="C18" s="53">
        <v>71.010000000000005</v>
      </c>
      <c r="D18" s="53">
        <v>45.52</v>
      </c>
      <c r="E18" s="53">
        <v>9.1199999999999992</v>
      </c>
      <c r="F18" s="53">
        <v>20.149999999999999</v>
      </c>
      <c r="G18" s="53">
        <v>73.25</v>
      </c>
      <c r="H18" s="53">
        <v>34.479999999999997</v>
      </c>
      <c r="I18" s="53">
        <v>8.4700000000000006</v>
      </c>
      <c r="J18" s="53">
        <v>1.19</v>
      </c>
      <c r="K18" s="53">
        <v>272.20999999999998</v>
      </c>
      <c r="L18" s="53">
        <v>37.47</v>
      </c>
      <c r="M18" s="53">
        <v>27.23</v>
      </c>
      <c r="N18" s="53">
        <v>440.6</v>
      </c>
      <c r="O18" s="53">
        <v>0</v>
      </c>
      <c r="P18" s="53">
        <v>1.03</v>
      </c>
      <c r="Q18" s="53">
        <v>5.57</v>
      </c>
      <c r="R18" s="42"/>
      <c r="S18" s="42"/>
      <c r="T18" s="42"/>
      <c r="U18" s="42"/>
    </row>
    <row r="19" spans="1:21" s="11" customFormat="1">
      <c r="A19" s="52" t="s">
        <v>489</v>
      </c>
      <c r="B19" s="53">
        <v>5.7</v>
      </c>
      <c r="C19" s="53">
        <v>67.36</v>
      </c>
      <c r="D19" s="53">
        <v>40.770000000000003</v>
      </c>
      <c r="E19" s="53">
        <v>8.65</v>
      </c>
      <c r="F19" s="53">
        <v>32.35</v>
      </c>
      <c r="G19" s="53">
        <v>73.25</v>
      </c>
      <c r="H19" s="53">
        <v>34.479999999999997</v>
      </c>
      <c r="I19" s="53">
        <v>8.34</v>
      </c>
      <c r="J19" s="53">
        <v>0.77</v>
      </c>
      <c r="K19" s="53">
        <v>297.92</v>
      </c>
      <c r="L19" s="53">
        <v>39.299999999999997</v>
      </c>
      <c r="M19" s="53">
        <v>20.48</v>
      </c>
      <c r="N19" s="53">
        <v>674.9</v>
      </c>
      <c r="O19" s="53">
        <v>0</v>
      </c>
      <c r="P19" s="53">
        <v>0.99</v>
      </c>
      <c r="Q19" s="53">
        <v>5.26</v>
      </c>
      <c r="R19" s="42"/>
      <c r="S19" s="42"/>
      <c r="T19" s="42"/>
      <c r="U19" s="42"/>
    </row>
    <row r="20" spans="1:21" s="11" customFormat="1">
      <c r="A20" s="52" t="s">
        <v>490</v>
      </c>
      <c r="B20" s="53">
        <v>5.34</v>
      </c>
      <c r="C20" s="53">
        <v>63.89</v>
      </c>
      <c r="D20" s="53">
        <v>38.97</v>
      </c>
      <c r="E20" s="53">
        <v>9.0399999999999991</v>
      </c>
      <c r="F20" s="53">
        <v>37.28</v>
      </c>
      <c r="G20" s="53">
        <v>67.62</v>
      </c>
      <c r="H20" s="53">
        <v>31.46</v>
      </c>
      <c r="I20" s="53">
        <v>7.88</v>
      </c>
      <c r="J20" s="53">
        <v>1.1000000000000001</v>
      </c>
      <c r="K20" s="53">
        <v>337.93</v>
      </c>
      <c r="L20" s="53">
        <v>40.9</v>
      </c>
      <c r="M20" s="53">
        <v>14.26</v>
      </c>
      <c r="N20" s="53">
        <v>746.9</v>
      </c>
      <c r="O20" s="53">
        <v>0</v>
      </c>
      <c r="P20" s="53">
        <v>0.91</v>
      </c>
      <c r="Q20" s="53">
        <v>5.1100000000000003</v>
      </c>
      <c r="R20" s="42"/>
      <c r="S20" s="42"/>
      <c r="T20" s="42"/>
      <c r="U20" s="42"/>
    </row>
    <row r="21" spans="1:21" s="11" customFormat="1">
      <c r="A21" s="52" t="s">
        <v>491</v>
      </c>
      <c r="B21" s="53">
        <v>6.52</v>
      </c>
      <c r="C21" s="53">
        <v>59.82</v>
      </c>
      <c r="D21" s="53">
        <v>37.53</v>
      </c>
      <c r="E21" s="53">
        <v>9.7100000000000009</v>
      </c>
      <c r="F21" s="53">
        <v>43.46</v>
      </c>
      <c r="G21" s="53">
        <v>65.400000000000006</v>
      </c>
      <c r="H21" s="53">
        <v>29.02</v>
      </c>
      <c r="I21" s="53">
        <v>7.31</v>
      </c>
      <c r="J21" s="53">
        <v>1.06</v>
      </c>
      <c r="K21" s="53">
        <v>313.5</v>
      </c>
      <c r="L21" s="53">
        <v>41.8</v>
      </c>
      <c r="M21" s="53">
        <v>10.210000000000001</v>
      </c>
      <c r="N21" s="53">
        <v>741.1</v>
      </c>
      <c r="O21" s="53">
        <v>0</v>
      </c>
      <c r="P21" s="53">
        <v>0.82</v>
      </c>
      <c r="Q21" s="53">
        <v>4.99</v>
      </c>
      <c r="R21" s="42"/>
      <c r="S21" s="42"/>
      <c r="T21" s="42"/>
      <c r="U21" s="42"/>
    </row>
    <row r="22" spans="1:21" s="11" customFormat="1">
      <c r="A22" s="52" t="s">
        <v>492</v>
      </c>
      <c r="B22" s="53">
        <v>6.74</v>
      </c>
      <c r="C22" s="53">
        <v>56.93</v>
      </c>
      <c r="D22" s="53">
        <v>36.04</v>
      </c>
      <c r="E22" s="53">
        <v>9.41</v>
      </c>
      <c r="F22" s="53">
        <v>47.09</v>
      </c>
      <c r="G22" s="53">
        <v>62.45</v>
      </c>
      <c r="H22" s="53">
        <v>26.83</v>
      </c>
      <c r="I22" s="53">
        <v>6.33</v>
      </c>
      <c r="J22" s="53">
        <v>1.01</v>
      </c>
      <c r="K22" s="53">
        <v>300.38</v>
      </c>
      <c r="L22" s="53">
        <v>42.47</v>
      </c>
      <c r="M22" s="53">
        <v>8.9</v>
      </c>
      <c r="N22" s="53">
        <v>693.2</v>
      </c>
      <c r="O22" s="53">
        <v>0</v>
      </c>
      <c r="P22" s="53">
        <v>0.68</v>
      </c>
      <c r="Q22" s="53">
        <v>4.91</v>
      </c>
      <c r="R22" s="42"/>
      <c r="S22" s="42"/>
      <c r="T22" s="42"/>
      <c r="U22" s="42"/>
    </row>
    <row r="23" spans="1:21" s="11" customFormat="1">
      <c r="A23" s="52" t="s">
        <v>493</v>
      </c>
      <c r="B23" s="53">
        <v>5.57</v>
      </c>
      <c r="C23" s="53">
        <v>59.08</v>
      </c>
      <c r="D23" s="53">
        <v>36.520000000000003</v>
      </c>
      <c r="E23" s="53">
        <v>9.25</v>
      </c>
      <c r="F23" s="53">
        <v>50.07</v>
      </c>
      <c r="G23" s="53">
        <v>58.63</v>
      </c>
      <c r="H23" s="53">
        <v>23.24</v>
      </c>
      <c r="I23" s="53">
        <v>6.11</v>
      </c>
      <c r="J23" s="53">
        <v>1.1100000000000001</v>
      </c>
      <c r="K23" s="53">
        <v>311</v>
      </c>
      <c r="L23" s="53">
        <v>42.6</v>
      </c>
      <c r="M23" s="53">
        <v>8.23</v>
      </c>
      <c r="N23" s="53">
        <v>602.5</v>
      </c>
      <c r="O23" s="53">
        <v>0</v>
      </c>
      <c r="P23" s="53">
        <v>0.62</v>
      </c>
      <c r="Q23" s="53">
        <v>4.87</v>
      </c>
      <c r="R23" s="42"/>
      <c r="S23" s="42"/>
      <c r="T23" s="42"/>
      <c r="U23" s="42"/>
    </row>
    <row r="24" spans="1:21" s="11" customFormat="1">
      <c r="A24" s="52" t="s">
        <v>494</v>
      </c>
      <c r="B24" s="53">
        <v>6.15</v>
      </c>
      <c r="C24" s="53">
        <v>57.85</v>
      </c>
      <c r="D24" s="53">
        <v>36.4</v>
      </c>
      <c r="E24" s="53">
        <v>9.16</v>
      </c>
      <c r="F24" s="53">
        <v>58.15</v>
      </c>
      <c r="G24" s="53">
        <v>55.83</v>
      </c>
      <c r="H24" s="53">
        <v>22.07</v>
      </c>
      <c r="I24" s="53">
        <v>5.68</v>
      </c>
      <c r="J24" s="53">
        <v>1.19</v>
      </c>
      <c r="K24" s="53">
        <v>301.94</v>
      </c>
      <c r="L24" s="53">
        <v>42.38</v>
      </c>
      <c r="M24" s="53">
        <v>8.3000000000000007</v>
      </c>
      <c r="N24" s="53">
        <v>524.4</v>
      </c>
      <c r="O24" s="53">
        <v>0</v>
      </c>
      <c r="P24" s="53">
        <v>0.61</v>
      </c>
      <c r="Q24" s="53">
        <v>4.84</v>
      </c>
      <c r="R24" s="42"/>
      <c r="S24" s="42"/>
      <c r="T24" s="42"/>
      <c r="U24" s="42"/>
    </row>
    <row r="25" spans="1:21" s="11" customFormat="1">
      <c r="A25" s="52" t="s">
        <v>495</v>
      </c>
      <c r="B25" s="53">
        <v>6.93</v>
      </c>
      <c r="C25" s="53">
        <v>53.91</v>
      </c>
      <c r="D25" s="53">
        <v>35.07</v>
      </c>
      <c r="E25" s="53">
        <v>9.1999999999999993</v>
      </c>
      <c r="F25" s="53">
        <v>79.52</v>
      </c>
      <c r="G25" s="53">
        <v>48.86</v>
      </c>
      <c r="H25" s="53">
        <v>22.07</v>
      </c>
      <c r="I25" s="53">
        <v>4.46</v>
      </c>
      <c r="J25" s="53">
        <v>0.53</v>
      </c>
      <c r="K25" s="53">
        <v>285.54000000000002</v>
      </c>
      <c r="L25" s="53">
        <v>41.97</v>
      </c>
      <c r="M25" s="53">
        <v>9.64</v>
      </c>
      <c r="N25" s="53">
        <v>291.3</v>
      </c>
      <c r="O25" s="53">
        <v>0</v>
      </c>
      <c r="P25" s="53">
        <v>0.53</v>
      </c>
      <c r="Q25" s="53">
        <v>4.66</v>
      </c>
      <c r="R25" s="42"/>
      <c r="S25" s="42"/>
      <c r="T25" s="42"/>
      <c r="U25" s="42"/>
    </row>
    <row r="26" spans="1:21" s="11" customFormat="1">
      <c r="A26" s="52" t="s">
        <v>496</v>
      </c>
      <c r="B26" s="53">
        <v>4.5</v>
      </c>
      <c r="C26" s="53">
        <v>50.24</v>
      </c>
      <c r="D26" s="53">
        <v>31.11</v>
      </c>
      <c r="E26" s="53">
        <v>9.25</v>
      </c>
      <c r="F26" s="53">
        <v>63.46</v>
      </c>
      <c r="G26" s="53">
        <v>47.61</v>
      </c>
      <c r="H26" s="53">
        <v>20.52</v>
      </c>
      <c r="I26" s="53">
        <v>4.3</v>
      </c>
      <c r="J26" s="53">
        <v>0.27</v>
      </c>
      <c r="K26" s="53">
        <v>209.7</v>
      </c>
      <c r="L26" s="53">
        <v>41.18</v>
      </c>
      <c r="M26" s="53">
        <v>16.25</v>
      </c>
      <c r="N26" s="53">
        <v>97</v>
      </c>
      <c r="O26" s="53">
        <v>0</v>
      </c>
      <c r="P26" s="53">
        <v>0.51</v>
      </c>
      <c r="Q26" s="53">
        <v>4.7</v>
      </c>
      <c r="R26" s="42"/>
      <c r="S26" s="42"/>
      <c r="T26" s="42"/>
      <c r="U26" s="42"/>
    </row>
    <row r="27" spans="1:21" s="11" customFormat="1">
      <c r="A27" s="52" t="s">
        <v>497</v>
      </c>
      <c r="B27" s="53">
        <v>4.79</v>
      </c>
      <c r="C27" s="53">
        <v>54.09</v>
      </c>
      <c r="D27" s="53">
        <v>33.24</v>
      </c>
      <c r="E27" s="53">
        <v>9.83</v>
      </c>
      <c r="F27" s="53">
        <v>44.63</v>
      </c>
      <c r="G27" s="53">
        <v>49.53</v>
      </c>
      <c r="H27" s="53">
        <v>18.170000000000002</v>
      </c>
      <c r="I27" s="53">
        <v>4.92</v>
      </c>
      <c r="J27" s="53">
        <v>0.24</v>
      </c>
      <c r="K27" s="53">
        <v>159.99</v>
      </c>
      <c r="L27" s="53">
        <v>36.659999999999997</v>
      </c>
      <c r="M27" s="53">
        <v>22.12</v>
      </c>
      <c r="N27" s="53">
        <v>0</v>
      </c>
      <c r="O27" s="53">
        <v>0</v>
      </c>
      <c r="P27" s="53">
        <v>0.56000000000000005</v>
      </c>
      <c r="Q27" s="53">
        <v>4.63</v>
      </c>
      <c r="R27" s="42"/>
      <c r="S27" s="42"/>
      <c r="T27" s="42"/>
      <c r="U27" s="42"/>
    </row>
    <row r="28" spans="1:21" s="11" customFormat="1">
      <c r="A28" s="52" t="s">
        <v>498</v>
      </c>
      <c r="B28" s="53">
        <v>5.7</v>
      </c>
      <c r="C28" s="53">
        <v>52.67</v>
      </c>
      <c r="D28" s="53">
        <v>33.43</v>
      </c>
      <c r="E28" s="53">
        <v>9.24</v>
      </c>
      <c r="F28" s="53">
        <v>26.17</v>
      </c>
      <c r="G28" s="53">
        <v>54.46</v>
      </c>
      <c r="H28" s="53">
        <v>18.170000000000002</v>
      </c>
      <c r="I28" s="53">
        <v>5.75</v>
      </c>
      <c r="J28" s="53">
        <v>0.18</v>
      </c>
      <c r="K28" s="53">
        <v>257.13</v>
      </c>
      <c r="L28" s="53">
        <v>33.700000000000003</v>
      </c>
      <c r="M28" s="53">
        <v>25.23</v>
      </c>
      <c r="N28" s="53">
        <v>0</v>
      </c>
      <c r="O28" s="53">
        <v>0</v>
      </c>
      <c r="P28" s="53">
        <v>0.63</v>
      </c>
      <c r="Q28" s="53">
        <v>4.67</v>
      </c>
      <c r="R28" s="42"/>
      <c r="S28" s="42"/>
      <c r="T28" s="42"/>
      <c r="U28" s="42"/>
    </row>
    <row r="29" spans="1:21" s="11" customFormat="1">
      <c r="A29" s="52" t="s">
        <v>499</v>
      </c>
      <c r="B29" s="53">
        <v>6.28</v>
      </c>
      <c r="C29" s="53">
        <v>55.16</v>
      </c>
      <c r="D29" s="53">
        <v>35.1</v>
      </c>
      <c r="E29" s="53">
        <v>8.9600000000000009</v>
      </c>
      <c r="F29" s="53">
        <v>24.01</v>
      </c>
      <c r="G29" s="53">
        <v>56.46</v>
      </c>
      <c r="H29" s="53">
        <v>20.09</v>
      </c>
      <c r="I29" s="53">
        <v>6.02</v>
      </c>
      <c r="J29" s="53">
        <v>0.23</v>
      </c>
      <c r="K29" s="53">
        <v>173.17</v>
      </c>
      <c r="L29" s="53">
        <v>32.79</v>
      </c>
      <c r="M29" s="53">
        <v>29.01</v>
      </c>
      <c r="N29" s="53">
        <v>0</v>
      </c>
      <c r="O29" s="53">
        <v>0</v>
      </c>
      <c r="P29" s="53">
        <v>0.69</v>
      </c>
      <c r="Q29" s="53">
        <v>4.76</v>
      </c>
      <c r="R29" s="42"/>
      <c r="S29" s="42"/>
      <c r="T29" s="42"/>
      <c r="U29" s="42"/>
    </row>
    <row r="30" spans="1:21" s="11" customFormat="1">
      <c r="A30" s="52" t="s">
        <v>500</v>
      </c>
      <c r="B30" s="53">
        <v>6.96</v>
      </c>
      <c r="C30" s="53">
        <v>56.94</v>
      </c>
      <c r="D30" s="53">
        <v>36.68</v>
      </c>
      <c r="E30" s="53">
        <v>8.7899999999999991</v>
      </c>
      <c r="F30" s="53">
        <v>17.46</v>
      </c>
      <c r="G30" s="53">
        <v>56.46</v>
      </c>
      <c r="H30" s="53">
        <v>20.76</v>
      </c>
      <c r="I30" s="53">
        <v>6.21</v>
      </c>
      <c r="J30" s="53">
        <v>0.2</v>
      </c>
      <c r="K30" s="53">
        <v>182.33</v>
      </c>
      <c r="L30" s="53">
        <v>31.33</v>
      </c>
      <c r="M30" s="53">
        <v>31.74</v>
      </c>
      <c r="N30" s="53">
        <v>0</v>
      </c>
      <c r="O30" s="53">
        <v>0</v>
      </c>
      <c r="P30" s="53">
        <v>0.74</v>
      </c>
      <c r="Q30" s="53">
        <v>4.8600000000000003</v>
      </c>
      <c r="R30" s="42"/>
      <c r="S30" s="42"/>
      <c r="T30" s="42"/>
      <c r="U30" s="42"/>
    </row>
    <row r="31" spans="1:21" s="11" customFormat="1">
      <c r="A31" s="52" t="s">
        <v>501</v>
      </c>
      <c r="B31" s="53">
        <v>7.49</v>
      </c>
      <c r="C31" s="53">
        <v>58.39</v>
      </c>
      <c r="D31" s="53">
        <v>37.74</v>
      </c>
      <c r="E31" s="53">
        <v>8.9</v>
      </c>
      <c r="F31" s="53">
        <v>20.13</v>
      </c>
      <c r="G31" s="53">
        <v>56.25</v>
      </c>
      <c r="H31" s="53">
        <v>25.75</v>
      </c>
      <c r="I31" s="53">
        <v>6.41</v>
      </c>
      <c r="J31" s="53">
        <v>0.22</v>
      </c>
      <c r="K31" s="53">
        <v>159.38</v>
      </c>
      <c r="L31" s="53">
        <v>30.48</v>
      </c>
      <c r="M31" s="53">
        <v>35.74</v>
      </c>
      <c r="N31" s="53">
        <v>0</v>
      </c>
      <c r="O31" s="53">
        <v>0</v>
      </c>
      <c r="P31" s="53">
        <v>0.77</v>
      </c>
      <c r="Q31" s="53">
        <v>4.8600000000000003</v>
      </c>
      <c r="R31" s="42"/>
      <c r="S31" s="42"/>
      <c r="T31" s="42"/>
      <c r="U31" s="42"/>
    </row>
    <row r="32" spans="1:21" s="11" customFormat="1">
      <c r="A32" s="52" t="s">
        <v>502</v>
      </c>
      <c r="B32" s="53">
        <v>9.1300000000000008</v>
      </c>
      <c r="C32" s="53">
        <v>59.49</v>
      </c>
      <c r="D32" s="53">
        <v>39.67</v>
      </c>
      <c r="E32" s="53">
        <v>8.69</v>
      </c>
      <c r="F32" s="53">
        <v>13.28</v>
      </c>
      <c r="G32" s="53">
        <v>56.25</v>
      </c>
      <c r="H32" s="53">
        <v>25.75</v>
      </c>
      <c r="I32" s="53">
        <v>6.65</v>
      </c>
      <c r="J32" s="53">
        <v>0.23</v>
      </c>
      <c r="K32" s="53">
        <v>192.4</v>
      </c>
      <c r="L32" s="53">
        <v>29.42</v>
      </c>
      <c r="M32" s="53">
        <v>38.57</v>
      </c>
      <c r="N32" s="53">
        <v>0</v>
      </c>
      <c r="O32" s="53">
        <v>0</v>
      </c>
      <c r="P32" s="53">
        <v>0.78</v>
      </c>
      <c r="Q32" s="53">
        <v>4.96</v>
      </c>
      <c r="R32" s="42"/>
      <c r="S32" s="42"/>
      <c r="T32" s="42"/>
      <c r="U32" s="42"/>
    </row>
    <row r="33" spans="1:21" s="21" customFormat="1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>
      <c r="A34" s="27" t="s">
        <v>30</v>
      </c>
      <c r="B34" s="28">
        <f t="shared" ref="B34:Q34" si="0">MIN(B9:B32)</f>
        <v>4.5</v>
      </c>
      <c r="C34" s="28">
        <f t="shared" si="0"/>
        <v>50.24</v>
      </c>
      <c r="D34" s="28">
        <f t="shared" si="0"/>
        <v>31.11</v>
      </c>
      <c r="E34" s="28">
        <f t="shared" si="0"/>
        <v>6.71</v>
      </c>
      <c r="F34" s="28">
        <f t="shared" si="0"/>
        <v>4.7300000000000004</v>
      </c>
      <c r="G34" s="28">
        <f t="shared" si="0"/>
        <v>47.61</v>
      </c>
      <c r="H34" s="28">
        <f>MIN(H9:H32)</f>
        <v>18.170000000000002</v>
      </c>
      <c r="I34" s="28">
        <f t="shared" si="0"/>
        <v>4.3</v>
      </c>
      <c r="J34" s="28">
        <f t="shared" si="0"/>
        <v>0.18</v>
      </c>
      <c r="K34" s="28">
        <f t="shared" si="0"/>
        <v>157.04</v>
      </c>
      <c r="L34" s="28">
        <f t="shared" si="0"/>
        <v>26.26</v>
      </c>
      <c r="M34" s="28">
        <f t="shared" si="0"/>
        <v>8.23</v>
      </c>
      <c r="N34" s="28">
        <f t="shared" si="0"/>
        <v>0</v>
      </c>
      <c r="O34" s="28">
        <f t="shared" si="0"/>
        <v>0</v>
      </c>
      <c r="P34" s="28">
        <f t="shared" si="0"/>
        <v>0.51</v>
      </c>
      <c r="Q34" s="28">
        <f t="shared" si="0"/>
        <v>4.63</v>
      </c>
      <c r="R34" s="28"/>
      <c r="S34" s="28"/>
      <c r="T34" s="28"/>
      <c r="U34" s="28"/>
    </row>
    <row r="35" spans="1:21" s="21" customFormat="1">
      <c r="A35" s="27" t="s">
        <v>31</v>
      </c>
      <c r="B35" s="29">
        <f t="shared" ref="B35:Q35" si="1">MAX(B9:B32)</f>
        <v>18.64</v>
      </c>
      <c r="C35" s="29">
        <f t="shared" si="1"/>
        <v>71.819999999999993</v>
      </c>
      <c r="D35" s="29">
        <f t="shared" si="1"/>
        <v>51</v>
      </c>
      <c r="E35" s="29">
        <f t="shared" si="1"/>
        <v>9.83</v>
      </c>
      <c r="F35" s="29">
        <f t="shared" si="1"/>
        <v>79.52</v>
      </c>
      <c r="G35" s="29">
        <f>MAX(G9:G32)</f>
        <v>73.25</v>
      </c>
      <c r="H35" s="29">
        <f>MAX(H9:H32)</f>
        <v>34.479999999999997</v>
      </c>
      <c r="I35" s="29">
        <f t="shared" si="1"/>
        <v>8.4700000000000006</v>
      </c>
      <c r="J35" s="29">
        <f t="shared" si="1"/>
        <v>1.19</v>
      </c>
      <c r="K35" s="29">
        <f t="shared" si="1"/>
        <v>337.93</v>
      </c>
      <c r="L35" s="29">
        <f t="shared" si="1"/>
        <v>42.6</v>
      </c>
      <c r="M35" s="29">
        <f t="shared" si="1"/>
        <v>48.24</v>
      </c>
      <c r="N35" s="29">
        <f t="shared" si="1"/>
        <v>746.9</v>
      </c>
      <c r="O35" s="29">
        <f t="shared" si="1"/>
        <v>0</v>
      </c>
      <c r="P35" s="29">
        <f t="shared" si="1"/>
        <v>1.03</v>
      </c>
      <c r="Q35" s="29">
        <f t="shared" si="1"/>
        <v>5.74</v>
      </c>
      <c r="R35" s="29"/>
      <c r="S35" s="29"/>
      <c r="T35" s="29"/>
      <c r="U35" s="29"/>
    </row>
    <row r="36" spans="1:21" s="21" customFormat="1">
      <c r="A36" s="27" t="s">
        <v>32</v>
      </c>
      <c r="B36" s="28">
        <f t="shared" ref="B36:Q36" si="2">AVERAGE(B9:B32)</f>
        <v>10.415000000000001</v>
      </c>
      <c r="C36" s="28">
        <f t="shared" si="2"/>
        <v>61.489583333333343</v>
      </c>
      <c r="D36" s="28">
        <f t="shared" si="2"/>
        <v>41.552916666666661</v>
      </c>
      <c r="E36" s="28">
        <f t="shared" si="2"/>
        <v>8.3475000000000019</v>
      </c>
      <c r="F36" s="28">
        <f t="shared" si="2"/>
        <v>26.544583333333332</v>
      </c>
      <c r="G36" s="28">
        <f t="shared" si="2"/>
        <v>57.864166666666677</v>
      </c>
      <c r="H36" s="28">
        <f>AVERAGE(H9:H32)</f>
        <v>24.043749999999999</v>
      </c>
      <c r="I36" s="28">
        <f t="shared" si="2"/>
        <v>6.7666666666666666</v>
      </c>
      <c r="J36" s="28">
        <f t="shared" si="2"/>
        <v>0.53583333333333327</v>
      </c>
      <c r="K36" s="28">
        <f t="shared" si="2"/>
        <v>233.33416666666665</v>
      </c>
      <c r="L36" s="28">
        <f t="shared" si="2"/>
        <v>34.217916666666667</v>
      </c>
      <c r="M36" s="28">
        <f t="shared" si="2"/>
        <v>28.602500000000003</v>
      </c>
      <c r="N36" s="28">
        <f t="shared" si="2"/>
        <v>221.69583333333333</v>
      </c>
      <c r="O36" s="28">
        <f t="shared" si="2"/>
        <v>0</v>
      </c>
      <c r="P36" s="28">
        <f t="shared" si="2"/>
        <v>0.76583333333333325</v>
      </c>
      <c r="Q36" s="28">
        <f t="shared" si="2"/>
        <v>5.1904166666666667</v>
      </c>
      <c r="R36" s="28"/>
      <c r="S36" s="28"/>
      <c r="T36" s="28"/>
      <c r="U36" s="28"/>
    </row>
    <row r="37" spans="1:21" s="21" customFormat="1">
      <c r="A37" s="27" t="s">
        <v>38</v>
      </c>
      <c r="B37" s="28">
        <f>STDEV(B9:B32)</f>
        <v>5.3953248683265267</v>
      </c>
      <c r="C37" s="28">
        <f t="shared" ref="C37:Q37" si="3">STDEV(C9:C32)</f>
        <v>6.0405495568924534</v>
      </c>
      <c r="D37" s="28">
        <f t="shared" si="3"/>
        <v>6.747603425865691</v>
      </c>
      <c r="E37" s="28">
        <f t="shared" si="3"/>
        <v>1.0924533618539878</v>
      </c>
      <c r="F37" s="28">
        <f t="shared" si="3"/>
        <v>21.709062419256824</v>
      </c>
      <c r="G37" s="28">
        <f t="shared" si="3"/>
        <v>6.5783716213364549</v>
      </c>
      <c r="H37" s="28">
        <f>STDEV(H9:H32)</f>
        <v>4.774374361471696</v>
      </c>
      <c r="I37" s="28">
        <f t="shared" si="3"/>
        <v>1.1634867636872226</v>
      </c>
      <c r="J37" s="28">
        <f t="shared" si="3"/>
        <v>0.39365529686976558</v>
      </c>
      <c r="K37" s="28">
        <f t="shared" si="3"/>
        <v>58.961806939206419</v>
      </c>
      <c r="L37" s="28">
        <f t="shared" si="3"/>
        <v>6.1060810595501298</v>
      </c>
      <c r="M37" s="28">
        <f t="shared" si="3"/>
        <v>13.818521361154943</v>
      </c>
      <c r="N37" s="28">
        <f t="shared" si="3"/>
        <v>287.60029400596733</v>
      </c>
      <c r="O37" s="28">
        <f t="shared" si="3"/>
        <v>0</v>
      </c>
      <c r="P37" s="28">
        <f t="shared" si="3"/>
        <v>0.14144953522190457</v>
      </c>
      <c r="Q37" s="28">
        <f t="shared" si="3"/>
        <v>0.42219384757185718</v>
      </c>
      <c r="R37" s="28"/>
      <c r="S37" s="28"/>
      <c r="T37" s="28"/>
      <c r="U37" s="28"/>
    </row>
    <row r="38" spans="1:21" s="21" customFormat="1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>COUNT(F9:F32)</f>
        <v>24</v>
      </c>
      <c r="G38" s="32">
        <f>COUNT(G9:G32)</f>
        <v>24</v>
      </c>
      <c r="H38" s="32">
        <f>COUNT(H9:H32)</f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>
      <c r="A42" s="13"/>
    </row>
    <row r="43" spans="1:21" s="21" customFormat="1">
      <c r="A43" s="14" t="s">
        <v>35</v>
      </c>
      <c r="B43" s="39" t="s">
        <v>58</v>
      </c>
      <c r="C43" s="41"/>
    </row>
    <row r="44" spans="1:21" s="21" customFormat="1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0"/>
      <c r="C45" s="40"/>
      <c r="D45" s="40"/>
      <c r="E45" s="40"/>
      <c r="F45" s="40"/>
      <c r="G45" s="40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</row>
    <row r="46" spans="1:21" s="21" customFormat="1"/>
    <row r="47" spans="1:21" s="21" customFormat="1"/>
    <row r="48" spans="1:21" s="21" customFormat="1"/>
    <row r="49" s="21" customFormat="1"/>
    <row r="50" s="21" customFormat="1"/>
    <row r="51" s="21" customFormat="1"/>
    <row r="52" s="21" customFormat="1"/>
    <row r="53" s="21" customFormat="1"/>
    <row r="54" s="21" customFormat="1"/>
    <row r="55" s="21" customFormat="1"/>
    <row r="56" s="21" customFormat="1"/>
    <row r="57" s="21" customFormat="1"/>
    <row r="58" s="21" customFormat="1"/>
    <row r="59" s="21" customFormat="1"/>
    <row r="60" s="21" customFormat="1"/>
    <row r="61" s="21" customFormat="1"/>
    <row r="62" s="21" customFormat="1"/>
    <row r="63" s="21" customFormat="1"/>
    <row r="64" s="21" customFormat="1"/>
    <row r="65" s="21" customFormat="1"/>
    <row r="66" s="21" customFormat="1"/>
    <row r="67" s="21" customFormat="1"/>
    <row r="68" s="21" customFormat="1"/>
    <row r="69" s="21" customFormat="1"/>
    <row r="70" s="21" customFormat="1"/>
    <row r="71" s="21" customFormat="1"/>
    <row r="72" s="21" customFormat="1"/>
    <row r="73" s="21" customFormat="1"/>
    <row r="74" s="21" customFormat="1"/>
    <row r="75" s="21" customFormat="1"/>
    <row r="76" s="21" customFormat="1"/>
    <row r="77" s="21" customFormat="1"/>
    <row r="78" s="21" customFormat="1"/>
    <row r="79" s="21" customFormat="1"/>
    <row r="80" s="21" customFormat="1"/>
    <row r="81" s="21" customFormat="1"/>
    <row r="82" s="21" customFormat="1"/>
    <row r="83" s="21" customFormat="1"/>
    <row r="84" s="21" customFormat="1"/>
    <row r="85" s="21" customFormat="1"/>
    <row r="86" s="21" customFormat="1"/>
    <row r="87" s="21" customFormat="1"/>
    <row r="88" s="21" customFormat="1"/>
    <row r="89" s="21" customFormat="1"/>
    <row r="90" s="21" customFormat="1"/>
    <row r="91" s="21" customFormat="1"/>
    <row r="92" s="21" customFormat="1"/>
    <row r="93" s="21" customFormat="1"/>
    <row r="94" s="21" customFormat="1"/>
    <row r="95" s="21" customFormat="1"/>
    <row r="96" s="21" customFormat="1"/>
    <row r="97" spans="1:1" s="21" customFormat="1"/>
    <row r="98" spans="1:1" s="21" customFormat="1"/>
    <row r="99" spans="1:1" s="21" customFormat="1"/>
    <row r="100" spans="1:1" s="21" customFormat="1"/>
    <row r="101" spans="1:1" s="21" customFormat="1"/>
    <row r="102" spans="1:1" s="21" customFormat="1"/>
    <row r="103" spans="1:1" s="21" customFormat="1"/>
    <row r="104" spans="1:1" s="21" customFormat="1"/>
    <row r="105" spans="1:1" s="21" customFormat="1"/>
    <row r="106" spans="1:1">
      <c r="A106" s="20"/>
    </row>
    <row r="107" spans="1:1" s="21" customFormat="1"/>
    <row r="108" spans="1:1" s="21" customFormat="1"/>
    <row r="109" spans="1:1" s="21" customFormat="1"/>
    <row r="110" spans="1:1" s="21" customFormat="1"/>
    <row r="111" spans="1:1" s="21" customFormat="1"/>
    <row r="112" spans="1:1" s="21" customFormat="1"/>
    <row r="113" spans="1:1" s="21" customFormat="1"/>
    <row r="114" spans="1:1" s="21" customFormat="1"/>
    <row r="115" spans="1:1" s="21" customFormat="1"/>
    <row r="116" spans="1:1" s="21" customFormat="1"/>
    <row r="117" spans="1:1" s="21" customFormat="1"/>
    <row r="118" spans="1:1">
      <c r="A118" s="20"/>
    </row>
    <row r="119" spans="1:1">
      <c r="A119" s="20"/>
    </row>
  </sheetData>
  <pageMargins left="0.7" right="0.7" top="0.75" bottom="0.75" header="0.3" footer="0.3"/>
  <pageSetup paperSize="9" orientation="portrait" horizontalDpi="300" verticalDpi="300" r:id="rId1"/>
</worksheet>
</file>

<file path=xl/worksheets/sheet19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1" ySplit="8" topLeftCell="B27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G22" sqref="G22"/>
    </sheetView>
  </sheetViews>
  <sheetFormatPr defaultColWidth="8.85546875" defaultRowHeight="1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>
      <c r="A1" s="14" t="s">
        <v>2</v>
      </c>
      <c r="B1" s="23" t="s">
        <v>55</v>
      </c>
      <c r="C1" s="36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>
      <c r="A2" s="14" t="s">
        <v>0</v>
      </c>
      <c r="B2" s="37" t="str">
        <f>$A$9</f>
        <v>19/04/2023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8" t="s">
        <v>7</v>
      </c>
      <c r="Q2" s="12"/>
      <c r="R2" s="8" t="s">
        <v>8</v>
      </c>
      <c r="S2" s="11"/>
      <c r="T2" s="11"/>
      <c r="U2" s="11"/>
    </row>
    <row r="3" spans="1:21" s="21" customFormat="1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8" t="s">
        <v>15</v>
      </c>
      <c r="Q3" s="12"/>
      <c r="R3" s="9" t="s">
        <v>15</v>
      </c>
      <c r="S3" s="11"/>
      <c r="T3" s="11"/>
      <c r="U3" s="11"/>
    </row>
    <row r="4" spans="1:21" s="21" customFormat="1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>
      <c r="A7" s="25" t="s">
        <v>21</v>
      </c>
      <c r="B7" s="48" t="s">
        <v>40</v>
      </c>
      <c r="C7" s="49" t="s">
        <v>41</v>
      </c>
      <c r="D7" s="49" t="s">
        <v>42</v>
      </c>
      <c r="E7" s="49" t="s">
        <v>43</v>
      </c>
      <c r="F7" s="49" t="s">
        <v>44</v>
      </c>
      <c r="G7" s="49" t="s">
        <v>45</v>
      </c>
      <c r="H7" s="49" t="s">
        <v>56</v>
      </c>
      <c r="I7" s="49" t="s">
        <v>46</v>
      </c>
      <c r="J7" s="49" t="s">
        <v>47</v>
      </c>
      <c r="K7" s="49" t="s">
        <v>48</v>
      </c>
      <c r="L7" s="49" t="s">
        <v>49</v>
      </c>
      <c r="M7" s="49" t="s">
        <v>50</v>
      </c>
      <c r="N7" s="49" t="s">
        <v>51</v>
      </c>
      <c r="O7" s="49" t="s">
        <v>52</v>
      </c>
      <c r="P7" s="49" t="s">
        <v>53</v>
      </c>
      <c r="Q7" s="49" t="s">
        <v>54</v>
      </c>
      <c r="R7" s="27"/>
      <c r="S7" s="29"/>
      <c r="T7" s="27"/>
      <c r="U7" s="27"/>
    </row>
    <row r="8" spans="1:21" s="21" customFormat="1">
      <c r="A8" s="25"/>
      <c r="B8" s="50" t="s">
        <v>22</v>
      </c>
      <c r="C8" s="50" t="s">
        <v>22</v>
      </c>
      <c r="D8" s="50" t="s">
        <v>22</v>
      </c>
      <c r="E8" s="50" t="s">
        <v>22</v>
      </c>
      <c r="F8" s="50" t="s">
        <v>22</v>
      </c>
      <c r="G8" s="50" t="s">
        <v>23</v>
      </c>
      <c r="H8" s="50" t="s">
        <v>22</v>
      </c>
      <c r="I8" s="50" t="s">
        <v>22</v>
      </c>
      <c r="J8" s="50" t="s">
        <v>24</v>
      </c>
      <c r="K8" s="50" t="s">
        <v>25</v>
      </c>
      <c r="L8" s="25" t="s">
        <v>27</v>
      </c>
      <c r="M8" s="50" t="s">
        <v>26</v>
      </c>
      <c r="N8" s="50" t="s">
        <v>28</v>
      </c>
      <c r="O8" s="25" t="s">
        <v>29</v>
      </c>
      <c r="P8" s="50" t="s">
        <v>22</v>
      </c>
      <c r="Q8" s="50" t="s">
        <v>22</v>
      </c>
      <c r="R8" s="27"/>
      <c r="S8" s="29"/>
      <c r="T8" s="27"/>
      <c r="U8" s="27"/>
    </row>
    <row r="9" spans="1:21" s="11" customFormat="1">
      <c r="A9" s="55" t="s">
        <v>503</v>
      </c>
      <c r="B9" s="56">
        <v>9.93</v>
      </c>
      <c r="C9" s="56">
        <v>58.6</v>
      </c>
      <c r="D9" s="56">
        <v>39.82</v>
      </c>
      <c r="E9" s="56">
        <v>10.25</v>
      </c>
      <c r="F9" s="56">
        <v>12.45</v>
      </c>
      <c r="G9" s="56">
        <v>56.89</v>
      </c>
      <c r="H9" s="56">
        <v>22.7</v>
      </c>
      <c r="I9" s="56">
        <v>6.74</v>
      </c>
      <c r="J9" s="56">
        <v>0.19</v>
      </c>
      <c r="K9" s="56">
        <v>174.72</v>
      </c>
      <c r="L9" s="56">
        <v>28.38</v>
      </c>
      <c r="M9" s="56">
        <v>40.42</v>
      </c>
      <c r="N9" s="56">
        <v>0</v>
      </c>
      <c r="O9" s="56">
        <v>0</v>
      </c>
      <c r="P9" s="56">
        <v>0.79</v>
      </c>
      <c r="Q9" s="56">
        <v>5.07</v>
      </c>
      <c r="R9" s="42"/>
      <c r="S9" s="42"/>
      <c r="T9" s="42"/>
      <c r="U9" s="42"/>
    </row>
    <row r="10" spans="1:21" s="11" customFormat="1">
      <c r="A10" s="57">
        <v>45035.083333333336</v>
      </c>
      <c r="B10" s="56">
        <v>13.6</v>
      </c>
      <c r="C10" s="56">
        <v>60.01</v>
      </c>
      <c r="D10" s="56">
        <v>43.61</v>
      </c>
      <c r="E10" s="56">
        <v>10.199999999999999</v>
      </c>
      <c r="F10" s="56">
        <v>15.72</v>
      </c>
      <c r="G10" s="56">
        <v>58.95</v>
      </c>
      <c r="H10" s="56">
        <v>22.5</v>
      </c>
      <c r="I10" s="56">
        <v>7.11</v>
      </c>
      <c r="J10" s="56">
        <v>0.27</v>
      </c>
      <c r="K10" s="56">
        <v>201.49</v>
      </c>
      <c r="L10" s="56">
        <v>28.41</v>
      </c>
      <c r="M10" s="56">
        <v>37.950000000000003</v>
      </c>
      <c r="N10" s="56">
        <v>0</v>
      </c>
      <c r="O10" s="56">
        <v>0</v>
      </c>
      <c r="P10" s="56">
        <v>0.82</v>
      </c>
      <c r="Q10" s="56">
        <v>5.23</v>
      </c>
      <c r="R10" s="42"/>
      <c r="S10" s="42"/>
      <c r="T10" s="42"/>
      <c r="U10" s="42"/>
    </row>
    <row r="11" spans="1:21" s="11" customFormat="1">
      <c r="A11" s="55" t="s">
        <v>504</v>
      </c>
      <c r="B11" s="56">
        <v>13.74</v>
      </c>
      <c r="C11" s="56">
        <v>67.81</v>
      </c>
      <c r="D11" s="56">
        <v>47.8</v>
      </c>
      <c r="E11" s="56">
        <v>10.59</v>
      </c>
      <c r="F11" s="56">
        <v>10.68</v>
      </c>
      <c r="G11" s="56">
        <v>58.95</v>
      </c>
      <c r="H11" s="56">
        <v>21.59</v>
      </c>
      <c r="I11" s="56">
        <v>7.48</v>
      </c>
      <c r="J11" s="56">
        <v>0.32</v>
      </c>
      <c r="K11" s="56">
        <v>202.09</v>
      </c>
      <c r="L11" s="56">
        <v>28.78</v>
      </c>
      <c r="M11" s="56">
        <v>40.090000000000003</v>
      </c>
      <c r="N11" s="56">
        <v>0</v>
      </c>
      <c r="O11" s="56">
        <v>0</v>
      </c>
      <c r="P11" s="56">
        <v>0.83</v>
      </c>
      <c r="Q11" s="56">
        <v>5.29</v>
      </c>
      <c r="R11" s="42"/>
      <c r="S11" s="42"/>
      <c r="T11" s="42"/>
      <c r="U11" s="42"/>
    </row>
    <row r="12" spans="1:21" s="11" customFormat="1">
      <c r="A12" s="55" t="s">
        <v>505</v>
      </c>
      <c r="B12" s="56">
        <v>14.73</v>
      </c>
      <c r="C12" s="56">
        <v>69.430000000000007</v>
      </c>
      <c r="D12" s="56">
        <v>49.44</v>
      </c>
      <c r="E12" s="56">
        <v>11.44</v>
      </c>
      <c r="F12" s="56">
        <v>4.5999999999999996</v>
      </c>
      <c r="G12" s="56">
        <v>58.39</v>
      </c>
      <c r="H12" s="56">
        <v>22.24</v>
      </c>
      <c r="I12" s="56">
        <v>7.77</v>
      </c>
      <c r="J12" s="56">
        <v>0.34</v>
      </c>
      <c r="K12" s="56">
        <v>158.34</v>
      </c>
      <c r="L12" s="56">
        <v>27.4</v>
      </c>
      <c r="M12" s="56">
        <v>41.44</v>
      </c>
      <c r="N12" s="56">
        <v>0</v>
      </c>
      <c r="O12" s="56">
        <v>0</v>
      </c>
      <c r="P12" s="56">
        <v>0.87</v>
      </c>
      <c r="Q12" s="56">
        <v>5.53</v>
      </c>
      <c r="R12" s="42"/>
      <c r="S12" s="42"/>
      <c r="T12" s="42"/>
      <c r="U12" s="42"/>
    </row>
    <row r="13" spans="1:21" s="11" customFormat="1">
      <c r="A13" s="55" t="s">
        <v>506</v>
      </c>
      <c r="B13" s="56">
        <v>15.4</v>
      </c>
      <c r="C13" s="56">
        <v>69.84</v>
      </c>
      <c r="D13" s="56">
        <v>50.19</v>
      </c>
      <c r="E13" s="56">
        <v>11.3</v>
      </c>
      <c r="F13" s="56">
        <v>4.79</v>
      </c>
      <c r="G13" s="56">
        <v>57.92</v>
      </c>
      <c r="H13" s="56">
        <v>22.24</v>
      </c>
      <c r="I13" s="56">
        <v>8.1300000000000008</v>
      </c>
      <c r="J13" s="56">
        <v>0.64</v>
      </c>
      <c r="K13" s="56">
        <v>238.99</v>
      </c>
      <c r="L13" s="56">
        <v>27.75</v>
      </c>
      <c r="M13" s="56">
        <v>43.48</v>
      </c>
      <c r="N13" s="56">
        <v>0</v>
      </c>
      <c r="O13" s="56">
        <v>0</v>
      </c>
      <c r="P13" s="56">
        <v>0.89</v>
      </c>
      <c r="Q13" s="56">
        <v>5.59</v>
      </c>
      <c r="R13" s="42"/>
      <c r="S13" s="42"/>
      <c r="T13" s="42"/>
      <c r="U13" s="42"/>
    </row>
    <row r="14" spans="1:21" s="11" customFormat="1">
      <c r="A14" s="55" t="s">
        <v>507</v>
      </c>
      <c r="B14" s="56">
        <v>15.44</v>
      </c>
      <c r="C14" s="56">
        <v>69.39</v>
      </c>
      <c r="D14" s="56">
        <v>49.85</v>
      </c>
      <c r="E14" s="56">
        <v>12.33</v>
      </c>
      <c r="F14" s="56">
        <v>5.35</v>
      </c>
      <c r="G14" s="56">
        <v>62.31</v>
      </c>
      <c r="H14" s="56">
        <v>26.93</v>
      </c>
      <c r="I14" s="56">
        <v>9.2799999999999994</v>
      </c>
      <c r="J14" s="56">
        <v>1.41</v>
      </c>
      <c r="K14" s="56">
        <v>286.38</v>
      </c>
      <c r="L14" s="56">
        <v>30.17</v>
      </c>
      <c r="M14" s="56">
        <v>34.44</v>
      </c>
      <c r="N14" s="56">
        <v>3</v>
      </c>
      <c r="O14" s="56">
        <v>0</v>
      </c>
      <c r="P14" s="56">
        <v>0.97</v>
      </c>
      <c r="Q14" s="56">
        <v>5.59</v>
      </c>
      <c r="R14" s="42"/>
      <c r="S14" s="42"/>
      <c r="T14" s="42"/>
      <c r="U14" s="42"/>
    </row>
    <row r="15" spans="1:21" s="11" customFormat="1">
      <c r="A15" s="55" t="s">
        <v>508</v>
      </c>
      <c r="B15" s="56">
        <v>15.81</v>
      </c>
      <c r="C15" s="56">
        <v>69.66</v>
      </c>
      <c r="D15" s="56">
        <v>50.35</v>
      </c>
      <c r="E15" s="56">
        <v>15.03</v>
      </c>
      <c r="F15" s="56">
        <v>5.93</v>
      </c>
      <c r="G15" s="56">
        <v>72.5</v>
      </c>
      <c r="H15" s="56">
        <v>28.89</v>
      </c>
      <c r="I15" s="56">
        <v>9.3000000000000007</v>
      </c>
      <c r="J15" s="56">
        <v>1.42</v>
      </c>
      <c r="K15" s="56">
        <v>290.99</v>
      </c>
      <c r="L15" s="56">
        <v>30.98</v>
      </c>
      <c r="M15" s="56">
        <v>25.74</v>
      </c>
      <c r="N15" s="56">
        <v>55.7</v>
      </c>
      <c r="O15" s="56">
        <v>0</v>
      </c>
      <c r="P15" s="56">
        <v>1</v>
      </c>
      <c r="Q15" s="56">
        <v>5.64</v>
      </c>
      <c r="R15" s="42"/>
      <c r="S15" s="42"/>
      <c r="T15" s="42"/>
      <c r="U15" s="42"/>
    </row>
    <row r="16" spans="1:21" s="11" customFormat="1">
      <c r="A16" s="55" t="s">
        <v>509</v>
      </c>
      <c r="B16" s="56">
        <v>16.05</v>
      </c>
      <c r="C16" s="56">
        <v>70.92</v>
      </c>
      <c r="D16" s="56">
        <v>51.25</v>
      </c>
      <c r="E16" s="56">
        <v>12.82</v>
      </c>
      <c r="F16" s="56">
        <v>12.01</v>
      </c>
      <c r="G16" s="56">
        <v>86.71</v>
      </c>
      <c r="H16" s="56">
        <v>37.119999999999997</v>
      </c>
      <c r="I16" s="56">
        <v>9.23</v>
      </c>
      <c r="J16" s="56">
        <v>1.24</v>
      </c>
      <c r="K16" s="56">
        <v>321.47000000000003</v>
      </c>
      <c r="L16" s="56">
        <v>33.549999999999997</v>
      </c>
      <c r="M16" s="56">
        <v>24.38</v>
      </c>
      <c r="N16" s="56">
        <v>169.1</v>
      </c>
      <c r="O16" s="56">
        <v>0</v>
      </c>
      <c r="P16" s="56">
        <v>1.04</v>
      </c>
      <c r="Q16" s="56">
        <v>5.72</v>
      </c>
      <c r="R16" s="42"/>
      <c r="S16" s="42"/>
      <c r="T16" s="42"/>
      <c r="U16" s="42"/>
    </row>
    <row r="17" spans="1:21" s="11" customFormat="1">
      <c r="A17" s="55" t="s">
        <v>510</v>
      </c>
      <c r="B17" s="56">
        <v>14.8</v>
      </c>
      <c r="C17" s="56">
        <v>66.41</v>
      </c>
      <c r="D17" s="56">
        <v>47.92</v>
      </c>
      <c r="E17" s="56">
        <v>11.33</v>
      </c>
      <c r="F17" s="56">
        <v>23.52</v>
      </c>
      <c r="G17" s="56">
        <v>94.75</v>
      </c>
      <c r="H17" s="56">
        <v>38.26</v>
      </c>
      <c r="I17" s="56">
        <v>9.11</v>
      </c>
      <c r="J17" s="56">
        <v>1.33</v>
      </c>
      <c r="K17" s="56">
        <v>351.08</v>
      </c>
      <c r="L17" s="56">
        <v>36.51</v>
      </c>
      <c r="M17" s="56">
        <v>20.73</v>
      </c>
      <c r="N17" s="56">
        <v>327.10000000000002</v>
      </c>
      <c r="O17" s="56">
        <v>0</v>
      </c>
      <c r="P17" s="56">
        <v>1.01</v>
      </c>
      <c r="Q17" s="56">
        <v>5.68</v>
      </c>
      <c r="R17" s="42"/>
      <c r="S17" s="42"/>
      <c r="T17" s="42"/>
      <c r="U17" s="42"/>
    </row>
    <row r="18" spans="1:21" s="11" customFormat="1">
      <c r="A18" s="55" t="s">
        <v>511</v>
      </c>
      <c r="B18" s="56">
        <v>11.67</v>
      </c>
      <c r="C18" s="56">
        <v>64.209999999999994</v>
      </c>
      <c r="D18" s="56">
        <v>43.21</v>
      </c>
      <c r="E18" s="56">
        <v>10.24</v>
      </c>
      <c r="F18" s="56">
        <v>24.42</v>
      </c>
      <c r="G18" s="56">
        <v>94.75</v>
      </c>
      <c r="H18" s="56">
        <v>38.26</v>
      </c>
      <c r="I18" s="56">
        <v>8.3699999999999992</v>
      </c>
      <c r="J18" s="56">
        <v>1.4</v>
      </c>
      <c r="K18" s="56">
        <v>344.39</v>
      </c>
      <c r="L18" s="56">
        <v>38.6</v>
      </c>
      <c r="M18" s="56">
        <v>16.88</v>
      </c>
      <c r="N18" s="56">
        <v>433.8</v>
      </c>
      <c r="O18" s="56">
        <v>0</v>
      </c>
      <c r="P18" s="56">
        <v>0.93</v>
      </c>
      <c r="Q18" s="56">
        <v>5.42</v>
      </c>
      <c r="R18" s="42"/>
      <c r="S18" s="42"/>
      <c r="T18" s="42"/>
      <c r="U18" s="42"/>
    </row>
    <row r="19" spans="1:21" s="11" customFormat="1">
      <c r="A19" s="55" t="s">
        <v>512</v>
      </c>
      <c r="B19" s="56">
        <v>9.1</v>
      </c>
      <c r="C19" s="56">
        <v>62.95</v>
      </c>
      <c r="D19" s="56">
        <v>41.5</v>
      </c>
      <c r="E19" s="56">
        <v>9.9700000000000006</v>
      </c>
      <c r="F19" s="56">
        <v>24.77</v>
      </c>
      <c r="G19" s="56">
        <v>88.05</v>
      </c>
      <c r="H19" s="56">
        <v>36.94</v>
      </c>
      <c r="I19" s="56">
        <v>7.76</v>
      </c>
      <c r="J19" s="56">
        <v>2.0299999999999998</v>
      </c>
      <c r="K19" s="56">
        <v>329.85</v>
      </c>
      <c r="L19" s="56">
        <v>39.75</v>
      </c>
      <c r="M19" s="56">
        <v>12.67</v>
      </c>
      <c r="N19" s="56">
        <v>653.20000000000005</v>
      </c>
      <c r="O19" s="56">
        <v>0</v>
      </c>
      <c r="P19" s="56">
        <v>0.87</v>
      </c>
      <c r="Q19" s="56">
        <v>5.2</v>
      </c>
      <c r="R19" s="42"/>
      <c r="S19" s="42"/>
      <c r="T19" s="42"/>
      <c r="U19" s="42"/>
    </row>
    <row r="20" spans="1:21" s="11" customFormat="1">
      <c r="A20" s="55" t="s">
        <v>513</v>
      </c>
      <c r="B20" s="56">
        <v>7.35</v>
      </c>
      <c r="C20" s="56">
        <v>61.16</v>
      </c>
      <c r="D20" s="56">
        <v>38.92</v>
      </c>
      <c r="E20" s="56">
        <v>10.6</v>
      </c>
      <c r="F20" s="56">
        <v>44.88</v>
      </c>
      <c r="G20" s="56">
        <v>79.040000000000006</v>
      </c>
      <c r="H20" s="56">
        <v>30.41</v>
      </c>
      <c r="I20" s="56">
        <v>7.38</v>
      </c>
      <c r="J20" s="56">
        <v>1.38</v>
      </c>
      <c r="K20" s="56">
        <v>325.79000000000002</v>
      </c>
      <c r="L20" s="56">
        <v>40.64</v>
      </c>
      <c r="M20" s="56">
        <v>10.92</v>
      </c>
      <c r="N20" s="56">
        <v>681.9</v>
      </c>
      <c r="O20" s="56">
        <v>0</v>
      </c>
      <c r="P20" s="56">
        <v>0.78</v>
      </c>
      <c r="Q20" s="56">
        <v>4.9400000000000004</v>
      </c>
      <c r="R20" s="42"/>
      <c r="S20" s="42"/>
      <c r="T20" s="42"/>
      <c r="U20" s="42"/>
    </row>
    <row r="21" spans="1:21" s="11" customFormat="1">
      <c r="A21" s="55" t="s">
        <v>514</v>
      </c>
      <c r="B21" s="56">
        <v>6.42</v>
      </c>
      <c r="C21" s="56">
        <v>51.58</v>
      </c>
      <c r="D21" s="56">
        <v>33.450000000000003</v>
      </c>
      <c r="E21" s="56">
        <v>35.24</v>
      </c>
      <c r="F21" s="56">
        <v>81.86</v>
      </c>
      <c r="G21" s="56">
        <v>69.150000000000006</v>
      </c>
      <c r="H21" s="56">
        <v>27.09</v>
      </c>
      <c r="I21" s="56">
        <v>5.97</v>
      </c>
      <c r="J21" s="56">
        <v>1.17</v>
      </c>
      <c r="K21" s="56">
        <v>357.73</v>
      </c>
      <c r="L21" s="56">
        <v>41.64</v>
      </c>
      <c r="M21" s="56">
        <v>9.6999999999999993</v>
      </c>
      <c r="N21" s="56">
        <v>743.5</v>
      </c>
      <c r="O21" s="56">
        <v>0</v>
      </c>
      <c r="P21" s="56">
        <v>0.7</v>
      </c>
      <c r="Q21" s="56">
        <v>4.75</v>
      </c>
      <c r="R21" s="42"/>
      <c r="S21" s="42"/>
      <c r="T21" s="42"/>
      <c r="U21" s="42"/>
    </row>
    <row r="22" spans="1:21" s="11" customFormat="1">
      <c r="A22" s="55" t="s">
        <v>515</v>
      </c>
      <c r="B22" s="56">
        <v>2.7</v>
      </c>
      <c r="C22" s="56">
        <v>20.71</v>
      </c>
      <c r="D22" s="56">
        <v>14.29</v>
      </c>
      <c r="E22" s="56">
        <v>10.6</v>
      </c>
      <c r="F22" s="56">
        <v>91.17</v>
      </c>
      <c r="G22" s="56">
        <v>32.54</v>
      </c>
      <c r="H22" s="56">
        <v>2.48</v>
      </c>
      <c r="I22" s="56">
        <v>14.89</v>
      </c>
      <c r="J22" s="56">
        <v>0.62</v>
      </c>
      <c r="K22" s="56">
        <v>318.2</v>
      </c>
      <c r="L22" s="56">
        <v>42.01</v>
      </c>
      <c r="M22" s="56">
        <v>9.4700000000000006</v>
      </c>
      <c r="N22" s="56">
        <v>626.29999999999995</v>
      </c>
      <c r="O22" s="56">
        <v>0</v>
      </c>
      <c r="P22" s="56">
        <v>0.55000000000000004</v>
      </c>
      <c r="Q22" s="56">
        <v>4.5599999999999996</v>
      </c>
      <c r="R22" s="42"/>
      <c r="S22" s="42"/>
      <c r="T22" s="42"/>
      <c r="U22" s="42"/>
    </row>
    <row r="23" spans="1:21" s="11" customFormat="1">
      <c r="A23" s="55" t="s">
        <v>516</v>
      </c>
      <c r="B23" s="56">
        <v>5.93</v>
      </c>
      <c r="C23" s="56">
        <v>43.11</v>
      </c>
      <c r="D23" s="56">
        <v>30.96</v>
      </c>
      <c r="E23" s="56">
        <v>14.81</v>
      </c>
      <c r="F23" s="56">
        <v>57.75</v>
      </c>
      <c r="G23" s="56">
        <v>35.43</v>
      </c>
      <c r="H23" s="56">
        <v>5.32</v>
      </c>
      <c r="I23" s="56">
        <v>50.81</v>
      </c>
      <c r="J23" s="56">
        <v>0.98</v>
      </c>
      <c r="K23" s="56">
        <v>297.70999999999998</v>
      </c>
      <c r="L23" s="56">
        <v>43.05</v>
      </c>
      <c r="M23" s="56">
        <v>8.51</v>
      </c>
      <c r="N23" s="56">
        <v>566.6</v>
      </c>
      <c r="O23" s="56">
        <v>0</v>
      </c>
      <c r="P23" s="56">
        <v>0.54</v>
      </c>
      <c r="Q23" s="56">
        <v>4.8899999999999997</v>
      </c>
      <c r="R23" s="42"/>
      <c r="S23" s="42"/>
      <c r="T23" s="42"/>
      <c r="U23" s="42"/>
    </row>
    <row r="24" spans="1:21" s="11" customFormat="1">
      <c r="A24" s="55" t="s">
        <v>517</v>
      </c>
      <c r="B24" s="56">
        <v>4.5199999999999996</v>
      </c>
      <c r="C24" s="56">
        <v>44.86</v>
      </c>
      <c r="D24" s="56">
        <v>28.38</v>
      </c>
      <c r="E24" s="56">
        <v>12.67</v>
      </c>
      <c r="F24" s="56">
        <v>55.53</v>
      </c>
      <c r="G24" s="56">
        <v>35.56</v>
      </c>
      <c r="H24" s="56">
        <v>10.37</v>
      </c>
      <c r="I24" s="56">
        <v>55.27</v>
      </c>
      <c r="J24" s="56">
        <v>0.56000000000000005</v>
      </c>
      <c r="K24" s="56">
        <v>335.59</v>
      </c>
      <c r="L24" s="56">
        <v>42.3</v>
      </c>
      <c r="M24" s="56">
        <v>8.85</v>
      </c>
      <c r="N24" s="56">
        <v>489.7</v>
      </c>
      <c r="O24" s="56">
        <v>0</v>
      </c>
      <c r="P24" s="56">
        <v>0.52</v>
      </c>
      <c r="Q24" s="56">
        <v>5.21</v>
      </c>
      <c r="R24" s="42"/>
      <c r="S24" s="42"/>
      <c r="T24" s="42"/>
      <c r="U24" s="42"/>
    </row>
    <row r="25" spans="1:21" s="11" customFormat="1">
      <c r="A25" s="55" t="s">
        <v>518</v>
      </c>
      <c r="B25" s="56">
        <v>4.55</v>
      </c>
      <c r="C25" s="56">
        <v>54.9</v>
      </c>
      <c r="D25" s="56">
        <v>33.69</v>
      </c>
      <c r="E25" s="56">
        <v>10.99</v>
      </c>
      <c r="F25" s="56">
        <v>59.9</v>
      </c>
      <c r="G25" s="56">
        <v>37.21</v>
      </c>
      <c r="H25" s="56">
        <v>14.08</v>
      </c>
      <c r="I25" s="56">
        <v>27.24</v>
      </c>
      <c r="J25" s="56">
        <v>0.42</v>
      </c>
      <c r="K25" s="56">
        <v>263.93</v>
      </c>
      <c r="L25" s="56">
        <v>40.909999999999997</v>
      </c>
      <c r="M25" s="56">
        <v>12.18</v>
      </c>
      <c r="N25" s="56">
        <v>113</v>
      </c>
      <c r="O25" s="56">
        <v>0</v>
      </c>
      <c r="P25" s="56">
        <v>0.48</v>
      </c>
      <c r="Q25" s="56">
        <v>5.13</v>
      </c>
      <c r="R25" s="42"/>
      <c r="S25" s="42"/>
      <c r="T25" s="42"/>
      <c r="U25" s="42"/>
    </row>
    <row r="26" spans="1:21" s="11" customFormat="1">
      <c r="A26" s="55" t="s">
        <v>519</v>
      </c>
      <c r="B26" s="56">
        <v>16.989999999999998</v>
      </c>
      <c r="C26" s="56">
        <v>73.569999999999993</v>
      </c>
      <c r="D26" s="56">
        <v>54.59</v>
      </c>
      <c r="E26" s="56">
        <v>16.510000000000002</v>
      </c>
      <c r="F26" s="56">
        <v>19.11</v>
      </c>
      <c r="G26" s="56">
        <v>63.48</v>
      </c>
      <c r="H26" s="56">
        <v>21.11</v>
      </c>
      <c r="I26" s="56">
        <v>0</v>
      </c>
      <c r="J26" s="56">
        <v>0.5</v>
      </c>
      <c r="K26" s="56">
        <v>175.75</v>
      </c>
      <c r="L26" s="56">
        <v>39.94</v>
      </c>
      <c r="M26" s="56">
        <v>17.66</v>
      </c>
      <c r="N26" s="56">
        <v>101.8</v>
      </c>
      <c r="O26" s="56">
        <v>0</v>
      </c>
      <c r="P26" s="56">
        <v>0.82</v>
      </c>
      <c r="Q26" s="56">
        <v>5.74</v>
      </c>
      <c r="R26" s="42"/>
      <c r="S26" s="42"/>
      <c r="T26" s="42"/>
      <c r="U26" s="42"/>
    </row>
    <row r="27" spans="1:21" s="11" customFormat="1">
      <c r="A27" s="55" t="s">
        <v>520</v>
      </c>
      <c r="B27" s="56">
        <v>7.86</v>
      </c>
      <c r="C27" s="56">
        <v>64.62</v>
      </c>
      <c r="D27" s="56">
        <v>41.41</v>
      </c>
      <c r="E27" s="56">
        <v>13</v>
      </c>
      <c r="F27" s="56">
        <v>30.16</v>
      </c>
      <c r="G27" s="56">
        <v>81.64</v>
      </c>
      <c r="H27" s="56">
        <v>24.45</v>
      </c>
      <c r="I27" s="56">
        <v>0</v>
      </c>
      <c r="J27" s="56">
        <v>0.26</v>
      </c>
      <c r="K27" s="56">
        <v>170.4</v>
      </c>
      <c r="L27" s="56">
        <v>36.86</v>
      </c>
      <c r="M27" s="56">
        <v>26.2</v>
      </c>
      <c r="N27" s="56">
        <v>1.8</v>
      </c>
      <c r="O27" s="56">
        <v>0</v>
      </c>
      <c r="P27" s="56">
        <v>0.78</v>
      </c>
      <c r="Q27" s="56">
        <v>5.64</v>
      </c>
      <c r="R27" s="42"/>
      <c r="S27" s="42"/>
      <c r="T27" s="42"/>
      <c r="U27" s="42"/>
    </row>
    <row r="28" spans="1:21" s="11" customFormat="1">
      <c r="A28" s="55" t="s">
        <v>521</v>
      </c>
      <c r="B28" s="56">
        <v>37.6</v>
      </c>
      <c r="C28" s="56">
        <v>71.87</v>
      </c>
      <c r="D28" s="56">
        <v>69.12</v>
      </c>
      <c r="E28" s="56">
        <v>14.02</v>
      </c>
      <c r="F28" s="56">
        <v>29.2</v>
      </c>
      <c r="G28" s="56">
        <v>82.43</v>
      </c>
      <c r="H28" s="56">
        <v>24.45</v>
      </c>
      <c r="I28" s="56">
        <v>0</v>
      </c>
      <c r="J28" s="56">
        <v>0.28999999999999998</v>
      </c>
      <c r="K28" s="56">
        <v>151.46</v>
      </c>
      <c r="L28" s="56">
        <v>33.979999999999997</v>
      </c>
      <c r="M28" s="56">
        <v>27.39</v>
      </c>
      <c r="N28" s="56">
        <v>0</v>
      </c>
      <c r="O28" s="56">
        <v>0</v>
      </c>
      <c r="P28" s="56">
        <v>1.19</v>
      </c>
      <c r="Q28" s="56">
        <v>5.23</v>
      </c>
      <c r="R28" s="42"/>
      <c r="S28" s="42"/>
      <c r="T28" s="42"/>
      <c r="U28" s="42"/>
    </row>
    <row r="29" spans="1:21" s="11" customFormat="1">
      <c r="A29" s="55" t="s">
        <v>522</v>
      </c>
      <c r="B29" s="56">
        <v>38.409999999999997</v>
      </c>
      <c r="C29" s="56">
        <v>74.209999999999994</v>
      </c>
      <c r="D29" s="56">
        <v>70.97</v>
      </c>
      <c r="E29" s="56">
        <v>25.18</v>
      </c>
      <c r="F29" s="56">
        <v>6.41</v>
      </c>
      <c r="G29" s="56">
        <v>95.99</v>
      </c>
      <c r="H29" s="56">
        <v>30.69</v>
      </c>
      <c r="I29" s="56">
        <v>0</v>
      </c>
      <c r="J29" s="56">
        <v>0.38</v>
      </c>
      <c r="K29" s="56">
        <v>307.85000000000002</v>
      </c>
      <c r="L29" s="56">
        <v>33.46</v>
      </c>
      <c r="M29" s="56">
        <v>29.14</v>
      </c>
      <c r="N29" s="56">
        <v>0</v>
      </c>
      <c r="O29" s="56">
        <v>0</v>
      </c>
      <c r="P29" s="56">
        <v>1.36</v>
      </c>
      <c r="Q29" s="56">
        <v>6.44</v>
      </c>
      <c r="R29" s="42"/>
      <c r="S29" s="42"/>
      <c r="T29" s="42"/>
      <c r="U29" s="42"/>
    </row>
    <row r="30" spans="1:21" s="11" customFormat="1">
      <c r="A30" s="55" t="s">
        <v>523</v>
      </c>
      <c r="B30" s="56">
        <v>38.43</v>
      </c>
      <c r="C30" s="56">
        <v>74.239999999999995</v>
      </c>
      <c r="D30" s="56">
        <v>71.069999999999993</v>
      </c>
      <c r="E30" s="56">
        <v>49.06</v>
      </c>
      <c r="F30" s="56">
        <v>8.39</v>
      </c>
      <c r="G30" s="56">
        <v>122.85</v>
      </c>
      <c r="H30" s="56">
        <v>40.74</v>
      </c>
      <c r="I30" s="56">
        <v>0</v>
      </c>
      <c r="J30" s="56">
        <v>0.39</v>
      </c>
      <c r="K30" s="56">
        <v>162.18</v>
      </c>
      <c r="L30" s="56">
        <v>33.5</v>
      </c>
      <c r="M30" s="56">
        <v>29.25</v>
      </c>
      <c r="N30" s="56">
        <v>0</v>
      </c>
      <c r="O30" s="56">
        <v>0</v>
      </c>
      <c r="P30" s="56">
        <v>1.36</v>
      </c>
      <c r="Q30" s="56">
        <v>6.97</v>
      </c>
      <c r="R30" s="42"/>
      <c r="S30" s="42"/>
      <c r="T30" s="42"/>
      <c r="U30" s="42"/>
    </row>
    <row r="31" spans="1:21" s="11" customFormat="1">
      <c r="A31" s="55" t="s">
        <v>524</v>
      </c>
      <c r="B31" s="56">
        <v>35.840000000000003</v>
      </c>
      <c r="C31" s="56">
        <v>72.69</v>
      </c>
      <c r="D31" s="56">
        <v>68.069999999999993</v>
      </c>
      <c r="E31" s="56">
        <v>52.5</v>
      </c>
      <c r="F31" s="56">
        <v>8.77</v>
      </c>
      <c r="G31" s="56">
        <v>139.26</v>
      </c>
      <c r="H31" s="56">
        <v>46.58</v>
      </c>
      <c r="I31" s="56">
        <v>0</v>
      </c>
      <c r="J31" s="56">
        <v>0.42</v>
      </c>
      <c r="K31" s="56">
        <v>117.8</v>
      </c>
      <c r="L31" s="56">
        <v>31.97</v>
      </c>
      <c r="M31" s="56">
        <v>29.58</v>
      </c>
      <c r="N31" s="56">
        <v>0</v>
      </c>
      <c r="O31" s="56">
        <v>0</v>
      </c>
      <c r="P31" s="56">
        <v>1.35</v>
      </c>
      <c r="Q31" s="56">
        <v>6.91</v>
      </c>
      <c r="R31" s="42"/>
      <c r="S31" s="42"/>
      <c r="T31" s="42"/>
      <c r="U31" s="42"/>
    </row>
    <row r="32" spans="1:21" s="11" customFormat="1">
      <c r="A32" s="55" t="s">
        <v>525</v>
      </c>
      <c r="B32" s="56">
        <v>23.61</v>
      </c>
      <c r="C32" s="56">
        <v>59.71</v>
      </c>
      <c r="D32" s="56">
        <v>51.2</v>
      </c>
      <c r="E32" s="56">
        <v>21.06</v>
      </c>
      <c r="F32" s="56">
        <v>11.42</v>
      </c>
      <c r="G32" s="56">
        <v>139.97</v>
      </c>
      <c r="H32" s="56">
        <v>46.58</v>
      </c>
      <c r="I32" s="56">
        <v>0</v>
      </c>
      <c r="J32" s="56">
        <v>0.35</v>
      </c>
      <c r="K32" s="56">
        <v>190.25</v>
      </c>
      <c r="L32" s="56">
        <v>31.55</v>
      </c>
      <c r="M32" s="56">
        <v>32.75</v>
      </c>
      <c r="N32" s="56">
        <v>0</v>
      </c>
      <c r="O32" s="56">
        <v>0</v>
      </c>
      <c r="P32" s="56">
        <v>0.87</v>
      </c>
      <c r="Q32" s="56">
        <v>6.2</v>
      </c>
      <c r="R32" s="42"/>
      <c r="S32" s="42"/>
      <c r="T32" s="42"/>
      <c r="U32" s="42"/>
    </row>
    <row r="33" spans="1:21" s="21" customFormat="1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>
      <c r="A34" s="27" t="s">
        <v>30</v>
      </c>
      <c r="B34" s="28">
        <f t="shared" ref="B34:Q34" si="0">MIN(B9:B32)</f>
        <v>2.7</v>
      </c>
      <c r="C34" s="28">
        <f t="shared" si="0"/>
        <v>20.71</v>
      </c>
      <c r="D34" s="28">
        <f t="shared" si="0"/>
        <v>14.29</v>
      </c>
      <c r="E34" s="28">
        <f t="shared" si="0"/>
        <v>9.9700000000000006</v>
      </c>
      <c r="F34" s="28">
        <f t="shared" si="0"/>
        <v>4.5999999999999996</v>
      </c>
      <c r="G34" s="28">
        <f t="shared" si="0"/>
        <v>32.54</v>
      </c>
      <c r="H34" s="28">
        <f>MIN(H9:H32)</f>
        <v>2.48</v>
      </c>
      <c r="I34" s="28">
        <f t="shared" si="0"/>
        <v>0</v>
      </c>
      <c r="J34" s="28">
        <f t="shared" si="0"/>
        <v>0.19</v>
      </c>
      <c r="K34" s="28">
        <f t="shared" si="0"/>
        <v>117.8</v>
      </c>
      <c r="L34" s="28">
        <f t="shared" si="0"/>
        <v>27.4</v>
      </c>
      <c r="M34" s="28">
        <f t="shared" si="0"/>
        <v>8.51</v>
      </c>
      <c r="N34" s="28">
        <f t="shared" si="0"/>
        <v>0</v>
      </c>
      <c r="O34" s="28">
        <f t="shared" si="0"/>
        <v>0</v>
      </c>
      <c r="P34" s="28">
        <f t="shared" si="0"/>
        <v>0.48</v>
      </c>
      <c r="Q34" s="28">
        <f t="shared" si="0"/>
        <v>4.5599999999999996</v>
      </c>
      <c r="R34" s="28"/>
      <c r="S34" s="28"/>
      <c r="T34" s="28"/>
      <c r="U34" s="28"/>
    </row>
    <row r="35" spans="1:21" s="21" customFormat="1">
      <c r="A35" s="27" t="s">
        <v>31</v>
      </c>
      <c r="B35" s="29">
        <f t="shared" ref="B35:Q35" si="1">MAX(B9:B32)</f>
        <v>38.43</v>
      </c>
      <c r="C35" s="29">
        <f t="shared" si="1"/>
        <v>74.239999999999995</v>
      </c>
      <c r="D35" s="29">
        <f t="shared" si="1"/>
        <v>71.069999999999993</v>
      </c>
      <c r="E35" s="29">
        <f t="shared" si="1"/>
        <v>52.5</v>
      </c>
      <c r="F35" s="29">
        <f t="shared" si="1"/>
        <v>91.17</v>
      </c>
      <c r="G35" s="29">
        <f>MAX(G9:G32)</f>
        <v>139.97</v>
      </c>
      <c r="H35" s="29">
        <f>MAX(H9:H32)</f>
        <v>46.58</v>
      </c>
      <c r="I35" s="29">
        <f t="shared" si="1"/>
        <v>55.27</v>
      </c>
      <c r="J35" s="29">
        <f t="shared" si="1"/>
        <v>2.0299999999999998</v>
      </c>
      <c r="K35" s="29">
        <f t="shared" si="1"/>
        <v>357.73</v>
      </c>
      <c r="L35" s="29">
        <f t="shared" si="1"/>
        <v>43.05</v>
      </c>
      <c r="M35" s="29">
        <f t="shared" si="1"/>
        <v>43.48</v>
      </c>
      <c r="N35" s="29">
        <f t="shared" si="1"/>
        <v>743.5</v>
      </c>
      <c r="O35" s="29">
        <f t="shared" si="1"/>
        <v>0</v>
      </c>
      <c r="P35" s="29">
        <f t="shared" si="1"/>
        <v>1.36</v>
      </c>
      <c r="Q35" s="29">
        <f t="shared" si="1"/>
        <v>6.97</v>
      </c>
      <c r="R35" s="29"/>
      <c r="S35" s="29"/>
      <c r="T35" s="29"/>
      <c r="U35" s="29"/>
    </row>
    <row r="36" spans="1:21" s="21" customFormat="1">
      <c r="A36" s="27" t="s">
        <v>32</v>
      </c>
      <c r="B36" s="28">
        <f t="shared" ref="B36:Q36" si="2">AVERAGE(B9:B32)</f>
        <v>15.853333333333333</v>
      </c>
      <c r="C36" s="28">
        <f t="shared" si="2"/>
        <v>62.352500000000013</v>
      </c>
      <c r="D36" s="28">
        <f t="shared" si="2"/>
        <v>46.710833333333341</v>
      </c>
      <c r="E36" s="28">
        <f t="shared" si="2"/>
        <v>17.155833333333334</v>
      </c>
      <c r="F36" s="28">
        <f t="shared" si="2"/>
        <v>27.032916666666665</v>
      </c>
      <c r="G36" s="28">
        <f t="shared" si="2"/>
        <v>75.196666666666673</v>
      </c>
      <c r="H36" s="28">
        <f>AVERAGE(H9:H32)</f>
        <v>26.750833333333333</v>
      </c>
      <c r="I36" s="28">
        <f t="shared" si="2"/>
        <v>10.493333333333334</v>
      </c>
      <c r="J36" s="28">
        <f t="shared" si="2"/>
        <v>0.7629166666666668</v>
      </c>
      <c r="K36" s="28">
        <f t="shared" si="2"/>
        <v>253.10125000000002</v>
      </c>
      <c r="L36" s="28">
        <f t="shared" si="2"/>
        <v>35.087083333333325</v>
      </c>
      <c r="M36" s="28">
        <f t="shared" si="2"/>
        <v>24.575833333333335</v>
      </c>
      <c r="N36" s="28">
        <f t="shared" si="2"/>
        <v>206.93750000000003</v>
      </c>
      <c r="O36" s="28">
        <f t="shared" si="2"/>
        <v>0</v>
      </c>
      <c r="P36" s="28">
        <f t="shared" si="2"/>
        <v>0.88833333333333331</v>
      </c>
      <c r="Q36" s="28">
        <f t="shared" si="2"/>
        <v>5.5237499999999997</v>
      </c>
      <c r="R36" s="28"/>
      <c r="S36" s="28"/>
      <c r="T36" s="28"/>
      <c r="U36" s="28"/>
    </row>
    <row r="37" spans="1:21" s="21" customFormat="1">
      <c r="A37" s="27" t="s">
        <v>38</v>
      </c>
      <c r="B37" s="28">
        <f>STDEV(B9:B32)</f>
        <v>11.064548426576568</v>
      </c>
      <c r="C37" s="28">
        <f t="shared" ref="C37:Q37" si="3">STDEV(C9:C32)</f>
        <v>12.42855976475493</v>
      </c>
      <c r="D37" s="28">
        <f t="shared" si="3"/>
        <v>13.916383499679213</v>
      </c>
      <c r="E37" s="28">
        <f t="shared" si="3"/>
        <v>11.863414317782309</v>
      </c>
      <c r="F37" s="28">
        <f t="shared" si="3"/>
        <v>25.084961800140196</v>
      </c>
      <c r="G37" s="28">
        <f t="shared" si="3"/>
        <v>29.767314532768186</v>
      </c>
      <c r="H37" s="28">
        <f>STDEV(H9:H32)</f>
        <v>11.634710779711558</v>
      </c>
      <c r="I37" s="28">
        <f t="shared" si="3"/>
        <v>14.441923774859101</v>
      </c>
      <c r="J37" s="28">
        <f t="shared" si="3"/>
        <v>0.52189853392220287</v>
      </c>
      <c r="K37" s="28">
        <f t="shared" si="3"/>
        <v>77.37098890706082</v>
      </c>
      <c r="L37" s="28">
        <f t="shared" si="3"/>
        <v>5.3085013681229025</v>
      </c>
      <c r="M37" s="28">
        <f t="shared" si="3"/>
        <v>11.637226218389451</v>
      </c>
      <c r="N37" s="28">
        <f t="shared" si="3"/>
        <v>273.44874539608998</v>
      </c>
      <c r="O37" s="28">
        <f t="shared" si="3"/>
        <v>0</v>
      </c>
      <c r="P37" s="28">
        <f t="shared" si="3"/>
        <v>0.24920162374142454</v>
      </c>
      <c r="Q37" s="28">
        <f t="shared" si="3"/>
        <v>0.60891073451591027</v>
      </c>
      <c r="R37" s="28"/>
      <c r="S37" s="28"/>
      <c r="T37" s="28"/>
      <c r="U37" s="28"/>
    </row>
    <row r="38" spans="1:21" s="21" customFormat="1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>COUNT(F9:F32)</f>
        <v>24</v>
      </c>
      <c r="G38" s="32">
        <f>COUNT(G9:G32)</f>
        <v>24</v>
      </c>
      <c r="H38" s="32">
        <f>COUNT(H9:H32)</f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>
      <c r="A42" s="13"/>
    </row>
    <row r="43" spans="1:21" s="21" customFormat="1">
      <c r="A43" s="14" t="s">
        <v>35</v>
      </c>
      <c r="B43" s="39" t="s">
        <v>58</v>
      </c>
      <c r="C43" s="41"/>
    </row>
    <row r="44" spans="1:21" s="21" customFormat="1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0"/>
      <c r="C45" s="40"/>
      <c r="D45" s="40"/>
      <c r="E45" s="40"/>
      <c r="F45" s="40"/>
      <c r="G45" s="40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</row>
    <row r="46" spans="1:21" s="21" customFormat="1"/>
    <row r="47" spans="1:21" s="21" customFormat="1"/>
    <row r="48" spans="1:21" s="21" customFormat="1"/>
    <row r="49" s="21" customFormat="1"/>
    <row r="50" s="21" customFormat="1"/>
    <row r="51" s="21" customFormat="1"/>
    <row r="52" s="21" customFormat="1"/>
    <row r="53" s="21" customFormat="1"/>
    <row r="54" s="21" customFormat="1"/>
    <row r="55" s="21" customFormat="1"/>
    <row r="56" s="21" customFormat="1"/>
    <row r="57" s="21" customFormat="1"/>
    <row r="58" s="21" customFormat="1"/>
    <row r="59" s="21" customFormat="1"/>
    <row r="60" s="21" customFormat="1"/>
    <row r="61" s="21" customFormat="1"/>
    <row r="62" s="21" customFormat="1"/>
    <row r="63" s="21" customFormat="1"/>
    <row r="64" s="21" customFormat="1"/>
    <row r="65" s="21" customFormat="1"/>
    <row r="66" s="21" customFormat="1"/>
    <row r="67" s="21" customFormat="1"/>
    <row r="68" s="21" customFormat="1"/>
    <row r="69" s="21" customFormat="1"/>
    <row r="70" s="21" customFormat="1"/>
    <row r="71" s="21" customFormat="1"/>
    <row r="72" s="21" customFormat="1"/>
    <row r="73" s="21" customFormat="1"/>
    <row r="74" s="21" customFormat="1"/>
    <row r="75" s="21" customFormat="1"/>
    <row r="76" s="21" customFormat="1"/>
    <row r="77" s="21" customFormat="1"/>
    <row r="78" s="21" customFormat="1"/>
    <row r="79" s="21" customFormat="1"/>
    <row r="80" s="21" customFormat="1"/>
    <row r="81" s="21" customFormat="1"/>
    <row r="82" s="21" customFormat="1"/>
    <row r="83" s="21" customFormat="1"/>
    <row r="84" s="21" customFormat="1"/>
    <row r="85" s="21" customFormat="1"/>
    <row r="86" s="21" customFormat="1"/>
    <row r="87" s="21" customFormat="1"/>
    <row r="88" s="21" customFormat="1"/>
    <row r="89" s="21" customFormat="1"/>
    <row r="90" s="21" customFormat="1"/>
    <row r="91" s="21" customFormat="1"/>
    <row r="92" s="21" customFormat="1"/>
    <row r="93" s="21" customFormat="1"/>
    <row r="94" s="21" customFormat="1"/>
    <row r="95" s="21" customFormat="1"/>
    <row r="96" s="21" customFormat="1"/>
    <row r="97" spans="1:1" s="21" customFormat="1"/>
    <row r="98" spans="1:1" s="21" customFormat="1"/>
    <row r="99" spans="1:1" s="21" customFormat="1"/>
    <row r="100" spans="1:1" s="21" customFormat="1"/>
    <row r="101" spans="1:1" s="21" customFormat="1"/>
    <row r="102" spans="1:1" s="21" customFormat="1"/>
    <row r="103" spans="1:1" s="21" customFormat="1"/>
    <row r="104" spans="1:1" s="21" customFormat="1"/>
    <row r="105" spans="1:1" s="21" customFormat="1"/>
    <row r="106" spans="1:1">
      <c r="A106" s="20"/>
    </row>
    <row r="107" spans="1:1" s="21" customFormat="1"/>
    <row r="108" spans="1:1" s="21" customFormat="1"/>
    <row r="109" spans="1:1" s="21" customFormat="1"/>
    <row r="110" spans="1:1" s="21" customFormat="1"/>
    <row r="111" spans="1:1" s="21" customFormat="1"/>
    <row r="112" spans="1:1" s="21" customFormat="1"/>
    <row r="113" spans="1:1" s="21" customFormat="1"/>
    <row r="114" spans="1:1" s="21" customFormat="1"/>
    <row r="115" spans="1:1" s="21" customFormat="1"/>
    <row r="116" spans="1:1" s="21" customFormat="1"/>
    <row r="117" spans="1:1" s="21" customFormat="1"/>
    <row r="118" spans="1:1">
      <c r="A118" s="20"/>
    </row>
    <row r="119" spans="1:1">
      <c r="A119" s="20"/>
    </row>
  </sheetData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1" ySplit="8" topLeftCell="B30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A9" sqref="A9:Q32"/>
    </sheetView>
  </sheetViews>
  <sheetFormatPr defaultColWidth="8.85546875" defaultRowHeight="1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>
      <c r="A1" s="14" t="s">
        <v>2</v>
      </c>
      <c r="B1" s="23" t="s">
        <v>55</v>
      </c>
      <c r="C1" s="36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>
      <c r="A2" s="14" t="s">
        <v>0</v>
      </c>
      <c r="B2" s="37" t="str">
        <f>$A$9</f>
        <v>20/04/2023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8" t="s">
        <v>7</v>
      </c>
      <c r="Q2" s="12"/>
      <c r="R2" s="8" t="s">
        <v>8</v>
      </c>
      <c r="S2" s="11"/>
      <c r="T2" s="11"/>
      <c r="U2" s="11"/>
    </row>
    <row r="3" spans="1:21" s="21" customFormat="1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8" t="s">
        <v>15</v>
      </c>
      <c r="Q3" s="12"/>
      <c r="R3" s="9" t="s">
        <v>15</v>
      </c>
      <c r="S3" s="11"/>
      <c r="T3" s="11"/>
      <c r="U3" s="11"/>
    </row>
    <row r="4" spans="1:21" s="21" customFormat="1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>
      <c r="A7" s="25" t="s">
        <v>21</v>
      </c>
      <c r="B7" s="48" t="s">
        <v>40</v>
      </c>
      <c r="C7" s="49" t="s">
        <v>41</v>
      </c>
      <c r="D7" s="49" t="s">
        <v>42</v>
      </c>
      <c r="E7" s="49" t="s">
        <v>43</v>
      </c>
      <c r="F7" s="49" t="s">
        <v>44</v>
      </c>
      <c r="G7" s="49" t="s">
        <v>45</v>
      </c>
      <c r="H7" s="49" t="s">
        <v>56</v>
      </c>
      <c r="I7" s="49" t="s">
        <v>46</v>
      </c>
      <c r="J7" s="49" t="s">
        <v>47</v>
      </c>
      <c r="K7" s="49" t="s">
        <v>48</v>
      </c>
      <c r="L7" s="49" t="s">
        <v>49</v>
      </c>
      <c r="M7" s="49" t="s">
        <v>50</v>
      </c>
      <c r="N7" s="49" t="s">
        <v>51</v>
      </c>
      <c r="O7" s="49" t="s">
        <v>52</v>
      </c>
      <c r="P7" s="49" t="s">
        <v>53</v>
      </c>
      <c r="Q7" s="49" t="s">
        <v>54</v>
      </c>
      <c r="R7" s="27"/>
      <c r="S7" s="29"/>
      <c r="T7" s="27"/>
      <c r="U7" s="27"/>
    </row>
    <row r="8" spans="1:21" s="21" customFormat="1">
      <c r="A8" s="25"/>
      <c r="B8" s="50" t="s">
        <v>22</v>
      </c>
      <c r="C8" s="50" t="s">
        <v>22</v>
      </c>
      <c r="D8" s="50" t="s">
        <v>22</v>
      </c>
      <c r="E8" s="50" t="s">
        <v>22</v>
      </c>
      <c r="F8" s="50" t="s">
        <v>22</v>
      </c>
      <c r="G8" s="50" t="s">
        <v>23</v>
      </c>
      <c r="H8" s="50" t="s">
        <v>22</v>
      </c>
      <c r="I8" s="50" t="s">
        <v>22</v>
      </c>
      <c r="J8" s="50" t="s">
        <v>24</v>
      </c>
      <c r="K8" s="50" t="s">
        <v>25</v>
      </c>
      <c r="L8" s="25" t="s">
        <v>27</v>
      </c>
      <c r="M8" s="50" t="s">
        <v>26</v>
      </c>
      <c r="N8" s="50" t="s">
        <v>28</v>
      </c>
      <c r="O8" s="25" t="s">
        <v>29</v>
      </c>
      <c r="P8" s="50" t="s">
        <v>22</v>
      </c>
      <c r="Q8" s="50" t="s">
        <v>22</v>
      </c>
      <c r="R8" s="27"/>
      <c r="S8" s="29"/>
      <c r="T8" s="27"/>
      <c r="U8" s="27"/>
    </row>
    <row r="9" spans="1:21" s="11" customFormat="1">
      <c r="A9" s="55" t="s">
        <v>526</v>
      </c>
      <c r="B9" s="56">
        <v>10.98</v>
      </c>
      <c r="C9" s="56">
        <v>31.48</v>
      </c>
      <c r="D9" s="56">
        <v>26.6</v>
      </c>
      <c r="E9" s="56">
        <v>18.46</v>
      </c>
      <c r="F9" s="56">
        <v>39.21</v>
      </c>
      <c r="G9" s="56">
        <v>112.81</v>
      </c>
      <c r="H9" s="56">
        <v>38.159999999999997</v>
      </c>
      <c r="I9" s="56">
        <v>0</v>
      </c>
      <c r="J9" s="56">
        <v>0.22</v>
      </c>
      <c r="K9" s="56">
        <v>239.54</v>
      </c>
      <c r="L9" s="56">
        <v>29.82</v>
      </c>
      <c r="M9" s="56">
        <v>32.94</v>
      </c>
      <c r="N9" s="56">
        <v>0</v>
      </c>
      <c r="O9" s="56">
        <v>0</v>
      </c>
      <c r="P9" s="56">
        <v>0.56000000000000005</v>
      </c>
      <c r="Q9" s="56">
        <v>5.03</v>
      </c>
      <c r="R9" s="42"/>
      <c r="S9" s="42"/>
      <c r="T9" s="42"/>
      <c r="U9" s="42"/>
    </row>
    <row r="10" spans="1:21" s="11" customFormat="1">
      <c r="A10" s="55" t="s">
        <v>527</v>
      </c>
      <c r="B10" s="56">
        <v>8.65</v>
      </c>
      <c r="C10" s="56">
        <v>26.19</v>
      </c>
      <c r="D10" s="56">
        <v>21.97</v>
      </c>
      <c r="E10" s="56">
        <v>16.64</v>
      </c>
      <c r="F10" s="56">
        <v>36.46</v>
      </c>
      <c r="G10" s="56">
        <v>86.29</v>
      </c>
      <c r="H10" s="56">
        <v>34.700000000000003</v>
      </c>
      <c r="I10" s="56">
        <v>0</v>
      </c>
      <c r="J10" s="56">
        <v>0.18</v>
      </c>
      <c r="K10" s="56">
        <v>210.3</v>
      </c>
      <c r="L10" s="56">
        <v>28.8</v>
      </c>
      <c r="M10" s="56">
        <v>36.26</v>
      </c>
      <c r="N10" s="56">
        <v>0</v>
      </c>
      <c r="O10" s="56">
        <v>0</v>
      </c>
      <c r="P10" s="56">
        <v>0.43</v>
      </c>
      <c r="Q10" s="56">
        <v>5</v>
      </c>
      <c r="R10" s="42"/>
      <c r="S10" s="42"/>
      <c r="T10" s="42"/>
      <c r="U10" s="42"/>
    </row>
    <row r="11" spans="1:21" s="11" customFormat="1">
      <c r="A11" s="55" t="s">
        <v>528</v>
      </c>
      <c r="B11" s="56">
        <v>8.65</v>
      </c>
      <c r="C11" s="56">
        <v>29.44</v>
      </c>
      <c r="D11" s="56">
        <v>23.67</v>
      </c>
      <c r="E11" s="56">
        <v>11.75</v>
      </c>
      <c r="F11" s="56">
        <v>50.97</v>
      </c>
      <c r="G11" s="56">
        <v>67.14</v>
      </c>
      <c r="H11" s="56">
        <v>30.31</v>
      </c>
      <c r="I11" s="56">
        <v>0</v>
      </c>
      <c r="J11" s="56">
        <v>0.16</v>
      </c>
      <c r="K11" s="56">
        <v>353.94</v>
      </c>
      <c r="L11" s="56">
        <v>28.53</v>
      </c>
      <c r="M11" s="56">
        <v>36.89</v>
      </c>
      <c r="N11" s="56">
        <v>0</v>
      </c>
      <c r="O11" s="56">
        <v>0</v>
      </c>
      <c r="P11" s="56">
        <v>0.42</v>
      </c>
      <c r="Q11" s="56">
        <v>5</v>
      </c>
      <c r="R11" s="42"/>
      <c r="S11" s="42"/>
      <c r="T11" s="42"/>
      <c r="U11" s="42"/>
    </row>
    <row r="12" spans="1:21" s="11" customFormat="1">
      <c r="A12" s="55" t="s">
        <v>529</v>
      </c>
      <c r="B12" s="56">
        <v>8.11</v>
      </c>
      <c r="C12" s="56">
        <v>35.53</v>
      </c>
      <c r="D12" s="56">
        <v>26.42</v>
      </c>
      <c r="E12" s="56">
        <v>10.87</v>
      </c>
      <c r="F12" s="56">
        <v>30.43</v>
      </c>
      <c r="G12" s="56">
        <v>50.7</v>
      </c>
      <c r="H12" s="56">
        <v>26.76</v>
      </c>
      <c r="I12" s="56">
        <v>0</v>
      </c>
      <c r="J12" s="56">
        <v>0.15</v>
      </c>
      <c r="K12" s="56">
        <v>227.15</v>
      </c>
      <c r="L12" s="56">
        <v>28.67</v>
      </c>
      <c r="M12" s="56">
        <v>38.770000000000003</v>
      </c>
      <c r="N12" s="56">
        <v>0</v>
      </c>
      <c r="O12" s="56">
        <v>0</v>
      </c>
      <c r="P12" s="56">
        <v>0.54</v>
      </c>
      <c r="Q12" s="56">
        <v>5</v>
      </c>
      <c r="R12" s="42"/>
      <c r="S12" s="42"/>
      <c r="T12" s="42"/>
      <c r="U12" s="42"/>
    </row>
    <row r="13" spans="1:21" s="11" customFormat="1">
      <c r="A13" s="55" t="s">
        <v>530</v>
      </c>
      <c r="B13" s="56">
        <v>7.28</v>
      </c>
      <c r="C13" s="56">
        <v>46.01</v>
      </c>
      <c r="D13" s="56">
        <v>31.22</v>
      </c>
      <c r="E13" s="56">
        <v>10.55</v>
      </c>
      <c r="F13" s="56">
        <v>12.81</v>
      </c>
      <c r="G13" s="56">
        <v>50.77</v>
      </c>
      <c r="H13" s="56">
        <v>26.76</v>
      </c>
      <c r="I13" s="56">
        <v>0</v>
      </c>
      <c r="J13" s="56">
        <v>0.7</v>
      </c>
      <c r="K13" s="56">
        <v>240.44</v>
      </c>
      <c r="L13" s="56">
        <v>28.79</v>
      </c>
      <c r="M13" s="56">
        <v>39.74</v>
      </c>
      <c r="N13" s="56">
        <v>0</v>
      </c>
      <c r="O13" s="56">
        <v>0</v>
      </c>
      <c r="P13" s="56">
        <v>0.68</v>
      </c>
      <c r="Q13" s="56">
        <v>5</v>
      </c>
      <c r="R13" s="42"/>
      <c r="S13" s="42"/>
      <c r="T13" s="42"/>
      <c r="U13" s="42"/>
    </row>
    <row r="14" spans="1:21" s="11" customFormat="1">
      <c r="A14" s="55" t="s">
        <v>531</v>
      </c>
      <c r="B14" s="56">
        <v>7.63</v>
      </c>
      <c r="C14" s="56">
        <v>54.63</v>
      </c>
      <c r="D14" s="56">
        <v>36.01</v>
      </c>
      <c r="E14" s="56">
        <v>8.9499999999999993</v>
      </c>
      <c r="F14" s="56">
        <v>12.64</v>
      </c>
      <c r="G14" s="56">
        <v>43.39</v>
      </c>
      <c r="H14" s="56">
        <v>25.02</v>
      </c>
      <c r="I14" s="56">
        <v>0</v>
      </c>
      <c r="J14" s="56">
        <v>1.58</v>
      </c>
      <c r="K14" s="56">
        <v>287.91000000000003</v>
      </c>
      <c r="L14" s="56">
        <v>29.45</v>
      </c>
      <c r="M14" s="56">
        <v>36.94</v>
      </c>
      <c r="N14" s="56">
        <v>0.2</v>
      </c>
      <c r="O14" s="56">
        <v>0</v>
      </c>
      <c r="P14" s="56">
        <v>0.7</v>
      </c>
      <c r="Q14" s="56">
        <v>4.66</v>
      </c>
      <c r="R14" s="42"/>
      <c r="S14" s="42"/>
      <c r="T14" s="42"/>
      <c r="U14" s="42"/>
    </row>
    <row r="15" spans="1:21" s="11" customFormat="1">
      <c r="A15" s="55" t="s">
        <v>532</v>
      </c>
      <c r="B15" s="56">
        <v>9.94</v>
      </c>
      <c r="C15" s="56">
        <v>57.5</v>
      </c>
      <c r="D15" s="56">
        <v>39.25</v>
      </c>
      <c r="E15" s="56">
        <v>10.19</v>
      </c>
      <c r="F15" s="56">
        <v>9.94</v>
      </c>
      <c r="G15" s="56">
        <v>53.61</v>
      </c>
      <c r="H15" s="56">
        <v>25.46</v>
      </c>
      <c r="I15" s="56">
        <v>0</v>
      </c>
      <c r="J15" s="56">
        <v>1.1100000000000001</v>
      </c>
      <c r="K15" s="56">
        <v>290.14999999999998</v>
      </c>
      <c r="L15" s="56">
        <v>30.03</v>
      </c>
      <c r="M15" s="56">
        <v>34.36</v>
      </c>
      <c r="N15" s="56">
        <v>51.8</v>
      </c>
      <c r="O15" s="56">
        <v>0</v>
      </c>
      <c r="P15" s="56">
        <v>0.75</v>
      </c>
      <c r="Q15" s="56">
        <v>4.82</v>
      </c>
      <c r="R15" s="42"/>
      <c r="S15" s="42"/>
      <c r="T15" s="42"/>
      <c r="U15" s="42"/>
    </row>
    <row r="16" spans="1:21" s="11" customFormat="1">
      <c r="A16" s="55" t="s">
        <v>533</v>
      </c>
      <c r="B16" s="56">
        <v>9.39</v>
      </c>
      <c r="C16" s="56">
        <v>61.82</v>
      </c>
      <c r="D16" s="56">
        <v>40.950000000000003</v>
      </c>
      <c r="E16" s="56">
        <v>9.4700000000000006</v>
      </c>
      <c r="F16" s="56">
        <v>7.96</v>
      </c>
      <c r="G16" s="56">
        <v>58.72</v>
      </c>
      <c r="H16" s="56">
        <v>29.45</v>
      </c>
      <c r="I16" s="56">
        <v>0</v>
      </c>
      <c r="J16" s="56">
        <v>1.1299999999999999</v>
      </c>
      <c r="K16" s="56">
        <v>242.65</v>
      </c>
      <c r="L16" s="56">
        <v>30.37</v>
      </c>
      <c r="M16" s="56">
        <v>35.9</v>
      </c>
      <c r="N16" s="56">
        <v>138.80000000000001</v>
      </c>
      <c r="O16" s="56">
        <v>0</v>
      </c>
      <c r="P16" s="56">
        <v>0.82</v>
      </c>
      <c r="Q16" s="56">
        <v>4.9400000000000004</v>
      </c>
      <c r="R16" s="42"/>
      <c r="S16" s="42"/>
      <c r="T16" s="42"/>
      <c r="U16" s="42"/>
    </row>
    <row r="17" spans="1:21" s="11" customFormat="1">
      <c r="A17" s="55" t="s">
        <v>534</v>
      </c>
      <c r="B17" s="56">
        <v>8.86</v>
      </c>
      <c r="C17" s="56">
        <v>66.209999999999994</v>
      </c>
      <c r="D17" s="56">
        <v>42.84</v>
      </c>
      <c r="E17" s="56">
        <v>7.64</v>
      </c>
      <c r="F17" s="56">
        <v>11.99</v>
      </c>
      <c r="G17" s="56">
        <v>58.94</v>
      </c>
      <c r="H17" s="56">
        <v>29.45</v>
      </c>
      <c r="I17" s="56">
        <v>0</v>
      </c>
      <c r="J17" s="56">
        <v>1.72</v>
      </c>
      <c r="K17" s="56">
        <v>265.81</v>
      </c>
      <c r="L17" s="56">
        <v>31.65</v>
      </c>
      <c r="M17" s="56">
        <v>34.9</v>
      </c>
      <c r="N17" s="56">
        <v>213.9</v>
      </c>
      <c r="O17" s="56">
        <v>0</v>
      </c>
      <c r="P17" s="56">
        <v>0.81</v>
      </c>
      <c r="Q17" s="56">
        <v>5.0199999999999996</v>
      </c>
      <c r="R17" s="42"/>
      <c r="S17" s="42"/>
      <c r="T17" s="42"/>
      <c r="U17" s="42"/>
    </row>
    <row r="18" spans="1:21" s="11" customFormat="1">
      <c r="A18" s="55" t="s">
        <v>535</v>
      </c>
      <c r="B18" s="56">
        <v>6.87</v>
      </c>
      <c r="C18" s="56">
        <v>46.27</v>
      </c>
      <c r="D18" s="56">
        <v>30.57</v>
      </c>
      <c r="E18" s="56">
        <v>16.18</v>
      </c>
      <c r="F18" s="56">
        <v>27.28</v>
      </c>
      <c r="G18" s="56">
        <v>63.49</v>
      </c>
      <c r="H18" s="56">
        <v>27.07</v>
      </c>
      <c r="I18" s="56">
        <v>0</v>
      </c>
      <c r="J18" s="56">
        <v>2.33</v>
      </c>
      <c r="K18" s="56">
        <v>288.69</v>
      </c>
      <c r="L18" s="56">
        <v>34.43</v>
      </c>
      <c r="M18" s="56">
        <v>30.39</v>
      </c>
      <c r="N18" s="56">
        <v>385.5</v>
      </c>
      <c r="O18" s="56">
        <v>0</v>
      </c>
      <c r="P18" s="56">
        <v>0.72</v>
      </c>
      <c r="Q18" s="56">
        <v>5</v>
      </c>
      <c r="R18" s="42"/>
      <c r="S18" s="42"/>
      <c r="T18" s="42"/>
      <c r="U18" s="42"/>
    </row>
    <row r="19" spans="1:21" s="11" customFormat="1">
      <c r="A19" s="55" t="s">
        <v>536</v>
      </c>
      <c r="B19" s="56">
        <v>5.82</v>
      </c>
      <c r="C19" s="56">
        <v>37.47</v>
      </c>
      <c r="D19" s="56">
        <v>25.6</v>
      </c>
      <c r="E19" s="56">
        <v>12.37</v>
      </c>
      <c r="F19" s="56">
        <v>36.119999999999997</v>
      </c>
      <c r="G19" s="56">
        <v>69.44</v>
      </c>
      <c r="H19" s="56">
        <v>28.68</v>
      </c>
      <c r="I19" s="56">
        <v>0</v>
      </c>
      <c r="J19" s="56">
        <v>2.74</v>
      </c>
      <c r="K19" s="56">
        <v>299.54000000000002</v>
      </c>
      <c r="L19" s="56">
        <v>35.799999999999997</v>
      </c>
      <c r="M19" s="56">
        <v>23.89</v>
      </c>
      <c r="N19" s="56">
        <v>583.4</v>
      </c>
      <c r="O19" s="56">
        <v>0</v>
      </c>
      <c r="P19" s="56">
        <v>0.56000000000000005</v>
      </c>
      <c r="Q19" s="56">
        <v>5</v>
      </c>
      <c r="R19" s="42"/>
      <c r="S19" s="42"/>
      <c r="T19" s="42"/>
      <c r="U19" s="42"/>
    </row>
    <row r="20" spans="1:21" s="11" customFormat="1">
      <c r="A20" s="55" t="s">
        <v>537</v>
      </c>
      <c r="B20" s="56">
        <v>6.23</v>
      </c>
      <c r="C20" s="56">
        <v>33.770000000000003</v>
      </c>
      <c r="D20" s="56">
        <v>23.99</v>
      </c>
      <c r="E20" s="56">
        <v>21.86</v>
      </c>
      <c r="F20" s="56">
        <v>53.57</v>
      </c>
      <c r="G20" s="56">
        <v>69.709999999999994</v>
      </c>
      <c r="H20" s="56">
        <v>28.68</v>
      </c>
      <c r="I20" s="56">
        <v>0</v>
      </c>
      <c r="J20" s="56">
        <v>2.29</v>
      </c>
      <c r="K20" s="56">
        <v>298.89999999999998</v>
      </c>
      <c r="L20" s="56">
        <v>36.979999999999997</v>
      </c>
      <c r="M20" s="56">
        <v>20.99</v>
      </c>
      <c r="N20" s="56">
        <v>599.5</v>
      </c>
      <c r="O20" s="56">
        <v>0</v>
      </c>
      <c r="P20" s="56">
        <v>0.47</v>
      </c>
      <c r="Q20" s="56">
        <v>5</v>
      </c>
      <c r="R20" s="42"/>
      <c r="S20" s="42"/>
      <c r="T20" s="42"/>
      <c r="U20" s="42"/>
    </row>
    <row r="21" spans="1:21" s="11" customFormat="1">
      <c r="A21" s="55" t="s">
        <v>538</v>
      </c>
      <c r="B21" s="56">
        <v>7.08</v>
      </c>
      <c r="C21" s="56">
        <v>31.52</v>
      </c>
      <c r="D21" s="56">
        <v>22.27</v>
      </c>
      <c r="E21" s="56">
        <v>18.73</v>
      </c>
      <c r="F21" s="56">
        <v>59.8</v>
      </c>
      <c r="G21" s="56">
        <v>67.510000000000005</v>
      </c>
      <c r="H21" s="56">
        <v>26.44</v>
      </c>
      <c r="I21" s="56">
        <v>0</v>
      </c>
      <c r="J21" s="56">
        <v>1.87</v>
      </c>
      <c r="K21" s="56">
        <v>352.42</v>
      </c>
      <c r="L21" s="56">
        <v>37.57</v>
      </c>
      <c r="M21" s="56">
        <v>18.05</v>
      </c>
      <c r="N21" s="56">
        <v>582.29999999999995</v>
      </c>
      <c r="O21" s="56">
        <v>0</v>
      </c>
      <c r="P21" s="56">
        <v>0.41</v>
      </c>
      <c r="Q21" s="56">
        <v>5</v>
      </c>
      <c r="R21" s="42"/>
      <c r="S21" s="42"/>
      <c r="T21" s="42"/>
      <c r="U21" s="42"/>
    </row>
    <row r="22" spans="1:21" s="11" customFormat="1">
      <c r="A22" s="55" t="s">
        <v>539</v>
      </c>
      <c r="B22" s="56">
        <v>6.68</v>
      </c>
      <c r="C22" s="56">
        <v>35.99</v>
      </c>
      <c r="D22" s="56">
        <v>24.76</v>
      </c>
      <c r="E22" s="56">
        <v>36.229999999999997</v>
      </c>
      <c r="F22" s="56">
        <v>50.52</v>
      </c>
      <c r="G22" s="56">
        <v>67.06</v>
      </c>
      <c r="H22" s="56">
        <v>23.15</v>
      </c>
      <c r="I22" s="56">
        <v>0</v>
      </c>
      <c r="J22" s="56">
        <v>1.2</v>
      </c>
      <c r="K22" s="56">
        <v>359.54</v>
      </c>
      <c r="L22" s="56">
        <v>38.57</v>
      </c>
      <c r="M22" s="56">
        <v>17.37</v>
      </c>
      <c r="N22" s="56">
        <v>567.9</v>
      </c>
      <c r="O22" s="56">
        <v>0</v>
      </c>
      <c r="P22" s="56">
        <v>0.55000000000000004</v>
      </c>
      <c r="Q22" s="56">
        <v>5</v>
      </c>
      <c r="R22" s="42"/>
      <c r="S22" s="42"/>
      <c r="T22" s="42"/>
      <c r="U22" s="42"/>
    </row>
    <row r="23" spans="1:21" s="11" customFormat="1">
      <c r="A23" s="55" t="s">
        <v>540</v>
      </c>
      <c r="B23" s="56">
        <v>7.04</v>
      </c>
      <c r="C23" s="56">
        <v>44.45</v>
      </c>
      <c r="D23" s="56">
        <v>30.22</v>
      </c>
      <c r="E23" s="56">
        <v>28.13</v>
      </c>
      <c r="F23" s="56">
        <v>44.31</v>
      </c>
      <c r="G23" s="56">
        <v>64.83</v>
      </c>
      <c r="H23" s="56">
        <v>23.29</v>
      </c>
      <c r="I23" s="56">
        <v>0</v>
      </c>
      <c r="J23" s="56">
        <v>1.1399999999999999</v>
      </c>
      <c r="K23" s="56">
        <v>337.42</v>
      </c>
      <c r="L23" s="56">
        <v>39.26</v>
      </c>
      <c r="M23" s="56">
        <v>15.7</v>
      </c>
      <c r="N23" s="56">
        <v>583.6</v>
      </c>
      <c r="O23" s="56">
        <v>0</v>
      </c>
      <c r="P23" s="56">
        <v>0.62</v>
      </c>
      <c r="Q23" s="56">
        <v>5</v>
      </c>
      <c r="R23" s="42"/>
      <c r="S23" s="42"/>
      <c r="T23" s="42"/>
      <c r="U23" s="42"/>
    </row>
    <row r="24" spans="1:21" s="11" customFormat="1">
      <c r="A24" s="55" t="s">
        <v>541</v>
      </c>
      <c r="B24" s="56">
        <v>8.65</v>
      </c>
      <c r="C24" s="56">
        <v>48.38</v>
      </c>
      <c r="D24" s="56">
        <v>33.020000000000003</v>
      </c>
      <c r="E24" s="56">
        <v>15.81</v>
      </c>
      <c r="F24" s="56">
        <v>36.68</v>
      </c>
      <c r="G24" s="56">
        <v>57.61</v>
      </c>
      <c r="H24" s="56">
        <v>23.6</v>
      </c>
      <c r="I24" s="56">
        <v>0</v>
      </c>
      <c r="J24" s="56">
        <v>1.48</v>
      </c>
      <c r="K24" s="56">
        <v>56.29</v>
      </c>
      <c r="L24" s="56">
        <v>38.57</v>
      </c>
      <c r="M24" s="56">
        <v>15.95</v>
      </c>
      <c r="N24" s="56">
        <v>463.4</v>
      </c>
      <c r="O24" s="56">
        <v>0</v>
      </c>
      <c r="P24" s="56">
        <v>0.61</v>
      </c>
      <c r="Q24" s="56">
        <v>4.92</v>
      </c>
      <c r="R24" s="42"/>
      <c r="S24" s="42"/>
      <c r="T24" s="42"/>
      <c r="U24" s="42"/>
    </row>
    <row r="25" spans="1:21" s="11" customFormat="1">
      <c r="A25" s="55" t="s">
        <v>542</v>
      </c>
      <c r="B25" s="56">
        <v>7.96</v>
      </c>
      <c r="C25" s="56">
        <v>54.41</v>
      </c>
      <c r="D25" s="56">
        <v>35.76</v>
      </c>
      <c r="E25" s="56">
        <v>22.21</v>
      </c>
      <c r="F25" s="56">
        <v>37.200000000000003</v>
      </c>
      <c r="G25" s="56">
        <v>54.24</v>
      </c>
      <c r="H25" s="56">
        <v>23.6</v>
      </c>
      <c r="I25" s="56">
        <v>0</v>
      </c>
      <c r="J25" s="56">
        <v>1.55</v>
      </c>
      <c r="K25" s="56">
        <v>65.37</v>
      </c>
      <c r="L25" s="56">
        <v>38.49</v>
      </c>
      <c r="M25" s="56">
        <v>14.8</v>
      </c>
      <c r="N25" s="56">
        <v>329.6</v>
      </c>
      <c r="O25" s="56">
        <v>0</v>
      </c>
      <c r="P25" s="56">
        <v>0.59</v>
      </c>
      <c r="Q25" s="56">
        <v>4.55</v>
      </c>
      <c r="R25" s="42"/>
      <c r="S25" s="42"/>
      <c r="T25" s="42"/>
      <c r="U25" s="42"/>
    </row>
    <row r="26" spans="1:21" s="11" customFormat="1">
      <c r="A26" s="55" t="s">
        <v>543</v>
      </c>
      <c r="B26" s="56">
        <v>14.52</v>
      </c>
      <c r="C26" s="56">
        <v>65.58</v>
      </c>
      <c r="D26" s="56">
        <v>47.26</v>
      </c>
      <c r="E26" s="56">
        <v>34.799999999999997</v>
      </c>
      <c r="F26" s="56">
        <v>33.130000000000003</v>
      </c>
      <c r="G26" s="56">
        <v>53.75</v>
      </c>
      <c r="H26" s="56">
        <v>21.93</v>
      </c>
      <c r="I26" s="56">
        <v>0</v>
      </c>
      <c r="J26" s="56">
        <v>1.17</v>
      </c>
      <c r="K26" s="56">
        <v>75.14</v>
      </c>
      <c r="L26" s="56">
        <v>37.409999999999997</v>
      </c>
      <c r="M26" s="56">
        <v>18.23</v>
      </c>
      <c r="N26" s="56">
        <v>134.4</v>
      </c>
      <c r="O26" s="56">
        <v>0</v>
      </c>
      <c r="P26" s="56">
        <v>0.65</v>
      </c>
      <c r="Q26" s="56">
        <v>4.92</v>
      </c>
      <c r="R26" s="42"/>
      <c r="S26" s="42"/>
      <c r="T26" s="42"/>
      <c r="U26" s="42"/>
    </row>
    <row r="27" spans="1:21" s="11" customFormat="1">
      <c r="A27" s="55" t="s">
        <v>544</v>
      </c>
      <c r="B27" s="56">
        <v>13.43</v>
      </c>
      <c r="C27" s="56">
        <v>64.099999999999994</v>
      </c>
      <c r="D27" s="56">
        <v>43.68</v>
      </c>
      <c r="E27" s="56">
        <v>30.14</v>
      </c>
      <c r="F27" s="56">
        <v>17.29</v>
      </c>
      <c r="G27" s="56">
        <v>59.71</v>
      </c>
      <c r="H27" s="56">
        <v>18.78</v>
      </c>
      <c r="I27" s="56">
        <v>0</v>
      </c>
      <c r="J27" s="56">
        <v>1.08</v>
      </c>
      <c r="K27" s="56">
        <v>74.08</v>
      </c>
      <c r="L27" s="56">
        <v>35.24</v>
      </c>
      <c r="M27" s="56">
        <v>22.11</v>
      </c>
      <c r="N27" s="56">
        <v>0</v>
      </c>
      <c r="O27" s="56">
        <v>0</v>
      </c>
      <c r="P27" s="56">
        <v>0.71</v>
      </c>
      <c r="Q27" s="56">
        <v>5.0599999999999996</v>
      </c>
      <c r="R27" s="42"/>
      <c r="S27" s="42"/>
      <c r="T27" s="42"/>
      <c r="U27" s="42"/>
    </row>
    <row r="28" spans="1:21" s="11" customFormat="1">
      <c r="A28" s="55" t="s">
        <v>545</v>
      </c>
      <c r="B28" s="56">
        <v>12.58</v>
      </c>
      <c r="C28" s="56">
        <v>50.09</v>
      </c>
      <c r="D28" s="56">
        <v>35.770000000000003</v>
      </c>
      <c r="E28" s="56">
        <v>14.86</v>
      </c>
      <c r="F28" s="56">
        <v>36.4</v>
      </c>
      <c r="G28" s="56">
        <v>60.04</v>
      </c>
      <c r="H28" s="56">
        <v>20.059999999999999</v>
      </c>
      <c r="I28" s="56">
        <v>0</v>
      </c>
      <c r="J28" s="56">
        <v>1.36</v>
      </c>
      <c r="K28" s="56">
        <v>71.09</v>
      </c>
      <c r="L28" s="56">
        <v>33.54</v>
      </c>
      <c r="M28" s="56">
        <v>23.6</v>
      </c>
      <c r="N28" s="56">
        <v>0</v>
      </c>
      <c r="O28" s="56">
        <v>0</v>
      </c>
      <c r="P28" s="56">
        <v>0.56000000000000005</v>
      </c>
      <c r="Q28" s="56">
        <v>4.99</v>
      </c>
      <c r="R28" s="42"/>
      <c r="S28" s="42"/>
      <c r="T28" s="42"/>
      <c r="U28" s="42"/>
    </row>
    <row r="29" spans="1:21" s="11" customFormat="1">
      <c r="A29" s="55" t="s">
        <v>546</v>
      </c>
      <c r="B29" s="56">
        <v>13.35</v>
      </c>
      <c r="C29" s="56">
        <v>38.42</v>
      </c>
      <c r="D29" s="56">
        <v>31.82</v>
      </c>
      <c r="E29" s="56">
        <v>17.100000000000001</v>
      </c>
      <c r="F29" s="56">
        <v>39.840000000000003</v>
      </c>
      <c r="G29" s="56">
        <v>58.89</v>
      </c>
      <c r="H29" s="56">
        <v>20.059999999999999</v>
      </c>
      <c r="I29" s="56">
        <v>0</v>
      </c>
      <c r="J29" s="56">
        <v>1.47</v>
      </c>
      <c r="K29" s="56">
        <v>51.75</v>
      </c>
      <c r="L29" s="56">
        <v>32.61</v>
      </c>
      <c r="M29" s="56">
        <v>28.62</v>
      </c>
      <c r="N29" s="56">
        <v>0</v>
      </c>
      <c r="O29" s="56">
        <v>0</v>
      </c>
      <c r="P29" s="56">
        <v>0.49</v>
      </c>
      <c r="Q29" s="56">
        <v>5</v>
      </c>
      <c r="R29" s="42"/>
      <c r="S29" s="42"/>
      <c r="T29" s="42"/>
      <c r="U29" s="42"/>
    </row>
    <row r="30" spans="1:21" s="11" customFormat="1">
      <c r="A30" s="55" t="s">
        <v>547</v>
      </c>
      <c r="B30" s="56">
        <v>8.19</v>
      </c>
      <c r="C30" s="56">
        <v>39.72</v>
      </c>
      <c r="D30" s="56">
        <v>28.49</v>
      </c>
      <c r="E30" s="56">
        <v>12.92</v>
      </c>
      <c r="F30" s="56">
        <v>19.98</v>
      </c>
      <c r="G30" s="56">
        <v>63.44</v>
      </c>
      <c r="H30" s="56">
        <v>19.34</v>
      </c>
      <c r="I30" s="56">
        <v>0</v>
      </c>
      <c r="J30" s="56">
        <v>2.41</v>
      </c>
      <c r="K30" s="56">
        <v>299.58</v>
      </c>
      <c r="L30" s="56">
        <v>31.14</v>
      </c>
      <c r="M30" s="56">
        <v>35.130000000000003</v>
      </c>
      <c r="N30" s="56">
        <v>0</v>
      </c>
      <c r="O30" s="56">
        <v>0</v>
      </c>
      <c r="P30" s="56">
        <v>0.46</v>
      </c>
      <c r="Q30" s="56">
        <v>5</v>
      </c>
      <c r="R30" s="42"/>
      <c r="S30" s="42"/>
      <c r="T30" s="42"/>
      <c r="U30" s="42"/>
    </row>
    <row r="31" spans="1:21" s="11" customFormat="1">
      <c r="A31" s="55" t="s">
        <v>548</v>
      </c>
      <c r="B31" s="56">
        <v>5.92</v>
      </c>
      <c r="C31" s="56">
        <v>32.79</v>
      </c>
      <c r="D31" s="56">
        <v>22.33</v>
      </c>
      <c r="E31" s="56">
        <v>8.77</v>
      </c>
      <c r="F31" s="56">
        <v>65.099999999999994</v>
      </c>
      <c r="G31" s="56">
        <v>70.97</v>
      </c>
      <c r="H31" s="56">
        <v>19.34</v>
      </c>
      <c r="I31" s="56">
        <v>0</v>
      </c>
      <c r="J31" s="56">
        <v>1.32</v>
      </c>
      <c r="K31" s="56">
        <v>321.63</v>
      </c>
      <c r="L31" s="56">
        <v>29.21</v>
      </c>
      <c r="M31" s="56">
        <v>39.96</v>
      </c>
      <c r="N31" s="56">
        <v>0</v>
      </c>
      <c r="O31" s="56">
        <v>0</v>
      </c>
      <c r="P31" s="56">
        <v>0.42</v>
      </c>
      <c r="Q31" s="56">
        <v>5</v>
      </c>
      <c r="R31" s="42"/>
      <c r="S31" s="42"/>
      <c r="T31" s="42"/>
      <c r="U31" s="42"/>
    </row>
    <row r="32" spans="1:21" s="11" customFormat="1">
      <c r="A32" s="55" t="s">
        <v>549</v>
      </c>
      <c r="B32" s="56">
        <v>7.14</v>
      </c>
      <c r="C32" s="56">
        <v>41.06</v>
      </c>
      <c r="D32" s="56">
        <v>27.2</v>
      </c>
      <c r="E32" s="56">
        <v>9.24</v>
      </c>
      <c r="F32" s="56">
        <v>23.55</v>
      </c>
      <c r="G32" s="56">
        <v>71.31</v>
      </c>
      <c r="H32" s="56">
        <v>19.46</v>
      </c>
      <c r="I32" s="56">
        <v>0</v>
      </c>
      <c r="J32" s="56">
        <v>2.63</v>
      </c>
      <c r="K32" s="56">
        <v>304.23</v>
      </c>
      <c r="L32" s="56">
        <v>28.92</v>
      </c>
      <c r="M32" s="56">
        <v>57.81</v>
      </c>
      <c r="N32" s="56">
        <v>0</v>
      </c>
      <c r="O32" s="56">
        <v>0</v>
      </c>
      <c r="P32" s="56">
        <v>0.54</v>
      </c>
      <c r="Q32" s="56">
        <v>5</v>
      </c>
      <c r="R32" s="42"/>
      <c r="S32" s="42"/>
      <c r="T32" s="42"/>
      <c r="U32" s="42"/>
    </row>
    <row r="33" spans="1:21" s="21" customFormat="1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>
      <c r="A34" s="27" t="s">
        <v>30</v>
      </c>
      <c r="B34" s="28">
        <f t="shared" ref="B34:Q34" si="0">MIN(B9:B32)</f>
        <v>5.82</v>
      </c>
      <c r="C34" s="28">
        <f t="shared" si="0"/>
        <v>26.19</v>
      </c>
      <c r="D34" s="28">
        <f t="shared" si="0"/>
        <v>21.97</v>
      </c>
      <c r="E34" s="28">
        <f t="shared" si="0"/>
        <v>7.64</v>
      </c>
      <c r="F34" s="28">
        <f t="shared" si="0"/>
        <v>7.96</v>
      </c>
      <c r="G34" s="28">
        <f t="shared" si="0"/>
        <v>43.39</v>
      </c>
      <c r="H34" s="28">
        <f>MIN(H9:H32)</f>
        <v>18.78</v>
      </c>
      <c r="I34" s="28">
        <f t="shared" si="0"/>
        <v>0</v>
      </c>
      <c r="J34" s="28">
        <f t="shared" si="0"/>
        <v>0.15</v>
      </c>
      <c r="K34" s="28">
        <f t="shared" si="0"/>
        <v>51.75</v>
      </c>
      <c r="L34" s="28">
        <f t="shared" si="0"/>
        <v>28.53</v>
      </c>
      <c r="M34" s="28">
        <f t="shared" si="0"/>
        <v>14.8</v>
      </c>
      <c r="N34" s="28">
        <f t="shared" si="0"/>
        <v>0</v>
      </c>
      <c r="O34" s="28">
        <f t="shared" si="0"/>
        <v>0</v>
      </c>
      <c r="P34" s="28">
        <f t="shared" si="0"/>
        <v>0.41</v>
      </c>
      <c r="Q34" s="28">
        <f t="shared" si="0"/>
        <v>4.55</v>
      </c>
      <c r="R34" s="28"/>
      <c r="S34" s="28"/>
      <c r="T34" s="28"/>
      <c r="U34" s="28"/>
    </row>
    <row r="35" spans="1:21" s="21" customFormat="1">
      <c r="A35" s="27" t="s">
        <v>31</v>
      </c>
      <c r="B35" s="29">
        <f t="shared" ref="B35:Q35" si="1">MAX(B9:B32)</f>
        <v>14.52</v>
      </c>
      <c r="C35" s="29">
        <f t="shared" si="1"/>
        <v>66.209999999999994</v>
      </c>
      <c r="D35" s="29">
        <f t="shared" si="1"/>
        <v>47.26</v>
      </c>
      <c r="E35" s="29">
        <f t="shared" si="1"/>
        <v>36.229999999999997</v>
      </c>
      <c r="F35" s="29">
        <f t="shared" si="1"/>
        <v>65.099999999999994</v>
      </c>
      <c r="G35" s="29">
        <f>MAX(G9:G32)</f>
        <v>112.81</v>
      </c>
      <c r="H35" s="29">
        <f>MAX(H9:H32)</f>
        <v>38.159999999999997</v>
      </c>
      <c r="I35" s="29">
        <f t="shared" si="1"/>
        <v>0</v>
      </c>
      <c r="J35" s="29">
        <f t="shared" si="1"/>
        <v>2.74</v>
      </c>
      <c r="K35" s="29">
        <f t="shared" si="1"/>
        <v>359.54</v>
      </c>
      <c r="L35" s="29">
        <f t="shared" si="1"/>
        <v>39.26</v>
      </c>
      <c r="M35" s="29">
        <f t="shared" si="1"/>
        <v>57.81</v>
      </c>
      <c r="N35" s="29">
        <f t="shared" si="1"/>
        <v>599.5</v>
      </c>
      <c r="O35" s="29">
        <f t="shared" si="1"/>
        <v>0</v>
      </c>
      <c r="P35" s="29">
        <f t="shared" si="1"/>
        <v>0.82</v>
      </c>
      <c r="Q35" s="29">
        <f t="shared" si="1"/>
        <v>5.0599999999999996</v>
      </c>
      <c r="R35" s="29"/>
      <c r="S35" s="29"/>
      <c r="T35" s="29"/>
      <c r="U35" s="29"/>
    </row>
    <row r="36" spans="1:21" s="21" customFormat="1">
      <c r="A36" s="27" t="s">
        <v>32</v>
      </c>
      <c r="B36" s="28">
        <f t="shared" ref="B36:Q36" si="2">AVERAGE(B9:B32)</f>
        <v>8.7895833333333346</v>
      </c>
      <c r="C36" s="28">
        <f t="shared" si="2"/>
        <v>44.701249999999995</v>
      </c>
      <c r="D36" s="28">
        <f t="shared" si="2"/>
        <v>31.31958333333333</v>
      </c>
      <c r="E36" s="28">
        <f t="shared" si="2"/>
        <v>16.827916666666667</v>
      </c>
      <c r="F36" s="28">
        <f t="shared" si="2"/>
        <v>33.049166666666665</v>
      </c>
      <c r="G36" s="28">
        <f t="shared" si="2"/>
        <v>63.932083333333338</v>
      </c>
      <c r="H36" s="28">
        <f>AVERAGE(H9:H32)</f>
        <v>25.397916666666671</v>
      </c>
      <c r="I36" s="28">
        <f t="shared" si="2"/>
        <v>0</v>
      </c>
      <c r="J36" s="28">
        <f t="shared" si="2"/>
        <v>1.3745833333333335</v>
      </c>
      <c r="K36" s="28">
        <f t="shared" si="2"/>
        <v>233.8983333333334</v>
      </c>
      <c r="L36" s="28">
        <f t="shared" si="2"/>
        <v>33.077083333333334</v>
      </c>
      <c r="M36" s="28">
        <f t="shared" si="2"/>
        <v>29.554166666666664</v>
      </c>
      <c r="N36" s="28">
        <f t="shared" si="2"/>
        <v>193.0958333333333</v>
      </c>
      <c r="O36" s="28">
        <f t="shared" si="2"/>
        <v>0</v>
      </c>
      <c r="P36" s="28">
        <f t="shared" si="2"/>
        <v>0.58625000000000005</v>
      </c>
      <c r="Q36" s="28">
        <f t="shared" si="2"/>
        <v>4.9545833333333329</v>
      </c>
      <c r="R36" s="28"/>
      <c r="S36" s="28"/>
      <c r="T36" s="28"/>
      <c r="U36" s="28"/>
    </row>
    <row r="37" spans="1:21" s="21" customFormat="1">
      <c r="A37" s="27" t="s">
        <v>38</v>
      </c>
      <c r="B37" s="28">
        <f>STDEV(B9:B32)</f>
        <v>2.4817463682318288</v>
      </c>
      <c r="C37" s="28">
        <f t="shared" ref="C37:Q37" si="3">STDEV(C9:C32)</f>
        <v>12.241539514044515</v>
      </c>
      <c r="D37" s="28">
        <f t="shared" si="3"/>
        <v>7.4338833430429414</v>
      </c>
      <c r="E37" s="28">
        <f t="shared" si="3"/>
        <v>8.2710059212453277</v>
      </c>
      <c r="F37" s="28">
        <f t="shared" si="3"/>
        <v>16.214084837000502</v>
      </c>
      <c r="G37" s="28">
        <f t="shared" si="3"/>
        <v>13.698062693606389</v>
      </c>
      <c r="H37" s="28">
        <f>STDEV(H9:H32)</f>
        <v>4.9916321101607872</v>
      </c>
      <c r="I37" s="28">
        <f t="shared" si="3"/>
        <v>0</v>
      </c>
      <c r="J37" s="28">
        <f t="shared" si="3"/>
        <v>0.75924435641868493</v>
      </c>
      <c r="K37" s="28">
        <f t="shared" si="3"/>
        <v>106.66572904932103</v>
      </c>
      <c r="L37" s="28">
        <f t="shared" si="3"/>
        <v>3.9098187205465251</v>
      </c>
      <c r="M37" s="28">
        <f t="shared" si="3"/>
        <v>10.60103929140776</v>
      </c>
      <c r="N37" s="28">
        <f t="shared" si="3"/>
        <v>243.59764666380693</v>
      </c>
      <c r="O37" s="28">
        <f t="shared" si="3"/>
        <v>0</v>
      </c>
      <c r="P37" s="28">
        <f t="shared" si="3"/>
        <v>0.12324639513204248</v>
      </c>
      <c r="Q37" s="28">
        <f t="shared" si="3"/>
        <v>0.11839429946129654</v>
      </c>
      <c r="R37" s="28"/>
      <c r="S37" s="28"/>
      <c r="T37" s="28"/>
      <c r="U37" s="28"/>
    </row>
    <row r="38" spans="1:21" s="21" customFormat="1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>COUNT(F9:F32)</f>
        <v>24</v>
      </c>
      <c r="G38" s="32">
        <f>COUNT(G9:G32)</f>
        <v>24</v>
      </c>
      <c r="H38" s="32">
        <f>COUNT(H9:H32)</f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>
      <c r="A42" s="13"/>
    </row>
    <row r="43" spans="1:21" s="21" customFormat="1">
      <c r="A43" s="14" t="s">
        <v>35</v>
      </c>
      <c r="B43" s="39" t="s">
        <v>58</v>
      </c>
      <c r="C43" s="41"/>
    </row>
    <row r="44" spans="1:21" s="21" customFormat="1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0"/>
      <c r="C45" s="40"/>
      <c r="D45" s="40"/>
      <c r="E45" s="40"/>
      <c r="F45" s="40"/>
      <c r="G45" s="40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</row>
    <row r="46" spans="1:21" s="21" customFormat="1"/>
    <row r="47" spans="1:21" s="21" customFormat="1"/>
    <row r="48" spans="1:21" s="21" customFormat="1"/>
    <row r="49" s="21" customFormat="1"/>
    <row r="50" s="21" customFormat="1"/>
    <row r="51" s="21" customFormat="1"/>
    <row r="52" s="21" customFormat="1"/>
    <row r="53" s="21" customFormat="1"/>
    <row r="54" s="21" customFormat="1"/>
    <row r="55" s="21" customFormat="1"/>
    <row r="56" s="21" customFormat="1"/>
    <row r="57" s="21" customFormat="1"/>
    <row r="58" s="21" customFormat="1"/>
    <row r="59" s="21" customFormat="1"/>
    <row r="60" s="21" customFormat="1"/>
    <row r="61" s="21" customFormat="1"/>
    <row r="62" s="21" customFormat="1"/>
    <row r="63" s="21" customFormat="1"/>
    <row r="64" s="21" customFormat="1"/>
    <row r="65" s="21" customFormat="1"/>
    <row r="66" s="21" customFormat="1"/>
    <row r="67" s="21" customFormat="1"/>
    <row r="68" s="21" customFormat="1"/>
    <row r="69" s="21" customFormat="1"/>
    <row r="70" s="21" customFormat="1"/>
    <row r="71" s="21" customFormat="1"/>
    <row r="72" s="21" customFormat="1"/>
    <row r="73" s="21" customFormat="1"/>
    <row r="74" s="21" customFormat="1"/>
    <row r="75" s="21" customFormat="1"/>
    <row r="76" s="21" customFormat="1"/>
    <row r="77" s="21" customFormat="1"/>
    <row r="78" s="21" customFormat="1"/>
    <row r="79" s="21" customFormat="1"/>
    <row r="80" s="21" customFormat="1"/>
    <row r="81" s="21" customFormat="1"/>
    <row r="82" s="21" customFormat="1"/>
    <row r="83" s="21" customFormat="1"/>
    <row r="84" s="21" customFormat="1"/>
    <row r="85" s="21" customFormat="1"/>
    <row r="86" s="21" customFormat="1"/>
    <row r="87" s="21" customFormat="1"/>
    <row r="88" s="21" customFormat="1"/>
    <row r="89" s="21" customFormat="1"/>
    <row r="90" s="21" customFormat="1"/>
    <row r="91" s="21" customFormat="1"/>
    <row r="92" s="21" customFormat="1"/>
    <row r="93" s="21" customFormat="1"/>
    <row r="94" s="21" customFormat="1"/>
    <row r="95" s="21" customFormat="1"/>
    <row r="96" s="21" customFormat="1"/>
    <row r="97" spans="1:1" s="21" customFormat="1"/>
    <row r="98" spans="1:1" s="21" customFormat="1"/>
    <row r="99" spans="1:1" s="21" customFormat="1"/>
    <row r="100" spans="1:1" s="21" customFormat="1"/>
    <row r="101" spans="1:1" s="21" customFormat="1"/>
    <row r="102" spans="1:1" s="21" customFormat="1"/>
    <row r="103" spans="1:1" s="21" customFormat="1"/>
    <row r="104" spans="1:1" s="21" customFormat="1"/>
    <row r="105" spans="1:1" s="21" customFormat="1"/>
    <row r="106" spans="1:1">
      <c r="A106" s="20"/>
    </row>
    <row r="107" spans="1:1" s="21" customFormat="1"/>
    <row r="108" spans="1:1" s="21" customFormat="1"/>
    <row r="109" spans="1:1" s="21" customFormat="1"/>
    <row r="110" spans="1:1" s="21" customFormat="1"/>
    <row r="111" spans="1:1" s="21" customFormat="1"/>
    <row r="112" spans="1:1" s="21" customFormat="1"/>
    <row r="113" spans="1:1" s="21" customFormat="1"/>
    <row r="114" spans="1:1" s="21" customFormat="1"/>
    <row r="115" spans="1:1" s="21" customFormat="1"/>
    <row r="116" spans="1:1" s="21" customFormat="1"/>
    <row r="117" spans="1:1" s="21" customFormat="1"/>
    <row r="118" spans="1:1">
      <c r="A118" s="20"/>
    </row>
    <row r="119" spans="1:1">
      <c r="A119" s="20"/>
    </row>
  </sheetData>
  <dataConsolidate/>
  <pageMargins left="0.7" right="0.7" top="0.75" bottom="0.75" header="0.3" footer="0.3"/>
  <pageSetup paperSize="9" orientation="portrait" horizontalDpi="300" verticalDpi="300" r:id="rId1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1" ySplit="8" topLeftCell="B30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A9" sqref="A9:Q32"/>
    </sheetView>
  </sheetViews>
  <sheetFormatPr defaultColWidth="8.85546875" defaultRowHeight="1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>
      <c r="A1" s="14" t="s">
        <v>2</v>
      </c>
      <c r="B1" s="23" t="s">
        <v>55</v>
      </c>
      <c r="C1" s="36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>
      <c r="A2" s="14" t="s">
        <v>0</v>
      </c>
      <c r="B2" s="37" t="str">
        <f>$A$9</f>
        <v>21/04/2023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8" t="s">
        <v>7</v>
      </c>
      <c r="Q2" s="12"/>
      <c r="R2" s="8" t="s">
        <v>8</v>
      </c>
      <c r="S2" s="11"/>
      <c r="T2" s="11"/>
      <c r="U2" s="11"/>
    </row>
    <row r="3" spans="1:21" s="21" customFormat="1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8" t="s">
        <v>15</v>
      </c>
      <c r="Q3" s="12"/>
      <c r="R3" s="9" t="s">
        <v>15</v>
      </c>
      <c r="S3" s="11"/>
      <c r="T3" s="11"/>
      <c r="U3" s="11"/>
    </row>
    <row r="4" spans="1:21" s="21" customFormat="1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>
      <c r="A7" s="25" t="s">
        <v>21</v>
      </c>
      <c r="B7" s="48" t="s">
        <v>40</v>
      </c>
      <c r="C7" s="49" t="s">
        <v>41</v>
      </c>
      <c r="D7" s="49" t="s">
        <v>42</v>
      </c>
      <c r="E7" s="49" t="s">
        <v>43</v>
      </c>
      <c r="F7" s="49" t="s">
        <v>44</v>
      </c>
      <c r="G7" s="49" t="s">
        <v>45</v>
      </c>
      <c r="H7" s="49" t="s">
        <v>56</v>
      </c>
      <c r="I7" s="49" t="s">
        <v>46</v>
      </c>
      <c r="J7" s="49" t="s">
        <v>47</v>
      </c>
      <c r="K7" s="49" t="s">
        <v>48</v>
      </c>
      <c r="L7" s="49" t="s">
        <v>49</v>
      </c>
      <c r="M7" s="49" t="s">
        <v>50</v>
      </c>
      <c r="N7" s="49" t="s">
        <v>51</v>
      </c>
      <c r="O7" s="49" t="s">
        <v>52</v>
      </c>
      <c r="P7" s="49" t="s">
        <v>53</v>
      </c>
      <c r="Q7" s="49" t="s">
        <v>54</v>
      </c>
      <c r="R7" s="27"/>
      <c r="S7" s="29"/>
      <c r="T7" s="27"/>
      <c r="U7" s="27"/>
    </row>
    <row r="8" spans="1:21" s="21" customFormat="1">
      <c r="A8" s="25"/>
      <c r="B8" s="50" t="s">
        <v>22</v>
      </c>
      <c r="C8" s="50" t="s">
        <v>22</v>
      </c>
      <c r="D8" s="50" t="s">
        <v>22</v>
      </c>
      <c r="E8" s="50" t="s">
        <v>22</v>
      </c>
      <c r="F8" s="50" t="s">
        <v>22</v>
      </c>
      <c r="G8" s="50" t="s">
        <v>23</v>
      </c>
      <c r="H8" s="50" t="s">
        <v>22</v>
      </c>
      <c r="I8" s="50" t="s">
        <v>22</v>
      </c>
      <c r="J8" s="50" t="s">
        <v>24</v>
      </c>
      <c r="K8" s="50" t="s">
        <v>25</v>
      </c>
      <c r="L8" s="25" t="s">
        <v>27</v>
      </c>
      <c r="M8" s="50" t="s">
        <v>26</v>
      </c>
      <c r="N8" s="50" t="s">
        <v>28</v>
      </c>
      <c r="O8" s="25" t="s">
        <v>29</v>
      </c>
      <c r="P8" s="50" t="s">
        <v>22</v>
      </c>
      <c r="Q8" s="50" t="s">
        <v>22</v>
      </c>
      <c r="R8" s="27"/>
      <c r="S8" s="29"/>
      <c r="T8" s="27"/>
      <c r="U8" s="27"/>
    </row>
    <row r="9" spans="1:21" s="11" customFormat="1">
      <c r="A9" s="55" t="s">
        <v>550</v>
      </c>
      <c r="B9" s="56">
        <v>7.55</v>
      </c>
      <c r="C9" s="56">
        <v>49.58</v>
      </c>
      <c r="D9" s="56">
        <v>33.31</v>
      </c>
      <c r="E9" s="56">
        <v>7.8</v>
      </c>
      <c r="F9" s="56">
        <v>6.57</v>
      </c>
      <c r="G9" s="56">
        <v>61.15</v>
      </c>
      <c r="H9" s="56">
        <v>19.46</v>
      </c>
      <c r="I9" s="56">
        <v>0</v>
      </c>
      <c r="J9" s="56">
        <v>1.44</v>
      </c>
      <c r="K9" s="56">
        <v>288.02</v>
      </c>
      <c r="L9" s="56">
        <v>25.5</v>
      </c>
      <c r="M9" s="56">
        <v>63.76</v>
      </c>
      <c r="N9" s="56">
        <v>0</v>
      </c>
      <c r="O9" s="56">
        <v>0</v>
      </c>
      <c r="P9" s="56">
        <v>0.57999999999999996</v>
      </c>
      <c r="Q9" s="56">
        <v>5</v>
      </c>
      <c r="R9" s="42"/>
      <c r="S9" s="42"/>
      <c r="T9" s="42"/>
      <c r="U9" s="42"/>
    </row>
    <row r="10" spans="1:21" s="11" customFormat="1">
      <c r="A10" s="55" t="s">
        <v>551</v>
      </c>
      <c r="B10" s="56">
        <v>8.77</v>
      </c>
      <c r="C10" s="56">
        <v>57.26</v>
      </c>
      <c r="D10" s="56">
        <v>38.299999999999997</v>
      </c>
      <c r="E10" s="56">
        <v>7.09</v>
      </c>
      <c r="F10" s="56">
        <v>6.65</v>
      </c>
      <c r="G10" s="56">
        <v>48.46</v>
      </c>
      <c r="H10" s="56">
        <v>15.95</v>
      </c>
      <c r="I10" s="56">
        <v>0</v>
      </c>
      <c r="J10" s="56">
        <v>1.42</v>
      </c>
      <c r="K10" s="56">
        <v>353.62</v>
      </c>
      <c r="L10" s="56">
        <v>25.65</v>
      </c>
      <c r="M10" s="56">
        <v>59.47</v>
      </c>
      <c r="N10" s="56">
        <v>0</v>
      </c>
      <c r="O10" s="56">
        <v>0</v>
      </c>
      <c r="P10" s="56">
        <v>0.57999999999999996</v>
      </c>
      <c r="Q10" s="56">
        <v>4.8</v>
      </c>
      <c r="R10" s="42"/>
      <c r="S10" s="42"/>
      <c r="T10" s="42"/>
      <c r="U10" s="42"/>
    </row>
    <row r="11" spans="1:21" s="11" customFormat="1">
      <c r="A11" s="55" t="s">
        <v>552</v>
      </c>
      <c r="B11" s="56">
        <v>11.21</v>
      </c>
      <c r="C11" s="56">
        <v>60.98</v>
      </c>
      <c r="D11" s="56">
        <v>42.2</v>
      </c>
      <c r="E11" s="56">
        <v>10.5</v>
      </c>
      <c r="F11" s="56">
        <v>5.69</v>
      </c>
      <c r="G11" s="56">
        <v>49.55</v>
      </c>
      <c r="H11" s="56">
        <v>14.97</v>
      </c>
      <c r="I11" s="56">
        <v>0</v>
      </c>
      <c r="J11" s="56">
        <v>1.52</v>
      </c>
      <c r="K11" s="56">
        <v>339.24</v>
      </c>
      <c r="L11" s="56">
        <v>25.09</v>
      </c>
      <c r="M11" s="56">
        <v>63.06</v>
      </c>
      <c r="N11" s="56">
        <v>0</v>
      </c>
      <c r="O11" s="56">
        <v>0</v>
      </c>
      <c r="P11" s="56">
        <v>0.61</v>
      </c>
      <c r="Q11" s="56">
        <v>4.78</v>
      </c>
      <c r="R11" s="42"/>
      <c r="S11" s="42"/>
      <c r="T11" s="42"/>
      <c r="U11" s="42"/>
    </row>
    <row r="12" spans="1:21" s="11" customFormat="1">
      <c r="A12" s="55" t="s">
        <v>553</v>
      </c>
      <c r="B12" s="56">
        <v>14.7</v>
      </c>
      <c r="C12" s="56">
        <v>68.31</v>
      </c>
      <c r="D12" s="56">
        <v>48.83</v>
      </c>
      <c r="E12" s="56">
        <v>12.13</v>
      </c>
      <c r="F12" s="56">
        <v>4.78</v>
      </c>
      <c r="G12" s="56">
        <v>53.47</v>
      </c>
      <c r="H12" s="56">
        <v>17.2</v>
      </c>
      <c r="I12" s="56">
        <v>0</v>
      </c>
      <c r="J12" s="56">
        <v>0.86</v>
      </c>
      <c r="K12" s="56">
        <v>279.95</v>
      </c>
      <c r="L12" s="56">
        <v>25.07</v>
      </c>
      <c r="M12" s="56">
        <v>60.32</v>
      </c>
      <c r="N12" s="56">
        <v>0</v>
      </c>
      <c r="O12" s="56">
        <v>0</v>
      </c>
      <c r="P12" s="56">
        <v>0.66</v>
      </c>
      <c r="Q12" s="56">
        <v>5.19</v>
      </c>
      <c r="R12" s="42"/>
      <c r="S12" s="42"/>
      <c r="T12" s="42"/>
      <c r="U12" s="42"/>
    </row>
    <row r="13" spans="1:21" s="11" customFormat="1">
      <c r="A13" s="55" t="s">
        <v>554</v>
      </c>
      <c r="B13" s="56">
        <v>15.1</v>
      </c>
      <c r="C13" s="56">
        <v>62.32</v>
      </c>
      <c r="D13" s="56">
        <v>46.02</v>
      </c>
      <c r="E13" s="56">
        <v>26.47</v>
      </c>
      <c r="F13" s="56">
        <v>19.04</v>
      </c>
      <c r="G13" s="56">
        <v>60.33</v>
      </c>
      <c r="H13" s="56">
        <v>20.91</v>
      </c>
      <c r="I13" s="56">
        <v>0</v>
      </c>
      <c r="J13" s="56">
        <v>0.99</v>
      </c>
      <c r="K13" s="56">
        <v>299.98</v>
      </c>
      <c r="L13" s="56">
        <v>25.11</v>
      </c>
      <c r="M13" s="56">
        <v>60.54</v>
      </c>
      <c r="N13" s="56">
        <v>0</v>
      </c>
      <c r="O13" s="56">
        <v>0</v>
      </c>
      <c r="P13" s="56">
        <v>0.57999999999999996</v>
      </c>
      <c r="Q13" s="56">
        <v>5.18</v>
      </c>
      <c r="R13" s="42"/>
      <c r="S13" s="42"/>
      <c r="T13" s="42"/>
      <c r="U13" s="42"/>
    </row>
    <row r="14" spans="1:21" s="11" customFormat="1">
      <c r="A14" s="55" t="s">
        <v>555</v>
      </c>
      <c r="B14" s="56">
        <v>10.51</v>
      </c>
      <c r="C14" s="56">
        <v>35.799999999999997</v>
      </c>
      <c r="D14" s="56">
        <v>28.48</v>
      </c>
      <c r="E14" s="56">
        <v>20.18</v>
      </c>
      <c r="F14" s="56">
        <v>24.15</v>
      </c>
      <c r="G14" s="56">
        <v>60.64</v>
      </c>
      <c r="H14" s="56">
        <v>20.91</v>
      </c>
      <c r="I14" s="56">
        <v>0</v>
      </c>
      <c r="J14" s="56">
        <v>0.27</v>
      </c>
      <c r="K14" s="56">
        <v>230.65</v>
      </c>
      <c r="L14" s="56">
        <v>24.77</v>
      </c>
      <c r="M14" s="56">
        <v>73.5</v>
      </c>
      <c r="N14" s="56">
        <v>2.2000000000000002</v>
      </c>
      <c r="O14" s="56">
        <v>0</v>
      </c>
      <c r="P14" s="56">
        <v>0.39</v>
      </c>
      <c r="Q14" s="56">
        <v>5</v>
      </c>
      <c r="R14" s="42"/>
      <c r="S14" s="42"/>
      <c r="T14" s="42"/>
      <c r="U14" s="42"/>
    </row>
    <row r="15" spans="1:21" s="11" customFormat="1">
      <c r="A15" s="55" t="s">
        <v>556</v>
      </c>
      <c r="B15" s="56">
        <v>7.89</v>
      </c>
      <c r="C15" s="56">
        <v>31.09</v>
      </c>
      <c r="D15" s="56">
        <v>23.76</v>
      </c>
      <c r="E15" s="56">
        <v>9.6300000000000008</v>
      </c>
      <c r="F15" s="56">
        <v>21.81</v>
      </c>
      <c r="G15" s="56">
        <v>56.03</v>
      </c>
      <c r="H15" s="56">
        <v>18.89</v>
      </c>
      <c r="I15" s="56">
        <v>0</v>
      </c>
      <c r="J15" s="56">
        <v>0.75</v>
      </c>
      <c r="K15" s="56">
        <v>251.57</v>
      </c>
      <c r="L15" s="56">
        <v>23.89</v>
      </c>
      <c r="M15" s="56">
        <v>72.14</v>
      </c>
      <c r="N15" s="56">
        <v>23.2</v>
      </c>
      <c r="O15" s="56">
        <v>0</v>
      </c>
      <c r="P15" s="56">
        <v>0.36</v>
      </c>
      <c r="Q15" s="56">
        <v>5</v>
      </c>
      <c r="R15" s="42"/>
      <c r="S15" s="42"/>
      <c r="T15" s="42"/>
      <c r="U15" s="42"/>
    </row>
    <row r="16" spans="1:21" s="11" customFormat="1">
      <c r="A16" s="55" t="s">
        <v>557</v>
      </c>
      <c r="B16" s="56">
        <v>7.34</v>
      </c>
      <c r="C16" s="56">
        <v>29.86</v>
      </c>
      <c r="D16" s="56">
        <v>22.84</v>
      </c>
      <c r="E16" s="56">
        <v>8.59</v>
      </c>
      <c r="F16" s="56">
        <v>21.87</v>
      </c>
      <c r="G16" s="56">
        <v>38.22</v>
      </c>
      <c r="H16" s="56">
        <v>14.93</v>
      </c>
      <c r="I16" s="56">
        <v>0</v>
      </c>
      <c r="J16" s="56">
        <v>0.65</v>
      </c>
      <c r="K16" s="56">
        <v>235.65</v>
      </c>
      <c r="L16" s="56">
        <v>25.4</v>
      </c>
      <c r="M16" s="56">
        <v>71</v>
      </c>
      <c r="N16" s="56">
        <v>186.9</v>
      </c>
      <c r="O16" s="56">
        <v>0</v>
      </c>
      <c r="P16" s="56">
        <v>0.36</v>
      </c>
      <c r="Q16" s="56">
        <v>5</v>
      </c>
      <c r="R16" s="42"/>
      <c r="S16" s="42"/>
      <c r="T16" s="42"/>
      <c r="U16" s="42"/>
    </row>
    <row r="17" spans="1:21" s="11" customFormat="1">
      <c r="A17" s="55" t="s">
        <v>558</v>
      </c>
      <c r="B17" s="56">
        <v>5.79</v>
      </c>
      <c r="C17" s="56">
        <v>25.45</v>
      </c>
      <c r="D17" s="56">
        <v>18.73</v>
      </c>
      <c r="E17" s="56">
        <v>10.039999999999999</v>
      </c>
      <c r="F17" s="56">
        <v>31.28</v>
      </c>
      <c r="G17" s="56">
        <v>31.53</v>
      </c>
      <c r="H17" s="56">
        <v>13.05</v>
      </c>
      <c r="I17" s="56">
        <v>0</v>
      </c>
      <c r="J17" s="56">
        <v>0.6</v>
      </c>
      <c r="K17" s="56">
        <v>240.88</v>
      </c>
      <c r="L17" s="56">
        <v>27.63</v>
      </c>
      <c r="M17" s="56">
        <v>62.5</v>
      </c>
      <c r="N17" s="56">
        <v>308</v>
      </c>
      <c r="O17" s="56">
        <v>0</v>
      </c>
      <c r="P17" s="56">
        <v>0.36</v>
      </c>
      <c r="Q17" s="56">
        <v>5</v>
      </c>
      <c r="R17" s="42"/>
      <c r="S17" s="42"/>
      <c r="T17" s="42"/>
      <c r="U17" s="42"/>
    </row>
    <row r="18" spans="1:21" s="11" customFormat="1">
      <c r="A18" s="55" t="s">
        <v>559</v>
      </c>
      <c r="B18" s="56">
        <v>6.14</v>
      </c>
      <c r="C18" s="56">
        <v>38.94</v>
      </c>
      <c r="D18" s="56">
        <v>26.62</v>
      </c>
      <c r="E18" s="56">
        <v>11.08</v>
      </c>
      <c r="F18" s="56">
        <v>12.25</v>
      </c>
      <c r="G18" s="56">
        <v>27.11</v>
      </c>
      <c r="H18" s="56">
        <v>12.53</v>
      </c>
      <c r="I18" s="56">
        <v>0</v>
      </c>
      <c r="J18" s="56">
        <v>0.49</v>
      </c>
      <c r="K18" s="56">
        <v>119.13</v>
      </c>
      <c r="L18" s="56">
        <v>27.99</v>
      </c>
      <c r="M18" s="56">
        <v>56.56</v>
      </c>
      <c r="N18" s="56">
        <v>239.9</v>
      </c>
      <c r="O18" s="56">
        <v>0</v>
      </c>
      <c r="P18" s="56">
        <v>0.52</v>
      </c>
      <c r="Q18" s="56">
        <v>5</v>
      </c>
      <c r="R18" s="42"/>
      <c r="S18" s="42"/>
      <c r="T18" s="42"/>
      <c r="U18" s="42"/>
    </row>
    <row r="19" spans="1:21" s="11" customFormat="1">
      <c r="A19" s="55" t="s">
        <v>560</v>
      </c>
      <c r="B19" s="56">
        <v>7.08</v>
      </c>
      <c r="C19" s="56">
        <v>44.7</v>
      </c>
      <c r="D19" s="56">
        <v>30.38</v>
      </c>
      <c r="E19" s="56">
        <v>8.25</v>
      </c>
      <c r="F19" s="56">
        <v>12.05</v>
      </c>
      <c r="G19" s="56">
        <v>24.49</v>
      </c>
      <c r="H19" s="56">
        <v>12.53</v>
      </c>
      <c r="I19" s="56">
        <v>0</v>
      </c>
      <c r="J19" s="56">
        <v>0.5</v>
      </c>
      <c r="K19" s="56">
        <v>145.91</v>
      </c>
      <c r="L19" s="56">
        <v>29.98</v>
      </c>
      <c r="M19" s="56">
        <v>48.4</v>
      </c>
      <c r="N19" s="56">
        <v>346.8</v>
      </c>
      <c r="O19" s="56">
        <v>0</v>
      </c>
      <c r="P19" s="56">
        <v>0.54</v>
      </c>
      <c r="Q19" s="56">
        <v>5</v>
      </c>
      <c r="R19" s="42"/>
      <c r="S19" s="42"/>
      <c r="T19" s="42"/>
      <c r="U19" s="42"/>
    </row>
    <row r="20" spans="1:21" s="11" customFormat="1">
      <c r="A20" s="55" t="s">
        <v>561</v>
      </c>
      <c r="B20" s="56">
        <v>7.45</v>
      </c>
      <c r="C20" s="56">
        <v>49.08</v>
      </c>
      <c r="D20" s="56">
        <v>32.75</v>
      </c>
      <c r="E20" s="56">
        <v>7.36</v>
      </c>
      <c r="F20" s="56">
        <v>11.03</v>
      </c>
      <c r="G20" s="56">
        <v>24.58</v>
      </c>
      <c r="H20" s="56">
        <v>11.24</v>
      </c>
      <c r="I20" s="56">
        <v>0</v>
      </c>
      <c r="J20" s="56">
        <v>0.4</v>
      </c>
      <c r="K20" s="56">
        <v>177.32</v>
      </c>
      <c r="L20" s="56">
        <v>32.200000000000003</v>
      </c>
      <c r="M20" s="56">
        <v>43.19</v>
      </c>
      <c r="N20" s="56">
        <v>855.6</v>
      </c>
      <c r="O20" s="56">
        <v>0</v>
      </c>
      <c r="P20" s="56">
        <v>0.53</v>
      </c>
      <c r="Q20" s="56">
        <v>5</v>
      </c>
      <c r="R20" s="42"/>
      <c r="S20" s="42"/>
      <c r="T20" s="42"/>
      <c r="U20" s="42"/>
    </row>
    <row r="21" spans="1:21" s="11" customFormat="1">
      <c r="A21" s="55" t="s">
        <v>562</v>
      </c>
      <c r="B21" s="56">
        <v>7.69</v>
      </c>
      <c r="C21" s="56">
        <v>53.43</v>
      </c>
      <c r="D21" s="56">
        <v>35.44</v>
      </c>
      <c r="E21" s="56">
        <v>7.69</v>
      </c>
      <c r="F21" s="56">
        <v>15.12</v>
      </c>
      <c r="G21" s="56">
        <v>19.18</v>
      </c>
      <c r="H21" s="56">
        <v>10.57</v>
      </c>
      <c r="I21" s="56">
        <v>0</v>
      </c>
      <c r="J21" s="56">
        <v>0.44</v>
      </c>
      <c r="K21" s="56">
        <v>335.9</v>
      </c>
      <c r="L21" s="56">
        <v>34.880000000000003</v>
      </c>
      <c r="M21" s="56">
        <v>34.090000000000003</v>
      </c>
      <c r="N21" s="56">
        <v>860.9</v>
      </c>
      <c r="O21" s="56">
        <v>0</v>
      </c>
      <c r="P21" s="56">
        <v>0.53</v>
      </c>
      <c r="Q21" s="56">
        <v>4.67</v>
      </c>
      <c r="R21" s="42"/>
      <c r="S21" s="42"/>
      <c r="T21" s="42"/>
      <c r="U21" s="42"/>
    </row>
    <row r="22" spans="1:21" s="11" customFormat="1">
      <c r="A22" s="55" t="s">
        <v>563</v>
      </c>
      <c r="B22" s="56">
        <v>7.35</v>
      </c>
      <c r="C22" s="56">
        <v>59.01</v>
      </c>
      <c r="D22" s="56">
        <v>37.67</v>
      </c>
      <c r="E22" s="56">
        <v>7.54</v>
      </c>
      <c r="F22" s="56">
        <v>14.68</v>
      </c>
      <c r="G22" s="56">
        <v>19.28</v>
      </c>
      <c r="H22" s="56">
        <v>10.57</v>
      </c>
      <c r="I22" s="56">
        <v>0</v>
      </c>
      <c r="J22" s="56">
        <v>0.8</v>
      </c>
      <c r="K22" s="56">
        <v>269.68</v>
      </c>
      <c r="L22" s="56">
        <v>35.78</v>
      </c>
      <c r="M22" s="56">
        <v>28.58</v>
      </c>
      <c r="N22" s="56">
        <v>857.6</v>
      </c>
      <c r="O22" s="56">
        <v>0</v>
      </c>
      <c r="P22" s="56">
        <v>0.54</v>
      </c>
      <c r="Q22" s="56">
        <v>4.66</v>
      </c>
      <c r="R22" s="42"/>
      <c r="S22" s="42"/>
      <c r="T22" s="42"/>
      <c r="U22" s="42"/>
    </row>
    <row r="23" spans="1:21" s="11" customFormat="1">
      <c r="A23" s="55" t="s">
        <v>564</v>
      </c>
      <c r="B23" s="56">
        <v>6.61</v>
      </c>
      <c r="C23" s="56">
        <v>58.64</v>
      </c>
      <c r="D23" s="56">
        <v>37.29</v>
      </c>
      <c r="E23" s="56">
        <v>8.6999999999999993</v>
      </c>
      <c r="F23" s="56">
        <v>13.48</v>
      </c>
      <c r="G23" s="56">
        <v>19.03</v>
      </c>
      <c r="H23" s="56">
        <v>12.39</v>
      </c>
      <c r="I23" s="56">
        <v>0</v>
      </c>
      <c r="J23" s="56">
        <v>1</v>
      </c>
      <c r="K23" s="56">
        <v>307.47000000000003</v>
      </c>
      <c r="L23" s="56">
        <v>37.46</v>
      </c>
      <c r="M23" s="56">
        <v>25.02</v>
      </c>
      <c r="N23" s="56">
        <v>755.7</v>
      </c>
      <c r="O23" s="56">
        <v>0</v>
      </c>
      <c r="P23" s="56">
        <v>0.52</v>
      </c>
      <c r="Q23" s="56">
        <v>4.6100000000000003</v>
      </c>
      <c r="R23" s="42"/>
      <c r="S23" s="42"/>
      <c r="T23" s="42"/>
      <c r="U23" s="42"/>
    </row>
    <row r="24" spans="1:21" s="11" customFormat="1">
      <c r="A24" s="55" t="s">
        <v>565</v>
      </c>
      <c r="B24" s="56">
        <v>5.45</v>
      </c>
      <c r="C24" s="56">
        <v>52.98</v>
      </c>
      <c r="D24" s="56">
        <v>33.4</v>
      </c>
      <c r="E24" s="56">
        <v>11.89</v>
      </c>
      <c r="F24" s="56">
        <v>29.73</v>
      </c>
      <c r="G24" s="56">
        <v>22.44</v>
      </c>
      <c r="H24" s="56">
        <v>12.39</v>
      </c>
      <c r="I24" s="56">
        <v>0</v>
      </c>
      <c r="J24" s="56">
        <v>0.52</v>
      </c>
      <c r="K24" s="56">
        <v>297.57</v>
      </c>
      <c r="L24" s="56">
        <v>37.64</v>
      </c>
      <c r="M24" s="56">
        <v>21.86</v>
      </c>
      <c r="N24" s="56">
        <v>571.20000000000005</v>
      </c>
      <c r="O24" s="56">
        <v>0</v>
      </c>
      <c r="P24" s="56">
        <v>0.53</v>
      </c>
      <c r="Q24" s="56">
        <v>4.9800000000000004</v>
      </c>
      <c r="R24" s="42"/>
      <c r="S24" s="42"/>
      <c r="T24" s="42"/>
      <c r="U24" s="42"/>
    </row>
    <row r="25" spans="1:21" s="11" customFormat="1">
      <c r="A25" s="55" t="s">
        <v>566</v>
      </c>
      <c r="B25" s="56">
        <v>4.82</v>
      </c>
      <c r="C25" s="56">
        <v>43.69</v>
      </c>
      <c r="D25" s="56">
        <v>27.99</v>
      </c>
      <c r="E25" s="56">
        <v>18.100000000000001</v>
      </c>
      <c r="F25" s="56">
        <v>46.67</v>
      </c>
      <c r="G25" s="56">
        <v>30.18</v>
      </c>
      <c r="H25" s="56">
        <v>13.68</v>
      </c>
      <c r="I25" s="56">
        <v>0</v>
      </c>
      <c r="J25" s="56">
        <v>0.69</v>
      </c>
      <c r="K25" s="56">
        <v>286.44</v>
      </c>
      <c r="L25" s="56">
        <v>37.03</v>
      </c>
      <c r="M25" s="56">
        <v>23.26</v>
      </c>
      <c r="N25" s="56">
        <v>264.2</v>
      </c>
      <c r="O25" s="56">
        <v>0</v>
      </c>
      <c r="P25" s="56">
        <v>0.56000000000000005</v>
      </c>
      <c r="Q25" s="56">
        <v>5</v>
      </c>
      <c r="R25" s="42"/>
      <c r="S25" s="42"/>
      <c r="T25" s="42"/>
      <c r="U25" s="42"/>
    </row>
    <row r="26" spans="1:21" s="11" customFormat="1">
      <c r="A26" s="55" t="s">
        <v>567</v>
      </c>
      <c r="B26" s="56">
        <v>4.2</v>
      </c>
      <c r="C26" s="56">
        <v>35.25</v>
      </c>
      <c r="D26" s="56">
        <v>23.14</v>
      </c>
      <c r="E26" s="56">
        <v>21.53</v>
      </c>
      <c r="F26" s="56">
        <v>62.82</v>
      </c>
      <c r="G26" s="56">
        <v>34.24</v>
      </c>
      <c r="H26" s="56">
        <v>14.25</v>
      </c>
      <c r="I26" s="56">
        <v>0</v>
      </c>
      <c r="J26" s="56">
        <v>0.49</v>
      </c>
      <c r="K26" s="56">
        <v>240.34</v>
      </c>
      <c r="L26" s="56">
        <v>35.42</v>
      </c>
      <c r="M26" s="56">
        <v>27.1</v>
      </c>
      <c r="N26" s="56">
        <v>114.5</v>
      </c>
      <c r="O26" s="56">
        <v>0</v>
      </c>
      <c r="P26" s="56">
        <v>0.56999999999999995</v>
      </c>
      <c r="Q26" s="56">
        <v>5</v>
      </c>
      <c r="R26" s="42"/>
      <c r="S26" s="42"/>
      <c r="T26" s="42"/>
      <c r="U26" s="42"/>
    </row>
    <row r="27" spans="1:21" s="11" customFormat="1">
      <c r="A27" s="55" t="s">
        <v>568</v>
      </c>
      <c r="B27" s="56">
        <v>3.92</v>
      </c>
      <c r="C27" s="56">
        <v>26.62</v>
      </c>
      <c r="D27" s="56">
        <v>18.39</v>
      </c>
      <c r="E27" s="56">
        <v>9.69</v>
      </c>
      <c r="F27" s="56">
        <v>66.81</v>
      </c>
      <c r="G27" s="56">
        <v>34.409999999999997</v>
      </c>
      <c r="H27" s="56">
        <v>14.25</v>
      </c>
      <c r="I27" s="56">
        <v>0</v>
      </c>
      <c r="J27" s="56">
        <v>0.51</v>
      </c>
      <c r="K27" s="56">
        <v>225.15</v>
      </c>
      <c r="L27" s="56">
        <v>32.950000000000003</v>
      </c>
      <c r="M27" s="56">
        <v>41.09</v>
      </c>
      <c r="N27" s="56">
        <v>1.1000000000000001</v>
      </c>
      <c r="O27" s="56">
        <v>0</v>
      </c>
      <c r="P27" s="56">
        <v>0.45</v>
      </c>
      <c r="Q27" s="56">
        <v>5</v>
      </c>
      <c r="R27" s="42"/>
      <c r="S27" s="42"/>
      <c r="T27" s="42"/>
      <c r="U27" s="42"/>
    </row>
    <row r="28" spans="1:21" s="11" customFormat="1">
      <c r="A28" s="55" t="s">
        <v>569</v>
      </c>
      <c r="B28" s="56">
        <v>5.54</v>
      </c>
      <c r="C28" s="56">
        <v>34.020000000000003</v>
      </c>
      <c r="D28" s="56">
        <v>23.57</v>
      </c>
      <c r="E28" s="56">
        <v>8.73</v>
      </c>
      <c r="F28" s="56">
        <v>28.23</v>
      </c>
      <c r="G28" s="56">
        <v>30.33</v>
      </c>
      <c r="H28" s="56">
        <v>14.14</v>
      </c>
      <c r="I28" s="56">
        <v>0</v>
      </c>
      <c r="J28" s="56">
        <v>0.28000000000000003</v>
      </c>
      <c r="K28" s="56">
        <v>222.06</v>
      </c>
      <c r="L28" s="56">
        <v>30.18</v>
      </c>
      <c r="M28" s="56">
        <v>43.07</v>
      </c>
      <c r="N28" s="56">
        <v>0</v>
      </c>
      <c r="O28" s="56">
        <v>0</v>
      </c>
      <c r="P28" s="56">
        <v>0.56999999999999995</v>
      </c>
      <c r="Q28" s="56">
        <v>5</v>
      </c>
      <c r="R28" s="42"/>
      <c r="S28" s="42"/>
      <c r="T28" s="42"/>
      <c r="U28" s="42"/>
    </row>
    <row r="29" spans="1:21" s="11" customFormat="1">
      <c r="A29" s="55" t="s">
        <v>570</v>
      </c>
      <c r="B29" s="56">
        <v>6.79</v>
      </c>
      <c r="C29" s="56">
        <v>42.15</v>
      </c>
      <c r="D29" s="56">
        <v>28.82</v>
      </c>
      <c r="E29" s="56">
        <v>7.44</v>
      </c>
      <c r="F29" s="56">
        <v>23.74</v>
      </c>
      <c r="G29" s="56">
        <v>27.48</v>
      </c>
      <c r="H29" s="56">
        <v>11.96</v>
      </c>
      <c r="I29" s="56">
        <v>0</v>
      </c>
      <c r="J29" s="56">
        <v>0.2</v>
      </c>
      <c r="K29" s="56">
        <v>205.24</v>
      </c>
      <c r="L29" s="56">
        <v>29.1</v>
      </c>
      <c r="M29" s="56">
        <v>46.33</v>
      </c>
      <c r="N29" s="56">
        <v>0</v>
      </c>
      <c r="O29" s="56">
        <v>0</v>
      </c>
      <c r="P29" s="56">
        <v>0.6</v>
      </c>
      <c r="Q29" s="56">
        <v>5</v>
      </c>
      <c r="R29" s="42"/>
      <c r="S29" s="42"/>
      <c r="T29" s="42"/>
      <c r="U29" s="42"/>
    </row>
    <row r="30" spans="1:21" s="11" customFormat="1">
      <c r="A30" s="55" t="s">
        <v>571</v>
      </c>
      <c r="B30" s="56">
        <v>8.0399999999999991</v>
      </c>
      <c r="C30" s="56">
        <v>47.43</v>
      </c>
      <c r="D30" s="56">
        <v>32.58</v>
      </c>
      <c r="E30" s="56">
        <v>7.28</v>
      </c>
      <c r="F30" s="56">
        <v>16.43</v>
      </c>
      <c r="G30" s="56">
        <v>27.26</v>
      </c>
      <c r="H30" s="56">
        <v>12.36</v>
      </c>
      <c r="I30" s="56">
        <v>0</v>
      </c>
      <c r="J30" s="56">
        <v>0.2</v>
      </c>
      <c r="K30" s="56">
        <v>208.84</v>
      </c>
      <c r="L30" s="56">
        <v>28.1</v>
      </c>
      <c r="M30" s="56">
        <v>47.01</v>
      </c>
      <c r="N30" s="56">
        <v>0</v>
      </c>
      <c r="O30" s="56">
        <v>0</v>
      </c>
      <c r="P30" s="56">
        <v>0.61</v>
      </c>
      <c r="Q30" s="56">
        <v>4.9000000000000004</v>
      </c>
      <c r="R30" s="42"/>
      <c r="S30" s="42"/>
      <c r="T30" s="42"/>
      <c r="U30" s="42"/>
    </row>
    <row r="31" spans="1:21" s="11" customFormat="1">
      <c r="A31" s="55" t="s">
        <v>572</v>
      </c>
      <c r="B31" s="56">
        <v>9.44</v>
      </c>
      <c r="C31" s="56">
        <v>52.17</v>
      </c>
      <c r="D31" s="56">
        <v>36.18</v>
      </c>
      <c r="E31" s="56">
        <v>7.24</v>
      </c>
      <c r="F31" s="56">
        <v>12.39</v>
      </c>
      <c r="G31" s="56">
        <v>27.32</v>
      </c>
      <c r="H31" s="56">
        <v>12.36</v>
      </c>
      <c r="I31" s="56">
        <v>0</v>
      </c>
      <c r="J31" s="56">
        <v>0.27</v>
      </c>
      <c r="K31" s="56">
        <v>205.52</v>
      </c>
      <c r="L31" s="56">
        <v>27.77</v>
      </c>
      <c r="M31" s="56">
        <v>49.42</v>
      </c>
      <c r="N31" s="56">
        <v>0</v>
      </c>
      <c r="O31" s="56">
        <v>0</v>
      </c>
      <c r="P31" s="56">
        <v>0.62</v>
      </c>
      <c r="Q31" s="56">
        <v>4.5</v>
      </c>
      <c r="R31" s="42"/>
      <c r="S31" s="42"/>
      <c r="T31" s="42"/>
      <c r="U31" s="42"/>
    </row>
    <row r="32" spans="1:21" s="11" customFormat="1">
      <c r="A32" s="55" t="s">
        <v>573</v>
      </c>
      <c r="B32" s="56">
        <v>11.83</v>
      </c>
      <c r="C32" s="56">
        <v>57.09</v>
      </c>
      <c r="D32" s="56">
        <v>40.659999999999997</v>
      </c>
      <c r="E32" s="56">
        <v>7.34</v>
      </c>
      <c r="F32" s="56">
        <v>15.34</v>
      </c>
      <c r="G32" s="56">
        <v>29.23</v>
      </c>
      <c r="H32" s="56">
        <v>11.63</v>
      </c>
      <c r="I32" s="56">
        <v>0</v>
      </c>
      <c r="J32" s="56">
        <v>1.51</v>
      </c>
      <c r="K32" s="56">
        <v>356.43</v>
      </c>
      <c r="L32" s="56">
        <v>28.56</v>
      </c>
      <c r="M32" s="56">
        <v>50.22</v>
      </c>
      <c r="N32" s="56">
        <v>0</v>
      </c>
      <c r="O32" s="56">
        <v>0</v>
      </c>
      <c r="P32" s="56">
        <v>0.62</v>
      </c>
      <c r="Q32" s="56">
        <v>4.7300000000000004</v>
      </c>
      <c r="R32" s="42"/>
      <c r="S32" s="42"/>
      <c r="T32" s="42"/>
      <c r="U32" s="42"/>
    </row>
    <row r="33" spans="1:21" s="21" customFormat="1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>
      <c r="A34" s="27" t="s">
        <v>30</v>
      </c>
      <c r="B34" s="28">
        <f t="shared" ref="B34:Q34" si="0">MIN(B9:B32)</f>
        <v>3.92</v>
      </c>
      <c r="C34" s="28">
        <f t="shared" si="0"/>
        <v>25.45</v>
      </c>
      <c r="D34" s="28">
        <f t="shared" si="0"/>
        <v>18.39</v>
      </c>
      <c r="E34" s="28">
        <f t="shared" si="0"/>
        <v>7.09</v>
      </c>
      <c r="F34" s="28">
        <f t="shared" si="0"/>
        <v>4.78</v>
      </c>
      <c r="G34" s="28">
        <f t="shared" si="0"/>
        <v>19.03</v>
      </c>
      <c r="H34" s="28">
        <f>MIN(H9:H32)</f>
        <v>10.57</v>
      </c>
      <c r="I34" s="28">
        <f t="shared" si="0"/>
        <v>0</v>
      </c>
      <c r="J34" s="28">
        <f t="shared" si="0"/>
        <v>0.2</v>
      </c>
      <c r="K34" s="28">
        <f t="shared" si="0"/>
        <v>119.13</v>
      </c>
      <c r="L34" s="28">
        <f t="shared" si="0"/>
        <v>23.89</v>
      </c>
      <c r="M34" s="28">
        <f t="shared" si="0"/>
        <v>21.86</v>
      </c>
      <c r="N34" s="28">
        <f t="shared" si="0"/>
        <v>0</v>
      </c>
      <c r="O34" s="28">
        <f t="shared" si="0"/>
        <v>0</v>
      </c>
      <c r="P34" s="28">
        <f t="shared" si="0"/>
        <v>0.36</v>
      </c>
      <c r="Q34" s="28">
        <f t="shared" si="0"/>
        <v>4.5</v>
      </c>
      <c r="R34" s="28"/>
      <c r="S34" s="28"/>
      <c r="T34" s="28"/>
      <c r="U34" s="28"/>
    </row>
    <row r="35" spans="1:21" s="21" customFormat="1">
      <c r="A35" s="27" t="s">
        <v>31</v>
      </c>
      <c r="B35" s="29">
        <f t="shared" ref="B35:Q35" si="1">MAX(B9:B32)</f>
        <v>15.1</v>
      </c>
      <c r="C35" s="29">
        <f t="shared" si="1"/>
        <v>68.31</v>
      </c>
      <c r="D35" s="29">
        <f t="shared" si="1"/>
        <v>48.83</v>
      </c>
      <c r="E35" s="29">
        <f t="shared" si="1"/>
        <v>26.47</v>
      </c>
      <c r="F35" s="29">
        <f t="shared" si="1"/>
        <v>66.81</v>
      </c>
      <c r="G35" s="29">
        <f>MAX(G9:G32)</f>
        <v>61.15</v>
      </c>
      <c r="H35" s="29">
        <f>MAX(H9:H32)</f>
        <v>20.91</v>
      </c>
      <c r="I35" s="29">
        <f t="shared" si="1"/>
        <v>0</v>
      </c>
      <c r="J35" s="29">
        <f t="shared" si="1"/>
        <v>1.52</v>
      </c>
      <c r="K35" s="29">
        <f t="shared" si="1"/>
        <v>356.43</v>
      </c>
      <c r="L35" s="29">
        <f t="shared" si="1"/>
        <v>37.64</v>
      </c>
      <c r="M35" s="29">
        <f t="shared" si="1"/>
        <v>73.5</v>
      </c>
      <c r="N35" s="29">
        <f t="shared" si="1"/>
        <v>860.9</v>
      </c>
      <c r="O35" s="29">
        <f t="shared" si="1"/>
        <v>0</v>
      </c>
      <c r="P35" s="29">
        <f t="shared" si="1"/>
        <v>0.66</v>
      </c>
      <c r="Q35" s="29">
        <f t="shared" si="1"/>
        <v>5.19</v>
      </c>
      <c r="R35" s="29"/>
      <c r="S35" s="29"/>
      <c r="T35" s="29"/>
      <c r="U35" s="29"/>
    </row>
    <row r="36" spans="1:21" s="21" customFormat="1">
      <c r="A36" s="27" t="s">
        <v>32</v>
      </c>
      <c r="B36" s="28">
        <f t="shared" ref="B36:Q36" si="2">AVERAGE(B9:B32)</f>
        <v>7.9670833333333313</v>
      </c>
      <c r="C36" s="28">
        <f t="shared" si="2"/>
        <v>46.493749999999984</v>
      </c>
      <c r="D36" s="28">
        <f t="shared" si="2"/>
        <v>31.972916666666666</v>
      </c>
      <c r="E36" s="28">
        <f t="shared" si="2"/>
        <v>10.928749999999999</v>
      </c>
      <c r="F36" s="28">
        <f t="shared" si="2"/>
        <v>21.775416666666668</v>
      </c>
      <c r="G36" s="28">
        <f t="shared" si="2"/>
        <v>35.664166666666667</v>
      </c>
      <c r="H36" s="28">
        <f>AVERAGE(H9:H32)</f>
        <v>14.296666666666667</v>
      </c>
      <c r="I36" s="28">
        <f t="shared" si="2"/>
        <v>0</v>
      </c>
      <c r="J36" s="28">
        <f t="shared" si="2"/>
        <v>0.69999999999999984</v>
      </c>
      <c r="K36" s="28">
        <f t="shared" si="2"/>
        <v>255.10666666666668</v>
      </c>
      <c r="L36" s="28">
        <f t="shared" si="2"/>
        <v>29.714583333333326</v>
      </c>
      <c r="M36" s="28">
        <f t="shared" si="2"/>
        <v>48.812083333333334</v>
      </c>
      <c r="N36" s="28">
        <f t="shared" si="2"/>
        <v>224.49166666666667</v>
      </c>
      <c r="O36" s="28">
        <f t="shared" si="2"/>
        <v>0</v>
      </c>
      <c r="P36" s="28">
        <f t="shared" si="2"/>
        <v>0.53291666666666659</v>
      </c>
      <c r="Q36" s="28">
        <f t="shared" si="2"/>
        <v>4.916666666666667</v>
      </c>
      <c r="R36" s="28"/>
      <c r="S36" s="28"/>
      <c r="T36" s="28"/>
      <c r="U36" s="28"/>
    </row>
    <row r="37" spans="1:21" s="21" customFormat="1">
      <c r="A37" s="27" t="s">
        <v>38</v>
      </c>
      <c r="B37" s="28">
        <f>STDEV(B9:B32)</f>
        <v>2.9268301285604772</v>
      </c>
      <c r="C37" s="28">
        <f t="shared" ref="C37:Q37" si="3">STDEV(C9:C32)</f>
        <v>12.235523766795877</v>
      </c>
      <c r="D37" s="28">
        <f t="shared" si="3"/>
        <v>8.1437511275539478</v>
      </c>
      <c r="E37" s="28">
        <f t="shared" si="3"/>
        <v>5.2385131582058362</v>
      </c>
      <c r="F37" s="28">
        <f t="shared" si="3"/>
        <v>16.384846386926807</v>
      </c>
      <c r="G37" s="28">
        <f t="shared" si="3"/>
        <v>14.168418007688068</v>
      </c>
      <c r="H37" s="28">
        <f>STDEV(H9:H32)</f>
        <v>3.0921818196537423</v>
      </c>
      <c r="I37" s="28">
        <f t="shared" si="3"/>
        <v>0</v>
      </c>
      <c r="J37" s="28">
        <f t="shared" si="3"/>
        <v>0.41805970033414885</v>
      </c>
      <c r="K37" s="28">
        <f t="shared" si="3"/>
        <v>62.547434498297697</v>
      </c>
      <c r="L37" s="28">
        <f t="shared" si="3"/>
        <v>4.56892907171025</v>
      </c>
      <c r="M37" s="28">
        <f t="shared" si="3"/>
        <v>15.99239873221479</v>
      </c>
      <c r="N37" s="28">
        <f t="shared" si="3"/>
        <v>315.37332593316279</v>
      </c>
      <c r="O37" s="28">
        <f t="shared" si="3"/>
        <v>0</v>
      </c>
      <c r="P37" s="28">
        <f t="shared" si="3"/>
        <v>8.7301534757498064E-2</v>
      </c>
      <c r="Q37" s="28">
        <f t="shared" si="3"/>
        <v>0.17447228923279556</v>
      </c>
      <c r="R37" s="28"/>
      <c r="S37" s="28"/>
      <c r="T37" s="28"/>
      <c r="U37" s="28"/>
    </row>
    <row r="38" spans="1:21" s="21" customFormat="1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>COUNT(F9:F32)</f>
        <v>24</v>
      </c>
      <c r="G38" s="32">
        <f>COUNT(G9:G32)</f>
        <v>24</v>
      </c>
      <c r="H38" s="32">
        <f>COUNT(H9:H32)</f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>
      <c r="A42" s="13"/>
    </row>
    <row r="43" spans="1:21" s="21" customFormat="1">
      <c r="A43" s="14" t="s">
        <v>35</v>
      </c>
      <c r="B43" s="39" t="s">
        <v>58</v>
      </c>
      <c r="C43" s="41"/>
    </row>
    <row r="44" spans="1:21" s="21" customFormat="1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0"/>
      <c r="C45" s="40"/>
      <c r="D45" s="40"/>
      <c r="E45" s="40"/>
      <c r="F45" s="40"/>
      <c r="G45" s="40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</row>
    <row r="46" spans="1:21" s="21" customFormat="1"/>
    <row r="47" spans="1:21" s="21" customFormat="1"/>
    <row r="48" spans="1:21" s="21" customFormat="1"/>
    <row r="49" s="21" customFormat="1"/>
    <row r="50" s="21" customFormat="1"/>
    <row r="51" s="21" customFormat="1"/>
    <row r="52" s="21" customFormat="1"/>
    <row r="53" s="21" customFormat="1"/>
    <row r="54" s="21" customFormat="1"/>
    <row r="55" s="21" customFormat="1"/>
    <row r="56" s="21" customFormat="1"/>
    <row r="57" s="21" customFormat="1"/>
    <row r="58" s="21" customFormat="1"/>
    <row r="59" s="21" customFormat="1"/>
    <row r="60" s="21" customFormat="1"/>
    <row r="61" s="21" customFormat="1"/>
    <row r="62" s="21" customFormat="1"/>
    <row r="63" s="21" customFormat="1"/>
    <row r="64" s="21" customFormat="1"/>
    <row r="65" s="21" customFormat="1"/>
    <row r="66" s="21" customFormat="1"/>
    <row r="67" s="21" customFormat="1"/>
    <row r="68" s="21" customFormat="1"/>
    <row r="69" s="21" customFormat="1"/>
    <row r="70" s="21" customFormat="1"/>
    <row r="71" s="21" customFormat="1"/>
    <row r="72" s="21" customFormat="1"/>
    <row r="73" s="21" customFormat="1"/>
    <row r="74" s="21" customFormat="1"/>
    <row r="75" s="21" customFormat="1"/>
    <row r="76" s="21" customFormat="1"/>
    <row r="77" s="21" customFormat="1"/>
    <row r="78" s="21" customFormat="1"/>
    <row r="79" s="21" customFormat="1"/>
    <row r="80" s="21" customFormat="1"/>
    <row r="81" s="21" customFormat="1"/>
    <row r="82" s="21" customFormat="1"/>
    <row r="83" s="21" customFormat="1"/>
    <row r="84" s="21" customFormat="1"/>
    <row r="85" s="21" customFormat="1"/>
    <row r="86" s="21" customFormat="1"/>
    <row r="87" s="21" customFormat="1"/>
    <row r="88" s="21" customFormat="1"/>
    <row r="89" s="21" customFormat="1"/>
    <row r="90" s="21" customFormat="1"/>
    <row r="91" s="21" customFormat="1"/>
    <row r="92" s="21" customFormat="1"/>
    <row r="93" s="21" customFormat="1"/>
    <row r="94" s="21" customFormat="1"/>
    <row r="95" s="21" customFormat="1"/>
    <row r="96" s="21" customFormat="1"/>
    <row r="97" spans="1:1" s="21" customFormat="1"/>
    <row r="98" spans="1:1" s="21" customFormat="1"/>
    <row r="99" spans="1:1" s="21" customFormat="1"/>
    <row r="100" spans="1:1" s="21" customFormat="1"/>
    <row r="101" spans="1:1" s="21" customFormat="1"/>
    <row r="102" spans="1:1" s="21" customFormat="1"/>
    <row r="103" spans="1:1" s="21" customFormat="1"/>
    <row r="104" spans="1:1" s="21" customFormat="1"/>
    <row r="105" spans="1:1" s="21" customFormat="1"/>
    <row r="106" spans="1:1">
      <c r="A106" s="20"/>
    </row>
    <row r="107" spans="1:1" s="21" customFormat="1"/>
    <row r="108" spans="1:1" s="21" customFormat="1"/>
    <row r="109" spans="1:1" s="21" customFormat="1"/>
    <row r="110" spans="1:1" s="21" customFormat="1"/>
    <row r="111" spans="1:1" s="21" customFormat="1"/>
    <row r="112" spans="1:1" s="21" customFormat="1"/>
    <row r="113" spans="1:1" s="21" customFormat="1"/>
    <row r="114" spans="1:1" s="21" customFormat="1"/>
    <row r="115" spans="1:1" s="21" customFormat="1"/>
    <row r="116" spans="1:1" s="21" customFormat="1"/>
    <row r="117" spans="1:1" s="21" customFormat="1"/>
    <row r="118" spans="1:1">
      <c r="A118" s="20"/>
    </row>
    <row r="119" spans="1:1">
      <c r="A119" s="20"/>
    </row>
  </sheetData>
  <pageMargins left="0.7" right="0.7" top="0.75" bottom="0.75" header="0.3" footer="0.3"/>
  <pageSetup paperSize="9" orientation="portrait" horizontalDpi="300" verticalDpi="300" r:id="rId1"/>
</worksheet>
</file>

<file path=xl/worksheets/sheet22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1" ySplit="8" topLeftCell="B27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A9" sqref="A9:Q32"/>
    </sheetView>
  </sheetViews>
  <sheetFormatPr defaultColWidth="8.85546875" defaultRowHeight="1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>
      <c r="A1" s="14" t="s">
        <v>2</v>
      </c>
      <c r="B1" s="23" t="s">
        <v>55</v>
      </c>
      <c r="C1" s="36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>
      <c r="A2" s="14" t="s">
        <v>0</v>
      </c>
      <c r="B2" s="37" t="str">
        <f>$A$9</f>
        <v>22/04/2023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8" t="s">
        <v>7</v>
      </c>
      <c r="Q2" s="12"/>
      <c r="R2" s="8" t="s">
        <v>8</v>
      </c>
      <c r="S2" s="11"/>
      <c r="T2" s="11"/>
      <c r="U2" s="11"/>
    </row>
    <row r="3" spans="1:21" s="21" customFormat="1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8" t="s">
        <v>15</v>
      </c>
      <c r="Q3" s="12"/>
      <c r="R3" s="9" t="s">
        <v>15</v>
      </c>
      <c r="S3" s="11"/>
      <c r="T3" s="11"/>
      <c r="U3" s="11"/>
    </row>
    <row r="4" spans="1:21" s="21" customFormat="1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>
      <c r="A7" s="25" t="s">
        <v>21</v>
      </c>
      <c r="B7" s="48" t="s">
        <v>40</v>
      </c>
      <c r="C7" s="49" t="s">
        <v>41</v>
      </c>
      <c r="D7" s="49" t="s">
        <v>42</v>
      </c>
      <c r="E7" s="49" t="s">
        <v>43</v>
      </c>
      <c r="F7" s="49" t="s">
        <v>44</v>
      </c>
      <c r="G7" s="49" t="s">
        <v>45</v>
      </c>
      <c r="H7" s="49" t="s">
        <v>56</v>
      </c>
      <c r="I7" s="49" t="s">
        <v>46</v>
      </c>
      <c r="J7" s="49" t="s">
        <v>47</v>
      </c>
      <c r="K7" s="49" t="s">
        <v>48</v>
      </c>
      <c r="L7" s="49" t="s">
        <v>49</v>
      </c>
      <c r="M7" s="49" t="s">
        <v>50</v>
      </c>
      <c r="N7" s="49" t="s">
        <v>51</v>
      </c>
      <c r="O7" s="49" t="s">
        <v>52</v>
      </c>
      <c r="P7" s="49" t="s">
        <v>53</v>
      </c>
      <c r="Q7" s="49" t="s">
        <v>54</v>
      </c>
      <c r="R7" s="27"/>
      <c r="S7" s="29"/>
      <c r="T7" s="27"/>
      <c r="U7" s="27"/>
    </row>
    <row r="8" spans="1:21" s="21" customFormat="1">
      <c r="A8" s="25"/>
      <c r="B8" s="50" t="s">
        <v>22</v>
      </c>
      <c r="C8" s="50" t="s">
        <v>22</v>
      </c>
      <c r="D8" s="50" t="s">
        <v>22</v>
      </c>
      <c r="E8" s="50" t="s">
        <v>22</v>
      </c>
      <c r="F8" s="50" t="s">
        <v>22</v>
      </c>
      <c r="G8" s="50" t="s">
        <v>23</v>
      </c>
      <c r="H8" s="50" t="s">
        <v>22</v>
      </c>
      <c r="I8" s="50" t="s">
        <v>22</v>
      </c>
      <c r="J8" s="50" t="s">
        <v>24</v>
      </c>
      <c r="K8" s="50" t="s">
        <v>25</v>
      </c>
      <c r="L8" s="25" t="s">
        <v>27</v>
      </c>
      <c r="M8" s="50" t="s">
        <v>26</v>
      </c>
      <c r="N8" s="50" t="s">
        <v>28</v>
      </c>
      <c r="O8" s="25" t="s">
        <v>29</v>
      </c>
      <c r="P8" s="50" t="s">
        <v>22</v>
      </c>
      <c r="Q8" s="50" t="s">
        <v>22</v>
      </c>
      <c r="R8" s="27"/>
      <c r="S8" s="29"/>
      <c r="T8" s="27"/>
      <c r="U8" s="27"/>
    </row>
    <row r="9" spans="1:21" s="11" customFormat="1">
      <c r="A9" s="55" t="s">
        <v>574</v>
      </c>
      <c r="B9" s="56">
        <v>14.25</v>
      </c>
      <c r="C9" s="56">
        <v>40.07</v>
      </c>
      <c r="D9" s="56">
        <v>33.229999999999997</v>
      </c>
      <c r="E9" s="56">
        <v>46.16</v>
      </c>
      <c r="F9" s="56">
        <v>36.74</v>
      </c>
      <c r="G9" s="56">
        <v>42.67</v>
      </c>
      <c r="H9" s="56">
        <v>14.42</v>
      </c>
      <c r="I9" s="56">
        <v>0</v>
      </c>
      <c r="J9" s="56">
        <v>1.1299999999999999</v>
      </c>
      <c r="K9" s="56">
        <v>52.95</v>
      </c>
      <c r="L9" s="56">
        <v>28.34</v>
      </c>
      <c r="M9" s="56">
        <v>41.7</v>
      </c>
      <c r="N9" s="56">
        <v>0</v>
      </c>
      <c r="O9" s="56">
        <v>0</v>
      </c>
      <c r="P9" s="56">
        <v>0.5</v>
      </c>
      <c r="Q9" s="56">
        <v>5</v>
      </c>
      <c r="R9" s="42"/>
      <c r="S9" s="42"/>
      <c r="T9" s="42"/>
      <c r="U9" s="42"/>
    </row>
    <row r="10" spans="1:21" s="11" customFormat="1">
      <c r="A10" s="55" t="s">
        <v>575</v>
      </c>
      <c r="B10" s="56">
        <v>11.42</v>
      </c>
      <c r="C10" s="56">
        <v>39.130000000000003</v>
      </c>
      <c r="D10" s="56">
        <v>30.95</v>
      </c>
      <c r="E10" s="56">
        <v>20.239999999999998</v>
      </c>
      <c r="F10" s="56">
        <v>41.38</v>
      </c>
      <c r="G10" s="56">
        <v>43.29</v>
      </c>
      <c r="H10" s="56">
        <v>14.42</v>
      </c>
      <c r="I10" s="56">
        <v>0</v>
      </c>
      <c r="J10" s="56">
        <v>0.37</v>
      </c>
      <c r="K10" s="56">
        <v>191.53</v>
      </c>
      <c r="L10" s="56">
        <v>26.57</v>
      </c>
      <c r="M10" s="56">
        <v>46.5</v>
      </c>
      <c r="N10" s="56">
        <v>0</v>
      </c>
      <c r="O10" s="56">
        <v>0</v>
      </c>
      <c r="P10" s="56">
        <v>0.28999999999999998</v>
      </c>
      <c r="Q10" s="56">
        <v>5</v>
      </c>
      <c r="R10" s="42"/>
      <c r="S10" s="42"/>
      <c r="T10" s="42"/>
      <c r="U10" s="42"/>
    </row>
    <row r="11" spans="1:21" s="11" customFormat="1">
      <c r="A11" s="55" t="s">
        <v>576</v>
      </c>
      <c r="B11" s="56">
        <v>5.37</v>
      </c>
      <c r="C11" s="56">
        <v>30.02</v>
      </c>
      <c r="D11" s="56">
        <v>21.34</v>
      </c>
      <c r="E11" s="56">
        <v>12.92</v>
      </c>
      <c r="F11" s="56">
        <v>39.54</v>
      </c>
      <c r="G11" s="56">
        <v>44.43</v>
      </c>
      <c r="H11" s="56">
        <v>13.92</v>
      </c>
      <c r="I11" s="56">
        <v>0</v>
      </c>
      <c r="J11" s="56">
        <v>0.22</v>
      </c>
      <c r="K11" s="56">
        <v>222.29</v>
      </c>
      <c r="L11" s="56">
        <v>25.43</v>
      </c>
      <c r="M11" s="56">
        <v>49.71</v>
      </c>
      <c r="N11" s="56">
        <v>0</v>
      </c>
      <c r="O11" s="56">
        <v>0</v>
      </c>
      <c r="P11" s="56">
        <v>0.31</v>
      </c>
      <c r="Q11" s="56">
        <v>5</v>
      </c>
      <c r="R11" s="42"/>
      <c r="S11" s="42"/>
      <c r="T11" s="42"/>
      <c r="U11" s="42"/>
    </row>
    <row r="12" spans="1:21" s="11" customFormat="1">
      <c r="A12" s="55" t="s">
        <v>577</v>
      </c>
      <c r="B12" s="56">
        <v>8.73</v>
      </c>
      <c r="C12" s="56">
        <v>29.03</v>
      </c>
      <c r="D12" s="56">
        <v>23.51</v>
      </c>
      <c r="E12" s="56">
        <v>9.6300000000000008</v>
      </c>
      <c r="F12" s="56">
        <v>36.94</v>
      </c>
      <c r="G12" s="56">
        <v>44.67</v>
      </c>
      <c r="H12" s="56">
        <v>13.19</v>
      </c>
      <c r="I12" s="56">
        <v>0</v>
      </c>
      <c r="J12" s="56">
        <v>1.24</v>
      </c>
      <c r="K12" s="56">
        <v>85.61</v>
      </c>
      <c r="L12" s="56">
        <v>25.49</v>
      </c>
      <c r="M12" s="56">
        <v>48.24</v>
      </c>
      <c r="N12" s="56">
        <v>0</v>
      </c>
      <c r="O12" s="56">
        <v>0</v>
      </c>
      <c r="P12" s="56">
        <v>0.28999999999999998</v>
      </c>
      <c r="Q12" s="56">
        <v>5</v>
      </c>
      <c r="R12" s="42"/>
      <c r="S12" s="42"/>
      <c r="T12" s="42"/>
      <c r="U12" s="42"/>
    </row>
    <row r="13" spans="1:21" s="11" customFormat="1">
      <c r="A13" s="55" t="s">
        <v>578</v>
      </c>
      <c r="B13" s="56">
        <v>9.4600000000000009</v>
      </c>
      <c r="C13" s="56">
        <v>37.06</v>
      </c>
      <c r="D13" s="56">
        <v>27.74</v>
      </c>
      <c r="E13" s="56">
        <v>13.04</v>
      </c>
      <c r="F13" s="56">
        <v>20.329999999999998</v>
      </c>
      <c r="G13" s="56">
        <v>41.31</v>
      </c>
      <c r="H13" s="56">
        <v>12.09</v>
      </c>
      <c r="I13" s="56">
        <v>0</v>
      </c>
      <c r="J13" s="56">
        <v>0.93</v>
      </c>
      <c r="K13" s="56">
        <v>205.83</v>
      </c>
      <c r="L13" s="56">
        <v>25.47</v>
      </c>
      <c r="M13" s="56">
        <v>49.29</v>
      </c>
      <c r="N13" s="56">
        <v>0</v>
      </c>
      <c r="O13" s="56">
        <v>0</v>
      </c>
      <c r="P13" s="56">
        <v>0.38</v>
      </c>
      <c r="Q13" s="56">
        <v>5</v>
      </c>
      <c r="R13" s="42"/>
      <c r="S13" s="42"/>
      <c r="T13" s="42"/>
      <c r="U13" s="42"/>
    </row>
    <row r="14" spans="1:21" s="11" customFormat="1">
      <c r="A14" s="55" t="s">
        <v>579</v>
      </c>
      <c r="B14" s="56">
        <v>8.7799999999999994</v>
      </c>
      <c r="C14" s="56">
        <v>43.76</v>
      </c>
      <c r="D14" s="56">
        <v>31.25</v>
      </c>
      <c r="E14" s="56">
        <v>8.8699999999999992</v>
      </c>
      <c r="F14" s="56">
        <v>6.46</v>
      </c>
      <c r="G14" s="56">
        <v>38.880000000000003</v>
      </c>
      <c r="H14" s="56">
        <v>12.09</v>
      </c>
      <c r="I14" s="56">
        <v>0</v>
      </c>
      <c r="J14" s="56">
        <v>0.21</v>
      </c>
      <c r="K14" s="56">
        <v>260.41000000000003</v>
      </c>
      <c r="L14" s="56">
        <v>24.77</v>
      </c>
      <c r="M14" s="56">
        <v>51.61</v>
      </c>
      <c r="N14" s="56">
        <v>10.5</v>
      </c>
      <c r="O14" s="56">
        <v>0</v>
      </c>
      <c r="P14" s="56">
        <v>0.5</v>
      </c>
      <c r="Q14" s="56">
        <v>5</v>
      </c>
      <c r="R14" s="42"/>
      <c r="S14" s="42"/>
      <c r="T14" s="42"/>
      <c r="U14" s="42"/>
    </row>
    <row r="15" spans="1:21" s="11" customFormat="1">
      <c r="A15" s="55" t="s">
        <v>580</v>
      </c>
      <c r="B15" s="56">
        <v>10.58</v>
      </c>
      <c r="C15" s="56">
        <v>48.9</v>
      </c>
      <c r="D15" s="56">
        <v>35.39</v>
      </c>
      <c r="E15" s="56">
        <v>7.45</v>
      </c>
      <c r="F15" s="56">
        <v>6.83</v>
      </c>
      <c r="G15" s="56">
        <v>36.82</v>
      </c>
      <c r="H15" s="56">
        <v>10.89</v>
      </c>
      <c r="I15" s="56">
        <v>0</v>
      </c>
      <c r="J15" s="56">
        <v>0.16</v>
      </c>
      <c r="K15" s="56">
        <v>218.69</v>
      </c>
      <c r="L15" s="56">
        <v>25.91</v>
      </c>
      <c r="M15" s="56">
        <v>50.81</v>
      </c>
      <c r="N15" s="56">
        <v>37.5</v>
      </c>
      <c r="O15" s="56">
        <v>0</v>
      </c>
      <c r="P15" s="56">
        <v>0.52</v>
      </c>
      <c r="Q15" s="56">
        <v>5</v>
      </c>
      <c r="R15" s="42"/>
      <c r="S15" s="42"/>
      <c r="T15" s="42"/>
      <c r="U15" s="42"/>
    </row>
    <row r="16" spans="1:21" s="11" customFormat="1">
      <c r="A16" s="55" t="s">
        <v>581</v>
      </c>
      <c r="B16" s="56">
        <v>11.76</v>
      </c>
      <c r="C16" s="56">
        <v>52.76</v>
      </c>
      <c r="D16" s="56">
        <v>38.31</v>
      </c>
      <c r="E16" s="56">
        <v>7.07</v>
      </c>
      <c r="F16" s="56">
        <v>7.92</v>
      </c>
      <c r="G16" s="56">
        <v>35.65</v>
      </c>
      <c r="H16" s="56">
        <v>11.23</v>
      </c>
      <c r="I16" s="56">
        <v>0</v>
      </c>
      <c r="J16" s="56">
        <v>0.49</v>
      </c>
      <c r="K16" s="56">
        <v>234.34</v>
      </c>
      <c r="L16" s="56">
        <v>29.24</v>
      </c>
      <c r="M16" s="56">
        <v>52.87</v>
      </c>
      <c r="N16" s="56">
        <v>132.19999999999999</v>
      </c>
      <c r="O16" s="56">
        <v>0</v>
      </c>
      <c r="P16" s="56">
        <v>0.53</v>
      </c>
      <c r="Q16" s="56">
        <v>4.6500000000000004</v>
      </c>
      <c r="R16" s="42"/>
      <c r="S16" s="42"/>
      <c r="T16" s="42"/>
      <c r="U16" s="42"/>
    </row>
    <row r="17" spans="1:21" s="11" customFormat="1">
      <c r="A17" s="55" t="s">
        <v>582</v>
      </c>
      <c r="B17" s="56">
        <v>12.04</v>
      </c>
      <c r="C17" s="56">
        <v>58.62</v>
      </c>
      <c r="D17" s="56">
        <v>40.79</v>
      </c>
      <c r="E17" s="56">
        <v>7.21</v>
      </c>
      <c r="F17" s="56">
        <v>7.74</v>
      </c>
      <c r="G17" s="56">
        <v>34.68</v>
      </c>
      <c r="H17" s="56">
        <v>11.23</v>
      </c>
      <c r="I17" s="56">
        <v>0</v>
      </c>
      <c r="J17" s="56">
        <v>0.71</v>
      </c>
      <c r="K17" s="56">
        <v>244.62</v>
      </c>
      <c r="L17" s="56">
        <v>31.83</v>
      </c>
      <c r="M17" s="56">
        <v>40.64</v>
      </c>
      <c r="N17" s="56">
        <v>428.6</v>
      </c>
      <c r="O17" s="56">
        <v>0</v>
      </c>
      <c r="P17" s="56">
        <v>0.54</v>
      </c>
      <c r="Q17" s="56">
        <v>4.6399999999999997</v>
      </c>
      <c r="R17" s="42"/>
      <c r="S17" s="42"/>
      <c r="T17" s="42"/>
      <c r="U17" s="42"/>
    </row>
    <row r="18" spans="1:21" s="11" customFormat="1">
      <c r="A18" s="55" t="s">
        <v>583</v>
      </c>
      <c r="B18" s="56">
        <v>10.49</v>
      </c>
      <c r="C18" s="56">
        <v>61.82</v>
      </c>
      <c r="D18" s="56">
        <v>41.65</v>
      </c>
      <c r="E18" s="56">
        <v>6.68</v>
      </c>
      <c r="F18" s="56">
        <v>11.63</v>
      </c>
      <c r="G18" s="56">
        <v>33.159999999999997</v>
      </c>
      <c r="H18" s="56">
        <v>10.39</v>
      </c>
      <c r="I18" s="56">
        <v>0</v>
      </c>
      <c r="J18" s="56">
        <v>0.75</v>
      </c>
      <c r="K18" s="56">
        <v>238.53</v>
      </c>
      <c r="L18" s="56">
        <v>34.25</v>
      </c>
      <c r="M18" s="56">
        <v>32.51</v>
      </c>
      <c r="N18" s="56">
        <v>469.1</v>
      </c>
      <c r="O18" s="56">
        <v>0</v>
      </c>
      <c r="P18" s="56">
        <v>0.54</v>
      </c>
      <c r="Q18" s="56">
        <v>4.82</v>
      </c>
      <c r="R18" s="42"/>
      <c r="S18" s="42"/>
      <c r="T18" s="42"/>
      <c r="U18" s="42"/>
    </row>
    <row r="19" spans="1:21" s="11" customFormat="1">
      <c r="A19" s="55" t="s">
        <v>584</v>
      </c>
      <c r="B19" s="56">
        <v>6.18</v>
      </c>
      <c r="C19" s="56">
        <v>47.72</v>
      </c>
      <c r="D19" s="56">
        <v>31.24</v>
      </c>
      <c r="E19" s="56">
        <v>7.12</v>
      </c>
      <c r="F19" s="56">
        <v>28.7</v>
      </c>
      <c r="G19" s="56">
        <v>31.32</v>
      </c>
      <c r="H19" s="56">
        <v>10.39</v>
      </c>
      <c r="I19" s="56">
        <v>0</v>
      </c>
      <c r="J19" s="56">
        <v>1.4</v>
      </c>
      <c r="K19" s="56">
        <v>262.02999999999997</v>
      </c>
      <c r="L19" s="56">
        <v>35.04</v>
      </c>
      <c r="M19" s="56">
        <v>27.22</v>
      </c>
      <c r="N19" s="56">
        <v>794.8</v>
      </c>
      <c r="O19" s="56">
        <v>0</v>
      </c>
      <c r="P19" s="56">
        <v>0.41</v>
      </c>
      <c r="Q19" s="56">
        <v>5</v>
      </c>
      <c r="R19" s="42"/>
      <c r="S19" s="42"/>
      <c r="T19" s="42"/>
      <c r="U19" s="42"/>
    </row>
    <row r="20" spans="1:21" s="11" customFormat="1">
      <c r="A20" s="55" t="s">
        <v>585</v>
      </c>
      <c r="B20" s="56">
        <v>4.51</v>
      </c>
      <c r="C20" s="56">
        <v>32.82</v>
      </c>
      <c r="D20" s="56">
        <v>21.58</v>
      </c>
      <c r="E20" s="56">
        <v>10.27</v>
      </c>
      <c r="F20" s="56">
        <v>69.42</v>
      </c>
      <c r="G20" s="56">
        <v>28.61</v>
      </c>
      <c r="H20" s="56">
        <v>11.67</v>
      </c>
      <c r="I20" s="56">
        <v>0</v>
      </c>
      <c r="J20" s="56">
        <v>1.44</v>
      </c>
      <c r="K20" s="56">
        <v>271.66000000000003</v>
      </c>
      <c r="L20" s="56">
        <v>36.53</v>
      </c>
      <c r="M20" s="56">
        <v>25.51</v>
      </c>
      <c r="N20" s="56">
        <v>868.3</v>
      </c>
      <c r="O20" s="56">
        <v>0</v>
      </c>
      <c r="P20" s="56">
        <v>0.34</v>
      </c>
      <c r="Q20" s="56">
        <v>5</v>
      </c>
      <c r="R20" s="42"/>
      <c r="S20" s="42"/>
      <c r="T20" s="42"/>
      <c r="U20" s="42"/>
    </row>
    <row r="21" spans="1:21" s="11" customFormat="1">
      <c r="A21" s="55" t="s">
        <v>586</v>
      </c>
      <c r="B21" s="56">
        <v>3.86</v>
      </c>
      <c r="C21" s="56">
        <v>37.299999999999997</v>
      </c>
      <c r="D21" s="56">
        <v>23.58</v>
      </c>
      <c r="E21" s="56">
        <v>11.14</v>
      </c>
      <c r="F21" s="56">
        <v>71.13</v>
      </c>
      <c r="G21" s="56">
        <v>30.11</v>
      </c>
      <c r="H21" s="56">
        <v>12.09</v>
      </c>
      <c r="I21" s="56">
        <v>2.97</v>
      </c>
      <c r="J21" s="56">
        <v>1.63</v>
      </c>
      <c r="K21" s="56">
        <v>275.86</v>
      </c>
      <c r="L21" s="56">
        <v>37.68</v>
      </c>
      <c r="M21" s="56">
        <v>22.89</v>
      </c>
      <c r="N21" s="56">
        <v>880.9</v>
      </c>
      <c r="O21" s="56">
        <v>0</v>
      </c>
      <c r="P21" s="56">
        <v>0.49</v>
      </c>
      <c r="Q21" s="56">
        <v>5.4</v>
      </c>
      <c r="R21" s="42"/>
      <c r="S21" s="42"/>
      <c r="T21" s="42"/>
      <c r="U21" s="42"/>
    </row>
    <row r="22" spans="1:21" s="11" customFormat="1">
      <c r="A22" s="55" t="s">
        <v>587</v>
      </c>
      <c r="B22" s="56">
        <v>5.04</v>
      </c>
      <c r="C22" s="56">
        <v>30.94</v>
      </c>
      <c r="D22" s="56">
        <v>21.56</v>
      </c>
      <c r="E22" s="56">
        <v>11.59</v>
      </c>
      <c r="F22" s="56">
        <v>63.11</v>
      </c>
      <c r="G22" s="56">
        <v>31.27</v>
      </c>
      <c r="H22" s="56">
        <v>12.58</v>
      </c>
      <c r="I22" s="56">
        <v>2.93</v>
      </c>
      <c r="J22" s="56">
        <v>1.66</v>
      </c>
      <c r="K22" s="56">
        <v>277.8</v>
      </c>
      <c r="L22" s="56">
        <v>38.18</v>
      </c>
      <c r="M22" s="56">
        <v>23.27</v>
      </c>
      <c r="N22" s="56">
        <v>844.1</v>
      </c>
      <c r="O22" s="56">
        <v>0</v>
      </c>
      <c r="P22" s="56">
        <v>0.52</v>
      </c>
      <c r="Q22" s="56">
        <v>5.33</v>
      </c>
      <c r="R22" s="42"/>
      <c r="S22" s="42"/>
      <c r="T22" s="42"/>
      <c r="U22" s="42"/>
    </row>
    <row r="23" spans="1:21" s="11" customFormat="1">
      <c r="A23" s="55" t="s">
        <v>588</v>
      </c>
      <c r="B23" s="56">
        <v>5.99</v>
      </c>
      <c r="C23" s="56">
        <v>26.47</v>
      </c>
      <c r="D23" s="56">
        <v>19.98</v>
      </c>
      <c r="E23" s="56">
        <v>12.64</v>
      </c>
      <c r="F23" s="56">
        <v>76.62</v>
      </c>
      <c r="G23" s="56">
        <v>31.82</v>
      </c>
      <c r="H23" s="56">
        <v>12.58</v>
      </c>
      <c r="I23" s="56">
        <v>2.6</v>
      </c>
      <c r="J23" s="56">
        <v>1.39</v>
      </c>
      <c r="K23" s="56">
        <v>265.41000000000003</v>
      </c>
      <c r="L23" s="56">
        <v>37.56</v>
      </c>
      <c r="M23" s="56">
        <v>25.72</v>
      </c>
      <c r="N23" s="56">
        <v>569.1</v>
      </c>
      <c r="O23" s="56">
        <v>0</v>
      </c>
      <c r="P23" s="56">
        <v>0.54</v>
      </c>
      <c r="Q23" s="56">
        <v>5.0199999999999996</v>
      </c>
      <c r="R23" s="42"/>
      <c r="S23" s="42"/>
      <c r="T23" s="42"/>
      <c r="U23" s="42"/>
    </row>
    <row r="24" spans="1:21" s="11" customFormat="1">
      <c r="A24" s="55" t="s">
        <v>589</v>
      </c>
      <c r="B24" s="56">
        <v>4.96</v>
      </c>
      <c r="C24" s="56">
        <v>32.03</v>
      </c>
      <c r="D24" s="56">
        <v>22.06</v>
      </c>
      <c r="E24" s="56">
        <v>11.69</v>
      </c>
      <c r="F24" s="56">
        <v>74.11</v>
      </c>
      <c r="G24" s="56">
        <v>31.84</v>
      </c>
      <c r="H24" s="56">
        <v>13.24</v>
      </c>
      <c r="I24" s="56">
        <v>2.0699999999999998</v>
      </c>
      <c r="J24" s="56">
        <v>1.67</v>
      </c>
      <c r="K24" s="56">
        <v>240.62</v>
      </c>
      <c r="L24" s="56">
        <v>38.119999999999997</v>
      </c>
      <c r="M24" s="56">
        <v>27.66</v>
      </c>
      <c r="N24" s="56">
        <v>614.79999999999995</v>
      </c>
      <c r="O24" s="56">
        <v>0</v>
      </c>
      <c r="P24" s="56">
        <v>0.48</v>
      </c>
      <c r="Q24" s="56">
        <v>4.8099999999999996</v>
      </c>
      <c r="R24" s="42"/>
      <c r="S24" s="42"/>
      <c r="T24" s="42"/>
      <c r="U24" s="42"/>
    </row>
    <row r="25" spans="1:21" s="11" customFormat="1">
      <c r="A25" s="55" t="s">
        <v>590</v>
      </c>
      <c r="B25" s="56">
        <v>6.95</v>
      </c>
      <c r="C25" s="56">
        <v>48.87</v>
      </c>
      <c r="D25" s="56">
        <v>32.450000000000003</v>
      </c>
      <c r="E25" s="56">
        <v>17.79</v>
      </c>
      <c r="F25" s="56">
        <v>17.420000000000002</v>
      </c>
      <c r="G25" s="56">
        <v>51.19</v>
      </c>
      <c r="H25" s="56">
        <v>18.97</v>
      </c>
      <c r="I25" s="56">
        <v>3.18</v>
      </c>
      <c r="J25" s="56">
        <v>2.4</v>
      </c>
      <c r="K25" s="56">
        <v>55.08</v>
      </c>
      <c r="L25" s="56">
        <v>32.86</v>
      </c>
      <c r="M25" s="56">
        <v>35.54</v>
      </c>
      <c r="N25" s="56">
        <v>161.9</v>
      </c>
      <c r="O25" s="56">
        <v>0</v>
      </c>
      <c r="P25" s="56">
        <v>0.55000000000000004</v>
      </c>
      <c r="Q25" s="56">
        <v>5.36</v>
      </c>
      <c r="R25" s="42"/>
      <c r="S25" s="42"/>
      <c r="T25" s="42"/>
      <c r="U25" s="42"/>
    </row>
    <row r="26" spans="1:21" s="11" customFormat="1">
      <c r="A26" s="55" t="s">
        <v>591</v>
      </c>
      <c r="B26" s="56">
        <v>7.7</v>
      </c>
      <c r="C26" s="56">
        <v>57.11</v>
      </c>
      <c r="D26" s="56">
        <v>36.909999999999997</v>
      </c>
      <c r="E26" s="56">
        <v>9.9</v>
      </c>
      <c r="F26" s="56">
        <v>12.87</v>
      </c>
      <c r="G26" s="56">
        <v>64.73</v>
      </c>
      <c r="H26" s="56">
        <v>18.97</v>
      </c>
      <c r="I26" s="56">
        <v>3.28</v>
      </c>
      <c r="J26" s="56">
        <v>3.12</v>
      </c>
      <c r="K26" s="56">
        <v>359.41</v>
      </c>
      <c r="L26" s="56">
        <v>30.66</v>
      </c>
      <c r="M26" s="56">
        <v>79.08</v>
      </c>
      <c r="N26" s="56">
        <v>30.9</v>
      </c>
      <c r="O26" s="56">
        <v>0</v>
      </c>
      <c r="P26" s="56">
        <v>0.56000000000000005</v>
      </c>
      <c r="Q26" s="56">
        <v>5.9</v>
      </c>
      <c r="R26" s="42"/>
      <c r="S26" s="42"/>
      <c r="T26" s="42"/>
      <c r="U26" s="42"/>
    </row>
    <row r="27" spans="1:21" s="11" customFormat="1">
      <c r="A27" s="55" t="s">
        <v>592</v>
      </c>
      <c r="B27" s="56">
        <v>8.07</v>
      </c>
      <c r="C27" s="56">
        <v>58.71</v>
      </c>
      <c r="D27" s="56">
        <v>38.5</v>
      </c>
      <c r="E27" s="56">
        <v>5.7</v>
      </c>
      <c r="F27" s="56">
        <v>11.34</v>
      </c>
      <c r="G27" s="56">
        <v>81.02</v>
      </c>
      <c r="H27" s="56">
        <v>17.25</v>
      </c>
      <c r="I27" s="56">
        <v>3.27</v>
      </c>
      <c r="J27" s="56">
        <v>3.33</v>
      </c>
      <c r="K27" s="56">
        <v>41.64</v>
      </c>
      <c r="L27" s="56">
        <v>21.77</v>
      </c>
      <c r="M27" s="56">
        <v>94.13</v>
      </c>
      <c r="N27" s="56">
        <v>0</v>
      </c>
      <c r="O27" s="56">
        <v>0</v>
      </c>
      <c r="P27" s="56">
        <v>0.55000000000000004</v>
      </c>
      <c r="Q27" s="56">
        <v>5.95</v>
      </c>
      <c r="R27" s="42"/>
      <c r="S27" s="42"/>
      <c r="T27" s="42"/>
      <c r="U27" s="42"/>
    </row>
    <row r="28" spans="1:21" s="11" customFormat="1">
      <c r="A28" s="55" t="s">
        <v>593</v>
      </c>
      <c r="B28" s="56">
        <v>10.76</v>
      </c>
      <c r="C28" s="56">
        <v>70.19</v>
      </c>
      <c r="D28" s="56">
        <v>46</v>
      </c>
      <c r="E28" s="56">
        <v>5.48</v>
      </c>
      <c r="F28" s="56">
        <v>4.0199999999999996</v>
      </c>
      <c r="G28" s="56">
        <v>81.75</v>
      </c>
      <c r="H28" s="56">
        <v>19.7</v>
      </c>
      <c r="I28" s="56">
        <v>3.34</v>
      </c>
      <c r="J28" s="56">
        <v>1.69</v>
      </c>
      <c r="K28" s="56">
        <v>178.09</v>
      </c>
      <c r="L28" s="56">
        <v>21.09</v>
      </c>
      <c r="M28" s="56">
        <v>96.37</v>
      </c>
      <c r="N28" s="56">
        <v>0</v>
      </c>
      <c r="O28" s="56">
        <v>0</v>
      </c>
      <c r="P28" s="56">
        <v>0.57999999999999996</v>
      </c>
      <c r="Q28" s="56">
        <v>6.68</v>
      </c>
      <c r="R28" s="42"/>
      <c r="S28" s="42"/>
      <c r="T28" s="42"/>
      <c r="U28" s="42"/>
    </row>
    <row r="29" spans="1:21" s="11" customFormat="1">
      <c r="A29" s="55" t="s">
        <v>594</v>
      </c>
      <c r="B29" s="56">
        <v>12.93</v>
      </c>
      <c r="C29" s="56">
        <v>69.02</v>
      </c>
      <c r="D29" s="56">
        <v>47.77</v>
      </c>
      <c r="E29" s="56">
        <v>5.09</v>
      </c>
      <c r="F29" s="56">
        <v>3.95</v>
      </c>
      <c r="G29" s="56">
        <v>50.14</v>
      </c>
      <c r="H29" s="56">
        <v>19.7</v>
      </c>
      <c r="I29" s="56">
        <v>3.47</v>
      </c>
      <c r="J29" s="56">
        <v>0.95</v>
      </c>
      <c r="K29" s="56">
        <v>129.79</v>
      </c>
      <c r="L29" s="56">
        <v>21.29</v>
      </c>
      <c r="M29" s="56">
        <v>95.02</v>
      </c>
      <c r="N29" s="56">
        <v>0</v>
      </c>
      <c r="O29" s="56">
        <v>0</v>
      </c>
      <c r="P29" s="56">
        <v>0.57999999999999996</v>
      </c>
      <c r="Q29" s="56">
        <v>6.83</v>
      </c>
      <c r="R29" s="42"/>
      <c r="S29" s="42"/>
      <c r="T29" s="42"/>
      <c r="U29" s="42"/>
    </row>
    <row r="30" spans="1:21" s="11" customFormat="1">
      <c r="A30" s="55" t="s">
        <v>595</v>
      </c>
      <c r="B30" s="56">
        <v>16.54</v>
      </c>
      <c r="C30" s="56">
        <v>69.209999999999994</v>
      </c>
      <c r="D30" s="56">
        <v>50.78</v>
      </c>
      <c r="E30" s="56">
        <v>4.88</v>
      </c>
      <c r="F30" s="56">
        <v>3.89</v>
      </c>
      <c r="G30" s="56">
        <v>36.1</v>
      </c>
      <c r="H30" s="56">
        <v>16.38</v>
      </c>
      <c r="I30" s="56">
        <v>3.57</v>
      </c>
      <c r="J30" s="56">
        <v>0.79</v>
      </c>
      <c r="K30" s="56">
        <v>135.88</v>
      </c>
      <c r="L30" s="56">
        <v>21.62</v>
      </c>
      <c r="M30" s="56">
        <v>91.51</v>
      </c>
      <c r="N30" s="56">
        <v>0</v>
      </c>
      <c r="O30" s="56">
        <v>0</v>
      </c>
      <c r="P30" s="56">
        <v>0.57999999999999996</v>
      </c>
      <c r="Q30" s="56">
        <v>7.09</v>
      </c>
      <c r="R30" s="42"/>
      <c r="S30" s="42"/>
      <c r="T30" s="42"/>
      <c r="U30" s="42"/>
    </row>
    <row r="31" spans="1:21" s="11" customFormat="1">
      <c r="A31" s="55" t="s">
        <v>596</v>
      </c>
      <c r="B31" s="56">
        <v>17.510000000000002</v>
      </c>
      <c r="C31" s="56">
        <v>68.78</v>
      </c>
      <c r="D31" s="56">
        <v>50.96</v>
      </c>
      <c r="E31" s="56">
        <v>4.8499999999999996</v>
      </c>
      <c r="F31" s="56">
        <v>4.2</v>
      </c>
      <c r="G31" s="56">
        <v>23.69</v>
      </c>
      <c r="H31" s="56">
        <v>16.38</v>
      </c>
      <c r="I31" s="56">
        <v>3.62</v>
      </c>
      <c r="J31" s="56">
        <v>0.55000000000000004</v>
      </c>
      <c r="K31" s="56">
        <v>214.82</v>
      </c>
      <c r="L31" s="56">
        <v>21.39</v>
      </c>
      <c r="M31" s="56">
        <v>94.69</v>
      </c>
      <c r="N31" s="56">
        <v>0</v>
      </c>
      <c r="O31" s="56">
        <v>0</v>
      </c>
      <c r="P31" s="56">
        <v>0.56000000000000005</v>
      </c>
      <c r="Q31" s="56">
        <v>7.17</v>
      </c>
      <c r="R31" s="42"/>
      <c r="S31" s="42"/>
      <c r="T31" s="42"/>
      <c r="U31" s="42"/>
    </row>
    <row r="32" spans="1:21" s="11" customFormat="1">
      <c r="A32" s="55" t="s">
        <v>597</v>
      </c>
      <c r="B32" s="56">
        <v>17.64</v>
      </c>
      <c r="C32" s="56">
        <v>68.13</v>
      </c>
      <c r="D32" s="56">
        <v>50.99</v>
      </c>
      <c r="E32" s="56">
        <v>4.41</v>
      </c>
      <c r="F32" s="56">
        <v>4.1100000000000003</v>
      </c>
      <c r="G32" s="56">
        <v>20.53</v>
      </c>
      <c r="H32" s="56">
        <v>11.85</v>
      </c>
      <c r="I32" s="56">
        <v>3.57</v>
      </c>
      <c r="J32" s="56">
        <v>0.79</v>
      </c>
      <c r="K32" s="56">
        <v>245.67</v>
      </c>
      <c r="L32" s="56">
        <v>20.92</v>
      </c>
      <c r="M32" s="56">
        <v>94.32</v>
      </c>
      <c r="N32" s="56">
        <v>0</v>
      </c>
      <c r="O32" s="56">
        <v>0</v>
      </c>
      <c r="P32" s="56">
        <v>0.54</v>
      </c>
      <c r="Q32" s="56">
        <v>7.16</v>
      </c>
      <c r="R32" s="42"/>
      <c r="S32" s="42"/>
      <c r="T32" s="42"/>
      <c r="U32" s="42"/>
    </row>
    <row r="33" spans="1:21" s="21" customFormat="1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>
      <c r="A34" s="27" t="s">
        <v>30</v>
      </c>
      <c r="B34" s="28">
        <f t="shared" ref="B34:Q34" si="0">MIN(B9:B32)</f>
        <v>3.86</v>
      </c>
      <c r="C34" s="28">
        <f t="shared" si="0"/>
        <v>26.47</v>
      </c>
      <c r="D34" s="28">
        <f t="shared" si="0"/>
        <v>19.98</v>
      </c>
      <c r="E34" s="28">
        <f t="shared" si="0"/>
        <v>4.41</v>
      </c>
      <c r="F34" s="28">
        <f t="shared" si="0"/>
        <v>3.89</v>
      </c>
      <c r="G34" s="28">
        <f t="shared" si="0"/>
        <v>20.53</v>
      </c>
      <c r="H34" s="28">
        <f>MIN(H9:H32)</f>
        <v>10.39</v>
      </c>
      <c r="I34" s="28">
        <f t="shared" si="0"/>
        <v>0</v>
      </c>
      <c r="J34" s="28">
        <f t="shared" si="0"/>
        <v>0.16</v>
      </c>
      <c r="K34" s="28">
        <f t="shared" si="0"/>
        <v>41.64</v>
      </c>
      <c r="L34" s="28">
        <f t="shared" si="0"/>
        <v>20.92</v>
      </c>
      <c r="M34" s="28">
        <f t="shared" si="0"/>
        <v>22.89</v>
      </c>
      <c r="N34" s="28">
        <f t="shared" si="0"/>
        <v>0</v>
      </c>
      <c r="O34" s="28">
        <f t="shared" si="0"/>
        <v>0</v>
      </c>
      <c r="P34" s="28">
        <f t="shared" si="0"/>
        <v>0.28999999999999998</v>
      </c>
      <c r="Q34" s="28">
        <f t="shared" si="0"/>
        <v>4.6399999999999997</v>
      </c>
      <c r="R34" s="28"/>
      <c r="S34" s="28"/>
      <c r="T34" s="28"/>
      <c r="U34" s="28"/>
    </row>
    <row r="35" spans="1:21" s="21" customFormat="1">
      <c r="A35" s="27" t="s">
        <v>31</v>
      </c>
      <c r="B35" s="29">
        <f t="shared" ref="B35:Q35" si="1">MAX(B9:B32)</f>
        <v>17.64</v>
      </c>
      <c r="C35" s="29">
        <f t="shared" si="1"/>
        <v>70.19</v>
      </c>
      <c r="D35" s="29">
        <f t="shared" si="1"/>
        <v>50.99</v>
      </c>
      <c r="E35" s="29">
        <f t="shared" si="1"/>
        <v>46.16</v>
      </c>
      <c r="F35" s="29">
        <f t="shared" si="1"/>
        <v>76.62</v>
      </c>
      <c r="G35" s="29">
        <f>MAX(G9:G32)</f>
        <v>81.75</v>
      </c>
      <c r="H35" s="29">
        <f>MAX(H9:H32)</f>
        <v>19.7</v>
      </c>
      <c r="I35" s="29">
        <f t="shared" si="1"/>
        <v>3.62</v>
      </c>
      <c r="J35" s="29">
        <f t="shared" si="1"/>
        <v>3.33</v>
      </c>
      <c r="K35" s="29">
        <f t="shared" si="1"/>
        <v>359.41</v>
      </c>
      <c r="L35" s="29">
        <f t="shared" si="1"/>
        <v>38.18</v>
      </c>
      <c r="M35" s="29">
        <f t="shared" si="1"/>
        <v>96.37</v>
      </c>
      <c r="N35" s="29">
        <f t="shared" si="1"/>
        <v>880.9</v>
      </c>
      <c r="O35" s="29">
        <f t="shared" si="1"/>
        <v>0</v>
      </c>
      <c r="P35" s="29">
        <f t="shared" si="1"/>
        <v>0.57999999999999996</v>
      </c>
      <c r="Q35" s="29">
        <f t="shared" si="1"/>
        <v>7.17</v>
      </c>
      <c r="R35" s="29"/>
      <c r="S35" s="29"/>
      <c r="T35" s="29"/>
      <c r="U35" s="29"/>
    </row>
    <row r="36" spans="1:21" s="21" customFormat="1">
      <c r="A36" s="27" t="s">
        <v>32</v>
      </c>
      <c r="B36" s="28">
        <f t="shared" ref="B36:Q36" si="2">AVERAGE(B9:B32)</f>
        <v>9.6466666666666665</v>
      </c>
      <c r="C36" s="28">
        <f t="shared" si="2"/>
        <v>48.269583333333344</v>
      </c>
      <c r="D36" s="28">
        <f t="shared" si="2"/>
        <v>34.104999999999997</v>
      </c>
      <c r="E36" s="28">
        <f t="shared" si="2"/>
        <v>10.909166666666669</v>
      </c>
      <c r="F36" s="28">
        <f t="shared" si="2"/>
        <v>27.516666666666669</v>
      </c>
      <c r="G36" s="28">
        <f t="shared" si="2"/>
        <v>41.236666666666672</v>
      </c>
      <c r="H36" s="28">
        <f>AVERAGE(H9:H32)</f>
        <v>13.984166666666667</v>
      </c>
      <c r="I36" s="28">
        <f t="shared" si="2"/>
        <v>1.5779166666666666</v>
      </c>
      <c r="J36" s="28">
        <f t="shared" si="2"/>
        <v>1.2091666666666667</v>
      </c>
      <c r="K36" s="28">
        <f t="shared" si="2"/>
        <v>204.52333333333331</v>
      </c>
      <c r="L36" s="28">
        <f t="shared" si="2"/>
        <v>28.833749999999995</v>
      </c>
      <c r="M36" s="28">
        <f t="shared" si="2"/>
        <v>54.033749999999998</v>
      </c>
      <c r="N36" s="28">
        <f t="shared" si="2"/>
        <v>243.44583333333333</v>
      </c>
      <c r="O36" s="28">
        <f t="shared" si="2"/>
        <v>0</v>
      </c>
      <c r="P36" s="28">
        <f t="shared" si="2"/>
        <v>0.48666666666666664</v>
      </c>
      <c r="Q36" s="28">
        <f t="shared" si="2"/>
        <v>5.4920833333333334</v>
      </c>
      <c r="R36" s="28"/>
      <c r="S36" s="28"/>
      <c r="T36" s="28"/>
      <c r="U36" s="28"/>
    </row>
    <row r="37" spans="1:21" s="21" customFormat="1">
      <c r="A37" s="27" t="s">
        <v>38</v>
      </c>
      <c r="B37" s="28">
        <f>STDEV(B9:B32)</f>
        <v>4.0822241025191657</v>
      </c>
      <c r="C37" s="28">
        <f t="shared" ref="C37:Q37" si="3">STDEV(C9:C32)</f>
        <v>14.835430117639355</v>
      </c>
      <c r="D37" s="28">
        <f t="shared" si="3"/>
        <v>10.297241082593123</v>
      </c>
      <c r="E37" s="28">
        <f t="shared" si="3"/>
        <v>8.5347605945215008</v>
      </c>
      <c r="F37" s="28">
        <f t="shared" si="3"/>
        <v>25.795928844054757</v>
      </c>
      <c r="G37" s="28">
        <f t="shared" si="3"/>
        <v>15.559132552848226</v>
      </c>
      <c r="H37" s="28">
        <f>STDEV(H9:H32)</f>
        <v>3.050093251128517</v>
      </c>
      <c r="I37" s="28">
        <f t="shared" si="3"/>
        <v>1.6424980422638502</v>
      </c>
      <c r="J37" s="28">
        <f t="shared" si="3"/>
        <v>0.83953360067758265</v>
      </c>
      <c r="K37" s="28">
        <f t="shared" si="3"/>
        <v>81.69671408786057</v>
      </c>
      <c r="L37" s="28">
        <f t="shared" si="3"/>
        <v>6.2035107959648679</v>
      </c>
      <c r="M37" s="28">
        <f t="shared" si="3"/>
        <v>26.881181038446559</v>
      </c>
      <c r="N37" s="28">
        <f t="shared" si="3"/>
        <v>336.44735744200773</v>
      </c>
      <c r="O37" s="28">
        <f t="shared" si="3"/>
        <v>0</v>
      </c>
      <c r="P37" s="28">
        <f t="shared" si="3"/>
        <v>9.512767926486447E-2</v>
      </c>
      <c r="Q37" s="28">
        <f t="shared" si="3"/>
        <v>0.84787190976132532</v>
      </c>
      <c r="R37" s="28"/>
      <c r="S37" s="28"/>
      <c r="T37" s="28"/>
      <c r="U37" s="28"/>
    </row>
    <row r="38" spans="1:21" s="21" customFormat="1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>COUNT(F9:F32)</f>
        <v>24</v>
      </c>
      <c r="G38" s="32">
        <f>COUNT(G9:G32)</f>
        <v>24</v>
      </c>
      <c r="H38" s="32">
        <f>COUNT(H9:H32)</f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>
      <c r="A42" s="13"/>
    </row>
    <row r="43" spans="1:21" s="21" customFormat="1">
      <c r="A43" s="14" t="s">
        <v>35</v>
      </c>
      <c r="B43" s="39" t="s">
        <v>58</v>
      </c>
      <c r="C43" s="41"/>
    </row>
    <row r="44" spans="1:21" s="21" customFormat="1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0"/>
      <c r="C45" s="40"/>
      <c r="D45" s="40"/>
      <c r="E45" s="40"/>
      <c r="F45" s="40"/>
      <c r="G45" s="40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</row>
    <row r="46" spans="1:21" s="21" customFormat="1"/>
    <row r="47" spans="1:21" s="21" customFormat="1"/>
    <row r="48" spans="1:21" s="21" customFormat="1"/>
    <row r="49" s="21" customFormat="1"/>
    <row r="50" s="21" customFormat="1"/>
    <row r="51" s="21" customFormat="1"/>
    <row r="52" s="21" customFormat="1"/>
    <row r="53" s="21" customFormat="1"/>
    <row r="54" s="21" customFormat="1"/>
    <row r="55" s="21" customFormat="1"/>
    <row r="56" s="21" customFormat="1"/>
    <row r="57" s="21" customFormat="1"/>
    <row r="58" s="21" customFormat="1"/>
    <row r="59" s="21" customFormat="1"/>
    <row r="60" s="21" customFormat="1"/>
    <row r="61" s="21" customFormat="1"/>
    <row r="62" s="21" customFormat="1"/>
    <row r="63" s="21" customFormat="1"/>
    <row r="64" s="21" customFormat="1"/>
    <row r="65" s="21" customFormat="1"/>
    <row r="66" s="21" customFormat="1"/>
    <row r="67" s="21" customFormat="1"/>
    <row r="68" s="21" customFormat="1"/>
    <row r="69" s="21" customFormat="1"/>
    <row r="70" s="21" customFormat="1"/>
    <row r="71" s="21" customFormat="1"/>
    <row r="72" s="21" customFormat="1"/>
    <row r="73" s="21" customFormat="1"/>
    <row r="74" s="21" customFormat="1"/>
    <row r="75" s="21" customFormat="1"/>
    <row r="76" s="21" customFormat="1"/>
    <row r="77" s="21" customFormat="1"/>
    <row r="78" s="21" customFormat="1"/>
    <row r="79" s="21" customFormat="1"/>
    <row r="80" s="21" customFormat="1"/>
    <row r="81" s="21" customFormat="1"/>
    <row r="82" s="21" customFormat="1"/>
    <row r="83" s="21" customFormat="1"/>
    <row r="84" s="21" customFormat="1"/>
    <row r="85" s="21" customFormat="1"/>
    <row r="86" s="21" customFormat="1"/>
    <row r="87" s="21" customFormat="1"/>
    <row r="88" s="21" customFormat="1"/>
    <row r="89" s="21" customFormat="1"/>
    <row r="90" s="21" customFormat="1"/>
    <row r="91" s="21" customFormat="1"/>
    <row r="92" s="21" customFormat="1"/>
    <row r="93" s="21" customFormat="1"/>
    <row r="94" s="21" customFormat="1"/>
    <row r="95" s="21" customFormat="1"/>
    <row r="96" s="21" customFormat="1"/>
    <row r="97" spans="1:1" s="21" customFormat="1"/>
    <row r="98" spans="1:1" s="21" customFormat="1"/>
    <row r="99" spans="1:1" s="21" customFormat="1"/>
    <row r="100" spans="1:1" s="21" customFormat="1"/>
    <row r="101" spans="1:1" s="21" customFormat="1"/>
    <row r="102" spans="1:1" s="21" customFormat="1"/>
    <row r="103" spans="1:1" s="21" customFormat="1"/>
    <row r="104" spans="1:1" s="21" customFormat="1"/>
    <row r="105" spans="1:1" s="21" customFormat="1"/>
    <row r="106" spans="1:1">
      <c r="A106" s="20"/>
    </row>
    <row r="107" spans="1:1" s="21" customFormat="1"/>
    <row r="108" spans="1:1" s="21" customFormat="1"/>
    <row r="109" spans="1:1" s="21" customFormat="1"/>
    <row r="110" spans="1:1" s="21" customFormat="1"/>
    <row r="111" spans="1:1" s="21" customFormat="1"/>
    <row r="112" spans="1:1" s="21" customFormat="1"/>
    <row r="113" spans="1:1" s="21" customFormat="1"/>
    <row r="114" spans="1:1" s="21" customFormat="1"/>
    <row r="115" spans="1:1" s="21" customFormat="1"/>
    <row r="116" spans="1:1" s="21" customFormat="1"/>
    <row r="117" spans="1:1" s="21" customFormat="1"/>
    <row r="118" spans="1:1">
      <c r="A118" s="20"/>
    </row>
    <row r="119" spans="1:1">
      <c r="A119" s="20"/>
    </row>
  </sheetData>
  <pageMargins left="0.7" right="0.7" top="0.75" bottom="0.75" header="0.3" footer="0.3"/>
  <pageSetup paperSize="9" orientation="portrait" horizontalDpi="300" verticalDpi="300" r:id="rId1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1" ySplit="8" topLeftCell="B30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A9" sqref="A9:Q32"/>
    </sheetView>
  </sheetViews>
  <sheetFormatPr defaultColWidth="8.85546875" defaultRowHeight="1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>
      <c r="A1" s="14" t="s">
        <v>2</v>
      </c>
      <c r="B1" s="23" t="s">
        <v>55</v>
      </c>
      <c r="C1" s="36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>
      <c r="A2" s="14" t="s">
        <v>0</v>
      </c>
      <c r="B2" s="37" t="str">
        <f>$A$9</f>
        <v>23/04/2023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8" t="s">
        <v>7</v>
      </c>
      <c r="Q2" s="12"/>
      <c r="R2" s="8" t="s">
        <v>8</v>
      </c>
      <c r="S2" s="11"/>
      <c r="T2" s="11"/>
      <c r="U2" s="11"/>
    </row>
    <row r="3" spans="1:21" s="21" customFormat="1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8" t="s">
        <v>15</v>
      </c>
      <c r="Q3" s="12"/>
      <c r="R3" s="9" t="s">
        <v>15</v>
      </c>
      <c r="S3" s="11"/>
      <c r="T3" s="11"/>
      <c r="U3" s="11"/>
    </row>
    <row r="4" spans="1:21" s="21" customFormat="1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>
      <c r="A7" s="25" t="s">
        <v>21</v>
      </c>
      <c r="B7" s="48" t="s">
        <v>40</v>
      </c>
      <c r="C7" s="49" t="s">
        <v>41</v>
      </c>
      <c r="D7" s="49" t="s">
        <v>42</v>
      </c>
      <c r="E7" s="49" t="s">
        <v>43</v>
      </c>
      <c r="F7" s="49" t="s">
        <v>44</v>
      </c>
      <c r="G7" s="49" t="s">
        <v>45</v>
      </c>
      <c r="H7" s="49" t="s">
        <v>56</v>
      </c>
      <c r="I7" s="49" t="s">
        <v>46</v>
      </c>
      <c r="J7" s="49" t="s">
        <v>47</v>
      </c>
      <c r="K7" s="49" t="s">
        <v>48</v>
      </c>
      <c r="L7" s="49" t="s">
        <v>49</v>
      </c>
      <c r="M7" s="49" t="s">
        <v>50</v>
      </c>
      <c r="N7" s="49" t="s">
        <v>51</v>
      </c>
      <c r="O7" s="49" t="s">
        <v>52</v>
      </c>
      <c r="P7" s="49" t="s">
        <v>53</v>
      </c>
      <c r="Q7" s="49" t="s">
        <v>54</v>
      </c>
      <c r="R7" s="27"/>
      <c r="S7" s="29"/>
      <c r="T7" s="27"/>
      <c r="U7" s="27"/>
    </row>
    <row r="8" spans="1:21" s="21" customFormat="1">
      <c r="A8" s="25"/>
      <c r="B8" s="50" t="s">
        <v>22</v>
      </c>
      <c r="C8" s="50" t="s">
        <v>22</v>
      </c>
      <c r="D8" s="50" t="s">
        <v>22</v>
      </c>
      <c r="E8" s="50" t="s">
        <v>22</v>
      </c>
      <c r="F8" s="50" t="s">
        <v>22</v>
      </c>
      <c r="G8" s="50" t="s">
        <v>23</v>
      </c>
      <c r="H8" s="50" t="s">
        <v>22</v>
      </c>
      <c r="I8" s="50" t="s">
        <v>22</v>
      </c>
      <c r="J8" s="50" t="s">
        <v>24</v>
      </c>
      <c r="K8" s="50" t="s">
        <v>25</v>
      </c>
      <c r="L8" s="25" t="s">
        <v>27</v>
      </c>
      <c r="M8" s="50" t="s">
        <v>26</v>
      </c>
      <c r="N8" s="50" t="s">
        <v>28</v>
      </c>
      <c r="O8" s="25" t="s">
        <v>29</v>
      </c>
      <c r="P8" s="50" t="s">
        <v>22</v>
      </c>
      <c r="Q8" s="50" t="s">
        <v>22</v>
      </c>
      <c r="R8" s="27"/>
      <c r="S8" s="29"/>
      <c r="T8" s="27"/>
      <c r="U8" s="27"/>
    </row>
    <row r="9" spans="1:21" s="11" customFormat="1">
      <c r="A9" s="55" t="s">
        <v>598</v>
      </c>
      <c r="B9" s="56">
        <v>17.93</v>
      </c>
      <c r="C9" s="56">
        <v>61.34</v>
      </c>
      <c r="D9" s="56">
        <v>47.78</v>
      </c>
      <c r="E9" s="56">
        <v>4.0999999999999996</v>
      </c>
      <c r="F9" s="56">
        <v>4.7</v>
      </c>
      <c r="G9" s="56">
        <v>17.760000000000002</v>
      </c>
      <c r="H9" s="56">
        <v>11.85</v>
      </c>
      <c r="I9" s="56">
        <v>3.36</v>
      </c>
      <c r="J9" s="56">
        <v>0.67</v>
      </c>
      <c r="K9" s="56">
        <v>106.68</v>
      </c>
      <c r="L9" s="56">
        <v>21.1</v>
      </c>
      <c r="M9" s="56">
        <v>90.85</v>
      </c>
      <c r="N9" s="56">
        <v>0</v>
      </c>
      <c r="O9" s="56">
        <v>0</v>
      </c>
      <c r="P9" s="56">
        <v>0.51</v>
      </c>
      <c r="Q9" s="56">
        <v>7.01</v>
      </c>
      <c r="R9" s="42"/>
      <c r="S9" s="42"/>
      <c r="T9" s="42"/>
      <c r="U9" s="42"/>
    </row>
    <row r="10" spans="1:21" s="11" customFormat="1">
      <c r="A10" s="55" t="s">
        <v>599</v>
      </c>
      <c r="B10" s="56">
        <v>19.36</v>
      </c>
      <c r="C10" s="56">
        <v>63.01</v>
      </c>
      <c r="D10" s="56">
        <v>49.8</v>
      </c>
      <c r="E10" s="56">
        <v>3.85</v>
      </c>
      <c r="F10" s="56">
        <v>4.09</v>
      </c>
      <c r="G10" s="56">
        <v>13.04</v>
      </c>
      <c r="H10" s="56">
        <v>9.3699999999999992</v>
      </c>
      <c r="I10" s="56">
        <v>3.2</v>
      </c>
      <c r="J10" s="56">
        <v>0.41</v>
      </c>
      <c r="K10" s="56">
        <v>226.83</v>
      </c>
      <c r="L10" s="56">
        <v>21.02</v>
      </c>
      <c r="M10" s="56">
        <v>90.89</v>
      </c>
      <c r="N10" s="56">
        <v>0</v>
      </c>
      <c r="O10" s="56">
        <v>0</v>
      </c>
      <c r="P10" s="56">
        <v>0.48</v>
      </c>
      <c r="Q10" s="56">
        <v>6.82</v>
      </c>
      <c r="R10" s="42"/>
      <c r="S10" s="42"/>
      <c r="T10" s="42"/>
      <c r="U10" s="42"/>
    </row>
    <row r="11" spans="1:21" s="11" customFormat="1">
      <c r="A11" s="55" t="s">
        <v>600</v>
      </c>
      <c r="B11" s="56">
        <v>20.98</v>
      </c>
      <c r="C11" s="56">
        <v>62.9</v>
      </c>
      <c r="D11" s="56">
        <v>51.04</v>
      </c>
      <c r="E11" s="56">
        <v>8.11</v>
      </c>
      <c r="F11" s="56">
        <v>3.85</v>
      </c>
      <c r="G11" s="56">
        <v>9.11</v>
      </c>
      <c r="H11" s="56">
        <v>7.06</v>
      </c>
      <c r="I11" s="56">
        <v>3.19</v>
      </c>
      <c r="J11" s="56">
        <v>0.76</v>
      </c>
      <c r="K11" s="56">
        <v>271.49</v>
      </c>
      <c r="L11" s="56">
        <v>21.21</v>
      </c>
      <c r="M11" s="56">
        <v>89.6</v>
      </c>
      <c r="N11" s="56">
        <v>0</v>
      </c>
      <c r="O11" s="56">
        <v>0</v>
      </c>
      <c r="P11" s="56">
        <v>0.48</v>
      </c>
      <c r="Q11" s="56">
        <v>6.92</v>
      </c>
      <c r="R11" s="42"/>
      <c r="S11" s="42"/>
      <c r="T11" s="42"/>
      <c r="U11" s="42"/>
    </row>
    <row r="12" spans="1:21" s="11" customFormat="1">
      <c r="A12" s="55" t="s">
        <v>601</v>
      </c>
      <c r="B12" s="56">
        <v>23.42</v>
      </c>
      <c r="C12" s="56">
        <v>61.66</v>
      </c>
      <c r="D12" s="56">
        <v>51.75</v>
      </c>
      <c r="E12" s="56">
        <v>8.2899999999999991</v>
      </c>
      <c r="F12" s="56">
        <v>4.2300000000000004</v>
      </c>
      <c r="G12" s="56">
        <v>17.62</v>
      </c>
      <c r="H12" s="56">
        <v>11.38</v>
      </c>
      <c r="I12" s="56">
        <v>3.16</v>
      </c>
      <c r="J12" s="56">
        <v>1.0900000000000001</v>
      </c>
      <c r="K12" s="56">
        <v>351.08</v>
      </c>
      <c r="L12" s="56">
        <v>21.27</v>
      </c>
      <c r="M12" s="56">
        <v>89.72</v>
      </c>
      <c r="N12" s="56">
        <v>0</v>
      </c>
      <c r="O12" s="56">
        <v>0</v>
      </c>
      <c r="P12" s="56">
        <v>0.49</v>
      </c>
      <c r="Q12" s="56">
        <v>7.02</v>
      </c>
      <c r="R12" s="42"/>
      <c r="S12" s="42"/>
      <c r="T12" s="42"/>
      <c r="U12" s="42"/>
    </row>
    <row r="13" spans="1:21" s="11" customFormat="1">
      <c r="A13" s="55" t="s">
        <v>602</v>
      </c>
      <c r="B13" s="56">
        <v>27.61</v>
      </c>
      <c r="C13" s="56">
        <v>63.87</v>
      </c>
      <c r="D13" s="56">
        <v>56.51</v>
      </c>
      <c r="E13" s="56">
        <v>8.07</v>
      </c>
      <c r="F13" s="56">
        <v>3.74</v>
      </c>
      <c r="G13" s="56">
        <v>34.26</v>
      </c>
      <c r="H13" s="56">
        <v>12.46</v>
      </c>
      <c r="I13" s="56">
        <v>3.32</v>
      </c>
      <c r="J13" s="56">
        <v>0.42</v>
      </c>
      <c r="K13" s="56">
        <v>309.85000000000002</v>
      </c>
      <c r="L13" s="56">
        <v>21.04</v>
      </c>
      <c r="M13" s="56">
        <v>90.63</v>
      </c>
      <c r="N13" s="56">
        <v>0</v>
      </c>
      <c r="O13" s="56">
        <v>0</v>
      </c>
      <c r="P13" s="56">
        <v>0.53</v>
      </c>
      <c r="Q13" s="56">
        <v>7.31</v>
      </c>
      <c r="R13" s="42"/>
      <c r="S13" s="42"/>
      <c r="T13" s="42"/>
      <c r="U13" s="42"/>
    </row>
    <row r="14" spans="1:21" s="11" customFormat="1">
      <c r="A14" s="55" t="s">
        <v>603</v>
      </c>
      <c r="B14" s="56">
        <v>31.64</v>
      </c>
      <c r="C14" s="56">
        <v>67.87</v>
      </c>
      <c r="D14" s="56">
        <v>62.18</v>
      </c>
      <c r="E14" s="56">
        <v>8.11</v>
      </c>
      <c r="F14" s="56">
        <v>3.56</v>
      </c>
      <c r="G14" s="56">
        <v>52.13</v>
      </c>
      <c r="H14" s="56">
        <v>17.260000000000002</v>
      </c>
      <c r="I14" s="56">
        <v>3.54</v>
      </c>
      <c r="J14" s="56">
        <v>0.2</v>
      </c>
      <c r="K14" s="56">
        <v>249.84</v>
      </c>
      <c r="L14" s="56">
        <v>21.43</v>
      </c>
      <c r="M14" s="56">
        <v>91.33</v>
      </c>
      <c r="N14" s="56">
        <v>11.3</v>
      </c>
      <c r="O14" s="56">
        <v>0</v>
      </c>
      <c r="P14" s="56">
        <v>0.57999999999999996</v>
      </c>
      <c r="Q14" s="56">
        <v>8.1199999999999992</v>
      </c>
      <c r="R14" s="42"/>
      <c r="S14" s="42"/>
      <c r="T14" s="42"/>
      <c r="U14" s="42"/>
    </row>
    <row r="15" spans="1:21" s="11" customFormat="1">
      <c r="A15" s="55" t="s">
        <v>604</v>
      </c>
      <c r="B15" s="56">
        <v>34.409999999999997</v>
      </c>
      <c r="C15" s="56">
        <v>67.69</v>
      </c>
      <c r="D15" s="56">
        <v>64.31</v>
      </c>
      <c r="E15" s="56">
        <v>7.95</v>
      </c>
      <c r="F15" s="56">
        <v>3.56</v>
      </c>
      <c r="G15" s="56">
        <v>55.26</v>
      </c>
      <c r="H15" s="56">
        <v>19.2</v>
      </c>
      <c r="I15" s="56">
        <v>3.73</v>
      </c>
      <c r="J15" s="56">
        <v>0.42</v>
      </c>
      <c r="K15" s="56">
        <v>231.84</v>
      </c>
      <c r="L15" s="56">
        <v>22.19</v>
      </c>
      <c r="M15" s="56">
        <v>92.54</v>
      </c>
      <c r="N15" s="56">
        <v>69.5</v>
      </c>
      <c r="O15" s="56">
        <v>0</v>
      </c>
      <c r="P15" s="56">
        <v>0.62</v>
      </c>
      <c r="Q15" s="56">
        <v>8.48</v>
      </c>
      <c r="R15" s="42"/>
      <c r="S15" s="42"/>
      <c r="T15" s="42"/>
      <c r="U15" s="42"/>
    </row>
    <row r="16" spans="1:21" s="11" customFormat="1">
      <c r="A16" s="55" t="s">
        <v>605</v>
      </c>
      <c r="B16" s="56">
        <v>34.96</v>
      </c>
      <c r="C16" s="56">
        <v>67.61</v>
      </c>
      <c r="D16" s="56">
        <v>64.63</v>
      </c>
      <c r="E16" s="56">
        <v>8.17</v>
      </c>
      <c r="F16" s="56">
        <v>3.68</v>
      </c>
      <c r="G16" s="56">
        <v>55.37</v>
      </c>
      <c r="H16" s="56">
        <v>19.2</v>
      </c>
      <c r="I16" s="56">
        <v>3.87</v>
      </c>
      <c r="J16" s="56">
        <v>0.53</v>
      </c>
      <c r="K16" s="56">
        <v>248.73</v>
      </c>
      <c r="L16" s="56">
        <v>23.17</v>
      </c>
      <c r="M16" s="56">
        <v>86.57</v>
      </c>
      <c r="N16" s="56">
        <v>133.5</v>
      </c>
      <c r="O16" s="56">
        <v>0</v>
      </c>
      <c r="P16" s="56">
        <v>0.62</v>
      </c>
      <c r="Q16" s="56">
        <v>8.57</v>
      </c>
      <c r="R16" s="42"/>
      <c r="S16" s="42"/>
      <c r="T16" s="42"/>
      <c r="U16" s="42"/>
    </row>
    <row r="17" spans="1:21" s="11" customFormat="1">
      <c r="A17" s="55" t="s">
        <v>606</v>
      </c>
      <c r="B17" s="56">
        <v>33.950000000000003</v>
      </c>
      <c r="C17" s="56">
        <v>67.87</v>
      </c>
      <c r="D17" s="56">
        <v>63.87</v>
      </c>
      <c r="E17" s="56">
        <v>7.66</v>
      </c>
      <c r="F17" s="56">
        <v>3.67</v>
      </c>
      <c r="G17" s="56">
        <v>47.96</v>
      </c>
      <c r="H17" s="56">
        <v>19.149999999999999</v>
      </c>
      <c r="I17" s="56">
        <v>4.01</v>
      </c>
      <c r="J17" s="56">
        <v>0.62</v>
      </c>
      <c r="K17" s="56">
        <v>245.57</v>
      </c>
      <c r="L17" s="56">
        <v>24.15</v>
      </c>
      <c r="M17" s="56">
        <v>78.989999999999995</v>
      </c>
      <c r="N17" s="56">
        <v>274.5</v>
      </c>
      <c r="O17" s="56">
        <v>0</v>
      </c>
      <c r="P17" s="56">
        <v>0.62</v>
      </c>
      <c r="Q17" s="56">
        <v>8.5399999999999991</v>
      </c>
      <c r="R17" s="42"/>
      <c r="S17" s="42"/>
      <c r="T17" s="42"/>
      <c r="U17" s="42"/>
    </row>
    <row r="18" spans="1:21" s="11" customFormat="1">
      <c r="A18" s="55" t="s">
        <v>607</v>
      </c>
      <c r="B18" s="56">
        <v>31.24</v>
      </c>
      <c r="C18" s="56">
        <v>67.760000000000005</v>
      </c>
      <c r="D18" s="56">
        <v>61.81</v>
      </c>
      <c r="E18" s="56">
        <v>7.54</v>
      </c>
      <c r="F18" s="56">
        <v>3.92</v>
      </c>
      <c r="G18" s="56">
        <v>31.25</v>
      </c>
      <c r="H18" s="56">
        <v>14.71</v>
      </c>
      <c r="I18" s="56">
        <v>3.99</v>
      </c>
      <c r="J18" s="56">
        <v>1.1599999999999999</v>
      </c>
      <c r="K18" s="56">
        <v>283.88</v>
      </c>
      <c r="L18" s="56">
        <v>26.16</v>
      </c>
      <c r="M18" s="56">
        <v>72.790000000000006</v>
      </c>
      <c r="N18" s="56">
        <v>549.70000000000005</v>
      </c>
      <c r="O18" s="56">
        <v>0</v>
      </c>
      <c r="P18" s="56">
        <v>0.61</v>
      </c>
      <c r="Q18" s="56">
        <v>8.3800000000000008</v>
      </c>
      <c r="R18" s="42"/>
      <c r="S18" s="42"/>
      <c r="T18" s="42"/>
      <c r="U18" s="42"/>
    </row>
    <row r="19" spans="1:21" s="11" customFormat="1">
      <c r="A19" s="55" t="s">
        <v>608</v>
      </c>
      <c r="B19" s="56">
        <v>28.27</v>
      </c>
      <c r="C19" s="56">
        <v>60.82</v>
      </c>
      <c r="D19" s="56">
        <v>55.8</v>
      </c>
      <c r="E19" s="56">
        <v>6.63</v>
      </c>
      <c r="F19" s="56">
        <v>4.5999999999999996</v>
      </c>
      <c r="G19" s="56">
        <v>23.21</v>
      </c>
      <c r="H19" s="56">
        <v>14</v>
      </c>
      <c r="I19" s="56">
        <v>3.92</v>
      </c>
      <c r="J19" s="56">
        <v>0.64</v>
      </c>
      <c r="K19" s="56">
        <v>251.32</v>
      </c>
      <c r="L19" s="56">
        <v>28.01</v>
      </c>
      <c r="M19" s="56">
        <v>66.31</v>
      </c>
      <c r="N19" s="56">
        <v>608.70000000000005</v>
      </c>
      <c r="O19" s="56">
        <v>0</v>
      </c>
      <c r="P19" s="56">
        <v>0.59</v>
      </c>
      <c r="Q19" s="56">
        <v>7.77</v>
      </c>
      <c r="R19" s="42"/>
      <c r="S19" s="42"/>
      <c r="T19" s="42"/>
      <c r="U19" s="42"/>
    </row>
    <row r="20" spans="1:21" s="11" customFormat="1">
      <c r="A20" s="55" t="s">
        <v>609</v>
      </c>
      <c r="B20" s="56">
        <v>24.4</v>
      </c>
      <c r="C20" s="56">
        <v>57.84</v>
      </c>
      <c r="D20" s="56">
        <v>49.5</v>
      </c>
      <c r="E20" s="56">
        <v>7.07</v>
      </c>
      <c r="F20" s="56">
        <v>10.11</v>
      </c>
      <c r="G20" s="56">
        <v>22.34</v>
      </c>
      <c r="H20" s="56">
        <v>13.08</v>
      </c>
      <c r="I20" s="56">
        <v>3.93</v>
      </c>
      <c r="J20" s="56">
        <v>0.4</v>
      </c>
      <c r="K20" s="56">
        <v>224.12</v>
      </c>
      <c r="L20" s="56">
        <v>31.4</v>
      </c>
      <c r="M20" s="56">
        <v>52.24</v>
      </c>
      <c r="N20" s="56">
        <v>904</v>
      </c>
      <c r="O20" s="56">
        <v>0</v>
      </c>
      <c r="P20" s="56">
        <v>0.56000000000000005</v>
      </c>
      <c r="Q20" s="56">
        <v>7.34</v>
      </c>
      <c r="R20" s="42"/>
      <c r="S20" s="42"/>
      <c r="T20" s="42"/>
      <c r="U20" s="42"/>
    </row>
    <row r="21" spans="1:21" s="11" customFormat="1">
      <c r="A21" s="55" t="s">
        <v>610</v>
      </c>
      <c r="B21" s="56">
        <v>20.43</v>
      </c>
      <c r="C21" s="56">
        <v>57.3</v>
      </c>
      <c r="D21" s="56">
        <v>47.67</v>
      </c>
      <c r="E21" s="56">
        <v>6.52</v>
      </c>
      <c r="F21" s="56">
        <v>12.05</v>
      </c>
      <c r="G21" s="56">
        <v>22.45</v>
      </c>
      <c r="H21" s="56">
        <v>13.08</v>
      </c>
      <c r="I21" s="56">
        <v>3.92</v>
      </c>
      <c r="J21" s="56">
        <v>0.73</v>
      </c>
      <c r="K21" s="56">
        <v>251.16</v>
      </c>
      <c r="L21" s="56">
        <v>33.11</v>
      </c>
      <c r="M21" s="56">
        <v>46.78</v>
      </c>
      <c r="N21" s="56">
        <v>925.7</v>
      </c>
      <c r="O21" s="56">
        <v>0</v>
      </c>
      <c r="P21" s="56">
        <v>0.55000000000000004</v>
      </c>
      <c r="Q21" s="56">
        <v>7.03</v>
      </c>
      <c r="R21" s="42"/>
      <c r="S21" s="42"/>
      <c r="T21" s="42"/>
      <c r="U21" s="42"/>
    </row>
    <row r="22" spans="1:21" s="11" customFormat="1">
      <c r="A22" s="55" t="s">
        <v>611</v>
      </c>
      <c r="B22" s="56">
        <v>16.350000000000001</v>
      </c>
      <c r="C22" s="56">
        <v>56.87</v>
      </c>
      <c r="D22" s="56">
        <v>44.17</v>
      </c>
      <c r="E22" s="56">
        <v>6.79</v>
      </c>
      <c r="F22" s="56">
        <v>12.15</v>
      </c>
      <c r="G22" s="56">
        <v>17.05</v>
      </c>
      <c r="H22" s="56">
        <v>11.94</v>
      </c>
      <c r="I22" s="56">
        <v>4.03</v>
      </c>
      <c r="J22" s="56">
        <v>0.37</v>
      </c>
      <c r="K22" s="56">
        <v>271.74</v>
      </c>
      <c r="L22" s="56">
        <v>34.17</v>
      </c>
      <c r="M22" s="56">
        <v>36.450000000000003</v>
      </c>
      <c r="N22" s="56">
        <v>889.2</v>
      </c>
      <c r="O22" s="56">
        <v>0</v>
      </c>
      <c r="P22" s="56">
        <v>0.53</v>
      </c>
      <c r="Q22" s="56">
        <v>6.99</v>
      </c>
      <c r="R22" s="42"/>
      <c r="S22" s="42"/>
      <c r="T22" s="42"/>
      <c r="U22" s="42"/>
    </row>
    <row r="23" spans="1:21" s="11" customFormat="1">
      <c r="A23" s="55" t="s">
        <v>612</v>
      </c>
      <c r="B23" s="56">
        <v>13.23</v>
      </c>
      <c r="C23" s="56">
        <v>55.99</v>
      </c>
      <c r="D23" s="56">
        <v>41.21</v>
      </c>
      <c r="E23" s="56">
        <v>6.78</v>
      </c>
      <c r="F23" s="56">
        <v>13.79</v>
      </c>
      <c r="G23" s="56">
        <v>14.2</v>
      </c>
      <c r="H23" s="56">
        <v>8.75</v>
      </c>
      <c r="I23" s="56">
        <v>3.99</v>
      </c>
      <c r="J23" s="56">
        <v>0.46</v>
      </c>
      <c r="K23" s="56">
        <v>236.79</v>
      </c>
      <c r="L23" s="56">
        <v>35.65</v>
      </c>
      <c r="M23" s="56">
        <v>29.97</v>
      </c>
      <c r="N23" s="56">
        <v>799.5</v>
      </c>
      <c r="O23" s="56">
        <v>0</v>
      </c>
      <c r="P23" s="56">
        <v>0.45</v>
      </c>
      <c r="Q23" s="56">
        <v>6.75</v>
      </c>
      <c r="R23" s="42"/>
      <c r="S23" s="42"/>
      <c r="T23" s="42"/>
      <c r="U23" s="42"/>
    </row>
    <row r="24" spans="1:21" s="11" customFormat="1">
      <c r="A24" s="55" t="s">
        <v>613</v>
      </c>
      <c r="B24" s="56">
        <v>12.39</v>
      </c>
      <c r="C24" s="56">
        <v>59.18</v>
      </c>
      <c r="D24" s="56">
        <v>42.01</v>
      </c>
      <c r="E24" s="56">
        <v>5.95</v>
      </c>
      <c r="F24" s="56">
        <v>9.1199999999999992</v>
      </c>
      <c r="G24" s="56">
        <v>14.2</v>
      </c>
      <c r="H24" s="56">
        <v>7.84</v>
      </c>
      <c r="I24" s="56">
        <v>4.0999999999999996</v>
      </c>
      <c r="J24" s="56">
        <v>0.43</v>
      </c>
      <c r="K24" s="56">
        <v>253.51</v>
      </c>
      <c r="L24" s="56">
        <v>35.89</v>
      </c>
      <c r="M24" s="56">
        <v>26.4</v>
      </c>
      <c r="N24" s="56">
        <v>635</v>
      </c>
      <c r="O24" s="56">
        <v>0</v>
      </c>
      <c r="P24" s="56">
        <v>0.45</v>
      </c>
      <c r="Q24" s="56">
        <v>6.82</v>
      </c>
      <c r="R24" s="42"/>
      <c r="S24" s="42"/>
      <c r="T24" s="42"/>
      <c r="U24" s="42"/>
    </row>
    <row r="25" spans="1:21" s="11" customFormat="1">
      <c r="A25" s="55" t="s">
        <v>614</v>
      </c>
      <c r="B25" s="56">
        <v>9.9700000000000006</v>
      </c>
      <c r="C25" s="56">
        <v>60.94</v>
      </c>
      <c r="D25" s="56">
        <v>41.17</v>
      </c>
      <c r="E25" s="56">
        <v>5.57</v>
      </c>
      <c r="F25" s="56">
        <v>12.2</v>
      </c>
      <c r="G25" s="56">
        <v>13.71</v>
      </c>
      <c r="H25" s="56">
        <v>7.84</v>
      </c>
      <c r="I25" s="56">
        <v>3.91</v>
      </c>
      <c r="J25" s="56">
        <v>0.52</v>
      </c>
      <c r="K25" s="56">
        <v>236</v>
      </c>
      <c r="L25" s="56">
        <v>35.770000000000003</v>
      </c>
      <c r="M25" s="56">
        <v>27.02</v>
      </c>
      <c r="N25" s="56">
        <v>423.5</v>
      </c>
      <c r="O25" s="56">
        <v>0</v>
      </c>
      <c r="P25" s="56">
        <v>0.43</v>
      </c>
      <c r="Q25" s="56">
        <v>6.78</v>
      </c>
      <c r="R25" s="42"/>
      <c r="S25" s="42"/>
      <c r="T25" s="42"/>
      <c r="U25" s="42"/>
    </row>
    <row r="26" spans="1:21" s="11" customFormat="1">
      <c r="A26" s="55" t="s">
        <v>615</v>
      </c>
      <c r="B26" s="56">
        <v>9.75</v>
      </c>
      <c r="C26" s="56">
        <v>59.68</v>
      </c>
      <c r="D26" s="56">
        <v>40.35</v>
      </c>
      <c r="E26" s="56">
        <v>5.58</v>
      </c>
      <c r="F26" s="56">
        <v>15.2</v>
      </c>
      <c r="G26" s="56">
        <v>13.72</v>
      </c>
      <c r="H26" s="56">
        <v>8.16</v>
      </c>
      <c r="I26" s="56">
        <v>3.73</v>
      </c>
      <c r="J26" s="56">
        <v>0.23</v>
      </c>
      <c r="K26" s="56">
        <v>191.51</v>
      </c>
      <c r="L26" s="56">
        <v>34.549999999999997</v>
      </c>
      <c r="M26" s="56">
        <v>31.75</v>
      </c>
      <c r="N26" s="56">
        <v>191</v>
      </c>
      <c r="O26" s="56">
        <v>0</v>
      </c>
      <c r="P26" s="56">
        <v>0.42</v>
      </c>
      <c r="Q26" s="56">
        <v>6.78</v>
      </c>
      <c r="R26" s="42"/>
      <c r="S26" s="42"/>
      <c r="T26" s="42"/>
      <c r="U26" s="42"/>
    </row>
    <row r="27" spans="1:21" s="11" customFormat="1">
      <c r="A27" s="55" t="s">
        <v>616</v>
      </c>
      <c r="B27" s="56">
        <v>11.22</v>
      </c>
      <c r="C27" s="56">
        <v>63.26</v>
      </c>
      <c r="D27" s="56">
        <v>43.2</v>
      </c>
      <c r="E27" s="56">
        <v>6.96</v>
      </c>
      <c r="F27" s="56">
        <v>9.51</v>
      </c>
      <c r="G27" s="56">
        <v>13.63</v>
      </c>
      <c r="H27" s="56">
        <v>9.65</v>
      </c>
      <c r="I27" s="56">
        <v>3.51</v>
      </c>
      <c r="J27" s="56">
        <v>0.15</v>
      </c>
      <c r="K27" s="56">
        <v>207.14</v>
      </c>
      <c r="L27" s="56">
        <v>31.23</v>
      </c>
      <c r="M27" s="56">
        <v>43.2</v>
      </c>
      <c r="N27" s="56">
        <v>2.2999999999999998</v>
      </c>
      <c r="O27" s="56">
        <v>0</v>
      </c>
      <c r="P27" s="56">
        <v>0.43</v>
      </c>
      <c r="Q27" s="56">
        <v>6.88</v>
      </c>
      <c r="R27" s="42"/>
      <c r="S27" s="42"/>
      <c r="T27" s="42"/>
      <c r="U27" s="42"/>
    </row>
    <row r="28" spans="1:21" s="11" customFormat="1">
      <c r="A28" s="55" t="s">
        <v>617</v>
      </c>
      <c r="B28" s="56">
        <v>14.21</v>
      </c>
      <c r="C28" s="56">
        <v>67.72</v>
      </c>
      <c r="D28" s="56">
        <v>47.72</v>
      </c>
      <c r="E28" s="56">
        <v>6.8</v>
      </c>
      <c r="F28" s="56">
        <v>6.83</v>
      </c>
      <c r="G28" s="56">
        <v>13.67</v>
      </c>
      <c r="H28" s="56">
        <v>9.65</v>
      </c>
      <c r="I28" s="56">
        <v>3.54</v>
      </c>
      <c r="J28" s="56">
        <v>0.22</v>
      </c>
      <c r="K28" s="56">
        <v>177.25</v>
      </c>
      <c r="L28" s="56">
        <v>28.38</v>
      </c>
      <c r="M28" s="56">
        <v>56.86</v>
      </c>
      <c r="N28" s="56">
        <v>0</v>
      </c>
      <c r="O28" s="56">
        <v>0</v>
      </c>
      <c r="P28" s="56">
        <v>0.44</v>
      </c>
      <c r="Q28" s="56">
        <v>7.09</v>
      </c>
      <c r="R28" s="42"/>
      <c r="S28" s="42"/>
      <c r="T28" s="42"/>
      <c r="U28" s="42"/>
    </row>
    <row r="29" spans="1:21" s="11" customFormat="1">
      <c r="A29" s="55" t="s">
        <v>618</v>
      </c>
      <c r="B29" s="56">
        <v>19.57</v>
      </c>
      <c r="C29" s="56">
        <v>67.77</v>
      </c>
      <c r="D29" s="56">
        <v>51.57</v>
      </c>
      <c r="E29" s="56">
        <v>6.98</v>
      </c>
      <c r="F29" s="56">
        <v>7.01</v>
      </c>
      <c r="G29" s="56">
        <v>34.49</v>
      </c>
      <c r="H29" s="56">
        <v>12.06</v>
      </c>
      <c r="I29" s="56">
        <v>4.7</v>
      </c>
      <c r="J29" s="56">
        <v>0.2</v>
      </c>
      <c r="K29" s="56">
        <v>174.82</v>
      </c>
      <c r="L29" s="56">
        <v>26.96</v>
      </c>
      <c r="M29" s="56">
        <v>57.4</v>
      </c>
      <c r="N29" s="56">
        <v>0</v>
      </c>
      <c r="O29" s="56">
        <v>0</v>
      </c>
      <c r="P29" s="56">
        <v>0.49</v>
      </c>
      <c r="Q29" s="56">
        <v>7.27</v>
      </c>
      <c r="R29" s="42"/>
      <c r="S29" s="42"/>
      <c r="T29" s="42"/>
      <c r="U29" s="42"/>
    </row>
    <row r="30" spans="1:21" s="11" customFormat="1">
      <c r="A30" s="55" t="s">
        <v>619</v>
      </c>
      <c r="B30" s="56">
        <v>23.55</v>
      </c>
      <c r="C30" s="56">
        <v>68.84</v>
      </c>
      <c r="D30" s="56">
        <v>56.2</v>
      </c>
      <c r="E30" s="56">
        <v>7.23</v>
      </c>
      <c r="F30" s="56">
        <v>8.75</v>
      </c>
      <c r="G30" s="56">
        <v>36.369999999999997</v>
      </c>
      <c r="H30" s="56">
        <v>13.29</v>
      </c>
      <c r="I30" s="56">
        <v>5.8</v>
      </c>
      <c r="J30" s="56">
        <v>0.56000000000000005</v>
      </c>
      <c r="K30" s="56">
        <v>159.29</v>
      </c>
      <c r="L30" s="56">
        <v>26.95</v>
      </c>
      <c r="M30" s="56">
        <v>57.76</v>
      </c>
      <c r="N30" s="56">
        <v>0</v>
      </c>
      <c r="O30" s="56">
        <v>0</v>
      </c>
      <c r="P30" s="56">
        <v>0.51</v>
      </c>
      <c r="Q30" s="56">
        <v>7.6</v>
      </c>
      <c r="R30" s="42"/>
      <c r="S30" s="42"/>
      <c r="T30" s="42"/>
      <c r="U30" s="42"/>
    </row>
    <row r="31" spans="1:21" s="11" customFormat="1">
      <c r="A31" s="55" t="s">
        <v>620</v>
      </c>
      <c r="B31" s="56">
        <v>26.72</v>
      </c>
      <c r="C31" s="56">
        <v>67.73</v>
      </c>
      <c r="D31" s="56">
        <v>58.17</v>
      </c>
      <c r="E31" s="56">
        <v>7.61</v>
      </c>
      <c r="F31" s="56">
        <v>5.34</v>
      </c>
      <c r="G31" s="56">
        <v>36.72</v>
      </c>
      <c r="H31" s="56">
        <v>13.29</v>
      </c>
      <c r="I31" s="56">
        <v>6.19</v>
      </c>
      <c r="J31" s="56">
        <v>0.28000000000000003</v>
      </c>
      <c r="K31" s="56">
        <v>169.97</v>
      </c>
      <c r="L31" s="56">
        <v>26.78</v>
      </c>
      <c r="M31" s="56">
        <v>60.78</v>
      </c>
      <c r="N31" s="56">
        <v>0</v>
      </c>
      <c r="O31" s="56">
        <v>0</v>
      </c>
      <c r="P31" s="56">
        <v>0.52</v>
      </c>
      <c r="Q31" s="56">
        <v>7.74</v>
      </c>
      <c r="R31" s="42"/>
      <c r="S31" s="42"/>
      <c r="T31" s="42"/>
      <c r="U31" s="42"/>
    </row>
    <row r="32" spans="1:21" s="11" customFormat="1">
      <c r="A32" s="55" t="s">
        <v>621</v>
      </c>
      <c r="B32" s="56">
        <v>27.86</v>
      </c>
      <c r="C32" s="56">
        <v>68.12</v>
      </c>
      <c r="D32" s="56">
        <v>58.75</v>
      </c>
      <c r="E32" s="56">
        <v>8.3000000000000007</v>
      </c>
      <c r="F32" s="56">
        <v>9.35</v>
      </c>
      <c r="G32" s="56">
        <v>38.770000000000003</v>
      </c>
      <c r="H32" s="56">
        <v>13.36</v>
      </c>
      <c r="I32" s="56">
        <v>6.47</v>
      </c>
      <c r="J32" s="56">
        <v>2.19</v>
      </c>
      <c r="K32" s="56">
        <v>316.52</v>
      </c>
      <c r="L32" s="56">
        <v>26.82</v>
      </c>
      <c r="M32" s="56">
        <v>78.37</v>
      </c>
      <c r="N32" s="56">
        <v>2.1</v>
      </c>
      <c r="O32" s="56">
        <v>0</v>
      </c>
      <c r="P32" s="56">
        <v>0.54</v>
      </c>
      <c r="Q32" s="56">
        <v>7.97</v>
      </c>
      <c r="R32" s="42"/>
      <c r="S32" s="42"/>
      <c r="T32" s="42"/>
      <c r="U32" s="42"/>
    </row>
    <row r="33" spans="1:21" s="21" customFormat="1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>
      <c r="A34" s="27" t="s">
        <v>30</v>
      </c>
      <c r="B34" s="28">
        <f t="shared" ref="B34:Q34" si="0">MIN(B9:B32)</f>
        <v>9.75</v>
      </c>
      <c r="C34" s="28">
        <f t="shared" si="0"/>
        <v>55.99</v>
      </c>
      <c r="D34" s="28">
        <f t="shared" si="0"/>
        <v>40.35</v>
      </c>
      <c r="E34" s="28">
        <f t="shared" si="0"/>
        <v>3.85</v>
      </c>
      <c r="F34" s="28">
        <f t="shared" si="0"/>
        <v>3.56</v>
      </c>
      <c r="G34" s="28">
        <f t="shared" si="0"/>
        <v>9.11</v>
      </c>
      <c r="H34" s="28">
        <f>MIN(H9:H32)</f>
        <v>7.06</v>
      </c>
      <c r="I34" s="28">
        <f t="shared" si="0"/>
        <v>3.16</v>
      </c>
      <c r="J34" s="28">
        <f t="shared" si="0"/>
        <v>0.15</v>
      </c>
      <c r="K34" s="28">
        <f t="shared" si="0"/>
        <v>106.68</v>
      </c>
      <c r="L34" s="28">
        <f t="shared" si="0"/>
        <v>21.02</v>
      </c>
      <c r="M34" s="28">
        <f t="shared" si="0"/>
        <v>26.4</v>
      </c>
      <c r="N34" s="28">
        <f t="shared" si="0"/>
        <v>0</v>
      </c>
      <c r="O34" s="28">
        <f t="shared" si="0"/>
        <v>0</v>
      </c>
      <c r="P34" s="28">
        <f t="shared" si="0"/>
        <v>0.42</v>
      </c>
      <c r="Q34" s="28">
        <f t="shared" si="0"/>
        <v>6.75</v>
      </c>
      <c r="R34" s="28"/>
      <c r="S34" s="28"/>
      <c r="T34" s="28"/>
      <c r="U34" s="28"/>
    </row>
    <row r="35" spans="1:21" s="21" customFormat="1">
      <c r="A35" s="27" t="s">
        <v>31</v>
      </c>
      <c r="B35" s="29">
        <f t="shared" ref="B35:Q35" si="1">MAX(B9:B32)</f>
        <v>34.96</v>
      </c>
      <c r="C35" s="29">
        <f t="shared" si="1"/>
        <v>68.84</v>
      </c>
      <c r="D35" s="29">
        <f t="shared" si="1"/>
        <v>64.63</v>
      </c>
      <c r="E35" s="29">
        <f t="shared" si="1"/>
        <v>8.3000000000000007</v>
      </c>
      <c r="F35" s="29">
        <f t="shared" si="1"/>
        <v>15.2</v>
      </c>
      <c r="G35" s="29">
        <f>MAX(G9:G32)</f>
        <v>55.37</v>
      </c>
      <c r="H35" s="29">
        <f>MAX(H9:H32)</f>
        <v>19.2</v>
      </c>
      <c r="I35" s="29">
        <f t="shared" si="1"/>
        <v>6.47</v>
      </c>
      <c r="J35" s="29">
        <f t="shared" si="1"/>
        <v>2.19</v>
      </c>
      <c r="K35" s="29">
        <f t="shared" si="1"/>
        <v>351.08</v>
      </c>
      <c r="L35" s="29">
        <f t="shared" si="1"/>
        <v>35.89</v>
      </c>
      <c r="M35" s="29">
        <f t="shared" si="1"/>
        <v>92.54</v>
      </c>
      <c r="N35" s="29">
        <f t="shared" si="1"/>
        <v>925.7</v>
      </c>
      <c r="O35" s="29">
        <f t="shared" si="1"/>
        <v>0</v>
      </c>
      <c r="P35" s="29">
        <f t="shared" si="1"/>
        <v>0.62</v>
      </c>
      <c r="Q35" s="29">
        <f t="shared" si="1"/>
        <v>8.57</v>
      </c>
      <c r="R35" s="29"/>
      <c r="S35" s="29"/>
      <c r="T35" s="29"/>
      <c r="U35" s="29"/>
    </row>
    <row r="36" spans="1:21" s="21" customFormat="1">
      <c r="A36" s="27" t="s">
        <v>32</v>
      </c>
      <c r="B36" s="28">
        <f t="shared" ref="B36:Q36" si="2">AVERAGE(B9:B32)</f>
        <v>22.225833333333338</v>
      </c>
      <c r="C36" s="28">
        <f t="shared" si="2"/>
        <v>63.484999999999992</v>
      </c>
      <c r="D36" s="28">
        <f t="shared" si="2"/>
        <v>52.132083333333334</v>
      </c>
      <c r="E36" s="28">
        <f t="shared" si="2"/>
        <v>6.9425000000000017</v>
      </c>
      <c r="F36" s="28">
        <f t="shared" si="2"/>
        <v>7.2920833333333341</v>
      </c>
      <c r="G36" s="28">
        <f t="shared" si="2"/>
        <v>27.012083333333333</v>
      </c>
      <c r="H36" s="28">
        <f>AVERAGE(H9:H32)</f>
        <v>12.401250000000005</v>
      </c>
      <c r="I36" s="28">
        <f t="shared" si="2"/>
        <v>4.0462500000000015</v>
      </c>
      <c r="J36" s="28">
        <f t="shared" si="2"/>
        <v>0.56916666666666671</v>
      </c>
      <c r="K36" s="28">
        <f t="shared" si="2"/>
        <v>235.28875000000002</v>
      </c>
      <c r="L36" s="28">
        <f t="shared" si="2"/>
        <v>27.433750000000003</v>
      </c>
      <c r="M36" s="28">
        <f t="shared" si="2"/>
        <v>64.38333333333334</v>
      </c>
      <c r="N36" s="28">
        <f t="shared" si="2"/>
        <v>267.47916666666669</v>
      </c>
      <c r="O36" s="28">
        <f t="shared" si="2"/>
        <v>0</v>
      </c>
      <c r="P36" s="28">
        <f t="shared" si="2"/>
        <v>0.51874999999999993</v>
      </c>
      <c r="Q36" s="28">
        <f t="shared" si="2"/>
        <v>7.4158333333333326</v>
      </c>
      <c r="R36" s="28"/>
      <c r="S36" s="28"/>
      <c r="T36" s="28"/>
      <c r="U36" s="28"/>
    </row>
    <row r="37" spans="1:21" s="21" customFormat="1">
      <c r="A37" s="27" t="s">
        <v>38</v>
      </c>
      <c r="B37" s="28">
        <f>STDEV(B9:B32)</f>
        <v>8.0359122837350547</v>
      </c>
      <c r="C37" s="28">
        <f t="shared" ref="C37:Q37" si="3">STDEV(C9:C32)</f>
        <v>4.2796159925253807</v>
      </c>
      <c r="D37" s="28">
        <f t="shared" si="3"/>
        <v>7.9743349070718477</v>
      </c>
      <c r="E37" s="28">
        <f t="shared" si="3"/>
        <v>1.2213757389321935</v>
      </c>
      <c r="F37" s="28">
        <f t="shared" si="3"/>
        <v>3.7602254548117817</v>
      </c>
      <c r="G37" s="28">
        <f t="shared" si="3"/>
        <v>14.748893246367807</v>
      </c>
      <c r="H37" s="28">
        <f>STDEV(H9:H32)</f>
        <v>3.6138096392443702</v>
      </c>
      <c r="I37" s="28">
        <f t="shared" si="3"/>
        <v>0.89229461161268864</v>
      </c>
      <c r="J37" s="28">
        <f t="shared" si="3"/>
        <v>0.4308628013917985</v>
      </c>
      <c r="K37" s="28">
        <f t="shared" si="3"/>
        <v>54.546456810167399</v>
      </c>
      <c r="L37" s="28">
        <f t="shared" si="3"/>
        <v>5.3664212125432922</v>
      </c>
      <c r="M37" s="28">
        <f t="shared" si="3"/>
        <v>23.591508912183265</v>
      </c>
      <c r="N37" s="28">
        <f t="shared" si="3"/>
        <v>347.46379477225571</v>
      </c>
      <c r="O37" s="28">
        <f t="shared" si="3"/>
        <v>0</v>
      </c>
      <c r="P37" s="28">
        <f t="shared" si="3"/>
        <v>6.5029257629363249E-2</v>
      </c>
      <c r="Q37" s="28">
        <f t="shared" si="3"/>
        <v>0.62610539928553222</v>
      </c>
      <c r="R37" s="28"/>
      <c r="S37" s="28"/>
      <c r="T37" s="28"/>
      <c r="U37" s="28"/>
    </row>
    <row r="38" spans="1:21" s="21" customFormat="1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>COUNT(F9:F32)</f>
        <v>24</v>
      </c>
      <c r="G38" s="32">
        <f>COUNT(G9:G32)</f>
        <v>24</v>
      </c>
      <c r="H38" s="32">
        <f>COUNT(H9:H32)</f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>
      <c r="A42" s="13"/>
    </row>
    <row r="43" spans="1:21" s="21" customFormat="1">
      <c r="A43" s="14" t="s">
        <v>35</v>
      </c>
      <c r="B43" s="39" t="s">
        <v>58</v>
      </c>
      <c r="C43" s="41"/>
    </row>
    <row r="44" spans="1:21" s="21" customFormat="1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0"/>
      <c r="C45" s="40"/>
      <c r="D45" s="40"/>
      <c r="E45" s="40"/>
      <c r="F45" s="40"/>
      <c r="G45" s="40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</row>
    <row r="46" spans="1:21" s="21" customFormat="1"/>
    <row r="47" spans="1:21" s="21" customFormat="1"/>
    <row r="48" spans="1:21" s="21" customFormat="1"/>
    <row r="49" s="21" customFormat="1"/>
    <row r="50" s="21" customFormat="1"/>
    <row r="51" s="21" customFormat="1"/>
    <row r="52" s="21" customFormat="1"/>
    <row r="53" s="21" customFormat="1"/>
    <row r="54" s="21" customFormat="1"/>
    <row r="55" s="21" customFormat="1"/>
    <row r="56" s="21" customFormat="1"/>
    <row r="57" s="21" customFormat="1"/>
    <row r="58" s="21" customFormat="1"/>
    <row r="59" s="21" customFormat="1"/>
    <row r="60" s="21" customFormat="1"/>
    <row r="61" s="21" customFormat="1"/>
    <row r="62" s="21" customFormat="1"/>
    <row r="63" s="21" customFormat="1"/>
    <row r="64" s="21" customFormat="1"/>
    <row r="65" s="21" customFormat="1"/>
    <row r="66" s="21" customFormat="1"/>
    <row r="67" s="21" customFormat="1"/>
    <row r="68" s="21" customFormat="1"/>
    <row r="69" s="21" customFormat="1"/>
    <row r="70" s="21" customFormat="1"/>
    <row r="71" s="21" customFormat="1"/>
    <row r="72" s="21" customFormat="1"/>
    <row r="73" s="21" customFormat="1"/>
    <row r="74" s="21" customFormat="1"/>
    <row r="75" s="21" customFormat="1"/>
    <row r="76" s="21" customFormat="1"/>
    <row r="77" s="21" customFormat="1"/>
    <row r="78" s="21" customFormat="1"/>
    <row r="79" s="21" customFormat="1"/>
    <row r="80" s="21" customFormat="1"/>
    <row r="81" s="21" customFormat="1"/>
    <row r="82" s="21" customFormat="1"/>
    <row r="83" s="21" customFormat="1"/>
    <row r="84" s="21" customFormat="1"/>
    <row r="85" s="21" customFormat="1"/>
    <row r="86" s="21" customFormat="1"/>
    <row r="87" s="21" customFormat="1"/>
    <row r="88" s="21" customFormat="1"/>
    <row r="89" s="21" customFormat="1"/>
    <row r="90" s="21" customFormat="1"/>
    <row r="91" s="21" customFormat="1"/>
    <row r="92" s="21" customFormat="1"/>
    <row r="93" s="21" customFormat="1"/>
    <row r="94" s="21" customFormat="1"/>
    <row r="95" s="21" customFormat="1"/>
    <row r="96" s="21" customFormat="1"/>
    <row r="97" spans="1:1" s="21" customFormat="1"/>
    <row r="98" spans="1:1" s="21" customFormat="1"/>
    <row r="99" spans="1:1" s="21" customFormat="1"/>
    <row r="100" spans="1:1" s="21" customFormat="1"/>
    <row r="101" spans="1:1" s="21" customFormat="1"/>
    <row r="102" spans="1:1" s="21" customFormat="1"/>
    <row r="103" spans="1:1" s="21" customFormat="1"/>
    <row r="104" spans="1:1" s="21" customFormat="1"/>
    <row r="105" spans="1:1" s="21" customFormat="1"/>
    <row r="106" spans="1:1">
      <c r="A106" s="20"/>
    </row>
    <row r="107" spans="1:1" s="21" customFormat="1"/>
    <row r="108" spans="1:1" s="21" customFormat="1"/>
    <row r="109" spans="1:1" s="21" customFormat="1"/>
    <row r="110" spans="1:1" s="21" customFormat="1"/>
    <row r="111" spans="1:1" s="21" customFormat="1"/>
    <row r="112" spans="1:1" s="21" customFormat="1"/>
    <row r="113" spans="1:1" s="21" customFormat="1"/>
    <row r="114" spans="1:1" s="21" customFormat="1"/>
    <row r="115" spans="1:1" s="21" customFormat="1"/>
    <row r="116" spans="1:1" s="21" customFormat="1"/>
    <row r="117" spans="1:1" s="21" customFormat="1"/>
    <row r="118" spans="1:1">
      <c r="A118" s="20"/>
    </row>
    <row r="119" spans="1:1">
      <c r="A119" s="20"/>
    </row>
  </sheetData>
  <pageMargins left="0.7" right="0.7" top="0.75" bottom="0.75" header="0.3" footer="0.3"/>
  <pageSetup paperSize="9" orientation="portrait" horizontalDpi="300" verticalDpi="300" r:id="rId1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1" ySplit="8" topLeftCell="B30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A9" sqref="A9:Q32"/>
    </sheetView>
  </sheetViews>
  <sheetFormatPr defaultColWidth="8.85546875" defaultRowHeight="1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>
      <c r="A1" s="14" t="s">
        <v>2</v>
      </c>
      <c r="B1" s="23" t="s">
        <v>55</v>
      </c>
      <c r="C1" s="36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>
      <c r="A2" s="14" t="s">
        <v>0</v>
      </c>
      <c r="B2" s="37" t="str">
        <f>$A$9</f>
        <v>24/04/2023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8" t="s">
        <v>7</v>
      </c>
      <c r="Q2" s="12"/>
      <c r="R2" s="8" t="s">
        <v>8</v>
      </c>
      <c r="S2" s="11"/>
      <c r="T2" s="11"/>
      <c r="U2" s="11"/>
    </row>
    <row r="3" spans="1:21" s="21" customFormat="1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8" t="s">
        <v>15</v>
      </c>
      <c r="Q3" s="12"/>
      <c r="R3" s="9" t="s">
        <v>15</v>
      </c>
      <c r="S3" s="11"/>
      <c r="T3" s="11"/>
      <c r="U3" s="11"/>
    </row>
    <row r="4" spans="1:21" s="21" customFormat="1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>
      <c r="A7" s="25" t="s">
        <v>21</v>
      </c>
      <c r="B7" s="48" t="s">
        <v>40</v>
      </c>
      <c r="C7" s="49" t="s">
        <v>41</v>
      </c>
      <c r="D7" s="49" t="s">
        <v>42</v>
      </c>
      <c r="E7" s="49" t="s">
        <v>43</v>
      </c>
      <c r="F7" s="49" t="s">
        <v>44</v>
      </c>
      <c r="G7" s="49" t="s">
        <v>45</v>
      </c>
      <c r="H7" s="49" t="s">
        <v>56</v>
      </c>
      <c r="I7" s="49" t="s">
        <v>46</v>
      </c>
      <c r="J7" s="49" t="s">
        <v>47</v>
      </c>
      <c r="K7" s="49" t="s">
        <v>48</v>
      </c>
      <c r="L7" s="49" t="s">
        <v>49</v>
      </c>
      <c r="M7" s="49" t="s">
        <v>50</v>
      </c>
      <c r="N7" s="49" t="s">
        <v>51</v>
      </c>
      <c r="O7" s="49" t="s">
        <v>52</v>
      </c>
      <c r="P7" s="49" t="s">
        <v>53</v>
      </c>
      <c r="Q7" s="49" t="s">
        <v>54</v>
      </c>
      <c r="R7" s="27"/>
      <c r="S7" s="29"/>
      <c r="T7" s="27"/>
      <c r="U7" s="27"/>
    </row>
    <row r="8" spans="1:21" s="21" customFormat="1">
      <c r="A8" s="25"/>
      <c r="B8" s="50" t="s">
        <v>22</v>
      </c>
      <c r="C8" s="50" t="s">
        <v>22</v>
      </c>
      <c r="D8" s="50" t="s">
        <v>22</v>
      </c>
      <c r="E8" s="50" t="s">
        <v>22</v>
      </c>
      <c r="F8" s="50" t="s">
        <v>22</v>
      </c>
      <c r="G8" s="50" t="s">
        <v>23</v>
      </c>
      <c r="H8" s="50" t="s">
        <v>22</v>
      </c>
      <c r="I8" s="50" t="s">
        <v>22</v>
      </c>
      <c r="J8" s="50" t="s">
        <v>24</v>
      </c>
      <c r="K8" s="50" t="s">
        <v>25</v>
      </c>
      <c r="L8" s="25" t="s">
        <v>27</v>
      </c>
      <c r="M8" s="50" t="s">
        <v>26</v>
      </c>
      <c r="N8" s="50" t="s">
        <v>28</v>
      </c>
      <c r="O8" s="25" t="s">
        <v>29</v>
      </c>
      <c r="P8" s="50" t="s">
        <v>22</v>
      </c>
      <c r="Q8" s="50" t="s">
        <v>22</v>
      </c>
      <c r="R8" s="27"/>
      <c r="S8" s="29"/>
      <c r="T8" s="27"/>
      <c r="U8" s="27"/>
    </row>
    <row r="9" spans="1:21" s="11" customFormat="1">
      <c r="A9" s="55" t="s">
        <v>622</v>
      </c>
      <c r="B9" s="56">
        <v>25.13</v>
      </c>
      <c r="C9" s="56">
        <v>70.75</v>
      </c>
      <c r="D9" s="56">
        <v>56.94</v>
      </c>
      <c r="E9" s="56">
        <v>7.64</v>
      </c>
      <c r="F9" s="56">
        <v>5.56</v>
      </c>
      <c r="G9" s="56">
        <v>38.869999999999997</v>
      </c>
      <c r="H9" s="56">
        <v>13.36</v>
      </c>
      <c r="I9" s="56">
        <v>6.35</v>
      </c>
      <c r="J9" s="56">
        <v>2.0299999999999998</v>
      </c>
      <c r="K9" s="56">
        <v>96.56</v>
      </c>
      <c r="L9" s="56">
        <v>21.89</v>
      </c>
      <c r="M9" s="56">
        <v>84.24</v>
      </c>
      <c r="N9" s="56">
        <v>0</v>
      </c>
      <c r="O9" s="56">
        <v>0</v>
      </c>
      <c r="P9" s="56">
        <v>0.55000000000000004</v>
      </c>
      <c r="Q9" s="56">
        <v>7.94</v>
      </c>
      <c r="R9" s="42"/>
      <c r="S9" s="42"/>
      <c r="T9" s="42"/>
      <c r="U9" s="42"/>
    </row>
    <row r="10" spans="1:21" s="11" customFormat="1">
      <c r="A10" s="55" t="s">
        <v>623</v>
      </c>
      <c r="B10" s="56">
        <v>21.41</v>
      </c>
      <c r="C10" s="56">
        <v>70.25</v>
      </c>
      <c r="D10" s="56">
        <v>54.91</v>
      </c>
      <c r="E10" s="56">
        <v>7.08</v>
      </c>
      <c r="F10" s="56">
        <v>3.9</v>
      </c>
      <c r="G10" s="56">
        <v>34.04</v>
      </c>
      <c r="H10" s="56">
        <v>12.86</v>
      </c>
      <c r="I10" s="56">
        <v>5.71</v>
      </c>
      <c r="J10" s="56">
        <v>0.56999999999999995</v>
      </c>
      <c r="K10" s="56">
        <v>100.68</v>
      </c>
      <c r="L10" s="56">
        <v>21.99</v>
      </c>
      <c r="M10" s="56">
        <v>87.55</v>
      </c>
      <c r="N10" s="56">
        <v>0</v>
      </c>
      <c r="O10" s="56">
        <v>0</v>
      </c>
      <c r="P10" s="56">
        <v>0.53</v>
      </c>
      <c r="Q10" s="56">
        <v>7.9</v>
      </c>
      <c r="R10" s="42"/>
      <c r="S10" s="42"/>
      <c r="T10" s="42"/>
      <c r="U10" s="42"/>
    </row>
    <row r="11" spans="1:21" s="11" customFormat="1">
      <c r="A11" s="55" t="s">
        <v>624</v>
      </c>
      <c r="B11" s="56">
        <v>20.63</v>
      </c>
      <c r="C11" s="56">
        <v>69.709999999999994</v>
      </c>
      <c r="D11" s="56">
        <v>54.14</v>
      </c>
      <c r="E11" s="56">
        <v>6.03</v>
      </c>
      <c r="F11" s="56">
        <v>3.92</v>
      </c>
      <c r="G11" s="56">
        <v>22.47</v>
      </c>
      <c r="H11" s="56">
        <v>10.02</v>
      </c>
      <c r="I11" s="56">
        <v>5.2</v>
      </c>
      <c r="J11" s="56">
        <v>0.63</v>
      </c>
      <c r="K11" s="56">
        <v>97.67</v>
      </c>
      <c r="L11" s="56">
        <v>22.07</v>
      </c>
      <c r="M11" s="56">
        <v>86.46</v>
      </c>
      <c r="N11" s="56">
        <v>0</v>
      </c>
      <c r="O11" s="56">
        <v>0</v>
      </c>
      <c r="P11" s="56">
        <v>0.5</v>
      </c>
      <c r="Q11" s="56">
        <v>7.73</v>
      </c>
      <c r="R11" s="42"/>
      <c r="S11" s="42"/>
      <c r="T11" s="42"/>
      <c r="U11" s="42"/>
    </row>
    <row r="12" spans="1:21" s="11" customFormat="1">
      <c r="A12" s="55" t="s">
        <v>625</v>
      </c>
      <c r="B12" s="56">
        <v>20.41</v>
      </c>
      <c r="C12" s="56">
        <v>68.94</v>
      </c>
      <c r="D12" s="56">
        <v>53.74</v>
      </c>
      <c r="E12" s="56">
        <v>5.86</v>
      </c>
      <c r="F12" s="56">
        <v>3.93</v>
      </c>
      <c r="G12" s="56">
        <v>17.850000000000001</v>
      </c>
      <c r="H12" s="56">
        <v>10.02</v>
      </c>
      <c r="I12" s="56">
        <v>4.82</v>
      </c>
      <c r="J12" s="56">
        <v>0.2</v>
      </c>
      <c r="K12" s="56">
        <v>212.9</v>
      </c>
      <c r="L12" s="56">
        <v>22.05</v>
      </c>
      <c r="M12" s="56">
        <v>85.15</v>
      </c>
      <c r="N12" s="56">
        <v>0</v>
      </c>
      <c r="O12" s="56">
        <v>0</v>
      </c>
      <c r="P12" s="56">
        <v>0.48</v>
      </c>
      <c r="Q12" s="56">
        <v>7.75</v>
      </c>
      <c r="R12" s="42"/>
      <c r="S12" s="42"/>
      <c r="T12" s="42"/>
      <c r="U12" s="42"/>
    </row>
    <row r="13" spans="1:21" s="11" customFormat="1">
      <c r="A13" s="55" t="s">
        <v>626</v>
      </c>
      <c r="B13" s="56">
        <v>21.64</v>
      </c>
      <c r="C13" s="56">
        <v>68.62</v>
      </c>
      <c r="D13" s="56">
        <v>54.16</v>
      </c>
      <c r="E13" s="56">
        <v>6.18</v>
      </c>
      <c r="F13" s="56">
        <v>3.69</v>
      </c>
      <c r="G13" s="56">
        <v>14.41</v>
      </c>
      <c r="H13" s="56">
        <v>7.38</v>
      </c>
      <c r="I13" s="56">
        <v>4.42</v>
      </c>
      <c r="J13" s="56">
        <v>0.24</v>
      </c>
      <c r="K13" s="56">
        <v>207.79</v>
      </c>
      <c r="L13" s="56">
        <v>21.29</v>
      </c>
      <c r="M13" s="56">
        <v>87.11</v>
      </c>
      <c r="N13" s="56">
        <v>0</v>
      </c>
      <c r="O13" s="56">
        <v>0</v>
      </c>
      <c r="P13" s="56">
        <v>0.46</v>
      </c>
      <c r="Q13" s="56">
        <v>7.76</v>
      </c>
      <c r="R13" s="42"/>
      <c r="S13" s="42"/>
      <c r="T13" s="42"/>
      <c r="U13" s="42"/>
    </row>
    <row r="14" spans="1:21" s="11" customFormat="1">
      <c r="A14" s="55" t="s">
        <v>627</v>
      </c>
      <c r="B14" s="56">
        <v>27.02</v>
      </c>
      <c r="C14" s="56">
        <v>67.95</v>
      </c>
      <c r="D14" s="56">
        <v>55.03</v>
      </c>
      <c r="E14" s="56">
        <v>5.92</v>
      </c>
      <c r="F14" s="56">
        <v>4.2</v>
      </c>
      <c r="G14" s="56">
        <v>16.13</v>
      </c>
      <c r="H14" s="56">
        <v>5.81</v>
      </c>
      <c r="I14" s="56">
        <v>4.04</v>
      </c>
      <c r="J14" s="56">
        <v>0.65</v>
      </c>
      <c r="K14" s="56">
        <v>74.48</v>
      </c>
      <c r="L14" s="56">
        <v>21.41</v>
      </c>
      <c r="M14" s="56">
        <v>86.82</v>
      </c>
      <c r="N14" s="56">
        <v>12</v>
      </c>
      <c r="O14" s="56">
        <v>0</v>
      </c>
      <c r="P14" s="56">
        <v>0.43</v>
      </c>
      <c r="Q14" s="56">
        <v>7.82</v>
      </c>
      <c r="R14" s="42"/>
      <c r="S14" s="42"/>
      <c r="T14" s="42"/>
      <c r="U14" s="42"/>
    </row>
    <row r="15" spans="1:21" s="11" customFormat="1">
      <c r="A15" s="55" t="s">
        <v>628</v>
      </c>
      <c r="B15" s="56">
        <v>30.36</v>
      </c>
      <c r="C15" s="56">
        <v>62.85</v>
      </c>
      <c r="D15" s="56">
        <v>58.54</v>
      </c>
      <c r="E15" s="56">
        <v>6.02</v>
      </c>
      <c r="F15" s="56">
        <v>3.65</v>
      </c>
      <c r="G15" s="56">
        <v>18.79</v>
      </c>
      <c r="H15" s="56">
        <v>5.81</v>
      </c>
      <c r="I15" s="56">
        <v>3.88</v>
      </c>
      <c r="J15" s="56">
        <v>0.16</v>
      </c>
      <c r="K15" s="56">
        <v>253.93</v>
      </c>
      <c r="L15" s="56">
        <v>22.86</v>
      </c>
      <c r="M15" s="56">
        <v>86.18</v>
      </c>
      <c r="N15" s="56">
        <v>56.9</v>
      </c>
      <c r="O15" s="56">
        <v>0</v>
      </c>
      <c r="P15" s="56">
        <v>0.42</v>
      </c>
      <c r="Q15" s="56">
        <v>7.83</v>
      </c>
      <c r="R15" s="42"/>
      <c r="S15" s="42"/>
      <c r="T15" s="42"/>
      <c r="U15" s="42"/>
    </row>
    <row r="16" spans="1:21" s="11" customFormat="1">
      <c r="A16" s="55" t="s">
        <v>629</v>
      </c>
      <c r="B16" s="56">
        <v>31.42</v>
      </c>
      <c r="C16" s="56">
        <v>64.709999999999994</v>
      </c>
      <c r="D16" s="56">
        <v>60.18</v>
      </c>
      <c r="E16" s="56">
        <v>5.95</v>
      </c>
      <c r="F16" s="56">
        <v>3.89</v>
      </c>
      <c r="G16" s="56">
        <v>18.91</v>
      </c>
      <c r="H16" s="56">
        <v>4.55</v>
      </c>
      <c r="I16" s="56">
        <v>3.97</v>
      </c>
      <c r="J16" s="56">
        <v>0.43</v>
      </c>
      <c r="K16" s="56">
        <v>284.70999999999998</v>
      </c>
      <c r="L16" s="56">
        <v>26.08</v>
      </c>
      <c r="M16" s="56">
        <v>73.790000000000006</v>
      </c>
      <c r="N16" s="56">
        <v>110.4</v>
      </c>
      <c r="O16" s="56">
        <v>0</v>
      </c>
      <c r="P16" s="56">
        <v>0.43</v>
      </c>
      <c r="Q16" s="56">
        <v>7.94</v>
      </c>
      <c r="R16" s="42"/>
      <c r="S16" s="42"/>
      <c r="T16" s="42"/>
      <c r="U16" s="42"/>
    </row>
    <row r="17" spans="1:21" s="11" customFormat="1">
      <c r="A17" s="55" t="s">
        <v>630</v>
      </c>
      <c r="B17" s="56">
        <v>30.89</v>
      </c>
      <c r="C17" s="56">
        <v>64.91</v>
      </c>
      <c r="D17" s="56">
        <v>60.04</v>
      </c>
      <c r="E17" s="56">
        <v>6.05</v>
      </c>
      <c r="F17" s="56">
        <v>4.4400000000000004</v>
      </c>
      <c r="G17" s="56">
        <v>13.71</v>
      </c>
      <c r="H17" s="56">
        <v>3.65</v>
      </c>
      <c r="I17" s="56">
        <v>3.98</v>
      </c>
      <c r="J17" s="56">
        <v>0.62</v>
      </c>
      <c r="K17" s="56">
        <v>254.75</v>
      </c>
      <c r="L17" s="56">
        <v>28.15</v>
      </c>
      <c r="M17" s="56">
        <v>59.68</v>
      </c>
      <c r="N17" s="56">
        <v>420.8</v>
      </c>
      <c r="O17" s="56">
        <v>0</v>
      </c>
      <c r="P17" s="56">
        <v>0.44</v>
      </c>
      <c r="Q17" s="56">
        <v>7.95</v>
      </c>
      <c r="R17" s="42"/>
      <c r="S17" s="42"/>
      <c r="T17" s="42"/>
      <c r="U17" s="42"/>
    </row>
    <row r="18" spans="1:21" s="11" customFormat="1">
      <c r="A18" s="55" t="s">
        <v>631</v>
      </c>
      <c r="B18" s="56">
        <v>27.67</v>
      </c>
      <c r="C18" s="56">
        <v>64.510000000000005</v>
      </c>
      <c r="D18" s="56">
        <v>57.25</v>
      </c>
      <c r="E18" s="56">
        <v>5.94</v>
      </c>
      <c r="F18" s="56">
        <v>5.61</v>
      </c>
      <c r="G18" s="56">
        <v>15.22</v>
      </c>
      <c r="H18" s="56">
        <v>2.61</v>
      </c>
      <c r="I18" s="56">
        <v>3.91</v>
      </c>
      <c r="J18" s="56">
        <v>0.54</v>
      </c>
      <c r="K18" s="56">
        <v>259.97000000000003</v>
      </c>
      <c r="L18" s="56">
        <v>30.59</v>
      </c>
      <c r="M18" s="56">
        <v>52.48</v>
      </c>
      <c r="N18" s="56">
        <v>468.4</v>
      </c>
      <c r="O18" s="56">
        <v>0</v>
      </c>
      <c r="P18" s="56">
        <v>0.45</v>
      </c>
      <c r="Q18" s="56">
        <v>7.74</v>
      </c>
      <c r="R18" s="42"/>
      <c r="S18" s="42"/>
      <c r="T18" s="42"/>
      <c r="U18" s="42"/>
    </row>
    <row r="19" spans="1:21" s="11" customFormat="1">
      <c r="A19" s="55" t="s">
        <v>632</v>
      </c>
      <c r="B19" s="56">
        <v>23.94</v>
      </c>
      <c r="C19" s="56">
        <v>59.55</v>
      </c>
      <c r="D19" s="56">
        <v>51.52</v>
      </c>
      <c r="E19" s="56">
        <v>7.01</v>
      </c>
      <c r="F19" s="56">
        <v>5.7</v>
      </c>
      <c r="G19" s="56">
        <v>15.47</v>
      </c>
      <c r="H19" s="56">
        <v>5.53</v>
      </c>
      <c r="I19" s="56">
        <v>3.91</v>
      </c>
      <c r="J19" s="56">
        <v>0.69</v>
      </c>
      <c r="K19" s="56">
        <v>268.76</v>
      </c>
      <c r="L19" s="56">
        <v>31.96</v>
      </c>
      <c r="M19" s="56">
        <v>46.8</v>
      </c>
      <c r="N19" s="56">
        <v>807.6</v>
      </c>
      <c r="O19" s="56">
        <v>0</v>
      </c>
      <c r="P19" s="56">
        <v>0.45</v>
      </c>
      <c r="Q19" s="56">
        <v>7.4</v>
      </c>
      <c r="R19" s="42"/>
      <c r="S19" s="42"/>
      <c r="T19" s="42"/>
      <c r="U19" s="42"/>
    </row>
    <row r="20" spans="1:21" s="11" customFormat="1">
      <c r="A20" s="55" t="s">
        <v>633</v>
      </c>
      <c r="B20" s="56">
        <v>19.010000000000002</v>
      </c>
      <c r="C20" s="56">
        <v>59.79</v>
      </c>
      <c r="D20" s="56">
        <v>47.41</v>
      </c>
      <c r="E20" s="56">
        <v>6.64</v>
      </c>
      <c r="F20" s="56">
        <v>9.3000000000000007</v>
      </c>
      <c r="G20" s="56">
        <v>14.91</v>
      </c>
      <c r="H20" s="56">
        <v>6.49</v>
      </c>
      <c r="I20" s="56">
        <v>3.87</v>
      </c>
      <c r="J20" s="56">
        <v>0.83</v>
      </c>
      <c r="K20" s="56">
        <v>246.52</v>
      </c>
      <c r="L20" s="56">
        <v>32.799999999999997</v>
      </c>
      <c r="M20" s="56">
        <v>44.24</v>
      </c>
      <c r="N20" s="56">
        <v>862.1</v>
      </c>
      <c r="O20" s="56">
        <v>0</v>
      </c>
      <c r="P20" s="56">
        <v>0.47</v>
      </c>
      <c r="Q20" s="56">
        <v>7.29</v>
      </c>
      <c r="R20" s="42"/>
      <c r="S20" s="42"/>
      <c r="T20" s="42"/>
      <c r="U20" s="42"/>
    </row>
    <row r="21" spans="1:21" s="11" customFormat="1">
      <c r="A21" s="55" t="s">
        <v>634</v>
      </c>
      <c r="B21" s="56">
        <v>14.31</v>
      </c>
      <c r="C21" s="56">
        <v>62.45</v>
      </c>
      <c r="D21" s="56">
        <v>44.25</v>
      </c>
      <c r="E21" s="56">
        <v>6.11</v>
      </c>
      <c r="F21" s="56">
        <v>9.91</v>
      </c>
      <c r="G21" s="56">
        <v>18.25</v>
      </c>
      <c r="H21" s="56">
        <v>8.15</v>
      </c>
      <c r="I21" s="56">
        <v>3.75</v>
      </c>
      <c r="J21" s="56">
        <v>0.44</v>
      </c>
      <c r="K21" s="56">
        <v>244.68</v>
      </c>
      <c r="L21" s="56">
        <v>34.26</v>
      </c>
      <c r="M21" s="56">
        <v>41.46</v>
      </c>
      <c r="N21" s="56">
        <v>870</v>
      </c>
      <c r="O21" s="56">
        <v>0</v>
      </c>
      <c r="P21" s="56">
        <v>0.46</v>
      </c>
      <c r="Q21" s="56">
        <v>7.02</v>
      </c>
      <c r="R21" s="42"/>
      <c r="S21" s="42"/>
      <c r="T21" s="42"/>
      <c r="U21" s="42"/>
    </row>
    <row r="22" spans="1:21" s="11" customFormat="1">
      <c r="A22" s="55" t="s">
        <v>635</v>
      </c>
      <c r="B22" s="56">
        <v>11.02</v>
      </c>
      <c r="C22" s="56">
        <v>62.12</v>
      </c>
      <c r="D22" s="56">
        <v>42.54</v>
      </c>
      <c r="E22" s="56">
        <v>5.83</v>
      </c>
      <c r="F22" s="56">
        <v>9.24</v>
      </c>
      <c r="G22" s="56">
        <v>18.52</v>
      </c>
      <c r="H22" s="56">
        <v>8.15</v>
      </c>
      <c r="I22" s="56">
        <v>3.8</v>
      </c>
      <c r="J22" s="56">
        <v>0.45</v>
      </c>
      <c r="K22" s="56">
        <v>257.24</v>
      </c>
      <c r="L22" s="56">
        <v>35.35</v>
      </c>
      <c r="M22" s="56">
        <v>40.200000000000003</v>
      </c>
      <c r="N22" s="56">
        <v>781.8</v>
      </c>
      <c r="O22" s="56">
        <v>0</v>
      </c>
      <c r="P22" s="56">
        <v>0.46</v>
      </c>
      <c r="Q22" s="56">
        <v>6.94</v>
      </c>
      <c r="R22" s="42"/>
      <c r="S22" s="42"/>
      <c r="T22" s="42"/>
      <c r="U22" s="42"/>
    </row>
    <row r="23" spans="1:21" s="11" customFormat="1">
      <c r="A23" s="55" t="s">
        <v>636</v>
      </c>
      <c r="B23" s="56">
        <v>9.5399999999999991</v>
      </c>
      <c r="C23" s="56">
        <v>63.01</v>
      </c>
      <c r="D23" s="56">
        <v>41.93</v>
      </c>
      <c r="E23" s="56">
        <v>6</v>
      </c>
      <c r="F23" s="56">
        <v>11.04</v>
      </c>
      <c r="G23" s="56">
        <v>17.27</v>
      </c>
      <c r="H23" s="56">
        <v>7.76</v>
      </c>
      <c r="I23" s="56">
        <v>3.74</v>
      </c>
      <c r="J23" s="56">
        <v>0.54</v>
      </c>
      <c r="K23" s="56">
        <v>226.6</v>
      </c>
      <c r="L23" s="56">
        <v>36.74</v>
      </c>
      <c r="M23" s="56">
        <v>37.380000000000003</v>
      </c>
      <c r="N23" s="56">
        <v>755.7</v>
      </c>
      <c r="O23" s="56">
        <v>0</v>
      </c>
      <c r="P23" s="56">
        <v>0.46</v>
      </c>
      <c r="Q23" s="56">
        <v>6.76</v>
      </c>
      <c r="R23" s="42"/>
      <c r="S23" s="42"/>
      <c r="T23" s="42"/>
      <c r="U23" s="42"/>
    </row>
    <row r="24" spans="1:21" s="11" customFormat="1">
      <c r="A24" s="55" t="s">
        <v>637</v>
      </c>
      <c r="B24" s="56">
        <v>9.06</v>
      </c>
      <c r="C24" s="56">
        <v>54.83</v>
      </c>
      <c r="D24" s="56">
        <v>37.229999999999997</v>
      </c>
      <c r="E24" s="56">
        <v>6.31</v>
      </c>
      <c r="F24" s="56">
        <v>19.510000000000002</v>
      </c>
      <c r="G24" s="56">
        <v>17.3</v>
      </c>
      <c r="H24" s="56">
        <v>10.57</v>
      </c>
      <c r="I24" s="56">
        <v>3.62</v>
      </c>
      <c r="J24" s="56">
        <v>0.56999999999999995</v>
      </c>
      <c r="K24" s="56">
        <v>231.7</v>
      </c>
      <c r="L24" s="56">
        <v>36.31</v>
      </c>
      <c r="M24" s="56">
        <v>37.53</v>
      </c>
      <c r="N24" s="56">
        <v>593.29999999999995</v>
      </c>
      <c r="O24" s="56">
        <v>0</v>
      </c>
      <c r="P24" s="56">
        <v>0.44</v>
      </c>
      <c r="Q24" s="56">
        <v>6.57</v>
      </c>
      <c r="R24" s="42"/>
      <c r="S24" s="42"/>
      <c r="T24" s="42"/>
      <c r="U24" s="42"/>
    </row>
    <row r="25" spans="1:21" s="11" customFormat="1">
      <c r="A25" s="55" t="s">
        <v>638</v>
      </c>
      <c r="B25" s="56">
        <v>8.98</v>
      </c>
      <c r="C25" s="56">
        <v>51.1</v>
      </c>
      <c r="D25" s="56">
        <v>35.26</v>
      </c>
      <c r="E25" s="56">
        <v>6.28</v>
      </c>
      <c r="F25" s="56">
        <v>36.659999999999997</v>
      </c>
      <c r="G25" s="56">
        <v>20.68</v>
      </c>
      <c r="H25" s="56">
        <v>10.57</v>
      </c>
      <c r="I25" s="56">
        <v>3.46</v>
      </c>
      <c r="J25" s="56">
        <v>0.68</v>
      </c>
      <c r="K25" s="56">
        <v>238.31</v>
      </c>
      <c r="L25" s="56">
        <v>34.5</v>
      </c>
      <c r="M25" s="56">
        <v>44.82</v>
      </c>
      <c r="N25" s="56">
        <v>151.9</v>
      </c>
      <c r="O25" s="56">
        <v>0</v>
      </c>
      <c r="P25" s="56">
        <v>0.41</v>
      </c>
      <c r="Q25" s="56">
        <v>6.14</v>
      </c>
      <c r="R25" s="42"/>
      <c r="S25" s="42"/>
      <c r="T25" s="42"/>
      <c r="U25" s="42"/>
    </row>
    <row r="26" spans="1:21" s="11" customFormat="1">
      <c r="A26" s="55" t="s">
        <v>639</v>
      </c>
      <c r="B26" s="56">
        <v>10.94</v>
      </c>
      <c r="C26" s="56">
        <v>60.45</v>
      </c>
      <c r="D26" s="56">
        <v>41.35</v>
      </c>
      <c r="E26" s="56">
        <v>6.76</v>
      </c>
      <c r="F26" s="56">
        <v>8.9</v>
      </c>
      <c r="G26" s="56">
        <v>25.43</v>
      </c>
      <c r="H26" s="56">
        <v>8.02</v>
      </c>
      <c r="I26" s="56">
        <v>3.51</v>
      </c>
      <c r="J26" s="56">
        <v>0.42</v>
      </c>
      <c r="K26" s="56">
        <v>217.59</v>
      </c>
      <c r="L26" s="56">
        <v>27.94</v>
      </c>
      <c r="M26" s="56">
        <v>80.62</v>
      </c>
      <c r="N26" s="56">
        <v>88.8</v>
      </c>
      <c r="O26" s="56">
        <v>0</v>
      </c>
      <c r="P26" s="56">
        <v>0.42</v>
      </c>
      <c r="Q26" s="56">
        <v>6.53</v>
      </c>
      <c r="R26" s="42"/>
      <c r="S26" s="42"/>
      <c r="T26" s="42"/>
      <c r="U26" s="42"/>
    </row>
    <row r="27" spans="1:21" s="11" customFormat="1">
      <c r="A27" s="55" t="s">
        <v>640</v>
      </c>
      <c r="B27" s="56">
        <v>13</v>
      </c>
      <c r="C27" s="56">
        <v>60.53</v>
      </c>
      <c r="D27" s="56">
        <v>43.4</v>
      </c>
      <c r="E27" s="56">
        <v>7.72</v>
      </c>
      <c r="F27" s="56">
        <v>5.6</v>
      </c>
      <c r="G27" s="56">
        <v>25.64</v>
      </c>
      <c r="H27" s="56">
        <v>8.02</v>
      </c>
      <c r="I27" s="56">
        <v>3.44</v>
      </c>
      <c r="J27" s="56">
        <v>1.08</v>
      </c>
      <c r="K27" s="56">
        <v>87.73</v>
      </c>
      <c r="L27" s="56">
        <v>26.55</v>
      </c>
      <c r="M27" s="56">
        <v>65.8</v>
      </c>
      <c r="N27" s="56">
        <v>3.8</v>
      </c>
      <c r="O27" s="56">
        <v>0</v>
      </c>
      <c r="P27" s="56">
        <v>0.43</v>
      </c>
      <c r="Q27" s="56">
        <v>6.78</v>
      </c>
      <c r="R27" s="42"/>
      <c r="S27" s="42"/>
      <c r="T27" s="42"/>
      <c r="U27" s="42"/>
    </row>
    <row r="28" spans="1:21" s="11" customFormat="1">
      <c r="A28" s="55" t="s">
        <v>641</v>
      </c>
      <c r="B28" s="56">
        <v>15.13</v>
      </c>
      <c r="C28" s="56">
        <v>62.15</v>
      </c>
      <c r="D28" s="56">
        <v>44.85</v>
      </c>
      <c r="E28" s="56">
        <v>8.0399999999999991</v>
      </c>
      <c r="F28" s="56">
        <v>5.75</v>
      </c>
      <c r="G28" s="56">
        <v>23.88</v>
      </c>
      <c r="H28" s="56">
        <v>7.1</v>
      </c>
      <c r="I28" s="56">
        <v>3.54</v>
      </c>
      <c r="J28" s="56">
        <v>0.42</v>
      </c>
      <c r="K28" s="56">
        <v>132.27000000000001</v>
      </c>
      <c r="L28" s="56">
        <v>26.02</v>
      </c>
      <c r="M28" s="56">
        <v>64.3</v>
      </c>
      <c r="N28" s="56">
        <v>0</v>
      </c>
      <c r="O28" s="56">
        <v>0</v>
      </c>
      <c r="P28" s="56">
        <v>0.44</v>
      </c>
      <c r="Q28" s="56">
        <v>6.82</v>
      </c>
      <c r="R28" s="42"/>
      <c r="S28" s="42"/>
      <c r="T28" s="42"/>
      <c r="U28" s="42"/>
    </row>
    <row r="29" spans="1:21" s="11" customFormat="1">
      <c r="A29" s="55" t="s">
        <v>642</v>
      </c>
      <c r="B29" s="56">
        <v>17.02</v>
      </c>
      <c r="C29" s="56">
        <v>72.73</v>
      </c>
      <c r="D29" s="56">
        <v>52.36</v>
      </c>
      <c r="E29" s="56">
        <v>8.0399999999999991</v>
      </c>
      <c r="F29" s="56">
        <v>3.78</v>
      </c>
      <c r="G29" s="56">
        <v>23.69</v>
      </c>
      <c r="H29" s="56">
        <v>5.36</v>
      </c>
      <c r="I29" s="56">
        <v>3.62</v>
      </c>
      <c r="J29" s="56">
        <v>0.27</v>
      </c>
      <c r="K29" s="56">
        <v>192.38</v>
      </c>
      <c r="L29" s="56">
        <v>25.85</v>
      </c>
      <c r="M29" s="56">
        <v>62.87</v>
      </c>
      <c r="N29" s="56">
        <v>0</v>
      </c>
      <c r="O29" s="56">
        <v>0</v>
      </c>
      <c r="P29" s="56">
        <v>0.45</v>
      </c>
      <c r="Q29" s="56">
        <v>7.54</v>
      </c>
      <c r="R29" s="42"/>
      <c r="S29" s="42"/>
      <c r="T29" s="42"/>
      <c r="U29" s="42"/>
    </row>
    <row r="30" spans="1:21" s="11" customFormat="1">
      <c r="A30" s="55" t="s">
        <v>643</v>
      </c>
      <c r="B30" s="56">
        <v>19.36</v>
      </c>
      <c r="C30" s="56">
        <v>69.88</v>
      </c>
      <c r="D30" s="56">
        <v>53.38</v>
      </c>
      <c r="E30" s="56">
        <v>7.73</v>
      </c>
      <c r="F30" s="56">
        <v>3.86</v>
      </c>
      <c r="G30" s="56">
        <v>18.37</v>
      </c>
      <c r="H30" s="56">
        <v>4.0199999999999996</v>
      </c>
      <c r="I30" s="56">
        <v>3.57</v>
      </c>
      <c r="J30" s="56">
        <v>1.37</v>
      </c>
      <c r="K30" s="56">
        <v>78.66</v>
      </c>
      <c r="L30" s="56">
        <v>25.19</v>
      </c>
      <c r="M30" s="56">
        <v>63.77</v>
      </c>
      <c r="N30" s="56">
        <v>0</v>
      </c>
      <c r="O30" s="56">
        <v>0</v>
      </c>
      <c r="P30" s="56">
        <v>0.45</v>
      </c>
      <c r="Q30" s="56">
        <v>7.71</v>
      </c>
      <c r="R30" s="42"/>
      <c r="S30" s="42"/>
      <c r="T30" s="42"/>
      <c r="U30" s="42"/>
    </row>
    <row r="31" spans="1:21" s="11" customFormat="1">
      <c r="A31" s="55" t="s">
        <v>644</v>
      </c>
      <c r="B31" s="56">
        <v>23.14</v>
      </c>
      <c r="C31" s="56">
        <v>69.53</v>
      </c>
      <c r="D31" s="56">
        <v>56.12</v>
      </c>
      <c r="E31" s="56">
        <v>7.62</v>
      </c>
      <c r="F31" s="56">
        <v>3.77</v>
      </c>
      <c r="G31" s="56">
        <v>22.35</v>
      </c>
      <c r="H31" s="56">
        <v>8.6300000000000008</v>
      </c>
      <c r="I31" s="56">
        <v>3.6</v>
      </c>
      <c r="J31" s="56">
        <v>0.91</v>
      </c>
      <c r="K31" s="56">
        <v>74.58</v>
      </c>
      <c r="L31" s="56">
        <v>25.11</v>
      </c>
      <c r="M31" s="56">
        <v>69.27</v>
      </c>
      <c r="N31" s="56">
        <v>0</v>
      </c>
      <c r="O31" s="56">
        <v>0</v>
      </c>
      <c r="P31" s="56">
        <v>0.46</v>
      </c>
      <c r="Q31" s="56">
        <v>7.97</v>
      </c>
      <c r="R31" s="42"/>
      <c r="S31" s="42"/>
      <c r="T31" s="42"/>
      <c r="U31" s="42"/>
    </row>
    <row r="32" spans="1:21" s="11" customFormat="1">
      <c r="A32" s="55" t="s">
        <v>645</v>
      </c>
      <c r="B32" s="56">
        <v>25.95</v>
      </c>
      <c r="C32" s="56">
        <v>69.84</v>
      </c>
      <c r="D32" s="56">
        <v>58.53</v>
      </c>
      <c r="E32" s="56">
        <v>7.45</v>
      </c>
      <c r="F32" s="56">
        <v>3.61</v>
      </c>
      <c r="G32" s="56">
        <v>32.19</v>
      </c>
      <c r="H32" s="56">
        <v>11.19</v>
      </c>
      <c r="I32" s="56">
        <v>3.61</v>
      </c>
      <c r="J32" s="56">
        <v>0.92</v>
      </c>
      <c r="K32" s="56">
        <v>71</v>
      </c>
      <c r="L32" s="56">
        <v>24.83</v>
      </c>
      <c r="M32" s="56">
        <v>75.45</v>
      </c>
      <c r="N32" s="56">
        <v>0</v>
      </c>
      <c r="O32" s="56">
        <v>0</v>
      </c>
      <c r="P32" s="56">
        <v>0.46</v>
      </c>
      <c r="Q32" s="56">
        <v>8.16</v>
      </c>
      <c r="R32" s="42"/>
      <c r="S32" s="42"/>
      <c r="T32" s="42"/>
      <c r="U32" s="42"/>
    </row>
    <row r="33" spans="1:21" s="21" customFormat="1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>
      <c r="A34" s="27" t="s">
        <v>30</v>
      </c>
      <c r="B34" s="28">
        <f t="shared" ref="B34:Q34" si="0">MIN(B9:B32)</f>
        <v>8.98</v>
      </c>
      <c r="C34" s="28">
        <f t="shared" si="0"/>
        <v>51.1</v>
      </c>
      <c r="D34" s="28">
        <f t="shared" si="0"/>
        <v>35.26</v>
      </c>
      <c r="E34" s="28">
        <f t="shared" si="0"/>
        <v>5.83</v>
      </c>
      <c r="F34" s="28">
        <f t="shared" si="0"/>
        <v>3.61</v>
      </c>
      <c r="G34" s="28">
        <f t="shared" si="0"/>
        <v>13.71</v>
      </c>
      <c r="H34" s="28">
        <f>MIN(H9:H32)</f>
        <v>2.61</v>
      </c>
      <c r="I34" s="28">
        <f t="shared" si="0"/>
        <v>3.44</v>
      </c>
      <c r="J34" s="28">
        <f t="shared" si="0"/>
        <v>0.16</v>
      </c>
      <c r="K34" s="28">
        <f t="shared" si="0"/>
        <v>71</v>
      </c>
      <c r="L34" s="28">
        <f t="shared" si="0"/>
        <v>21.29</v>
      </c>
      <c r="M34" s="28">
        <f t="shared" si="0"/>
        <v>37.380000000000003</v>
      </c>
      <c r="N34" s="28">
        <f t="shared" si="0"/>
        <v>0</v>
      </c>
      <c r="O34" s="28">
        <f t="shared" si="0"/>
        <v>0</v>
      </c>
      <c r="P34" s="28">
        <f t="shared" si="0"/>
        <v>0.41</v>
      </c>
      <c r="Q34" s="28">
        <f t="shared" si="0"/>
        <v>6.14</v>
      </c>
      <c r="R34" s="28"/>
      <c r="S34" s="28"/>
      <c r="T34" s="28"/>
      <c r="U34" s="28"/>
    </row>
    <row r="35" spans="1:21" s="21" customFormat="1">
      <c r="A35" s="27" t="s">
        <v>31</v>
      </c>
      <c r="B35" s="29">
        <f t="shared" ref="B35:Q35" si="1">MAX(B9:B32)</f>
        <v>31.42</v>
      </c>
      <c r="C35" s="29">
        <f t="shared" si="1"/>
        <v>72.73</v>
      </c>
      <c r="D35" s="29">
        <f t="shared" si="1"/>
        <v>60.18</v>
      </c>
      <c r="E35" s="29">
        <f t="shared" si="1"/>
        <v>8.0399999999999991</v>
      </c>
      <c r="F35" s="29">
        <f t="shared" si="1"/>
        <v>36.659999999999997</v>
      </c>
      <c r="G35" s="29">
        <f>MAX(G9:G32)</f>
        <v>38.869999999999997</v>
      </c>
      <c r="H35" s="29">
        <f>MAX(H9:H32)</f>
        <v>13.36</v>
      </c>
      <c r="I35" s="29">
        <f t="shared" si="1"/>
        <v>6.35</v>
      </c>
      <c r="J35" s="29">
        <f t="shared" si="1"/>
        <v>2.0299999999999998</v>
      </c>
      <c r="K35" s="29">
        <f t="shared" si="1"/>
        <v>284.70999999999998</v>
      </c>
      <c r="L35" s="29">
        <f t="shared" si="1"/>
        <v>36.74</v>
      </c>
      <c r="M35" s="29">
        <f t="shared" si="1"/>
        <v>87.55</v>
      </c>
      <c r="N35" s="29">
        <f t="shared" si="1"/>
        <v>870</v>
      </c>
      <c r="O35" s="29">
        <f t="shared" si="1"/>
        <v>0</v>
      </c>
      <c r="P35" s="29">
        <f t="shared" si="1"/>
        <v>0.55000000000000004</v>
      </c>
      <c r="Q35" s="29">
        <f t="shared" si="1"/>
        <v>8.16</v>
      </c>
      <c r="R35" s="29"/>
      <c r="S35" s="29"/>
      <c r="T35" s="29"/>
      <c r="U35" s="29"/>
    </row>
    <row r="36" spans="1:21" s="21" customFormat="1">
      <c r="A36" s="27" t="s">
        <v>32</v>
      </c>
      <c r="B36" s="28">
        <f t="shared" ref="B36:Q36" si="2">AVERAGE(B9:B32)</f>
        <v>19.874166666666667</v>
      </c>
      <c r="C36" s="28">
        <f t="shared" si="2"/>
        <v>64.631666666666661</v>
      </c>
      <c r="D36" s="28">
        <f t="shared" si="2"/>
        <v>50.627499999999998</v>
      </c>
      <c r="E36" s="28">
        <f t="shared" si="2"/>
        <v>6.6754166666666661</v>
      </c>
      <c r="F36" s="28">
        <f t="shared" si="2"/>
        <v>7.475833333333334</v>
      </c>
      <c r="G36" s="28">
        <f t="shared" si="2"/>
        <v>21.014583333333331</v>
      </c>
      <c r="H36" s="28">
        <f>AVERAGE(H9:H32)</f>
        <v>7.734583333333334</v>
      </c>
      <c r="I36" s="28">
        <f t="shared" si="2"/>
        <v>4.0549999999999997</v>
      </c>
      <c r="J36" s="28">
        <f t="shared" si="2"/>
        <v>0.65249999999999997</v>
      </c>
      <c r="K36" s="28">
        <f t="shared" si="2"/>
        <v>183.81083333333331</v>
      </c>
      <c r="L36" s="28">
        <f t="shared" si="2"/>
        <v>27.574583333333337</v>
      </c>
      <c r="M36" s="28">
        <f t="shared" si="2"/>
        <v>65.165416666666644</v>
      </c>
      <c r="N36" s="28">
        <f t="shared" si="2"/>
        <v>249.3125</v>
      </c>
      <c r="O36" s="28">
        <f t="shared" si="2"/>
        <v>0</v>
      </c>
      <c r="P36" s="28">
        <f t="shared" si="2"/>
        <v>0.45625000000000004</v>
      </c>
      <c r="Q36" s="28">
        <f t="shared" si="2"/>
        <v>7.4162499999999989</v>
      </c>
      <c r="R36" s="28"/>
      <c r="S36" s="28"/>
      <c r="T36" s="28"/>
      <c r="U36" s="28"/>
    </row>
    <row r="37" spans="1:21" s="21" customFormat="1">
      <c r="A37" s="27" t="s">
        <v>38</v>
      </c>
      <c r="B37" s="28">
        <f>STDEV(B9:B32)</f>
        <v>7.1779716867811496</v>
      </c>
      <c r="C37" s="28">
        <f t="shared" ref="C37:Q37" si="3">STDEV(C9:C32)</f>
        <v>5.3988748156780151</v>
      </c>
      <c r="D37" s="28">
        <f t="shared" si="3"/>
        <v>7.4652692953553164</v>
      </c>
      <c r="E37" s="28">
        <f t="shared" si="3"/>
        <v>0.78574240256487082</v>
      </c>
      <c r="F37" s="28">
        <f t="shared" si="3"/>
        <v>7.2099743210461522</v>
      </c>
      <c r="G37" s="28">
        <f t="shared" si="3"/>
        <v>6.4744789813320196</v>
      </c>
      <c r="H37" s="28">
        <f>STDEV(H9:H32)</f>
        <v>2.8327294859516137</v>
      </c>
      <c r="I37" s="28">
        <f t="shared" si="3"/>
        <v>0.7438443034843325</v>
      </c>
      <c r="J37" s="28">
        <f t="shared" si="3"/>
        <v>0.40725219192299872</v>
      </c>
      <c r="K37" s="28">
        <f t="shared" si="3"/>
        <v>77.292490040538141</v>
      </c>
      <c r="L37" s="28">
        <f t="shared" si="3"/>
        <v>5.198396056282264</v>
      </c>
      <c r="M37" s="28">
        <f t="shared" si="3"/>
        <v>18.24368597843409</v>
      </c>
      <c r="N37" s="28">
        <f t="shared" si="3"/>
        <v>338.66014169973852</v>
      </c>
      <c r="O37" s="28">
        <f t="shared" si="3"/>
        <v>0</v>
      </c>
      <c r="P37" s="28">
        <f t="shared" si="3"/>
        <v>3.2812047098322181E-2</v>
      </c>
      <c r="Q37" s="28">
        <f t="shared" si="3"/>
        <v>0.57170083769931324</v>
      </c>
      <c r="R37" s="28"/>
      <c r="S37" s="28"/>
      <c r="T37" s="28"/>
      <c r="U37" s="28"/>
    </row>
    <row r="38" spans="1:21" s="21" customFormat="1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>COUNT(F9:F32)</f>
        <v>24</v>
      </c>
      <c r="G38" s="32">
        <f>COUNT(G9:G32)</f>
        <v>24</v>
      </c>
      <c r="H38" s="32">
        <f>COUNT(H9:H32)</f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>
      <c r="A42" s="13"/>
    </row>
    <row r="43" spans="1:21" s="21" customFormat="1">
      <c r="A43" s="14" t="s">
        <v>35</v>
      </c>
      <c r="B43" s="39" t="s">
        <v>58</v>
      </c>
      <c r="C43" s="41"/>
    </row>
    <row r="44" spans="1:21" s="21" customFormat="1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0"/>
      <c r="C45" s="40"/>
      <c r="D45" s="40"/>
      <c r="E45" s="40"/>
      <c r="F45" s="40"/>
      <c r="G45" s="40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</row>
    <row r="46" spans="1:21" s="21" customFormat="1"/>
    <row r="47" spans="1:21" s="21" customFormat="1"/>
    <row r="48" spans="1:21" s="21" customFormat="1"/>
    <row r="49" s="21" customFormat="1"/>
    <row r="50" s="21" customFormat="1"/>
    <row r="51" s="21" customFormat="1"/>
    <row r="52" s="21" customFormat="1"/>
    <row r="53" s="21" customFormat="1"/>
    <row r="54" s="21" customFormat="1"/>
    <row r="55" s="21" customFormat="1"/>
    <row r="56" s="21" customFormat="1"/>
    <row r="57" s="21" customFormat="1"/>
    <row r="58" s="21" customFormat="1"/>
    <row r="59" s="21" customFormat="1"/>
    <row r="60" s="21" customFormat="1"/>
    <row r="61" s="21" customFormat="1"/>
    <row r="62" s="21" customFormat="1"/>
    <row r="63" s="21" customFormat="1"/>
    <row r="64" s="21" customFormat="1"/>
    <row r="65" s="21" customFormat="1"/>
    <row r="66" s="21" customFormat="1"/>
    <row r="67" s="21" customFormat="1"/>
    <row r="68" s="21" customFormat="1"/>
    <row r="69" s="21" customFormat="1"/>
    <row r="70" s="21" customFormat="1"/>
    <row r="71" s="21" customFormat="1"/>
    <row r="72" s="21" customFormat="1"/>
    <row r="73" s="21" customFormat="1"/>
    <row r="74" s="21" customFormat="1"/>
    <row r="75" s="21" customFormat="1"/>
    <row r="76" s="21" customFormat="1"/>
    <row r="77" s="21" customFormat="1"/>
    <row r="78" s="21" customFormat="1"/>
    <row r="79" s="21" customFormat="1"/>
    <row r="80" s="21" customFormat="1"/>
    <row r="81" s="21" customFormat="1"/>
    <row r="82" s="21" customFormat="1"/>
    <row r="83" s="21" customFormat="1"/>
    <row r="84" s="21" customFormat="1"/>
    <row r="85" s="21" customFormat="1"/>
    <row r="86" s="21" customFormat="1"/>
    <row r="87" s="21" customFormat="1"/>
    <row r="88" s="21" customFormat="1"/>
    <row r="89" s="21" customFormat="1"/>
    <row r="90" s="21" customFormat="1"/>
    <row r="91" s="21" customFormat="1"/>
    <row r="92" s="21" customFormat="1"/>
    <row r="93" s="21" customFormat="1"/>
    <row r="94" s="21" customFormat="1"/>
    <row r="95" s="21" customFormat="1"/>
    <row r="96" s="21" customFormat="1"/>
    <row r="97" spans="1:1" s="21" customFormat="1"/>
    <row r="98" spans="1:1" s="21" customFormat="1"/>
    <row r="99" spans="1:1" s="21" customFormat="1"/>
    <row r="100" spans="1:1" s="21" customFormat="1"/>
    <row r="101" spans="1:1" s="21" customFormat="1"/>
    <row r="102" spans="1:1" s="21" customFormat="1"/>
    <row r="103" spans="1:1" s="21" customFormat="1"/>
    <row r="104" spans="1:1" s="21" customFormat="1"/>
    <row r="105" spans="1:1" s="21" customFormat="1"/>
    <row r="106" spans="1:1">
      <c r="A106" s="20"/>
    </row>
    <row r="107" spans="1:1" s="21" customFormat="1"/>
    <row r="108" spans="1:1" s="21" customFormat="1"/>
    <row r="109" spans="1:1" s="21" customFormat="1"/>
    <row r="110" spans="1:1" s="21" customFormat="1"/>
    <row r="111" spans="1:1" s="21" customFormat="1"/>
    <row r="112" spans="1:1" s="21" customFormat="1"/>
    <row r="113" spans="1:1" s="21" customFormat="1"/>
    <row r="114" spans="1:1" s="21" customFormat="1"/>
    <row r="115" spans="1:1" s="21" customFormat="1"/>
    <row r="116" spans="1:1" s="21" customFormat="1"/>
    <row r="117" spans="1:1" s="21" customFormat="1"/>
    <row r="118" spans="1:1">
      <c r="A118" s="20"/>
    </row>
    <row r="119" spans="1:1">
      <c r="A119" s="20"/>
    </row>
  </sheetData>
  <pageMargins left="0.7" right="0.7" top="0.75" bottom="0.75" header="0.3" footer="0.3"/>
  <pageSetup paperSize="9" orientation="portrait" verticalDpi="0" r:id="rId1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1" ySplit="8" topLeftCell="B30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A9" sqref="A9:Q32"/>
    </sheetView>
  </sheetViews>
  <sheetFormatPr defaultColWidth="8.85546875" defaultRowHeight="1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>
      <c r="A1" s="14" t="s">
        <v>2</v>
      </c>
      <c r="B1" s="23" t="s">
        <v>55</v>
      </c>
      <c r="C1" s="36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>
      <c r="A2" s="14" t="s">
        <v>0</v>
      </c>
      <c r="B2" s="37" t="str">
        <f>$A$9</f>
        <v>25/04/2023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8" t="s">
        <v>7</v>
      </c>
      <c r="Q2" s="12"/>
      <c r="R2" s="8" t="s">
        <v>8</v>
      </c>
      <c r="S2" s="11"/>
      <c r="T2" s="11"/>
      <c r="U2" s="11"/>
    </row>
    <row r="3" spans="1:21" s="21" customFormat="1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8" t="s">
        <v>15</v>
      </c>
      <c r="Q3" s="12"/>
      <c r="R3" s="9" t="s">
        <v>15</v>
      </c>
      <c r="S3" s="11"/>
      <c r="T3" s="11"/>
      <c r="U3" s="11"/>
    </row>
    <row r="4" spans="1:21" s="21" customFormat="1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>
      <c r="A7" s="25" t="s">
        <v>21</v>
      </c>
      <c r="B7" s="48" t="s">
        <v>40</v>
      </c>
      <c r="C7" s="49" t="s">
        <v>41</v>
      </c>
      <c r="D7" s="49" t="s">
        <v>42</v>
      </c>
      <c r="E7" s="49" t="s">
        <v>43</v>
      </c>
      <c r="F7" s="49" t="s">
        <v>44</v>
      </c>
      <c r="G7" s="49" t="s">
        <v>45</v>
      </c>
      <c r="H7" s="49" t="s">
        <v>56</v>
      </c>
      <c r="I7" s="49" t="s">
        <v>46</v>
      </c>
      <c r="J7" s="49" t="s">
        <v>47</v>
      </c>
      <c r="K7" s="49" t="s">
        <v>48</v>
      </c>
      <c r="L7" s="49" t="s">
        <v>49</v>
      </c>
      <c r="M7" s="49" t="s">
        <v>50</v>
      </c>
      <c r="N7" s="49" t="s">
        <v>51</v>
      </c>
      <c r="O7" s="49" t="s">
        <v>52</v>
      </c>
      <c r="P7" s="49" t="s">
        <v>53</v>
      </c>
      <c r="Q7" s="49" t="s">
        <v>54</v>
      </c>
      <c r="R7" s="27"/>
      <c r="S7" s="29"/>
      <c r="T7" s="27"/>
      <c r="U7" s="27"/>
    </row>
    <row r="8" spans="1:21" s="21" customFormat="1">
      <c r="A8" s="25"/>
      <c r="B8" s="50" t="s">
        <v>22</v>
      </c>
      <c r="C8" s="50" t="s">
        <v>22</v>
      </c>
      <c r="D8" s="50" t="s">
        <v>22</v>
      </c>
      <c r="E8" s="50" t="s">
        <v>22</v>
      </c>
      <c r="F8" s="50" t="s">
        <v>22</v>
      </c>
      <c r="G8" s="50" t="s">
        <v>23</v>
      </c>
      <c r="H8" s="50" t="s">
        <v>22</v>
      </c>
      <c r="I8" s="50" t="s">
        <v>22</v>
      </c>
      <c r="J8" s="50" t="s">
        <v>24</v>
      </c>
      <c r="K8" s="50" t="s">
        <v>25</v>
      </c>
      <c r="L8" s="25" t="s">
        <v>27</v>
      </c>
      <c r="M8" s="50" t="s">
        <v>26</v>
      </c>
      <c r="N8" s="50" t="s">
        <v>28</v>
      </c>
      <c r="O8" s="25" t="s">
        <v>29</v>
      </c>
      <c r="P8" s="50" t="s">
        <v>22</v>
      </c>
      <c r="Q8" s="50" t="s">
        <v>22</v>
      </c>
      <c r="R8" s="27"/>
      <c r="S8" s="29"/>
      <c r="T8" s="27"/>
      <c r="U8" s="27"/>
    </row>
    <row r="9" spans="1:21" s="11" customFormat="1">
      <c r="A9" s="55" t="s">
        <v>646</v>
      </c>
      <c r="B9" s="56">
        <v>29.21</v>
      </c>
      <c r="C9" s="56">
        <v>69.42</v>
      </c>
      <c r="D9" s="56">
        <v>61.04</v>
      </c>
      <c r="E9" s="56">
        <v>7.75</v>
      </c>
      <c r="F9" s="56">
        <v>3.71</v>
      </c>
      <c r="G9" s="56">
        <v>32.64</v>
      </c>
      <c r="H9" s="56">
        <v>11.19</v>
      </c>
      <c r="I9" s="56">
        <v>3.52</v>
      </c>
      <c r="J9" s="56">
        <v>1.9</v>
      </c>
      <c r="K9" s="56">
        <v>55.16</v>
      </c>
      <c r="L9" s="56">
        <v>23.66</v>
      </c>
      <c r="M9" s="56">
        <v>79.040000000000006</v>
      </c>
      <c r="N9" s="56">
        <v>0</v>
      </c>
      <c r="O9" s="56">
        <v>0</v>
      </c>
      <c r="P9" s="56">
        <v>0.46</v>
      </c>
      <c r="Q9" s="56">
        <v>8.41</v>
      </c>
      <c r="R9" s="42"/>
      <c r="S9" s="42"/>
      <c r="T9" s="42"/>
      <c r="U9" s="42"/>
    </row>
    <row r="10" spans="1:21" s="11" customFormat="1">
      <c r="A10" s="55" t="s">
        <v>647</v>
      </c>
      <c r="B10" s="56">
        <v>29.91</v>
      </c>
      <c r="C10" s="56">
        <v>64.83</v>
      </c>
      <c r="D10" s="56">
        <v>58.93</v>
      </c>
      <c r="E10" s="56">
        <v>7.55</v>
      </c>
      <c r="F10" s="56">
        <v>4.21</v>
      </c>
      <c r="G10" s="56">
        <v>28.98</v>
      </c>
      <c r="H10" s="56">
        <v>10.35</v>
      </c>
      <c r="I10" s="56">
        <v>3.47</v>
      </c>
      <c r="J10" s="56">
        <v>1.64</v>
      </c>
      <c r="K10" s="56">
        <v>65.91</v>
      </c>
      <c r="L10" s="56">
        <v>22.69</v>
      </c>
      <c r="M10" s="56">
        <v>75.540000000000006</v>
      </c>
      <c r="N10" s="56">
        <v>0</v>
      </c>
      <c r="O10" s="56">
        <v>0</v>
      </c>
      <c r="P10" s="56">
        <v>0.42</v>
      </c>
      <c r="Q10" s="56">
        <v>8.1999999999999993</v>
      </c>
      <c r="R10" s="42"/>
      <c r="S10" s="42"/>
      <c r="T10" s="42"/>
      <c r="U10" s="42"/>
    </row>
    <row r="11" spans="1:21" s="11" customFormat="1">
      <c r="A11" s="55" t="s">
        <v>648</v>
      </c>
      <c r="B11" s="56">
        <v>29.27</v>
      </c>
      <c r="C11" s="56">
        <v>65.91</v>
      </c>
      <c r="D11" s="56">
        <v>58.63</v>
      </c>
      <c r="E11" s="56">
        <v>7.33</v>
      </c>
      <c r="F11" s="56">
        <v>3.8</v>
      </c>
      <c r="G11" s="56">
        <v>25.18</v>
      </c>
      <c r="H11" s="56">
        <v>10.35</v>
      </c>
      <c r="I11" s="56">
        <v>3.39</v>
      </c>
      <c r="J11" s="56">
        <v>1.46</v>
      </c>
      <c r="K11" s="56">
        <v>69.39</v>
      </c>
      <c r="L11" s="56">
        <v>22.55</v>
      </c>
      <c r="M11" s="56">
        <v>73.56</v>
      </c>
      <c r="N11" s="56">
        <v>0</v>
      </c>
      <c r="O11" s="56">
        <v>0</v>
      </c>
      <c r="P11" s="56">
        <v>0.41</v>
      </c>
      <c r="Q11" s="56">
        <v>7.95</v>
      </c>
      <c r="R11" s="42"/>
      <c r="S11" s="42"/>
      <c r="T11" s="42"/>
      <c r="U11" s="42"/>
    </row>
    <row r="12" spans="1:21" s="11" customFormat="1">
      <c r="A12" s="55" t="s">
        <v>649</v>
      </c>
      <c r="B12" s="56">
        <v>28.55</v>
      </c>
      <c r="C12" s="56">
        <v>66.42</v>
      </c>
      <c r="D12" s="56">
        <v>58.95</v>
      </c>
      <c r="E12" s="56">
        <v>7.66</v>
      </c>
      <c r="F12" s="56">
        <v>3.91</v>
      </c>
      <c r="G12" s="56">
        <v>24.81</v>
      </c>
      <c r="H12" s="56">
        <v>9.7100000000000009</v>
      </c>
      <c r="I12" s="56">
        <v>3.36</v>
      </c>
      <c r="J12" s="56">
        <v>1.18</v>
      </c>
      <c r="K12" s="56">
        <v>65.819999999999993</v>
      </c>
      <c r="L12" s="56">
        <v>22.22</v>
      </c>
      <c r="M12" s="56">
        <v>76.430000000000007</v>
      </c>
      <c r="N12" s="56">
        <v>0</v>
      </c>
      <c r="O12" s="56">
        <v>0</v>
      </c>
      <c r="P12" s="56">
        <v>0.43</v>
      </c>
      <c r="Q12" s="56">
        <v>7.96</v>
      </c>
      <c r="R12" s="42"/>
      <c r="S12" s="42"/>
      <c r="T12" s="42"/>
      <c r="U12" s="42"/>
    </row>
    <row r="13" spans="1:21" s="11" customFormat="1">
      <c r="A13" s="55" t="s">
        <v>650</v>
      </c>
      <c r="B13" s="56">
        <v>30.61</v>
      </c>
      <c r="C13" s="56">
        <v>67.16</v>
      </c>
      <c r="D13" s="56">
        <v>60.99</v>
      </c>
      <c r="E13" s="56">
        <v>7.31</v>
      </c>
      <c r="F13" s="56">
        <v>3.92</v>
      </c>
      <c r="G13" s="56">
        <v>28.72</v>
      </c>
      <c r="H13" s="56">
        <v>11.35</v>
      </c>
      <c r="I13" s="56">
        <v>3.45</v>
      </c>
      <c r="J13" s="56">
        <v>1.06</v>
      </c>
      <c r="K13" s="56">
        <v>61.68</v>
      </c>
      <c r="L13" s="56">
        <v>21.89</v>
      </c>
      <c r="M13" s="56">
        <v>78.08</v>
      </c>
      <c r="N13" s="56">
        <v>0</v>
      </c>
      <c r="O13" s="56">
        <v>0</v>
      </c>
      <c r="P13" s="56">
        <v>0.43</v>
      </c>
      <c r="Q13" s="56">
        <v>8.09</v>
      </c>
      <c r="R13" s="42"/>
      <c r="S13" s="42"/>
      <c r="T13" s="42"/>
      <c r="U13" s="42"/>
    </row>
    <row r="14" spans="1:21" s="11" customFormat="1">
      <c r="A14" s="55" t="s">
        <v>651</v>
      </c>
      <c r="B14" s="56">
        <v>32.82</v>
      </c>
      <c r="C14" s="56">
        <v>67.44</v>
      </c>
      <c r="D14" s="56">
        <v>62.9</v>
      </c>
      <c r="E14" s="56">
        <v>7.24</v>
      </c>
      <c r="F14" s="56">
        <v>3.76</v>
      </c>
      <c r="G14" s="56">
        <v>28.9</v>
      </c>
      <c r="H14" s="56">
        <v>13.53</v>
      </c>
      <c r="I14" s="56">
        <v>3.55</v>
      </c>
      <c r="J14" s="56">
        <v>0.97</v>
      </c>
      <c r="K14" s="56">
        <v>106.68</v>
      </c>
      <c r="L14" s="56">
        <v>22.04</v>
      </c>
      <c r="M14" s="56">
        <v>78.099999999999994</v>
      </c>
      <c r="N14" s="56">
        <v>9.8000000000000007</v>
      </c>
      <c r="O14" s="56">
        <v>0</v>
      </c>
      <c r="P14" s="56">
        <v>0.45</v>
      </c>
      <c r="Q14" s="56">
        <v>8.26</v>
      </c>
      <c r="R14" s="42"/>
      <c r="S14" s="42"/>
      <c r="T14" s="42"/>
      <c r="U14" s="42"/>
    </row>
    <row r="15" spans="1:21" s="11" customFormat="1">
      <c r="A15" s="55" t="s">
        <v>652</v>
      </c>
      <c r="B15" s="56">
        <v>32.76</v>
      </c>
      <c r="C15" s="56">
        <v>71.510000000000005</v>
      </c>
      <c r="D15" s="56">
        <v>64.989999999999995</v>
      </c>
      <c r="E15" s="56">
        <v>7.26</v>
      </c>
      <c r="F15" s="56">
        <v>3.77</v>
      </c>
      <c r="G15" s="56">
        <v>33.08</v>
      </c>
      <c r="H15" s="56">
        <v>13.65</v>
      </c>
      <c r="I15" s="56">
        <v>3.7</v>
      </c>
      <c r="J15" s="56">
        <v>1.18</v>
      </c>
      <c r="K15" s="56">
        <v>91.12</v>
      </c>
      <c r="L15" s="56">
        <v>22.81</v>
      </c>
      <c r="M15" s="56">
        <v>75.89</v>
      </c>
      <c r="N15" s="56">
        <v>71.3</v>
      </c>
      <c r="O15" s="56">
        <v>0</v>
      </c>
      <c r="P15" s="56">
        <v>0.47</v>
      </c>
      <c r="Q15" s="56">
        <v>8.67</v>
      </c>
      <c r="R15" s="42"/>
      <c r="S15" s="42"/>
      <c r="T15" s="42"/>
      <c r="U15" s="42"/>
    </row>
    <row r="16" spans="1:21" s="11" customFormat="1">
      <c r="A16" s="55" t="s">
        <v>653</v>
      </c>
      <c r="B16" s="56">
        <v>32.1</v>
      </c>
      <c r="C16" s="56">
        <v>71.03</v>
      </c>
      <c r="D16" s="56">
        <v>64.2</v>
      </c>
      <c r="E16" s="56">
        <v>7.22</v>
      </c>
      <c r="F16" s="56">
        <v>3.75</v>
      </c>
      <c r="G16" s="56">
        <v>33.32</v>
      </c>
      <c r="H16" s="56">
        <v>13.65</v>
      </c>
      <c r="I16" s="56">
        <v>3.72</v>
      </c>
      <c r="J16" s="56">
        <v>1.27</v>
      </c>
      <c r="K16" s="56">
        <v>73.09</v>
      </c>
      <c r="L16" s="56">
        <v>25.22</v>
      </c>
      <c r="M16" s="56">
        <v>69.81</v>
      </c>
      <c r="N16" s="56">
        <v>136.30000000000001</v>
      </c>
      <c r="O16" s="56">
        <v>0</v>
      </c>
      <c r="P16" s="56">
        <v>0.47</v>
      </c>
      <c r="Q16" s="56">
        <v>8.65</v>
      </c>
      <c r="R16" s="42"/>
      <c r="S16" s="42"/>
      <c r="T16" s="42"/>
      <c r="U16" s="42"/>
    </row>
    <row r="17" spans="1:21" s="11" customFormat="1">
      <c r="A17" s="55" t="s">
        <v>654</v>
      </c>
      <c r="B17" s="56">
        <v>30.31</v>
      </c>
      <c r="C17" s="56">
        <v>70.09</v>
      </c>
      <c r="D17" s="56">
        <v>62.09</v>
      </c>
      <c r="E17" s="56">
        <v>6.94</v>
      </c>
      <c r="F17" s="56">
        <v>4.0199999999999996</v>
      </c>
      <c r="G17" s="56">
        <v>30.64</v>
      </c>
      <c r="H17" s="56">
        <v>12.71</v>
      </c>
      <c r="I17" s="56">
        <v>3.72</v>
      </c>
      <c r="J17" s="56">
        <v>1.2</v>
      </c>
      <c r="K17" s="56">
        <v>89.31</v>
      </c>
      <c r="L17" s="56">
        <v>28.61</v>
      </c>
      <c r="M17" s="56">
        <v>62.39</v>
      </c>
      <c r="N17" s="56">
        <v>377.6</v>
      </c>
      <c r="O17" s="56">
        <v>0</v>
      </c>
      <c r="P17" s="56">
        <v>0.48</v>
      </c>
      <c r="Q17" s="56">
        <v>8.52</v>
      </c>
      <c r="R17" s="42"/>
      <c r="S17" s="42"/>
      <c r="T17" s="42"/>
      <c r="U17" s="42"/>
    </row>
    <row r="18" spans="1:21" s="11" customFormat="1">
      <c r="A18" s="55" t="s">
        <v>655</v>
      </c>
      <c r="B18" s="56">
        <v>27.28</v>
      </c>
      <c r="C18" s="56">
        <v>69.400000000000006</v>
      </c>
      <c r="D18" s="56">
        <v>59.49</v>
      </c>
      <c r="E18" s="56">
        <v>7.08</v>
      </c>
      <c r="F18" s="56">
        <v>4.5</v>
      </c>
      <c r="G18" s="56">
        <v>30.77</v>
      </c>
      <c r="H18" s="56">
        <v>14.71</v>
      </c>
      <c r="I18" s="56">
        <v>3.75</v>
      </c>
      <c r="J18" s="56">
        <v>0.73</v>
      </c>
      <c r="K18" s="56">
        <v>88.9</v>
      </c>
      <c r="L18" s="56">
        <v>30.79</v>
      </c>
      <c r="M18" s="56">
        <v>50.44</v>
      </c>
      <c r="N18" s="56">
        <v>472.3</v>
      </c>
      <c r="O18" s="56">
        <v>0</v>
      </c>
      <c r="P18" s="56">
        <v>0.47</v>
      </c>
      <c r="Q18" s="56">
        <v>8.3000000000000007</v>
      </c>
      <c r="R18" s="42"/>
      <c r="S18" s="42"/>
      <c r="T18" s="42"/>
      <c r="U18" s="42"/>
    </row>
    <row r="19" spans="1:21" s="11" customFormat="1">
      <c r="A19" s="55" t="s">
        <v>656</v>
      </c>
      <c r="B19" s="56">
        <v>21.68</v>
      </c>
      <c r="C19" s="56">
        <v>65.94</v>
      </c>
      <c r="D19" s="56">
        <v>52.24</v>
      </c>
      <c r="E19" s="56">
        <v>8</v>
      </c>
      <c r="F19" s="56">
        <v>7.52</v>
      </c>
      <c r="G19" s="56">
        <v>28.4</v>
      </c>
      <c r="H19" s="56">
        <v>14.71</v>
      </c>
      <c r="I19" s="56">
        <v>3.73</v>
      </c>
      <c r="J19" s="56">
        <v>0.33</v>
      </c>
      <c r="K19" s="56">
        <v>131.72999999999999</v>
      </c>
      <c r="L19" s="56">
        <v>32.79</v>
      </c>
      <c r="M19" s="56">
        <v>47.25</v>
      </c>
      <c r="N19" s="56">
        <v>764.8</v>
      </c>
      <c r="O19" s="56">
        <v>0</v>
      </c>
      <c r="P19" s="56">
        <v>0.47</v>
      </c>
      <c r="Q19" s="56">
        <v>7.83</v>
      </c>
      <c r="R19" s="42"/>
      <c r="S19" s="42"/>
      <c r="T19" s="42"/>
      <c r="U19" s="42"/>
    </row>
    <row r="20" spans="1:21" s="11" customFormat="1">
      <c r="A20" s="55" t="s">
        <v>657</v>
      </c>
      <c r="B20" s="56">
        <v>17.02</v>
      </c>
      <c r="C20" s="56">
        <v>55.32</v>
      </c>
      <c r="D20" s="56">
        <v>43.9</v>
      </c>
      <c r="E20" s="56">
        <v>8.1199999999999992</v>
      </c>
      <c r="F20" s="56">
        <v>11.26</v>
      </c>
      <c r="G20" s="56">
        <v>28.54</v>
      </c>
      <c r="H20" s="56">
        <v>14.2</v>
      </c>
      <c r="I20" s="56">
        <v>3.77</v>
      </c>
      <c r="J20" s="56">
        <v>0.66</v>
      </c>
      <c r="K20" s="56">
        <v>264</v>
      </c>
      <c r="L20" s="56">
        <v>32.729999999999997</v>
      </c>
      <c r="M20" s="56">
        <v>43.81</v>
      </c>
      <c r="N20" s="56">
        <v>761.8</v>
      </c>
      <c r="O20" s="56">
        <v>0</v>
      </c>
      <c r="P20" s="56">
        <v>0.45</v>
      </c>
      <c r="Q20" s="56">
        <v>7.12</v>
      </c>
      <c r="R20" s="42"/>
      <c r="S20" s="42"/>
      <c r="T20" s="42"/>
      <c r="U20" s="42"/>
    </row>
    <row r="21" spans="1:21" s="11" customFormat="1">
      <c r="A21" s="55" t="s">
        <v>658</v>
      </c>
      <c r="B21" s="56">
        <v>13.68</v>
      </c>
      <c r="C21" s="56">
        <v>64.89</v>
      </c>
      <c r="D21" s="56">
        <v>45.79</v>
      </c>
      <c r="E21" s="56">
        <v>8.6999999999999993</v>
      </c>
      <c r="F21" s="56">
        <v>21.97</v>
      </c>
      <c r="G21" s="56">
        <v>27.56</v>
      </c>
      <c r="H21" s="56">
        <v>15.77</v>
      </c>
      <c r="I21" s="56">
        <v>3.75</v>
      </c>
      <c r="J21" s="56">
        <v>1.1399999999999999</v>
      </c>
      <c r="K21" s="56">
        <v>301.67</v>
      </c>
      <c r="L21" s="56">
        <v>33.1</v>
      </c>
      <c r="M21" s="56">
        <v>43.84</v>
      </c>
      <c r="N21" s="56">
        <v>766.2</v>
      </c>
      <c r="O21" s="56">
        <v>0</v>
      </c>
      <c r="P21" s="56">
        <v>0.45</v>
      </c>
      <c r="Q21" s="56">
        <v>6.79</v>
      </c>
      <c r="R21" s="42"/>
      <c r="S21" s="42"/>
      <c r="T21" s="42"/>
      <c r="U21" s="42"/>
    </row>
    <row r="22" spans="1:21" s="11" customFormat="1">
      <c r="A22" s="55" t="s">
        <v>659</v>
      </c>
      <c r="B22" s="56">
        <v>7.73</v>
      </c>
      <c r="C22" s="56">
        <v>47</v>
      </c>
      <c r="D22" s="56">
        <v>31.6</v>
      </c>
      <c r="E22" s="56">
        <v>8.24</v>
      </c>
      <c r="F22" s="56">
        <v>22.88</v>
      </c>
      <c r="G22" s="56">
        <v>25.9</v>
      </c>
      <c r="H22" s="56">
        <v>15.77</v>
      </c>
      <c r="I22" s="56">
        <v>3.58</v>
      </c>
      <c r="J22" s="56">
        <v>0.83</v>
      </c>
      <c r="K22" s="56">
        <v>275.82</v>
      </c>
      <c r="L22" s="56">
        <v>34.799999999999997</v>
      </c>
      <c r="M22" s="56">
        <v>41.33</v>
      </c>
      <c r="N22" s="56">
        <v>766.8</v>
      </c>
      <c r="O22" s="56">
        <v>0</v>
      </c>
      <c r="P22" s="56">
        <v>0.44</v>
      </c>
      <c r="Q22" s="56">
        <v>6.43</v>
      </c>
      <c r="R22" s="42"/>
      <c r="S22" s="42"/>
      <c r="T22" s="42"/>
      <c r="U22" s="42"/>
    </row>
    <row r="23" spans="1:21" s="11" customFormat="1">
      <c r="A23" s="55" t="s">
        <v>660</v>
      </c>
      <c r="B23" s="56">
        <v>4.3899999999999997</v>
      </c>
      <c r="C23" s="56">
        <v>34.18</v>
      </c>
      <c r="D23" s="56">
        <v>22.18</v>
      </c>
      <c r="E23" s="56">
        <v>10.48</v>
      </c>
      <c r="F23" s="56">
        <v>44.71</v>
      </c>
      <c r="G23" s="56">
        <v>24.8</v>
      </c>
      <c r="H23" s="56">
        <v>14.32</v>
      </c>
      <c r="I23" s="56">
        <v>3.61</v>
      </c>
      <c r="J23" s="56">
        <v>0.71</v>
      </c>
      <c r="K23" s="56">
        <v>301.95999999999998</v>
      </c>
      <c r="L23" s="56">
        <v>35.43</v>
      </c>
      <c r="M23" s="56">
        <v>37.61</v>
      </c>
      <c r="N23" s="56">
        <v>730.5</v>
      </c>
      <c r="O23" s="56">
        <v>0</v>
      </c>
      <c r="P23" s="56">
        <v>0.42</v>
      </c>
      <c r="Q23" s="56">
        <v>5.84</v>
      </c>
      <c r="R23" s="42"/>
      <c r="S23" s="42"/>
      <c r="T23" s="42"/>
      <c r="U23" s="42"/>
    </row>
    <row r="24" spans="1:21" s="11" customFormat="1">
      <c r="A24" s="55" t="s">
        <v>661</v>
      </c>
      <c r="B24" s="56">
        <v>5.31</v>
      </c>
      <c r="C24" s="56">
        <v>44.55</v>
      </c>
      <c r="D24" s="56">
        <v>28.89</v>
      </c>
      <c r="E24" s="56">
        <v>10.59</v>
      </c>
      <c r="F24" s="56">
        <v>24.32</v>
      </c>
      <c r="G24" s="56">
        <v>24.8</v>
      </c>
      <c r="H24" s="56">
        <v>14.52</v>
      </c>
      <c r="I24" s="56">
        <v>3.36</v>
      </c>
      <c r="J24" s="56">
        <v>0.62</v>
      </c>
      <c r="K24" s="56">
        <v>309.49</v>
      </c>
      <c r="L24" s="56">
        <v>35.67</v>
      </c>
      <c r="M24" s="56">
        <v>36.82</v>
      </c>
      <c r="N24" s="56">
        <v>558.29999999999995</v>
      </c>
      <c r="O24" s="56">
        <v>0</v>
      </c>
      <c r="P24" s="56">
        <v>0.48</v>
      </c>
      <c r="Q24" s="56">
        <v>5.81</v>
      </c>
      <c r="R24" s="42"/>
      <c r="S24" s="42"/>
      <c r="T24" s="42"/>
      <c r="U24" s="42"/>
    </row>
    <row r="25" spans="1:21" s="11" customFormat="1">
      <c r="A25" s="55" t="s">
        <v>662</v>
      </c>
      <c r="B25" s="56">
        <v>5.2</v>
      </c>
      <c r="C25" s="56">
        <v>47.92</v>
      </c>
      <c r="D25" s="56">
        <v>30.53</v>
      </c>
      <c r="E25" s="56">
        <v>10.26</v>
      </c>
      <c r="F25" s="56">
        <v>25.51</v>
      </c>
      <c r="G25" s="56">
        <v>28.14</v>
      </c>
      <c r="H25" s="56">
        <v>14.7</v>
      </c>
      <c r="I25" s="56">
        <v>3.75</v>
      </c>
      <c r="J25" s="56">
        <v>0.41</v>
      </c>
      <c r="K25" s="56">
        <v>245.55</v>
      </c>
      <c r="L25" s="56">
        <v>35.85</v>
      </c>
      <c r="M25" s="56">
        <v>37.24</v>
      </c>
      <c r="N25" s="56">
        <v>319.8</v>
      </c>
      <c r="O25" s="56">
        <v>0</v>
      </c>
      <c r="P25" s="56">
        <v>0.51</v>
      </c>
      <c r="Q25" s="56">
        <v>6.23</v>
      </c>
      <c r="R25" s="42"/>
      <c r="S25" s="42"/>
      <c r="T25" s="42"/>
      <c r="U25" s="42"/>
    </row>
    <row r="26" spans="1:21" s="11" customFormat="1">
      <c r="A26" s="55" t="s">
        <v>663</v>
      </c>
      <c r="B26" s="56">
        <v>5.45</v>
      </c>
      <c r="C26" s="56">
        <v>49.9</v>
      </c>
      <c r="D26" s="56">
        <v>31.71</v>
      </c>
      <c r="E26" s="56">
        <v>10.27</v>
      </c>
      <c r="F26" s="56">
        <v>24.45</v>
      </c>
      <c r="G26" s="56">
        <v>28.33</v>
      </c>
      <c r="H26" s="56">
        <v>14.7</v>
      </c>
      <c r="I26" s="56">
        <v>3.81</v>
      </c>
      <c r="J26" s="56">
        <v>0.35</v>
      </c>
      <c r="K26" s="56">
        <v>233.04</v>
      </c>
      <c r="L26" s="56">
        <v>34.590000000000003</v>
      </c>
      <c r="M26" s="56">
        <v>42.28</v>
      </c>
      <c r="N26" s="56">
        <v>126.7</v>
      </c>
      <c r="O26" s="56">
        <v>0</v>
      </c>
      <c r="P26" s="56">
        <v>0.5</v>
      </c>
      <c r="Q26" s="56">
        <v>6.3</v>
      </c>
      <c r="R26" s="42"/>
      <c r="S26" s="42"/>
      <c r="T26" s="42"/>
      <c r="U26" s="42"/>
    </row>
    <row r="27" spans="1:21" s="11" customFormat="1">
      <c r="A27" s="55" t="s">
        <v>664</v>
      </c>
      <c r="B27" s="56">
        <v>6.9</v>
      </c>
      <c r="C27" s="56">
        <v>52.85</v>
      </c>
      <c r="D27" s="56">
        <v>34.5</v>
      </c>
      <c r="E27" s="56">
        <v>8.59</v>
      </c>
      <c r="F27" s="56">
        <v>23.63</v>
      </c>
      <c r="G27" s="56">
        <v>26.76</v>
      </c>
      <c r="H27" s="56">
        <v>14.97</v>
      </c>
      <c r="I27" s="56">
        <v>3.53</v>
      </c>
      <c r="J27" s="56">
        <v>0.36</v>
      </c>
      <c r="K27" s="56">
        <v>209.34</v>
      </c>
      <c r="L27" s="56">
        <v>32.42</v>
      </c>
      <c r="M27" s="56">
        <v>49.1</v>
      </c>
      <c r="N27" s="56">
        <v>0.8</v>
      </c>
      <c r="O27" s="56">
        <v>0</v>
      </c>
      <c r="P27" s="56">
        <v>0.48</v>
      </c>
      <c r="Q27" s="56">
        <v>6.44</v>
      </c>
      <c r="R27" s="42"/>
      <c r="S27" s="42"/>
      <c r="T27" s="42"/>
      <c r="U27" s="42"/>
    </row>
    <row r="28" spans="1:21" s="11" customFormat="1">
      <c r="A28" s="55" t="s">
        <v>665</v>
      </c>
      <c r="B28" s="56">
        <v>8.8800000000000008</v>
      </c>
      <c r="C28" s="56">
        <v>56.45</v>
      </c>
      <c r="D28" s="56">
        <v>37.96</v>
      </c>
      <c r="E28" s="56">
        <v>8.1999999999999993</v>
      </c>
      <c r="F28" s="56">
        <v>8.02</v>
      </c>
      <c r="G28" s="56">
        <v>26.44</v>
      </c>
      <c r="H28" s="56">
        <v>14.97</v>
      </c>
      <c r="I28" s="56">
        <v>3.67</v>
      </c>
      <c r="J28" s="56">
        <v>0.72</v>
      </c>
      <c r="K28" s="56">
        <v>242.1</v>
      </c>
      <c r="L28" s="56">
        <v>31.18</v>
      </c>
      <c r="M28" s="56">
        <v>54.33</v>
      </c>
      <c r="N28" s="56">
        <v>0</v>
      </c>
      <c r="O28" s="56">
        <v>0</v>
      </c>
      <c r="P28" s="56">
        <v>0.48</v>
      </c>
      <c r="Q28" s="56">
        <v>6.68</v>
      </c>
      <c r="R28" s="42"/>
      <c r="S28" s="42"/>
      <c r="T28" s="42"/>
      <c r="U28" s="42"/>
    </row>
    <row r="29" spans="1:21" s="11" customFormat="1">
      <c r="A29" s="55" t="s">
        <v>666</v>
      </c>
      <c r="B29" s="56">
        <v>10.73</v>
      </c>
      <c r="C29" s="56">
        <v>62.28</v>
      </c>
      <c r="D29" s="56">
        <v>41.84</v>
      </c>
      <c r="E29" s="56">
        <v>7.21</v>
      </c>
      <c r="F29" s="56">
        <v>6.12</v>
      </c>
      <c r="G29" s="56">
        <v>21.81</v>
      </c>
      <c r="H29" s="56">
        <v>11.78</v>
      </c>
      <c r="I29" s="56">
        <v>3.65</v>
      </c>
      <c r="J29" s="56">
        <v>0.42</v>
      </c>
      <c r="K29" s="56">
        <v>228.08</v>
      </c>
      <c r="L29" s="56">
        <v>27.65</v>
      </c>
      <c r="M29" s="56">
        <v>58.08</v>
      </c>
      <c r="N29" s="56">
        <v>0</v>
      </c>
      <c r="O29" s="56">
        <v>0</v>
      </c>
      <c r="P29" s="56">
        <v>0.47</v>
      </c>
      <c r="Q29" s="56">
        <v>6.84</v>
      </c>
      <c r="R29" s="42"/>
      <c r="S29" s="42"/>
      <c r="T29" s="42"/>
      <c r="U29" s="42"/>
    </row>
    <row r="30" spans="1:21" s="11" customFormat="1">
      <c r="A30" s="55" t="s">
        <v>667</v>
      </c>
      <c r="B30" s="56">
        <v>13.04</v>
      </c>
      <c r="C30" s="56">
        <v>56.41</v>
      </c>
      <c r="D30" s="56">
        <v>41.12</v>
      </c>
      <c r="E30" s="56">
        <v>7.81</v>
      </c>
      <c r="F30" s="56">
        <v>8.43</v>
      </c>
      <c r="G30" s="56">
        <v>20.03</v>
      </c>
      <c r="H30" s="56">
        <v>11.12</v>
      </c>
      <c r="I30" s="56">
        <v>3.47</v>
      </c>
      <c r="J30" s="56">
        <v>2.89</v>
      </c>
      <c r="K30" s="56">
        <v>207.02</v>
      </c>
      <c r="L30" s="56">
        <v>26.62</v>
      </c>
      <c r="M30" s="56">
        <v>60.07</v>
      </c>
      <c r="N30" s="56">
        <v>0</v>
      </c>
      <c r="O30" s="56">
        <v>0</v>
      </c>
      <c r="P30" s="56">
        <v>0.44</v>
      </c>
      <c r="Q30" s="56">
        <v>6.73</v>
      </c>
      <c r="R30" s="42"/>
      <c r="S30" s="42"/>
      <c r="T30" s="42"/>
      <c r="U30" s="42"/>
    </row>
    <row r="31" spans="1:21" s="11" customFormat="1">
      <c r="A31" s="55" t="s">
        <v>668</v>
      </c>
      <c r="B31" s="56">
        <v>13.03</v>
      </c>
      <c r="C31" s="56">
        <v>59.98</v>
      </c>
      <c r="D31" s="56">
        <v>43.14</v>
      </c>
      <c r="E31" s="56">
        <v>9.8000000000000007</v>
      </c>
      <c r="F31" s="56">
        <v>12.91</v>
      </c>
      <c r="G31" s="56">
        <v>46.35</v>
      </c>
      <c r="H31" s="56">
        <v>11.17</v>
      </c>
      <c r="I31" s="56">
        <v>3.32</v>
      </c>
      <c r="J31" s="56">
        <v>2.16</v>
      </c>
      <c r="K31" s="56">
        <v>320.32</v>
      </c>
      <c r="L31" s="56">
        <v>24.86</v>
      </c>
      <c r="M31" s="56">
        <v>69.599999999999994</v>
      </c>
      <c r="N31" s="56">
        <v>0</v>
      </c>
      <c r="O31" s="56">
        <v>0</v>
      </c>
      <c r="P31" s="56">
        <v>0.46</v>
      </c>
      <c r="Q31" s="56">
        <v>6.84</v>
      </c>
      <c r="R31" s="42"/>
      <c r="S31" s="42"/>
      <c r="T31" s="42"/>
      <c r="U31" s="42"/>
    </row>
    <row r="32" spans="1:21" s="11" customFormat="1">
      <c r="A32" s="55" t="s">
        <v>669</v>
      </c>
      <c r="B32" s="56">
        <v>13.15</v>
      </c>
      <c r="C32" s="56">
        <v>62.46</v>
      </c>
      <c r="D32" s="56">
        <v>44.42</v>
      </c>
      <c r="E32" s="56">
        <v>8.6300000000000008</v>
      </c>
      <c r="F32" s="56">
        <v>5.67</v>
      </c>
      <c r="G32" s="56">
        <v>47.64</v>
      </c>
      <c r="H32" s="56">
        <v>11.17</v>
      </c>
      <c r="I32" s="56">
        <v>3.38</v>
      </c>
      <c r="J32" s="56">
        <v>2.5099999999999998</v>
      </c>
      <c r="K32" s="56">
        <v>87.36</v>
      </c>
      <c r="L32" s="56">
        <v>23.22</v>
      </c>
      <c r="M32" s="56">
        <v>70.08</v>
      </c>
      <c r="N32" s="56">
        <v>0</v>
      </c>
      <c r="O32" s="56">
        <v>0</v>
      </c>
      <c r="P32" s="56">
        <v>0.47</v>
      </c>
      <c r="Q32" s="56">
        <v>6.86</v>
      </c>
      <c r="R32" s="42"/>
      <c r="S32" s="42"/>
      <c r="T32" s="42"/>
      <c r="U32" s="42"/>
    </row>
    <row r="33" spans="1:21" s="21" customFormat="1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>
      <c r="A34" s="27" t="s">
        <v>30</v>
      </c>
      <c r="B34" s="28">
        <f t="shared" ref="B34:Q34" si="0">MIN(B9:B32)</f>
        <v>4.3899999999999997</v>
      </c>
      <c r="C34" s="28">
        <f t="shared" si="0"/>
        <v>34.18</v>
      </c>
      <c r="D34" s="28">
        <f t="shared" si="0"/>
        <v>22.18</v>
      </c>
      <c r="E34" s="28">
        <f t="shared" si="0"/>
        <v>6.94</v>
      </c>
      <c r="F34" s="28">
        <f t="shared" si="0"/>
        <v>3.71</v>
      </c>
      <c r="G34" s="28">
        <f t="shared" si="0"/>
        <v>20.03</v>
      </c>
      <c r="H34" s="28">
        <f>MIN(H9:H32)</f>
        <v>9.7100000000000009</v>
      </c>
      <c r="I34" s="28">
        <f t="shared" si="0"/>
        <v>3.32</v>
      </c>
      <c r="J34" s="28">
        <f t="shared" si="0"/>
        <v>0.33</v>
      </c>
      <c r="K34" s="28">
        <f t="shared" si="0"/>
        <v>55.16</v>
      </c>
      <c r="L34" s="28">
        <f t="shared" si="0"/>
        <v>21.89</v>
      </c>
      <c r="M34" s="28">
        <f t="shared" si="0"/>
        <v>36.82</v>
      </c>
      <c r="N34" s="28">
        <f t="shared" si="0"/>
        <v>0</v>
      </c>
      <c r="O34" s="28">
        <f t="shared" si="0"/>
        <v>0</v>
      </c>
      <c r="P34" s="28">
        <f t="shared" si="0"/>
        <v>0.41</v>
      </c>
      <c r="Q34" s="28">
        <f t="shared" si="0"/>
        <v>5.81</v>
      </c>
      <c r="R34" s="28"/>
      <c r="S34" s="28"/>
      <c r="T34" s="28"/>
      <c r="U34" s="28"/>
    </row>
    <row r="35" spans="1:21" s="21" customFormat="1">
      <c r="A35" s="27" t="s">
        <v>31</v>
      </c>
      <c r="B35" s="29">
        <f t="shared" ref="B35:Q35" si="1">MAX(B9:B32)</f>
        <v>32.82</v>
      </c>
      <c r="C35" s="29">
        <f t="shared" si="1"/>
        <v>71.510000000000005</v>
      </c>
      <c r="D35" s="29">
        <f t="shared" si="1"/>
        <v>64.989999999999995</v>
      </c>
      <c r="E35" s="29">
        <f t="shared" si="1"/>
        <v>10.59</v>
      </c>
      <c r="F35" s="29">
        <f t="shared" si="1"/>
        <v>44.71</v>
      </c>
      <c r="G35" s="29">
        <f>MAX(G9:G32)</f>
        <v>47.64</v>
      </c>
      <c r="H35" s="29">
        <f>MAX(H9:H32)</f>
        <v>15.77</v>
      </c>
      <c r="I35" s="29">
        <f t="shared" si="1"/>
        <v>3.81</v>
      </c>
      <c r="J35" s="29">
        <f t="shared" si="1"/>
        <v>2.89</v>
      </c>
      <c r="K35" s="29">
        <f t="shared" si="1"/>
        <v>320.32</v>
      </c>
      <c r="L35" s="29">
        <f t="shared" si="1"/>
        <v>35.85</v>
      </c>
      <c r="M35" s="29">
        <f t="shared" si="1"/>
        <v>79.040000000000006</v>
      </c>
      <c r="N35" s="29">
        <f t="shared" si="1"/>
        <v>766.8</v>
      </c>
      <c r="O35" s="29">
        <f t="shared" si="1"/>
        <v>0</v>
      </c>
      <c r="P35" s="29">
        <f t="shared" si="1"/>
        <v>0.51</v>
      </c>
      <c r="Q35" s="29">
        <f t="shared" si="1"/>
        <v>8.67</v>
      </c>
      <c r="R35" s="29"/>
      <c r="S35" s="29"/>
      <c r="T35" s="29"/>
      <c r="U35" s="29"/>
    </row>
    <row r="36" spans="1:21" s="21" customFormat="1">
      <c r="A36" s="27" t="s">
        <v>32</v>
      </c>
      <c r="B36" s="28">
        <f t="shared" ref="B36:Q36" si="2">AVERAGE(B9:B32)</f>
        <v>18.708749999999995</v>
      </c>
      <c r="C36" s="28">
        <f t="shared" si="2"/>
        <v>60.139166666666675</v>
      </c>
      <c r="D36" s="28">
        <f t="shared" si="2"/>
        <v>47.584583333333342</v>
      </c>
      <c r="E36" s="28">
        <f t="shared" si="2"/>
        <v>8.2600000000000016</v>
      </c>
      <c r="F36" s="28">
        <f t="shared" si="2"/>
        <v>11.947916666666666</v>
      </c>
      <c r="G36" s="28">
        <f t="shared" si="2"/>
        <v>29.272499999999997</v>
      </c>
      <c r="H36" s="28">
        <f>AVERAGE(H9:H32)</f>
        <v>13.127916666666669</v>
      </c>
      <c r="I36" s="28">
        <f t="shared" si="2"/>
        <v>3.5837499999999998</v>
      </c>
      <c r="J36" s="28">
        <f t="shared" si="2"/>
        <v>1.1125</v>
      </c>
      <c r="K36" s="28">
        <f t="shared" si="2"/>
        <v>171.85583333333332</v>
      </c>
      <c r="L36" s="28">
        <f t="shared" si="2"/>
        <v>28.474583333333332</v>
      </c>
      <c r="M36" s="28">
        <f t="shared" si="2"/>
        <v>58.77999999999998</v>
      </c>
      <c r="N36" s="28">
        <f t="shared" si="2"/>
        <v>244.29166666666666</v>
      </c>
      <c r="O36" s="28">
        <f t="shared" si="2"/>
        <v>0</v>
      </c>
      <c r="P36" s="28">
        <f t="shared" si="2"/>
        <v>0.45875000000000005</v>
      </c>
      <c r="Q36" s="28">
        <f t="shared" si="2"/>
        <v>7.3229166666666679</v>
      </c>
      <c r="R36" s="28"/>
      <c r="S36" s="28"/>
      <c r="T36" s="28"/>
      <c r="U36" s="28"/>
    </row>
    <row r="37" spans="1:21" s="21" customFormat="1">
      <c r="A37" s="27" t="s">
        <v>38</v>
      </c>
      <c r="B37" s="28">
        <f>STDEV(B9:B32)</f>
        <v>10.764372520535963</v>
      </c>
      <c r="C37" s="28">
        <f t="shared" ref="C37:Q37" si="3">STDEV(C9:C32)</f>
        <v>9.8465314646354578</v>
      </c>
      <c r="D37" s="28">
        <f t="shared" si="3"/>
        <v>13.362002251409258</v>
      </c>
      <c r="E37" s="28">
        <f t="shared" si="3"/>
        <v>1.1749745603166399</v>
      </c>
      <c r="F37" s="28">
        <f t="shared" si="3"/>
        <v>10.810415661544301</v>
      </c>
      <c r="G37" s="28">
        <f t="shared" si="3"/>
        <v>6.3443232071294862</v>
      </c>
      <c r="H37" s="28">
        <f>STDEV(H9:H32)</f>
        <v>1.9069004651679879</v>
      </c>
      <c r="I37" s="28">
        <f t="shared" si="3"/>
        <v>0.1551944782747102</v>
      </c>
      <c r="J37" s="28">
        <f t="shared" si="3"/>
        <v>0.6920935473336457</v>
      </c>
      <c r="K37" s="28">
        <f t="shared" si="3"/>
        <v>96.833329957095458</v>
      </c>
      <c r="L37" s="28">
        <f t="shared" si="3"/>
        <v>5.1980205088230456</v>
      </c>
      <c r="M37" s="28">
        <f t="shared" si="3"/>
        <v>15.288373815191921</v>
      </c>
      <c r="N37" s="28">
        <f t="shared" si="3"/>
        <v>313.5409340402631</v>
      </c>
      <c r="O37" s="28">
        <f t="shared" si="3"/>
        <v>0</v>
      </c>
      <c r="P37" s="28">
        <f t="shared" si="3"/>
        <v>2.5420378678805984E-2</v>
      </c>
      <c r="Q37" s="28">
        <f t="shared" si="3"/>
        <v>0.94440447840983199</v>
      </c>
      <c r="R37" s="28"/>
      <c r="S37" s="28"/>
      <c r="T37" s="28"/>
      <c r="U37" s="28"/>
    </row>
    <row r="38" spans="1:21" s="21" customFormat="1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>COUNT(F9:F32)</f>
        <v>24</v>
      </c>
      <c r="G38" s="32">
        <f>COUNT(G9:G32)</f>
        <v>24</v>
      </c>
      <c r="H38" s="32">
        <f>COUNT(H9:H32)</f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>
      <c r="A42" s="13"/>
    </row>
    <row r="43" spans="1:21" s="21" customFormat="1">
      <c r="A43" s="14" t="s">
        <v>35</v>
      </c>
      <c r="B43" s="39" t="s">
        <v>58</v>
      </c>
      <c r="C43" s="41"/>
    </row>
    <row r="44" spans="1:21" s="21" customFormat="1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0"/>
      <c r="C45" s="40"/>
      <c r="D45" s="40"/>
      <c r="E45" s="40"/>
      <c r="F45" s="40"/>
      <c r="G45" s="40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</row>
    <row r="46" spans="1:21" s="21" customFormat="1"/>
    <row r="47" spans="1:21" s="21" customFormat="1"/>
    <row r="48" spans="1:21" s="21" customFormat="1"/>
    <row r="49" s="21" customFormat="1"/>
    <row r="50" s="21" customFormat="1"/>
    <row r="51" s="21" customFormat="1"/>
    <row r="52" s="21" customFormat="1"/>
    <row r="53" s="21" customFormat="1"/>
    <row r="54" s="21" customFormat="1"/>
    <row r="55" s="21" customFormat="1"/>
    <row r="56" s="21" customFormat="1"/>
    <row r="57" s="21" customFormat="1"/>
    <row r="58" s="21" customFormat="1"/>
    <row r="59" s="21" customFormat="1"/>
    <row r="60" s="21" customFormat="1"/>
    <row r="61" s="21" customFormat="1"/>
    <row r="62" s="21" customFormat="1"/>
    <row r="63" s="21" customFormat="1"/>
    <row r="64" s="21" customFormat="1"/>
    <row r="65" s="21" customFormat="1"/>
    <row r="66" s="21" customFormat="1"/>
    <row r="67" s="21" customFormat="1"/>
    <row r="68" s="21" customFormat="1"/>
    <row r="69" s="21" customFormat="1"/>
    <row r="70" s="21" customFormat="1"/>
    <row r="71" s="21" customFormat="1"/>
    <row r="72" s="21" customFormat="1"/>
    <row r="73" s="21" customFormat="1"/>
    <row r="74" s="21" customFormat="1"/>
    <row r="75" s="21" customFormat="1"/>
    <row r="76" s="21" customFormat="1"/>
    <row r="77" s="21" customFormat="1"/>
    <row r="78" s="21" customFormat="1"/>
    <row r="79" s="21" customFormat="1"/>
    <row r="80" s="21" customFormat="1"/>
    <row r="81" s="21" customFormat="1"/>
    <row r="82" s="21" customFormat="1"/>
    <row r="83" s="21" customFormat="1"/>
    <row r="84" s="21" customFormat="1"/>
    <row r="85" s="21" customFormat="1"/>
    <row r="86" s="21" customFormat="1"/>
    <row r="87" s="21" customFormat="1"/>
    <row r="88" s="21" customFormat="1"/>
    <row r="89" s="21" customFormat="1"/>
    <row r="90" s="21" customFormat="1"/>
    <row r="91" s="21" customFormat="1"/>
    <row r="92" s="21" customFormat="1"/>
    <row r="93" s="21" customFormat="1"/>
    <row r="94" s="21" customFormat="1"/>
    <row r="95" s="21" customFormat="1"/>
    <row r="96" s="21" customFormat="1"/>
    <row r="97" spans="1:1" s="21" customFormat="1"/>
    <row r="98" spans="1:1" s="21" customFormat="1"/>
    <row r="99" spans="1:1" s="21" customFormat="1"/>
    <row r="100" spans="1:1" s="21" customFormat="1"/>
    <row r="101" spans="1:1" s="21" customFormat="1"/>
    <row r="102" spans="1:1" s="21" customFormat="1"/>
    <row r="103" spans="1:1" s="21" customFormat="1"/>
    <row r="104" spans="1:1" s="21" customFormat="1"/>
    <row r="105" spans="1:1" s="21" customFormat="1"/>
    <row r="106" spans="1:1">
      <c r="A106" s="20"/>
    </row>
    <row r="107" spans="1:1" s="21" customFormat="1"/>
    <row r="108" spans="1:1" s="21" customFormat="1"/>
    <row r="109" spans="1:1" s="21" customFormat="1"/>
    <row r="110" spans="1:1" s="21" customFormat="1"/>
    <row r="111" spans="1:1" s="21" customFormat="1"/>
    <row r="112" spans="1:1" s="21" customFormat="1"/>
    <row r="113" spans="1:1" s="21" customFormat="1"/>
    <row r="114" spans="1:1" s="21" customFormat="1"/>
    <row r="115" spans="1:1" s="21" customFormat="1"/>
    <row r="116" spans="1:1" s="21" customFormat="1"/>
    <row r="117" spans="1:1" s="21" customFormat="1"/>
    <row r="118" spans="1:1">
      <c r="A118" s="20"/>
    </row>
    <row r="119" spans="1:1">
      <c r="A119" s="20"/>
    </row>
  </sheetData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1" ySplit="8" topLeftCell="B30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A9" sqref="A9:Q32"/>
    </sheetView>
  </sheetViews>
  <sheetFormatPr defaultColWidth="8.85546875" defaultRowHeight="1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>
      <c r="A1" s="14" t="s">
        <v>2</v>
      </c>
      <c r="B1" s="23" t="s">
        <v>55</v>
      </c>
      <c r="C1" s="36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>
      <c r="A2" s="14" t="s">
        <v>0</v>
      </c>
      <c r="B2" s="37" t="str">
        <f>$A$9</f>
        <v>26/04/2023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8" t="s">
        <v>7</v>
      </c>
      <c r="Q2" s="12"/>
      <c r="R2" s="8" t="s">
        <v>8</v>
      </c>
      <c r="S2" s="11"/>
      <c r="T2" s="11"/>
      <c r="U2" s="11"/>
    </row>
    <row r="3" spans="1:21" s="21" customFormat="1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8" t="s">
        <v>15</v>
      </c>
      <c r="Q3" s="12"/>
      <c r="R3" s="9" t="s">
        <v>15</v>
      </c>
      <c r="S3" s="11"/>
      <c r="T3" s="11"/>
      <c r="U3" s="11"/>
    </row>
    <row r="4" spans="1:21" s="21" customFormat="1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>
      <c r="A7" s="25" t="s">
        <v>21</v>
      </c>
      <c r="B7" s="48" t="s">
        <v>40</v>
      </c>
      <c r="C7" s="49" t="s">
        <v>41</v>
      </c>
      <c r="D7" s="49" t="s">
        <v>42</v>
      </c>
      <c r="E7" s="49" t="s">
        <v>43</v>
      </c>
      <c r="F7" s="49" t="s">
        <v>44</v>
      </c>
      <c r="G7" s="49" t="s">
        <v>45</v>
      </c>
      <c r="H7" s="49" t="s">
        <v>56</v>
      </c>
      <c r="I7" s="49" t="s">
        <v>46</v>
      </c>
      <c r="J7" s="49" t="s">
        <v>47</v>
      </c>
      <c r="K7" s="49" t="s">
        <v>48</v>
      </c>
      <c r="L7" s="49" t="s">
        <v>49</v>
      </c>
      <c r="M7" s="49" t="s">
        <v>50</v>
      </c>
      <c r="N7" s="49" t="s">
        <v>51</v>
      </c>
      <c r="O7" s="49" t="s">
        <v>52</v>
      </c>
      <c r="P7" s="49" t="s">
        <v>53</v>
      </c>
      <c r="Q7" s="49" t="s">
        <v>54</v>
      </c>
      <c r="R7" s="27"/>
      <c r="S7" s="29"/>
      <c r="T7" s="27"/>
      <c r="U7" s="27"/>
    </row>
    <row r="8" spans="1:21" s="21" customFormat="1">
      <c r="A8" s="25"/>
      <c r="B8" s="50" t="s">
        <v>22</v>
      </c>
      <c r="C8" s="50" t="s">
        <v>22</v>
      </c>
      <c r="D8" s="50" t="s">
        <v>22</v>
      </c>
      <c r="E8" s="50" t="s">
        <v>22</v>
      </c>
      <c r="F8" s="50" t="s">
        <v>22</v>
      </c>
      <c r="G8" s="50" t="s">
        <v>23</v>
      </c>
      <c r="H8" s="50" t="s">
        <v>22</v>
      </c>
      <c r="I8" s="50" t="s">
        <v>22</v>
      </c>
      <c r="J8" s="50" t="s">
        <v>24</v>
      </c>
      <c r="K8" s="50" t="s">
        <v>25</v>
      </c>
      <c r="L8" s="25" t="s">
        <v>27</v>
      </c>
      <c r="M8" s="50" t="s">
        <v>26</v>
      </c>
      <c r="N8" s="50" t="s">
        <v>28</v>
      </c>
      <c r="O8" s="25" t="s">
        <v>29</v>
      </c>
      <c r="P8" s="50" t="s">
        <v>22</v>
      </c>
      <c r="Q8" s="50" t="s">
        <v>22</v>
      </c>
      <c r="R8" s="27"/>
      <c r="S8" s="29"/>
      <c r="T8" s="27"/>
      <c r="U8" s="27"/>
    </row>
    <row r="9" spans="1:21" s="11" customFormat="1">
      <c r="A9" s="55" t="s">
        <v>670</v>
      </c>
      <c r="B9" s="56">
        <v>11.97</v>
      </c>
      <c r="C9" s="56">
        <v>63.06</v>
      </c>
      <c r="D9" s="56">
        <v>43.9</v>
      </c>
      <c r="E9" s="56">
        <v>7.9</v>
      </c>
      <c r="F9" s="56">
        <v>4.7699999999999996</v>
      </c>
      <c r="G9" s="56">
        <v>44.06</v>
      </c>
      <c r="H9" s="56">
        <v>10.95</v>
      </c>
      <c r="I9" s="56">
        <v>3.39</v>
      </c>
      <c r="J9" s="56">
        <v>0.8</v>
      </c>
      <c r="K9" s="56">
        <v>102.49</v>
      </c>
      <c r="L9" s="56">
        <v>23.35</v>
      </c>
      <c r="M9" s="56">
        <v>70.150000000000006</v>
      </c>
      <c r="N9" s="56">
        <v>0</v>
      </c>
      <c r="O9" s="56">
        <v>0</v>
      </c>
      <c r="P9" s="56">
        <v>0.45</v>
      </c>
      <c r="Q9" s="56">
        <v>6.93</v>
      </c>
      <c r="R9" s="42"/>
      <c r="S9" s="42"/>
      <c r="T9" s="42"/>
      <c r="U9" s="42"/>
    </row>
    <row r="10" spans="1:21" s="11" customFormat="1">
      <c r="A10" s="55" t="s">
        <v>671</v>
      </c>
      <c r="B10" s="56">
        <v>10.17</v>
      </c>
      <c r="C10" s="56">
        <v>63.43</v>
      </c>
      <c r="D10" s="56">
        <v>42.32</v>
      </c>
      <c r="E10" s="56">
        <v>7.91</v>
      </c>
      <c r="F10" s="56">
        <v>5.0599999999999996</v>
      </c>
      <c r="G10" s="56">
        <v>32.46</v>
      </c>
      <c r="H10" s="56">
        <v>9.11</v>
      </c>
      <c r="I10" s="56">
        <v>3.29</v>
      </c>
      <c r="J10" s="56">
        <v>0.62</v>
      </c>
      <c r="K10" s="56">
        <v>122.73</v>
      </c>
      <c r="L10" s="56">
        <v>23.53</v>
      </c>
      <c r="M10" s="56">
        <v>67.61</v>
      </c>
      <c r="N10" s="56">
        <v>0</v>
      </c>
      <c r="O10" s="56">
        <v>0</v>
      </c>
      <c r="P10" s="56">
        <v>0.42</v>
      </c>
      <c r="Q10" s="56">
        <v>6.96</v>
      </c>
      <c r="R10" s="42"/>
      <c r="S10" s="42"/>
      <c r="T10" s="42"/>
      <c r="U10" s="42"/>
    </row>
    <row r="11" spans="1:21" s="11" customFormat="1">
      <c r="A11" s="55" t="s">
        <v>672</v>
      </c>
      <c r="B11" s="56">
        <v>10.55</v>
      </c>
      <c r="C11" s="56">
        <v>64.19</v>
      </c>
      <c r="D11" s="56">
        <v>43.35</v>
      </c>
      <c r="E11" s="56">
        <v>6.8</v>
      </c>
      <c r="F11" s="56">
        <v>4.26</v>
      </c>
      <c r="G11" s="56">
        <v>26.94</v>
      </c>
      <c r="H11" s="56">
        <v>6.74</v>
      </c>
      <c r="I11" s="56">
        <v>3.18</v>
      </c>
      <c r="J11" s="56">
        <v>0.34</v>
      </c>
      <c r="K11" s="56">
        <v>176.13</v>
      </c>
      <c r="L11" s="56">
        <v>23.52</v>
      </c>
      <c r="M11" s="56">
        <v>63.11</v>
      </c>
      <c r="N11" s="56">
        <v>0</v>
      </c>
      <c r="O11" s="56">
        <v>0</v>
      </c>
      <c r="P11" s="56">
        <v>0.41</v>
      </c>
      <c r="Q11" s="56">
        <v>7.02</v>
      </c>
      <c r="R11" s="42"/>
      <c r="S11" s="42"/>
      <c r="T11" s="42"/>
      <c r="U11" s="42"/>
    </row>
    <row r="12" spans="1:21" s="11" customFormat="1">
      <c r="A12" s="55" t="s">
        <v>673</v>
      </c>
      <c r="B12" s="56">
        <v>11.23</v>
      </c>
      <c r="C12" s="56">
        <v>64.41</v>
      </c>
      <c r="D12" s="56">
        <v>44.01</v>
      </c>
      <c r="E12" s="56">
        <v>6.38</v>
      </c>
      <c r="F12" s="56">
        <v>4.34</v>
      </c>
      <c r="G12" s="56">
        <v>23.27</v>
      </c>
      <c r="H12" s="56">
        <v>5.07</v>
      </c>
      <c r="I12" s="56">
        <v>3.04</v>
      </c>
      <c r="J12" s="56">
        <v>0.31</v>
      </c>
      <c r="K12" s="56">
        <v>249.38</v>
      </c>
      <c r="L12" s="56">
        <v>23.27</v>
      </c>
      <c r="M12" s="56">
        <v>65.91</v>
      </c>
      <c r="N12" s="56">
        <v>0</v>
      </c>
      <c r="O12" s="56">
        <v>0</v>
      </c>
      <c r="P12" s="56">
        <v>0.39</v>
      </c>
      <c r="Q12" s="56">
        <v>7.04</v>
      </c>
      <c r="R12" s="42"/>
      <c r="S12" s="42"/>
      <c r="T12" s="42"/>
      <c r="U12" s="42"/>
    </row>
    <row r="13" spans="1:21" s="11" customFormat="1">
      <c r="A13" s="55" t="s">
        <v>674</v>
      </c>
      <c r="B13" s="56">
        <v>13.04</v>
      </c>
      <c r="C13" s="56">
        <v>64.930000000000007</v>
      </c>
      <c r="D13" s="56">
        <v>45.73</v>
      </c>
      <c r="E13" s="56">
        <v>6.41</v>
      </c>
      <c r="F13" s="56">
        <v>3.97</v>
      </c>
      <c r="G13" s="56">
        <v>16.64</v>
      </c>
      <c r="H13" s="56">
        <v>7.3</v>
      </c>
      <c r="I13" s="56">
        <v>2.93</v>
      </c>
      <c r="J13" s="56">
        <v>0.27</v>
      </c>
      <c r="K13" s="56">
        <v>340.86</v>
      </c>
      <c r="L13" s="56">
        <v>22.6</v>
      </c>
      <c r="M13" s="56">
        <v>71.92</v>
      </c>
      <c r="N13" s="56">
        <v>0</v>
      </c>
      <c r="O13" s="56">
        <v>0</v>
      </c>
      <c r="P13" s="56">
        <v>0.38</v>
      </c>
      <c r="Q13" s="56">
        <v>7.12</v>
      </c>
      <c r="R13" s="42"/>
      <c r="S13" s="42"/>
      <c r="T13" s="42"/>
      <c r="U13" s="42"/>
    </row>
    <row r="14" spans="1:21" s="11" customFormat="1">
      <c r="A14" s="55" t="s">
        <v>675</v>
      </c>
      <c r="B14" s="56">
        <v>17.66</v>
      </c>
      <c r="C14" s="56">
        <v>66.14</v>
      </c>
      <c r="D14" s="56">
        <v>50.07</v>
      </c>
      <c r="E14" s="56">
        <v>6.21</v>
      </c>
      <c r="F14" s="56">
        <v>3.95</v>
      </c>
      <c r="G14" s="56">
        <v>17.64</v>
      </c>
      <c r="H14" s="56">
        <v>7.36</v>
      </c>
      <c r="I14" s="56">
        <v>2.93</v>
      </c>
      <c r="J14" s="56">
        <v>0.5</v>
      </c>
      <c r="K14" s="56">
        <v>316.42</v>
      </c>
      <c r="L14" s="56">
        <v>22.13</v>
      </c>
      <c r="M14" s="56">
        <v>71.92</v>
      </c>
      <c r="N14" s="56">
        <v>5.8</v>
      </c>
      <c r="O14" s="56">
        <v>0</v>
      </c>
      <c r="P14" s="56">
        <v>0.39</v>
      </c>
      <c r="Q14" s="56">
        <v>7.46</v>
      </c>
      <c r="R14" s="42"/>
      <c r="S14" s="42"/>
      <c r="T14" s="42"/>
      <c r="U14" s="42"/>
    </row>
    <row r="15" spans="1:21" s="11" customFormat="1">
      <c r="A15" s="55" t="s">
        <v>676</v>
      </c>
      <c r="B15" s="56">
        <v>23.77</v>
      </c>
      <c r="C15" s="56">
        <v>67.03</v>
      </c>
      <c r="D15" s="56">
        <v>52.99</v>
      </c>
      <c r="E15" s="56">
        <v>6.26</v>
      </c>
      <c r="F15" s="56">
        <v>4.2699999999999996</v>
      </c>
      <c r="G15" s="56">
        <v>44.31</v>
      </c>
      <c r="H15" s="56">
        <v>15.77</v>
      </c>
      <c r="I15" s="56">
        <v>3.49</v>
      </c>
      <c r="J15" s="56">
        <v>0.45</v>
      </c>
      <c r="K15" s="56">
        <v>349.31</v>
      </c>
      <c r="L15" s="56">
        <v>23.46</v>
      </c>
      <c r="M15" s="56">
        <v>72.41</v>
      </c>
      <c r="N15" s="56">
        <v>51.1</v>
      </c>
      <c r="O15" s="56">
        <v>0</v>
      </c>
      <c r="P15" s="56">
        <v>0.42</v>
      </c>
      <c r="Q15" s="56">
        <v>7.76</v>
      </c>
      <c r="R15" s="42"/>
      <c r="S15" s="42"/>
      <c r="T15" s="42"/>
      <c r="U15" s="42"/>
    </row>
    <row r="16" spans="1:21" s="11" customFormat="1">
      <c r="A16" s="55" t="s">
        <v>677</v>
      </c>
      <c r="B16" s="56">
        <v>24.8</v>
      </c>
      <c r="C16" s="56">
        <v>65.37</v>
      </c>
      <c r="D16" s="56">
        <v>55.4</v>
      </c>
      <c r="E16" s="56">
        <v>6.41</v>
      </c>
      <c r="F16" s="56">
        <v>3.87</v>
      </c>
      <c r="G16" s="56">
        <v>45.55</v>
      </c>
      <c r="H16" s="56">
        <v>15.77</v>
      </c>
      <c r="I16" s="56">
        <v>3.76</v>
      </c>
      <c r="J16" s="56">
        <v>0.36</v>
      </c>
      <c r="K16" s="56">
        <v>220.9</v>
      </c>
      <c r="L16" s="56">
        <v>26.37</v>
      </c>
      <c r="M16" s="56">
        <v>66.17</v>
      </c>
      <c r="N16" s="56">
        <v>86.6</v>
      </c>
      <c r="O16" s="56">
        <v>0</v>
      </c>
      <c r="P16" s="56">
        <v>0.42</v>
      </c>
      <c r="Q16" s="56">
        <v>7.77</v>
      </c>
      <c r="R16" s="42"/>
      <c r="S16" s="42"/>
      <c r="T16" s="42"/>
      <c r="U16" s="42"/>
    </row>
    <row r="17" spans="1:21" s="11" customFormat="1">
      <c r="A17" s="55" t="s">
        <v>678</v>
      </c>
      <c r="B17" s="56">
        <v>24.35</v>
      </c>
      <c r="C17" s="56">
        <v>65.64</v>
      </c>
      <c r="D17" s="56">
        <v>55.17</v>
      </c>
      <c r="E17" s="56">
        <v>6.58</v>
      </c>
      <c r="F17" s="56">
        <v>4.01</v>
      </c>
      <c r="G17" s="56">
        <v>38.229999999999997</v>
      </c>
      <c r="H17" s="56">
        <v>13.93</v>
      </c>
      <c r="I17" s="56">
        <v>3.77</v>
      </c>
      <c r="J17" s="56">
        <v>0.6</v>
      </c>
      <c r="K17" s="56">
        <v>280.14</v>
      </c>
      <c r="L17" s="56">
        <v>28.36</v>
      </c>
      <c r="M17" s="56">
        <v>57.43</v>
      </c>
      <c r="N17" s="56">
        <v>421.4</v>
      </c>
      <c r="O17" s="56">
        <v>0</v>
      </c>
      <c r="P17" s="56">
        <v>0.43</v>
      </c>
      <c r="Q17" s="56">
        <v>7.79</v>
      </c>
      <c r="R17" s="42"/>
      <c r="S17" s="42"/>
      <c r="T17" s="42"/>
      <c r="U17" s="42"/>
    </row>
    <row r="18" spans="1:21" s="11" customFormat="1">
      <c r="A18" s="55" t="s">
        <v>679</v>
      </c>
      <c r="B18" s="56">
        <v>22.04</v>
      </c>
      <c r="C18" s="56">
        <v>61.02</v>
      </c>
      <c r="D18" s="56">
        <v>50.12</v>
      </c>
      <c r="E18" s="56">
        <v>6.52</v>
      </c>
      <c r="F18" s="56">
        <v>7.63</v>
      </c>
      <c r="G18" s="56">
        <v>35.840000000000003</v>
      </c>
      <c r="H18" s="56">
        <v>13.93</v>
      </c>
      <c r="I18" s="56">
        <v>3.77</v>
      </c>
      <c r="J18" s="56">
        <v>0.46</v>
      </c>
      <c r="K18" s="56">
        <v>206.91</v>
      </c>
      <c r="L18" s="56">
        <v>31.36</v>
      </c>
      <c r="M18" s="56">
        <v>51.35</v>
      </c>
      <c r="N18" s="56">
        <v>435.3</v>
      </c>
      <c r="O18" s="56">
        <v>0</v>
      </c>
      <c r="P18" s="56">
        <v>0.43</v>
      </c>
      <c r="Q18" s="56">
        <v>7.32</v>
      </c>
      <c r="R18" s="42"/>
      <c r="S18" s="42"/>
      <c r="T18" s="42"/>
      <c r="U18" s="42"/>
    </row>
    <row r="19" spans="1:21" s="11" customFormat="1">
      <c r="A19" s="55" t="s">
        <v>680</v>
      </c>
      <c r="B19" s="56">
        <v>18.420000000000002</v>
      </c>
      <c r="C19" s="56">
        <v>57.9</v>
      </c>
      <c r="D19" s="56">
        <v>44.88</v>
      </c>
      <c r="E19" s="56">
        <v>8.27</v>
      </c>
      <c r="F19" s="56">
        <v>7.69</v>
      </c>
      <c r="G19" s="56">
        <v>29.55</v>
      </c>
      <c r="H19" s="56">
        <v>12.68</v>
      </c>
      <c r="I19" s="56">
        <v>3.94</v>
      </c>
      <c r="J19" s="56">
        <v>1</v>
      </c>
      <c r="K19" s="56">
        <v>279.25</v>
      </c>
      <c r="L19" s="56">
        <v>32.6</v>
      </c>
      <c r="M19" s="56">
        <v>41.8</v>
      </c>
      <c r="N19" s="56">
        <v>815.2</v>
      </c>
      <c r="O19" s="56">
        <v>0</v>
      </c>
      <c r="P19" s="56">
        <v>0.46</v>
      </c>
      <c r="Q19" s="56">
        <v>7.03</v>
      </c>
      <c r="R19" s="42"/>
      <c r="S19" s="42"/>
      <c r="T19" s="42"/>
      <c r="U19" s="42"/>
    </row>
    <row r="20" spans="1:21" s="11" customFormat="1">
      <c r="A20" s="55" t="s">
        <v>681</v>
      </c>
      <c r="B20" s="56">
        <v>14.29</v>
      </c>
      <c r="C20" s="56">
        <v>55.23</v>
      </c>
      <c r="D20" s="56">
        <v>40.28</v>
      </c>
      <c r="E20" s="56">
        <v>8.42</v>
      </c>
      <c r="F20" s="56">
        <v>8.9600000000000009</v>
      </c>
      <c r="G20" s="56">
        <v>31.54</v>
      </c>
      <c r="H20" s="56">
        <v>14.02</v>
      </c>
      <c r="I20" s="56">
        <v>4.21</v>
      </c>
      <c r="J20" s="56">
        <v>1.68</v>
      </c>
      <c r="K20" s="56">
        <v>289.44</v>
      </c>
      <c r="L20" s="56">
        <v>33.96</v>
      </c>
      <c r="M20" s="56">
        <v>39.630000000000003</v>
      </c>
      <c r="N20" s="56">
        <v>887.7</v>
      </c>
      <c r="O20" s="56">
        <v>0</v>
      </c>
      <c r="P20" s="56">
        <v>0.5</v>
      </c>
      <c r="Q20" s="56">
        <v>6.83</v>
      </c>
      <c r="R20" s="42"/>
      <c r="S20" s="42"/>
      <c r="T20" s="42"/>
      <c r="U20" s="42"/>
    </row>
    <row r="21" spans="1:21" s="11" customFormat="1">
      <c r="A21" s="55" t="s">
        <v>682</v>
      </c>
      <c r="B21" s="56">
        <v>9.34</v>
      </c>
      <c r="C21" s="56">
        <v>57.91</v>
      </c>
      <c r="D21" s="56">
        <v>38.97</v>
      </c>
      <c r="E21" s="56">
        <v>8.06</v>
      </c>
      <c r="F21" s="56">
        <v>9.61</v>
      </c>
      <c r="G21" s="56">
        <v>31.64</v>
      </c>
      <c r="H21" s="56">
        <v>14.02</v>
      </c>
      <c r="I21" s="56">
        <v>4.6399999999999997</v>
      </c>
      <c r="J21" s="56">
        <v>1.18</v>
      </c>
      <c r="K21" s="56">
        <v>276.52</v>
      </c>
      <c r="L21" s="56">
        <v>35.18</v>
      </c>
      <c r="M21" s="56">
        <v>34.85</v>
      </c>
      <c r="N21" s="56">
        <v>882.9</v>
      </c>
      <c r="O21" s="56">
        <v>0</v>
      </c>
      <c r="P21" s="56">
        <v>0.55000000000000004</v>
      </c>
      <c r="Q21" s="56">
        <v>6.64</v>
      </c>
      <c r="R21" s="42"/>
      <c r="S21" s="42"/>
      <c r="T21" s="42"/>
      <c r="U21" s="42"/>
    </row>
    <row r="22" spans="1:21" s="11" customFormat="1">
      <c r="A22" s="55" t="s">
        <v>683</v>
      </c>
      <c r="B22" s="56">
        <v>6.09</v>
      </c>
      <c r="C22" s="56">
        <v>60.29</v>
      </c>
      <c r="D22" s="56">
        <v>37.590000000000003</v>
      </c>
      <c r="E22" s="56">
        <v>7.69</v>
      </c>
      <c r="F22" s="56">
        <v>10.77</v>
      </c>
      <c r="G22" s="56">
        <v>31.54</v>
      </c>
      <c r="H22" s="56">
        <v>10.73</v>
      </c>
      <c r="I22" s="56">
        <v>4.99</v>
      </c>
      <c r="J22" s="56">
        <v>1.26</v>
      </c>
      <c r="K22" s="56">
        <v>299.39999999999998</v>
      </c>
      <c r="L22" s="56">
        <v>36.31</v>
      </c>
      <c r="M22" s="56">
        <v>30.23</v>
      </c>
      <c r="N22" s="56">
        <v>854.5</v>
      </c>
      <c r="O22" s="56">
        <v>0</v>
      </c>
      <c r="P22" s="56">
        <v>0.56000000000000005</v>
      </c>
      <c r="Q22" s="56">
        <v>6.54</v>
      </c>
      <c r="R22" s="42"/>
      <c r="S22" s="42"/>
      <c r="T22" s="42"/>
      <c r="U22" s="42"/>
    </row>
    <row r="23" spans="1:21" s="11" customFormat="1">
      <c r="A23" s="55" t="s">
        <v>684</v>
      </c>
      <c r="B23" s="56">
        <v>6.43</v>
      </c>
      <c r="C23" s="56">
        <v>63.72</v>
      </c>
      <c r="D23" s="56">
        <v>39.799999999999997</v>
      </c>
      <c r="E23" s="56">
        <v>7.54</v>
      </c>
      <c r="F23" s="56">
        <v>8.99</v>
      </c>
      <c r="G23" s="56">
        <v>27.96</v>
      </c>
      <c r="H23" s="56">
        <v>9.35</v>
      </c>
      <c r="I23" s="56">
        <v>4.9800000000000004</v>
      </c>
      <c r="J23" s="56">
        <v>1.1100000000000001</v>
      </c>
      <c r="K23" s="56">
        <v>305.62</v>
      </c>
      <c r="L23" s="56">
        <v>36.46</v>
      </c>
      <c r="M23" s="56">
        <v>30.05</v>
      </c>
      <c r="N23" s="56">
        <v>678.3</v>
      </c>
      <c r="O23" s="56">
        <v>0</v>
      </c>
      <c r="P23" s="56">
        <v>0.56000000000000005</v>
      </c>
      <c r="Q23" s="56">
        <v>6.47</v>
      </c>
      <c r="R23" s="42"/>
      <c r="S23" s="42"/>
      <c r="T23" s="42"/>
      <c r="U23" s="42"/>
    </row>
    <row r="24" spans="1:21" s="11" customFormat="1">
      <c r="A24" s="55" t="s">
        <v>685</v>
      </c>
      <c r="B24" s="56">
        <v>6.52</v>
      </c>
      <c r="C24" s="56">
        <v>61.38</v>
      </c>
      <c r="D24" s="56">
        <v>38.65</v>
      </c>
      <c r="E24" s="56">
        <v>7.25</v>
      </c>
      <c r="F24" s="56">
        <v>13.26</v>
      </c>
      <c r="G24" s="56">
        <v>28.3</v>
      </c>
      <c r="H24" s="56">
        <v>11.22</v>
      </c>
      <c r="I24" s="56">
        <v>4.8600000000000003</v>
      </c>
      <c r="J24" s="56">
        <v>0.94</v>
      </c>
      <c r="K24" s="56">
        <v>292.2</v>
      </c>
      <c r="L24" s="56">
        <v>36.159999999999997</v>
      </c>
      <c r="M24" s="56">
        <v>28.83</v>
      </c>
      <c r="N24" s="56">
        <v>535.4</v>
      </c>
      <c r="O24" s="56">
        <v>0</v>
      </c>
      <c r="P24" s="56">
        <v>0.55000000000000004</v>
      </c>
      <c r="Q24" s="56">
        <v>6.57</v>
      </c>
      <c r="R24" s="42"/>
      <c r="S24" s="42"/>
      <c r="T24" s="42"/>
      <c r="U24" s="42"/>
    </row>
    <row r="25" spans="1:21" s="11" customFormat="1">
      <c r="A25" s="55" t="s">
        <v>686</v>
      </c>
      <c r="B25" s="56">
        <v>6.82</v>
      </c>
      <c r="C25" s="56">
        <v>54.92</v>
      </c>
      <c r="D25" s="56">
        <v>35.369999999999997</v>
      </c>
      <c r="E25" s="56">
        <v>7.75</v>
      </c>
      <c r="F25" s="56">
        <v>27.73</v>
      </c>
      <c r="G25" s="56">
        <v>29.53</v>
      </c>
      <c r="H25" s="56">
        <v>11.22</v>
      </c>
      <c r="I25" s="56">
        <v>4.62</v>
      </c>
      <c r="J25" s="56">
        <v>0.62</v>
      </c>
      <c r="K25" s="56">
        <v>262.52999999999997</v>
      </c>
      <c r="L25" s="56">
        <v>35.99</v>
      </c>
      <c r="M25" s="56">
        <v>29.1</v>
      </c>
      <c r="N25" s="56">
        <v>362</v>
      </c>
      <c r="O25" s="56">
        <v>0</v>
      </c>
      <c r="P25" s="56">
        <v>0.51</v>
      </c>
      <c r="Q25" s="56">
        <v>6.43</v>
      </c>
      <c r="R25" s="42"/>
      <c r="S25" s="42"/>
      <c r="T25" s="42"/>
      <c r="U25" s="42"/>
    </row>
    <row r="26" spans="1:21" s="11" customFormat="1">
      <c r="A26" s="55" t="s">
        <v>687</v>
      </c>
      <c r="B26" s="56">
        <v>7.01</v>
      </c>
      <c r="C26" s="56">
        <v>43.62</v>
      </c>
      <c r="D26" s="56">
        <v>29.76</v>
      </c>
      <c r="E26" s="56">
        <v>7.95</v>
      </c>
      <c r="F26" s="56">
        <v>36.76</v>
      </c>
      <c r="G26" s="56">
        <v>29.58</v>
      </c>
      <c r="H26" s="56">
        <v>8.99</v>
      </c>
      <c r="I26" s="56">
        <v>4.2699999999999996</v>
      </c>
      <c r="J26" s="56">
        <v>0.65</v>
      </c>
      <c r="K26" s="56">
        <v>250.59</v>
      </c>
      <c r="L26" s="56">
        <v>35</v>
      </c>
      <c r="M26" s="56">
        <v>33.57</v>
      </c>
      <c r="N26" s="56">
        <v>137.19999999999999</v>
      </c>
      <c r="O26" s="56">
        <v>0</v>
      </c>
      <c r="P26" s="56">
        <v>0.47</v>
      </c>
      <c r="Q26" s="56">
        <v>6.01</v>
      </c>
      <c r="R26" s="42"/>
      <c r="S26" s="42"/>
      <c r="T26" s="42"/>
      <c r="U26" s="42"/>
    </row>
    <row r="27" spans="1:21" s="11" customFormat="1">
      <c r="A27" s="55" t="s">
        <v>688</v>
      </c>
      <c r="B27" s="56">
        <v>7.66</v>
      </c>
      <c r="C27" s="56">
        <v>55</v>
      </c>
      <c r="D27" s="56">
        <v>36.229999999999997</v>
      </c>
      <c r="E27" s="56">
        <v>8.8000000000000007</v>
      </c>
      <c r="F27" s="56">
        <v>36.020000000000003</v>
      </c>
      <c r="G27" s="56">
        <v>24.86</v>
      </c>
      <c r="H27" s="56">
        <v>9.16</v>
      </c>
      <c r="I27" s="56">
        <v>3.44</v>
      </c>
      <c r="J27" s="56">
        <v>0.23</v>
      </c>
      <c r="K27" s="56">
        <v>159.05000000000001</v>
      </c>
      <c r="L27" s="56">
        <v>33.1</v>
      </c>
      <c r="M27" s="56">
        <v>39.979999999999997</v>
      </c>
      <c r="N27" s="56">
        <v>2</v>
      </c>
      <c r="O27" s="56">
        <v>0</v>
      </c>
      <c r="P27" s="56">
        <v>0.45</v>
      </c>
      <c r="Q27" s="56">
        <v>6.33</v>
      </c>
      <c r="R27" s="42"/>
      <c r="S27" s="42"/>
      <c r="T27" s="42"/>
      <c r="U27" s="42"/>
    </row>
    <row r="28" spans="1:21" s="11" customFormat="1">
      <c r="A28" s="55" t="s">
        <v>689</v>
      </c>
      <c r="B28" s="56">
        <v>8.99</v>
      </c>
      <c r="C28" s="56">
        <v>57.41</v>
      </c>
      <c r="D28" s="56">
        <v>38.549999999999997</v>
      </c>
      <c r="E28" s="56">
        <v>8.7799999999999994</v>
      </c>
      <c r="F28" s="56">
        <v>27.26</v>
      </c>
      <c r="G28" s="56">
        <v>24.94</v>
      </c>
      <c r="H28" s="56">
        <v>9.16</v>
      </c>
      <c r="I28" s="56">
        <v>4.04</v>
      </c>
      <c r="J28" s="56">
        <v>0.19</v>
      </c>
      <c r="K28" s="56">
        <v>199.7</v>
      </c>
      <c r="L28" s="56">
        <v>30.67</v>
      </c>
      <c r="M28" s="56">
        <v>45.55</v>
      </c>
      <c r="N28" s="56">
        <v>0</v>
      </c>
      <c r="O28" s="56">
        <v>0</v>
      </c>
      <c r="P28" s="56">
        <v>0.46</v>
      </c>
      <c r="Q28" s="56">
        <v>6.51</v>
      </c>
      <c r="R28" s="42"/>
      <c r="S28" s="42"/>
      <c r="T28" s="42"/>
      <c r="U28" s="42"/>
    </row>
    <row r="29" spans="1:21" s="11" customFormat="1">
      <c r="A29" s="55" t="s">
        <v>690</v>
      </c>
      <c r="B29" s="56">
        <v>12.75</v>
      </c>
      <c r="C29" s="56">
        <v>62.1</v>
      </c>
      <c r="D29" s="56">
        <v>43.96</v>
      </c>
      <c r="E29" s="56">
        <v>9.23</v>
      </c>
      <c r="F29" s="56">
        <v>8.76</v>
      </c>
      <c r="G29" s="56">
        <v>23.37</v>
      </c>
      <c r="H29" s="56">
        <v>7.66</v>
      </c>
      <c r="I29" s="56">
        <v>4.55</v>
      </c>
      <c r="J29" s="56">
        <v>0.23</v>
      </c>
      <c r="K29" s="56">
        <v>172.82</v>
      </c>
      <c r="L29" s="56">
        <v>29.32</v>
      </c>
      <c r="M29" s="56">
        <v>54.99</v>
      </c>
      <c r="N29" s="56">
        <v>0</v>
      </c>
      <c r="O29" s="56">
        <v>0</v>
      </c>
      <c r="P29" s="56">
        <v>0.54</v>
      </c>
      <c r="Q29" s="56">
        <v>6.87</v>
      </c>
      <c r="R29" s="42"/>
      <c r="S29" s="42"/>
      <c r="T29" s="42"/>
      <c r="U29" s="42"/>
    </row>
    <row r="30" spans="1:21" s="11" customFormat="1">
      <c r="A30" s="55" t="s">
        <v>691</v>
      </c>
      <c r="B30" s="56">
        <v>16.79</v>
      </c>
      <c r="C30" s="56">
        <v>63.17</v>
      </c>
      <c r="D30" s="56">
        <v>47.82</v>
      </c>
      <c r="E30" s="56">
        <v>9.14</v>
      </c>
      <c r="F30" s="56">
        <v>6.11</v>
      </c>
      <c r="G30" s="56">
        <v>30.04</v>
      </c>
      <c r="H30" s="56">
        <v>11.75</v>
      </c>
      <c r="I30" s="56">
        <v>5.0599999999999996</v>
      </c>
      <c r="J30" s="56">
        <v>0.18</v>
      </c>
      <c r="K30" s="56">
        <v>215.81</v>
      </c>
      <c r="L30" s="56">
        <v>28.61</v>
      </c>
      <c r="M30" s="56">
        <v>56.57</v>
      </c>
      <c r="N30" s="56">
        <v>0</v>
      </c>
      <c r="O30" s="56">
        <v>0</v>
      </c>
      <c r="P30" s="56">
        <v>0.56000000000000005</v>
      </c>
      <c r="Q30" s="56">
        <v>7.25</v>
      </c>
      <c r="R30" s="42"/>
      <c r="S30" s="42"/>
      <c r="T30" s="42"/>
      <c r="U30" s="42"/>
    </row>
    <row r="31" spans="1:21" s="11" customFormat="1">
      <c r="A31" s="55" t="s">
        <v>692</v>
      </c>
      <c r="B31" s="56">
        <v>18.899999999999999</v>
      </c>
      <c r="C31" s="56">
        <v>63.46</v>
      </c>
      <c r="D31" s="56">
        <v>49.67</v>
      </c>
      <c r="E31" s="56">
        <v>8.74</v>
      </c>
      <c r="F31" s="56">
        <v>3.88</v>
      </c>
      <c r="G31" s="56">
        <v>34.61</v>
      </c>
      <c r="H31" s="56">
        <v>13.77</v>
      </c>
      <c r="I31" s="56">
        <v>5.55</v>
      </c>
      <c r="J31" s="56">
        <v>0.2</v>
      </c>
      <c r="K31" s="56">
        <v>175.21</v>
      </c>
      <c r="L31" s="56">
        <v>27.61</v>
      </c>
      <c r="M31" s="56">
        <v>59.38</v>
      </c>
      <c r="N31" s="56">
        <v>0</v>
      </c>
      <c r="O31" s="56">
        <v>0</v>
      </c>
      <c r="P31" s="56">
        <v>0.61</v>
      </c>
      <c r="Q31" s="56">
        <v>7.43</v>
      </c>
      <c r="R31" s="42"/>
      <c r="S31" s="42"/>
      <c r="T31" s="42"/>
      <c r="U31" s="42"/>
    </row>
    <row r="32" spans="1:21" s="11" customFormat="1">
      <c r="A32" s="55" t="s">
        <v>693</v>
      </c>
      <c r="B32" s="56">
        <v>19.16</v>
      </c>
      <c r="C32" s="56">
        <v>63.45</v>
      </c>
      <c r="D32" s="56">
        <v>49.77</v>
      </c>
      <c r="E32" s="56">
        <v>8.69</v>
      </c>
      <c r="F32" s="56">
        <v>4.25</v>
      </c>
      <c r="G32" s="56">
        <v>34.81</v>
      </c>
      <c r="H32" s="56">
        <v>14.27</v>
      </c>
      <c r="I32" s="56">
        <v>5.72</v>
      </c>
      <c r="J32" s="56">
        <v>0.59</v>
      </c>
      <c r="K32" s="56">
        <v>232.77</v>
      </c>
      <c r="L32" s="56">
        <v>28.39</v>
      </c>
      <c r="M32" s="56">
        <v>54.93</v>
      </c>
      <c r="N32" s="56">
        <v>0</v>
      </c>
      <c r="O32" s="56">
        <v>0</v>
      </c>
      <c r="P32" s="56">
        <v>0.61</v>
      </c>
      <c r="Q32" s="56">
        <v>7.43</v>
      </c>
      <c r="R32" s="42"/>
      <c r="S32" s="42"/>
      <c r="T32" s="42"/>
      <c r="U32" s="42"/>
    </row>
    <row r="33" spans="1:21" s="21" customFormat="1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>
      <c r="A34" s="27" t="s">
        <v>30</v>
      </c>
      <c r="B34" s="28">
        <f t="shared" ref="B34:Q34" si="0">MIN(B9:B32)</f>
        <v>6.09</v>
      </c>
      <c r="C34" s="28">
        <f t="shared" si="0"/>
        <v>43.62</v>
      </c>
      <c r="D34" s="28">
        <f t="shared" si="0"/>
        <v>29.76</v>
      </c>
      <c r="E34" s="28">
        <f t="shared" si="0"/>
        <v>6.21</v>
      </c>
      <c r="F34" s="28">
        <f t="shared" si="0"/>
        <v>3.87</v>
      </c>
      <c r="G34" s="28">
        <f t="shared" si="0"/>
        <v>16.64</v>
      </c>
      <c r="H34" s="28">
        <f>MIN(H9:H32)</f>
        <v>5.07</v>
      </c>
      <c r="I34" s="28">
        <f t="shared" si="0"/>
        <v>2.93</v>
      </c>
      <c r="J34" s="28">
        <f t="shared" si="0"/>
        <v>0.18</v>
      </c>
      <c r="K34" s="28">
        <f t="shared" si="0"/>
        <v>102.49</v>
      </c>
      <c r="L34" s="28">
        <f t="shared" si="0"/>
        <v>22.13</v>
      </c>
      <c r="M34" s="28">
        <f t="shared" si="0"/>
        <v>28.83</v>
      </c>
      <c r="N34" s="28">
        <f t="shared" si="0"/>
        <v>0</v>
      </c>
      <c r="O34" s="28">
        <f t="shared" si="0"/>
        <v>0</v>
      </c>
      <c r="P34" s="28">
        <f t="shared" si="0"/>
        <v>0.38</v>
      </c>
      <c r="Q34" s="28">
        <f t="shared" si="0"/>
        <v>6.01</v>
      </c>
      <c r="R34" s="28"/>
      <c r="S34" s="28"/>
      <c r="T34" s="28"/>
      <c r="U34" s="28"/>
    </row>
    <row r="35" spans="1:21" s="21" customFormat="1">
      <c r="A35" s="27" t="s">
        <v>31</v>
      </c>
      <c r="B35" s="29">
        <f t="shared" ref="B35:Q35" si="1">MAX(B9:B32)</f>
        <v>24.8</v>
      </c>
      <c r="C35" s="29">
        <f t="shared" si="1"/>
        <v>67.03</v>
      </c>
      <c r="D35" s="29">
        <f t="shared" si="1"/>
        <v>55.4</v>
      </c>
      <c r="E35" s="29">
        <f t="shared" si="1"/>
        <v>9.23</v>
      </c>
      <c r="F35" s="29">
        <f t="shared" si="1"/>
        <v>36.76</v>
      </c>
      <c r="G35" s="29">
        <f>MAX(G9:G32)</f>
        <v>45.55</v>
      </c>
      <c r="H35" s="29">
        <f>MAX(H9:H32)</f>
        <v>15.77</v>
      </c>
      <c r="I35" s="29">
        <f t="shared" si="1"/>
        <v>5.72</v>
      </c>
      <c r="J35" s="29">
        <f t="shared" si="1"/>
        <v>1.68</v>
      </c>
      <c r="K35" s="29">
        <f t="shared" si="1"/>
        <v>349.31</v>
      </c>
      <c r="L35" s="29">
        <f t="shared" si="1"/>
        <v>36.46</v>
      </c>
      <c r="M35" s="29">
        <f t="shared" si="1"/>
        <v>72.41</v>
      </c>
      <c r="N35" s="29">
        <f t="shared" si="1"/>
        <v>887.7</v>
      </c>
      <c r="O35" s="29">
        <f t="shared" si="1"/>
        <v>0</v>
      </c>
      <c r="P35" s="29">
        <f t="shared" si="1"/>
        <v>0.61</v>
      </c>
      <c r="Q35" s="29">
        <f t="shared" si="1"/>
        <v>7.79</v>
      </c>
      <c r="R35" s="29"/>
      <c r="S35" s="29"/>
      <c r="T35" s="29"/>
      <c r="U35" s="29"/>
    </row>
    <row r="36" spans="1:21" s="21" customFormat="1">
      <c r="A36" s="27" t="s">
        <v>32</v>
      </c>
      <c r="B36" s="28">
        <f t="shared" ref="B36:Q36" si="2">AVERAGE(B9:B32)</f>
        <v>13.697916666666666</v>
      </c>
      <c r="C36" s="28">
        <f t="shared" si="2"/>
        <v>61.032499999999999</v>
      </c>
      <c r="D36" s="28">
        <f t="shared" si="2"/>
        <v>43.931666666666672</v>
      </c>
      <c r="E36" s="28">
        <f t="shared" si="2"/>
        <v>7.6537499999999996</v>
      </c>
      <c r="F36" s="28">
        <f t="shared" si="2"/>
        <v>10.674166666666665</v>
      </c>
      <c r="G36" s="28">
        <f t="shared" si="2"/>
        <v>30.717083333333346</v>
      </c>
      <c r="H36" s="28">
        <f>AVERAGE(H9:H32)</f>
        <v>10.997083333333334</v>
      </c>
      <c r="I36" s="28">
        <f t="shared" si="2"/>
        <v>4.1008333333333331</v>
      </c>
      <c r="J36" s="28">
        <f t="shared" si="2"/>
        <v>0.61541666666666661</v>
      </c>
      <c r="K36" s="28">
        <f t="shared" si="2"/>
        <v>240.67416666666668</v>
      </c>
      <c r="L36" s="28">
        <f t="shared" si="2"/>
        <v>29.471250000000001</v>
      </c>
      <c r="M36" s="28">
        <f t="shared" si="2"/>
        <v>51.56</v>
      </c>
      <c r="N36" s="28">
        <f t="shared" si="2"/>
        <v>256.47499999999997</v>
      </c>
      <c r="O36" s="28">
        <f t="shared" si="2"/>
        <v>0</v>
      </c>
      <c r="P36" s="28">
        <f t="shared" si="2"/>
        <v>0.48041666666666666</v>
      </c>
      <c r="Q36" s="28">
        <f t="shared" si="2"/>
        <v>6.979583333333335</v>
      </c>
      <c r="R36" s="28"/>
      <c r="S36" s="28"/>
      <c r="T36" s="28"/>
      <c r="U36" s="28"/>
    </row>
    <row r="37" spans="1:21" s="21" customFormat="1">
      <c r="A37" s="27" t="s">
        <v>38</v>
      </c>
      <c r="B37" s="28">
        <f>STDEV(B9:B32)</f>
        <v>6.1756858300122808</v>
      </c>
      <c r="C37" s="28">
        <f t="shared" ref="C37:Q37" si="3">STDEV(C9:C32)</f>
        <v>5.1801017700259653</v>
      </c>
      <c r="D37" s="28">
        <f t="shared" si="3"/>
        <v>6.5627874954278704</v>
      </c>
      <c r="E37" s="28">
        <f t="shared" si="3"/>
        <v>0.99940335461584051</v>
      </c>
      <c r="F37" s="28">
        <f t="shared" si="3"/>
        <v>10.219540922500714</v>
      </c>
      <c r="G37" s="28">
        <f t="shared" si="3"/>
        <v>7.4634794771471249</v>
      </c>
      <c r="H37" s="28">
        <f>STDEV(H9:H32)</f>
        <v>3.0313771861857624</v>
      </c>
      <c r="I37" s="28">
        <f t="shared" si="3"/>
        <v>0.82452577499019519</v>
      </c>
      <c r="J37" s="28">
        <f t="shared" si="3"/>
        <v>0.39893313340400327</v>
      </c>
      <c r="K37" s="28">
        <f t="shared" si="3"/>
        <v>66.552677397987409</v>
      </c>
      <c r="L37" s="28">
        <f t="shared" si="3"/>
        <v>5.0829915126223764</v>
      </c>
      <c r="M37" s="28">
        <f t="shared" si="3"/>
        <v>15.482165616408853</v>
      </c>
      <c r="N37" s="28">
        <f t="shared" si="3"/>
        <v>339.90811578118144</v>
      </c>
      <c r="O37" s="28">
        <f t="shared" si="3"/>
        <v>0</v>
      </c>
      <c r="P37" s="28">
        <f t="shared" si="3"/>
        <v>7.1413015904523133E-2</v>
      </c>
      <c r="Q37" s="28">
        <f t="shared" si="3"/>
        <v>0.48461081800503786</v>
      </c>
      <c r="R37" s="28"/>
      <c r="S37" s="28"/>
      <c r="T37" s="28"/>
      <c r="U37" s="28"/>
    </row>
    <row r="38" spans="1:21" s="21" customFormat="1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>COUNT(F9:F32)</f>
        <v>24</v>
      </c>
      <c r="G38" s="32">
        <f>COUNT(G9:G32)</f>
        <v>24</v>
      </c>
      <c r="H38" s="32">
        <f>COUNT(H9:H32)</f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>
      <c r="A42" s="13"/>
    </row>
    <row r="43" spans="1:21" s="21" customFormat="1">
      <c r="A43" s="14" t="s">
        <v>35</v>
      </c>
      <c r="B43" s="39" t="s">
        <v>58</v>
      </c>
      <c r="C43" s="41"/>
    </row>
    <row r="44" spans="1:21" s="21" customFormat="1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0"/>
      <c r="C45" s="40"/>
      <c r="D45" s="40"/>
      <c r="E45" s="40"/>
      <c r="F45" s="40"/>
      <c r="G45" s="40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</row>
    <row r="46" spans="1:21" s="21" customFormat="1"/>
    <row r="47" spans="1:21" s="21" customFormat="1"/>
    <row r="48" spans="1:21" s="21" customFormat="1"/>
    <row r="49" s="21" customFormat="1"/>
    <row r="50" s="21" customFormat="1"/>
    <row r="51" s="21" customFormat="1"/>
    <row r="52" s="21" customFormat="1"/>
    <row r="53" s="21" customFormat="1"/>
    <row r="54" s="21" customFormat="1"/>
    <row r="55" s="21" customFormat="1"/>
    <row r="56" s="21" customFormat="1"/>
    <row r="57" s="21" customFormat="1"/>
    <row r="58" s="21" customFormat="1"/>
    <row r="59" s="21" customFormat="1"/>
    <row r="60" s="21" customFormat="1"/>
    <row r="61" s="21" customFormat="1"/>
    <row r="62" s="21" customFormat="1"/>
    <row r="63" s="21" customFormat="1"/>
    <row r="64" s="21" customFormat="1"/>
    <row r="65" s="21" customFormat="1"/>
    <row r="66" s="21" customFormat="1"/>
    <row r="67" s="21" customFormat="1"/>
    <row r="68" s="21" customFormat="1"/>
    <row r="69" s="21" customFormat="1"/>
    <row r="70" s="21" customFormat="1"/>
    <row r="71" s="21" customFormat="1"/>
    <row r="72" s="21" customFormat="1"/>
    <row r="73" s="21" customFormat="1"/>
    <row r="74" s="21" customFormat="1"/>
    <row r="75" s="21" customFormat="1"/>
    <row r="76" s="21" customFormat="1"/>
    <row r="77" s="21" customFormat="1"/>
    <row r="78" s="21" customFormat="1"/>
    <row r="79" s="21" customFormat="1"/>
    <row r="80" s="21" customFormat="1"/>
    <row r="81" s="21" customFormat="1"/>
    <row r="82" s="21" customFormat="1"/>
    <row r="83" s="21" customFormat="1"/>
    <row r="84" s="21" customFormat="1"/>
    <row r="85" s="21" customFormat="1"/>
    <row r="86" s="21" customFormat="1"/>
    <row r="87" s="21" customFormat="1"/>
    <row r="88" s="21" customFormat="1"/>
    <row r="89" s="21" customFormat="1"/>
    <row r="90" s="21" customFormat="1"/>
    <row r="91" s="21" customFormat="1"/>
    <row r="92" s="21" customFormat="1"/>
    <row r="93" s="21" customFormat="1"/>
    <row r="94" s="21" customFormat="1"/>
    <row r="95" s="21" customFormat="1"/>
    <row r="96" s="21" customFormat="1"/>
    <row r="97" spans="1:1" s="21" customFormat="1"/>
    <row r="98" spans="1:1" s="21" customFormat="1"/>
    <row r="99" spans="1:1" s="21" customFormat="1"/>
    <row r="100" spans="1:1" s="21" customFormat="1"/>
    <row r="101" spans="1:1" s="21" customFormat="1"/>
    <row r="102" spans="1:1" s="21" customFormat="1"/>
    <row r="103" spans="1:1" s="21" customFormat="1"/>
    <row r="104" spans="1:1" s="21" customFormat="1"/>
    <row r="105" spans="1:1" s="21" customFormat="1"/>
    <row r="106" spans="1:1">
      <c r="A106" s="20"/>
    </row>
    <row r="107" spans="1:1" s="21" customFormat="1"/>
    <row r="108" spans="1:1" s="21" customFormat="1"/>
    <row r="109" spans="1:1" s="21" customFormat="1"/>
    <row r="110" spans="1:1" s="21" customFormat="1"/>
    <row r="111" spans="1:1" s="21" customFormat="1"/>
    <row r="112" spans="1:1" s="21" customFormat="1"/>
    <row r="113" spans="1:1" s="21" customFormat="1"/>
    <row r="114" spans="1:1" s="21" customFormat="1"/>
    <row r="115" spans="1:1" s="21" customFormat="1"/>
    <row r="116" spans="1:1" s="21" customFormat="1"/>
    <row r="117" spans="1:1" s="21" customFormat="1"/>
    <row r="118" spans="1:1">
      <c r="A118" s="20"/>
    </row>
    <row r="119" spans="1:1">
      <c r="A119" s="20"/>
    </row>
  </sheetData>
  <pageMargins left="0.7" right="0.7" top="0.75" bottom="0.75" header="0.3" footer="0.3"/>
  <pageSetup paperSize="9" orientation="portrait" verticalDpi="0" r:id="rId1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1" ySplit="8" topLeftCell="B30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A9" sqref="A9:Q32"/>
    </sheetView>
  </sheetViews>
  <sheetFormatPr defaultColWidth="8.85546875" defaultRowHeight="1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>
      <c r="A1" s="14" t="s">
        <v>2</v>
      </c>
      <c r="B1" s="23" t="s">
        <v>55</v>
      </c>
      <c r="C1" s="36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>
      <c r="A2" s="14" t="s">
        <v>0</v>
      </c>
      <c r="B2" s="37" t="str">
        <f>$A$9</f>
        <v>27/04/2023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8" t="s">
        <v>7</v>
      </c>
      <c r="Q2" s="12"/>
      <c r="R2" s="8" t="s">
        <v>8</v>
      </c>
      <c r="S2" s="11"/>
      <c r="T2" s="11"/>
      <c r="U2" s="11"/>
    </row>
    <row r="3" spans="1:21" s="21" customFormat="1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8" t="s">
        <v>15</v>
      </c>
      <c r="Q3" s="12"/>
      <c r="R3" s="9" t="s">
        <v>15</v>
      </c>
      <c r="S3" s="11"/>
      <c r="T3" s="11"/>
      <c r="U3" s="11"/>
    </row>
    <row r="4" spans="1:21" s="21" customFormat="1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>
      <c r="A7" s="25" t="s">
        <v>21</v>
      </c>
      <c r="B7" s="48" t="s">
        <v>40</v>
      </c>
      <c r="C7" s="49" t="s">
        <v>41</v>
      </c>
      <c r="D7" s="49" t="s">
        <v>42</v>
      </c>
      <c r="E7" s="49" t="s">
        <v>43</v>
      </c>
      <c r="F7" s="49" t="s">
        <v>44</v>
      </c>
      <c r="G7" s="49" t="s">
        <v>45</v>
      </c>
      <c r="H7" s="49" t="s">
        <v>56</v>
      </c>
      <c r="I7" s="49" t="s">
        <v>46</v>
      </c>
      <c r="J7" s="49" t="s">
        <v>47</v>
      </c>
      <c r="K7" s="49" t="s">
        <v>48</v>
      </c>
      <c r="L7" s="49" t="s">
        <v>49</v>
      </c>
      <c r="M7" s="49" t="s">
        <v>50</v>
      </c>
      <c r="N7" s="49" t="s">
        <v>51</v>
      </c>
      <c r="O7" s="49" t="s">
        <v>52</v>
      </c>
      <c r="P7" s="49" t="s">
        <v>53</v>
      </c>
      <c r="Q7" s="49" t="s">
        <v>54</v>
      </c>
      <c r="R7" s="27"/>
      <c r="S7" s="29"/>
      <c r="T7" s="27"/>
      <c r="U7" s="27"/>
    </row>
    <row r="8" spans="1:21" s="21" customFormat="1">
      <c r="A8" s="25"/>
      <c r="B8" s="50" t="s">
        <v>22</v>
      </c>
      <c r="C8" s="50" t="s">
        <v>22</v>
      </c>
      <c r="D8" s="50" t="s">
        <v>22</v>
      </c>
      <c r="E8" s="50" t="s">
        <v>22</v>
      </c>
      <c r="F8" s="50" t="s">
        <v>22</v>
      </c>
      <c r="G8" s="50" t="s">
        <v>23</v>
      </c>
      <c r="H8" s="50" t="s">
        <v>22</v>
      </c>
      <c r="I8" s="50" t="s">
        <v>22</v>
      </c>
      <c r="J8" s="50" t="s">
        <v>24</v>
      </c>
      <c r="K8" s="50" t="s">
        <v>25</v>
      </c>
      <c r="L8" s="25" t="s">
        <v>27</v>
      </c>
      <c r="M8" s="50" t="s">
        <v>26</v>
      </c>
      <c r="N8" s="50" t="s">
        <v>28</v>
      </c>
      <c r="O8" s="25" t="s">
        <v>29</v>
      </c>
      <c r="P8" s="50" t="s">
        <v>22</v>
      </c>
      <c r="Q8" s="50" t="s">
        <v>22</v>
      </c>
      <c r="R8" s="27"/>
      <c r="S8" s="29"/>
      <c r="T8" s="27"/>
      <c r="U8" s="27"/>
    </row>
    <row r="9" spans="1:21" s="11" customFormat="1">
      <c r="A9" s="55" t="s">
        <v>694</v>
      </c>
      <c r="B9" s="56">
        <v>19.059999999999999</v>
      </c>
      <c r="C9" s="56">
        <v>64.17</v>
      </c>
      <c r="D9" s="56">
        <v>50.16</v>
      </c>
      <c r="E9" s="56">
        <v>8.48</v>
      </c>
      <c r="F9" s="56">
        <v>4.16</v>
      </c>
      <c r="G9" s="56">
        <v>34.14</v>
      </c>
      <c r="H9" s="56">
        <v>14.27</v>
      </c>
      <c r="I9" s="56">
        <v>5.42</v>
      </c>
      <c r="J9" s="56">
        <v>0.5</v>
      </c>
      <c r="K9" s="56">
        <v>237.51</v>
      </c>
      <c r="L9" s="56">
        <v>28.03</v>
      </c>
      <c r="M9" s="56">
        <v>58.65</v>
      </c>
      <c r="N9" s="56">
        <v>0</v>
      </c>
      <c r="O9" s="56">
        <v>0</v>
      </c>
      <c r="P9" s="56">
        <v>0.56999999999999995</v>
      </c>
      <c r="Q9" s="56">
        <v>7.49</v>
      </c>
      <c r="R9" s="42"/>
      <c r="S9" s="42"/>
      <c r="T9" s="42"/>
      <c r="U9" s="42"/>
    </row>
    <row r="10" spans="1:21" s="11" customFormat="1">
      <c r="A10" s="55" t="s">
        <v>695</v>
      </c>
      <c r="B10" s="56">
        <v>19.690000000000001</v>
      </c>
      <c r="C10" s="56">
        <v>63.72</v>
      </c>
      <c r="D10" s="56">
        <v>50.11</v>
      </c>
      <c r="E10" s="56">
        <v>8.43</v>
      </c>
      <c r="F10" s="56">
        <v>3.88</v>
      </c>
      <c r="G10" s="56">
        <v>30.27</v>
      </c>
      <c r="H10" s="56">
        <v>12.48</v>
      </c>
      <c r="I10" s="56">
        <v>5.0199999999999996</v>
      </c>
      <c r="J10" s="56">
        <v>0.37</v>
      </c>
      <c r="K10" s="56">
        <v>205.39</v>
      </c>
      <c r="L10" s="56">
        <v>27.54</v>
      </c>
      <c r="M10" s="56">
        <v>62.18</v>
      </c>
      <c r="N10" s="56">
        <v>0</v>
      </c>
      <c r="O10" s="56">
        <v>0</v>
      </c>
      <c r="P10" s="56">
        <v>0.54</v>
      </c>
      <c r="Q10" s="56">
        <v>7.44</v>
      </c>
      <c r="R10" s="42"/>
      <c r="S10" s="42"/>
      <c r="T10" s="42"/>
      <c r="U10" s="42"/>
    </row>
    <row r="11" spans="1:21" s="11" customFormat="1">
      <c r="A11" s="55" t="s">
        <v>696</v>
      </c>
      <c r="B11" s="56">
        <v>21.18</v>
      </c>
      <c r="C11" s="56">
        <v>61.49</v>
      </c>
      <c r="D11" s="56">
        <v>49.67</v>
      </c>
      <c r="E11" s="56">
        <v>7.06</v>
      </c>
      <c r="F11" s="56">
        <v>6.88</v>
      </c>
      <c r="G11" s="56">
        <v>24.81</v>
      </c>
      <c r="H11" s="56">
        <v>12.42</v>
      </c>
      <c r="I11" s="56">
        <v>4.79</v>
      </c>
      <c r="J11" s="56">
        <v>0.6</v>
      </c>
      <c r="K11" s="56">
        <v>248.62</v>
      </c>
      <c r="L11" s="56">
        <v>26.88</v>
      </c>
      <c r="M11" s="56">
        <v>63.27</v>
      </c>
      <c r="N11" s="56">
        <v>0</v>
      </c>
      <c r="O11" s="56">
        <v>0</v>
      </c>
      <c r="P11" s="56">
        <v>0.5</v>
      </c>
      <c r="Q11" s="56">
        <v>7.34</v>
      </c>
      <c r="R11" s="42"/>
      <c r="S11" s="42"/>
      <c r="T11" s="42"/>
      <c r="U11" s="42"/>
    </row>
    <row r="12" spans="1:21" s="11" customFormat="1">
      <c r="A12" s="55" t="s">
        <v>697</v>
      </c>
      <c r="B12" s="56">
        <v>23.02</v>
      </c>
      <c r="C12" s="56">
        <v>62.06</v>
      </c>
      <c r="D12" s="56">
        <v>51.51</v>
      </c>
      <c r="E12" s="56">
        <v>7.25</v>
      </c>
      <c r="F12" s="56">
        <v>5.53</v>
      </c>
      <c r="G12" s="56">
        <v>26.05</v>
      </c>
      <c r="H12" s="56">
        <v>10.53</v>
      </c>
      <c r="I12" s="56">
        <v>4.5999999999999996</v>
      </c>
      <c r="J12" s="56">
        <v>1.66</v>
      </c>
      <c r="K12" s="56">
        <v>297.37</v>
      </c>
      <c r="L12" s="56">
        <v>27.15</v>
      </c>
      <c r="M12" s="56">
        <v>58.53</v>
      </c>
      <c r="N12" s="56">
        <v>0</v>
      </c>
      <c r="O12" s="56">
        <v>0</v>
      </c>
      <c r="P12" s="56">
        <v>0.51</v>
      </c>
      <c r="Q12" s="56">
        <v>7.39</v>
      </c>
      <c r="R12" s="42"/>
      <c r="S12" s="42"/>
      <c r="T12" s="42"/>
      <c r="U12" s="42"/>
    </row>
    <row r="13" spans="1:21" s="11" customFormat="1">
      <c r="A13" s="55" t="s">
        <v>698</v>
      </c>
      <c r="B13" s="56">
        <v>23.11</v>
      </c>
      <c r="C13" s="56">
        <v>60.39</v>
      </c>
      <c r="D13" s="56">
        <v>51.43</v>
      </c>
      <c r="E13" s="56">
        <v>7.13</v>
      </c>
      <c r="F13" s="56">
        <v>7.52</v>
      </c>
      <c r="G13" s="56">
        <v>29.31</v>
      </c>
      <c r="H13" s="56">
        <v>10.52</v>
      </c>
      <c r="I13" s="56">
        <v>4.7</v>
      </c>
      <c r="J13" s="56">
        <v>1.61</v>
      </c>
      <c r="K13" s="56">
        <v>357.71</v>
      </c>
      <c r="L13" s="56">
        <v>26.14</v>
      </c>
      <c r="M13" s="56">
        <v>63.87</v>
      </c>
      <c r="N13" s="56">
        <v>0</v>
      </c>
      <c r="O13" s="56">
        <v>0</v>
      </c>
      <c r="P13" s="56">
        <v>0.52</v>
      </c>
      <c r="Q13" s="56">
        <v>7.45</v>
      </c>
      <c r="R13" s="42"/>
      <c r="S13" s="42"/>
      <c r="T13" s="42"/>
      <c r="U13" s="42"/>
    </row>
    <row r="14" spans="1:21" s="11" customFormat="1">
      <c r="A14" s="55" t="s">
        <v>699</v>
      </c>
      <c r="B14" s="56">
        <v>22.61</v>
      </c>
      <c r="C14" s="56">
        <v>58.84</v>
      </c>
      <c r="D14" s="56">
        <v>50.23</v>
      </c>
      <c r="E14" s="56">
        <v>7.12</v>
      </c>
      <c r="F14" s="56">
        <v>6.05</v>
      </c>
      <c r="G14" s="56">
        <v>29.45</v>
      </c>
      <c r="H14" s="56">
        <v>10.52</v>
      </c>
      <c r="I14" s="56">
        <v>4.59</v>
      </c>
      <c r="J14" s="56">
        <v>1.2</v>
      </c>
      <c r="K14" s="56">
        <v>344.44</v>
      </c>
      <c r="L14" s="56">
        <v>24.78</v>
      </c>
      <c r="M14" s="56">
        <v>59.16</v>
      </c>
      <c r="N14" s="56">
        <v>3.7</v>
      </c>
      <c r="O14" s="56">
        <v>0</v>
      </c>
      <c r="P14" s="56">
        <v>0.51</v>
      </c>
      <c r="Q14" s="56">
        <v>7.45</v>
      </c>
      <c r="R14" s="42"/>
      <c r="S14" s="42"/>
      <c r="T14" s="42"/>
      <c r="U14" s="42"/>
    </row>
    <row r="15" spans="1:21" s="11" customFormat="1">
      <c r="A15" s="55" t="s">
        <v>700</v>
      </c>
      <c r="B15" s="56">
        <v>24.9</v>
      </c>
      <c r="C15" s="56">
        <v>62.78</v>
      </c>
      <c r="D15" s="56">
        <v>53.32</v>
      </c>
      <c r="E15" s="56">
        <v>7.4</v>
      </c>
      <c r="F15" s="56">
        <v>4.13</v>
      </c>
      <c r="G15" s="56">
        <v>32.74</v>
      </c>
      <c r="H15" s="56">
        <v>13.63</v>
      </c>
      <c r="I15" s="56">
        <v>4.41</v>
      </c>
      <c r="J15" s="56">
        <v>0.81</v>
      </c>
      <c r="K15" s="56">
        <v>305.63</v>
      </c>
      <c r="L15" s="56">
        <v>25.13</v>
      </c>
      <c r="M15" s="56">
        <v>59.42</v>
      </c>
      <c r="N15" s="56">
        <v>107.7</v>
      </c>
      <c r="O15" s="56">
        <v>0</v>
      </c>
      <c r="P15" s="56">
        <v>0.51</v>
      </c>
      <c r="Q15" s="56">
        <v>7.6</v>
      </c>
      <c r="R15" s="42"/>
      <c r="S15" s="42"/>
      <c r="T15" s="42"/>
      <c r="U15" s="42"/>
    </row>
    <row r="16" spans="1:21" s="11" customFormat="1">
      <c r="A16" s="55" t="s">
        <v>701</v>
      </c>
      <c r="B16" s="56">
        <v>25.34</v>
      </c>
      <c r="C16" s="56">
        <v>63.96</v>
      </c>
      <c r="D16" s="56">
        <v>54.69</v>
      </c>
      <c r="E16" s="56">
        <v>6.99</v>
      </c>
      <c r="F16" s="56">
        <v>4.62</v>
      </c>
      <c r="G16" s="56">
        <v>41.85</v>
      </c>
      <c r="H16" s="56">
        <v>14.19</v>
      </c>
      <c r="I16" s="56">
        <v>4.54</v>
      </c>
      <c r="J16" s="56">
        <v>0.57999999999999996</v>
      </c>
      <c r="K16" s="56">
        <v>305.51</v>
      </c>
      <c r="L16" s="56">
        <v>25.77</v>
      </c>
      <c r="M16" s="56">
        <v>56.33</v>
      </c>
      <c r="N16" s="56">
        <v>120.3</v>
      </c>
      <c r="O16" s="56">
        <v>0</v>
      </c>
      <c r="P16" s="56">
        <v>0.54</v>
      </c>
      <c r="Q16" s="56">
        <v>7.81</v>
      </c>
      <c r="R16" s="42"/>
      <c r="S16" s="42"/>
      <c r="T16" s="42"/>
      <c r="U16" s="42"/>
    </row>
    <row r="17" spans="1:21" s="11" customFormat="1">
      <c r="A17" s="55" t="s">
        <v>702</v>
      </c>
      <c r="B17" s="56">
        <v>24.23</v>
      </c>
      <c r="C17" s="56">
        <v>65.290000000000006</v>
      </c>
      <c r="D17" s="56">
        <v>54.23</v>
      </c>
      <c r="E17" s="56">
        <v>6.15</v>
      </c>
      <c r="F17" s="56">
        <v>4.82</v>
      </c>
      <c r="G17" s="56">
        <v>42.27</v>
      </c>
      <c r="H17" s="56">
        <v>14.19</v>
      </c>
      <c r="I17" s="56">
        <v>4.58</v>
      </c>
      <c r="J17" s="56">
        <v>1.43</v>
      </c>
      <c r="K17" s="56">
        <v>286.92</v>
      </c>
      <c r="L17" s="56">
        <v>25.76</v>
      </c>
      <c r="M17" s="56">
        <v>56.35</v>
      </c>
      <c r="N17" s="56">
        <v>137</v>
      </c>
      <c r="O17" s="56">
        <v>0</v>
      </c>
      <c r="P17" s="56">
        <v>0.54</v>
      </c>
      <c r="Q17" s="56">
        <v>7.75</v>
      </c>
      <c r="R17" s="42"/>
      <c r="S17" s="42"/>
      <c r="T17" s="42"/>
      <c r="U17" s="42"/>
    </row>
    <row r="18" spans="1:21" s="11" customFormat="1">
      <c r="A18" s="55" t="s">
        <v>703</v>
      </c>
      <c r="B18" s="56">
        <v>20.87</v>
      </c>
      <c r="C18" s="56">
        <v>66.459999999999994</v>
      </c>
      <c r="D18" s="56">
        <v>52.19</v>
      </c>
      <c r="E18" s="56">
        <v>6.33</v>
      </c>
      <c r="F18" s="56">
        <v>4.05</v>
      </c>
      <c r="G18" s="56">
        <v>46.09</v>
      </c>
      <c r="H18" s="56">
        <v>15.15</v>
      </c>
      <c r="I18" s="56">
        <v>5.87</v>
      </c>
      <c r="J18" s="56">
        <v>0.82</v>
      </c>
      <c r="K18" s="56">
        <v>357.81</v>
      </c>
      <c r="L18" s="56">
        <v>25.72</v>
      </c>
      <c r="M18" s="56">
        <v>57.56</v>
      </c>
      <c r="N18" s="56">
        <v>176.9</v>
      </c>
      <c r="O18" s="56">
        <v>0</v>
      </c>
      <c r="P18" s="56">
        <v>0.68</v>
      </c>
      <c r="Q18" s="56">
        <v>7.6</v>
      </c>
      <c r="R18" s="42"/>
      <c r="S18" s="42"/>
      <c r="T18" s="42"/>
      <c r="U18" s="42"/>
    </row>
    <row r="19" spans="1:21" s="11" customFormat="1">
      <c r="A19" s="55" t="s">
        <v>704</v>
      </c>
      <c r="B19" s="56">
        <v>20</v>
      </c>
      <c r="C19" s="56">
        <v>66.81</v>
      </c>
      <c r="D19" s="56">
        <v>52.21</v>
      </c>
      <c r="E19" s="56">
        <v>8.6199999999999992</v>
      </c>
      <c r="F19" s="56">
        <v>4.12</v>
      </c>
      <c r="G19" s="56">
        <v>46.3</v>
      </c>
      <c r="H19" s="56">
        <v>15.15</v>
      </c>
      <c r="I19" s="56">
        <v>6.32</v>
      </c>
      <c r="J19" s="56">
        <v>0.53</v>
      </c>
      <c r="K19" s="56">
        <v>244.2</v>
      </c>
      <c r="L19" s="56">
        <v>27.46</v>
      </c>
      <c r="M19" s="56">
        <v>53.4</v>
      </c>
      <c r="N19" s="56">
        <v>316.8</v>
      </c>
      <c r="O19" s="56">
        <v>0</v>
      </c>
      <c r="P19" s="56">
        <v>0.67</v>
      </c>
      <c r="Q19" s="56">
        <v>7.58</v>
      </c>
      <c r="R19" s="42"/>
      <c r="S19" s="42"/>
      <c r="T19" s="42"/>
      <c r="U19" s="42"/>
    </row>
    <row r="20" spans="1:21" s="11" customFormat="1">
      <c r="A20" s="55" t="s">
        <v>705</v>
      </c>
      <c r="B20" s="56">
        <v>16.98</v>
      </c>
      <c r="C20" s="56">
        <v>66.42</v>
      </c>
      <c r="D20" s="56">
        <v>49.67</v>
      </c>
      <c r="E20" s="56">
        <v>8.59</v>
      </c>
      <c r="F20" s="56">
        <v>5.16</v>
      </c>
      <c r="G20" s="56">
        <v>39.76</v>
      </c>
      <c r="H20" s="56">
        <v>14.19</v>
      </c>
      <c r="I20" s="56">
        <v>5.93</v>
      </c>
      <c r="J20" s="56">
        <v>0.89</v>
      </c>
      <c r="K20" s="56">
        <v>260.29000000000002</v>
      </c>
      <c r="L20" s="56">
        <v>29.76</v>
      </c>
      <c r="M20" s="56">
        <v>47.99</v>
      </c>
      <c r="N20" s="56">
        <v>474.7</v>
      </c>
      <c r="O20" s="56">
        <v>0</v>
      </c>
      <c r="P20" s="56">
        <v>0.62</v>
      </c>
      <c r="Q20" s="56">
        <v>7.45</v>
      </c>
      <c r="R20" s="42"/>
      <c r="S20" s="42"/>
      <c r="T20" s="42"/>
      <c r="U20" s="42"/>
    </row>
    <row r="21" spans="1:21" s="11" customFormat="1">
      <c r="A21" s="55" t="s">
        <v>706</v>
      </c>
      <c r="B21" s="56">
        <v>14.33</v>
      </c>
      <c r="C21" s="56">
        <v>58.97</v>
      </c>
      <c r="D21" s="56">
        <v>42.78</v>
      </c>
      <c r="E21" s="56">
        <v>8.6199999999999992</v>
      </c>
      <c r="F21" s="56">
        <v>8.1199999999999992</v>
      </c>
      <c r="G21" s="56">
        <v>37.71</v>
      </c>
      <c r="H21" s="56">
        <v>11.17</v>
      </c>
      <c r="I21" s="56">
        <v>5.41</v>
      </c>
      <c r="J21" s="56">
        <v>0.57999999999999996</v>
      </c>
      <c r="K21" s="56">
        <v>258.33999999999997</v>
      </c>
      <c r="L21" s="56">
        <v>30.79</v>
      </c>
      <c r="M21" s="56">
        <v>42.45</v>
      </c>
      <c r="N21" s="56">
        <v>726.8</v>
      </c>
      <c r="O21" s="56">
        <v>0</v>
      </c>
      <c r="P21" s="56">
        <v>0.55000000000000004</v>
      </c>
      <c r="Q21" s="56">
        <v>6.88</v>
      </c>
      <c r="R21" s="42"/>
      <c r="S21" s="42"/>
      <c r="T21" s="42"/>
      <c r="U21" s="42"/>
    </row>
    <row r="22" spans="1:21" s="11" customFormat="1">
      <c r="A22" s="55" t="s">
        <v>707</v>
      </c>
      <c r="B22" s="56">
        <v>12.33</v>
      </c>
      <c r="C22" s="56">
        <v>61.22</v>
      </c>
      <c r="D22" s="56">
        <v>43.23</v>
      </c>
      <c r="E22" s="56">
        <v>8.5500000000000007</v>
      </c>
      <c r="F22" s="56">
        <v>9.02</v>
      </c>
      <c r="G22" s="56">
        <v>29.42</v>
      </c>
      <c r="H22" s="56">
        <v>10.29</v>
      </c>
      <c r="I22" s="56">
        <v>5.07</v>
      </c>
      <c r="J22" s="56">
        <v>0.68</v>
      </c>
      <c r="K22" s="56">
        <v>244.72</v>
      </c>
      <c r="L22" s="56">
        <v>33.89</v>
      </c>
      <c r="M22" s="56">
        <v>35.69</v>
      </c>
      <c r="N22" s="56">
        <v>858.9</v>
      </c>
      <c r="O22" s="56">
        <v>0</v>
      </c>
      <c r="P22" s="56">
        <v>0.52</v>
      </c>
      <c r="Q22" s="56">
        <v>6.85</v>
      </c>
      <c r="R22" s="42"/>
      <c r="S22" s="42"/>
      <c r="T22" s="42"/>
      <c r="U22" s="42"/>
    </row>
    <row r="23" spans="1:21" s="11" customFormat="1">
      <c r="A23" s="55" t="s">
        <v>708</v>
      </c>
      <c r="B23" s="56">
        <v>10.43</v>
      </c>
      <c r="C23" s="56">
        <v>60.95</v>
      </c>
      <c r="D23" s="56">
        <v>40.71</v>
      </c>
      <c r="E23" s="56">
        <v>8.74</v>
      </c>
      <c r="F23" s="56">
        <v>9.6</v>
      </c>
      <c r="G23" s="56">
        <v>20</v>
      </c>
      <c r="H23" s="56">
        <v>7.32</v>
      </c>
      <c r="I23" s="56">
        <v>4.8</v>
      </c>
      <c r="J23" s="56">
        <v>0.82</v>
      </c>
      <c r="K23" s="56">
        <v>286.57</v>
      </c>
      <c r="L23" s="56">
        <v>33.909999999999997</v>
      </c>
      <c r="M23" s="56">
        <v>31.97</v>
      </c>
      <c r="N23" s="56">
        <v>767.4</v>
      </c>
      <c r="O23" s="56">
        <v>0</v>
      </c>
      <c r="P23" s="56">
        <v>0.56000000000000005</v>
      </c>
      <c r="Q23" s="56">
        <v>6.67</v>
      </c>
      <c r="R23" s="42"/>
      <c r="S23" s="42"/>
      <c r="T23" s="42"/>
      <c r="U23" s="42"/>
    </row>
    <row r="24" spans="1:21" s="11" customFormat="1">
      <c r="A24" s="55" t="s">
        <v>709</v>
      </c>
      <c r="B24" s="56">
        <v>9.2899999999999991</v>
      </c>
      <c r="C24" s="56">
        <v>58.16</v>
      </c>
      <c r="D24" s="56">
        <v>38.92</v>
      </c>
      <c r="E24" s="56">
        <v>8.67</v>
      </c>
      <c r="F24" s="56">
        <v>12.33</v>
      </c>
      <c r="G24" s="56">
        <v>20.66</v>
      </c>
      <c r="H24" s="56">
        <v>7.29</v>
      </c>
      <c r="I24" s="56">
        <v>4.54</v>
      </c>
      <c r="J24" s="56">
        <v>0.62</v>
      </c>
      <c r="K24" s="56">
        <v>278.12</v>
      </c>
      <c r="L24" s="56">
        <v>33.94</v>
      </c>
      <c r="M24" s="56">
        <v>33.43</v>
      </c>
      <c r="N24" s="56">
        <v>476.1</v>
      </c>
      <c r="O24" s="56">
        <v>0</v>
      </c>
      <c r="P24" s="56">
        <v>0.55000000000000004</v>
      </c>
      <c r="Q24" s="56">
        <v>6.55</v>
      </c>
      <c r="R24" s="42"/>
      <c r="S24" s="42"/>
      <c r="T24" s="42"/>
      <c r="U24" s="42"/>
    </row>
    <row r="25" spans="1:21" s="11" customFormat="1">
      <c r="A25" s="55" t="s">
        <v>710</v>
      </c>
      <c r="B25" s="56">
        <v>9.3800000000000008</v>
      </c>
      <c r="C25" s="56">
        <v>60.65</v>
      </c>
      <c r="D25" s="56">
        <v>40.340000000000003</v>
      </c>
      <c r="E25" s="56">
        <v>9.36</v>
      </c>
      <c r="F25" s="56">
        <v>14.06</v>
      </c>
      <c r="G25" s="56">
        <v>21.11</v>
      </c>
      <c r="H25" s="56">
        <v>9.83</v>
      </c>
      <c r="I25" s="56">
        <v>4.17</v>
      </c>
      <c r="J25" s="56">
        <v>0.52</v>
      </c>
      <c r="K25" s="56">
        <v>315.76</v>
      </c>
      <c r="L25" s="56">
        <v>34.47</v>
      </c>
      <c r="M25" s="56">
        <v>30.64</v>
      </c>
      <c r="N25" s="56">
        <v>414.8</v>
      </c>
      <c r="O25" s="56">
        <v>0</v>
      </c>
      <c r="P25" s="56">
        <v>0.57999999999999996</v>
      </c>
      <c r="Q25" s="56">
        <v>6.61</v>
      </c>
      <c r="R25" s="42"/>
      <c r="S25" s="42"/>
      <c r="T25" s="42"/>
      <c r="U25" s="42"/>
    </row>
    <row r="26" spans="1:21" s="11" customFormat="1">
      <c r="A26" s="55" t="s">
        <v>711</v>
      </c>
      <c r="B26" s="56">
        <v>9.6199999999999992</v>
      </c>
      <c r="C26" s="56">
        <v>60.25</v>
      </c>
      <c r="D26" s="56">
        <v>40.26</v>
      </c>
      <c r="E26" s="56">
        <v>9.66</v>
      </c>
      <c r="F26" s="56">
        <v>13.98</v>
      </c>
      <c r="G26" s="56">
        <v>37.06</v>
      </c>
      <c r="H26" s="56">
        <v>12.52</v>
      </c>
      <c r="I26" s="56">
        <v>4.47</v>
      </c>
      <c r="J26" s="56">
        <v>0.56000000000000005</v>
      </c>
      <c r="K26" s="56">
        <v>160.27000000000001</v>
      </c>
      <c r="L26" s="56">
        <v>34.17</v>
      </c>
      <c r="M26" s="56">
        <v>35.450000000000003</v>
      </c>
      <c r="N26" s="56">
        <v>131.5</v>
      </c>
      <c r="O26" s="56">
        <v>0</v>
      </c>
      <c r="P26" s="56">
        <v>0.62</v>
      </c>
      <c r="Q26" s="56">
        <v>6.81</v>
      </c>
      <c r="R26" s="42"/>
      <c r="S26" s="42"/>
      <c r="T26" s="42"/>
      <c r="U26" s="42"/>
    </row>
    <row r="27" spans="1:21" s="11" customFormat="1">
      <c r="A27" s="55" t="s">
        <v>712</v>
      </c>
      <c r="B27" s="56">
        <v>8.5399999999999991</v>
      </c>
      <c r="C27" s="56">
        <v>62.41</v>
      </c>
      <c r="D27" s="56">
        <v>40.799999999999997</v>
      </c>
      <c r="E27" s="56">
        <v>8.1999999999999993</v>
      </c>
      <c r="F27" s="56">
        <v>11.48</v>
      </c>
      <c r="G27" s="56">
        <v>37.799999999999997</v>
      </c>
      <c r="H27" s="56">
        <v>12.52</v>
      </c>
      <c r="I27" s="56">
        <v>4.47</v>
      </c>
      <c r="J27" s="56">
        <v>0.28000000000000003</v>
      </c>
      <c r="K27" s="56">
        <v>158</v>
      </c>
      <c r="L27" s="56">
        <v>31.83</v>
      </c>
      <c r="M27" s="56">
        <v>44.79</v>
      </c>
      <c r="N27" s="56">
        <v>0.2</v>
      </c>
      <c r="O27" s="56">
        <v>0</v>
      </c>
      <c r="P27" s="56">
        <v>0.64</v>
      </c>
      <c r="Q27" s="56">
        <v>6.8</v>
      </c>
      <c r="R27" s="42"/>
      <c r="S27" s="42"/>
      <c r="T27" s="42"/>
      <c r="U27" s="42"/>
    </row>
    <row r="28" spans="1:21" s="11" customFormat="1">
      <c r="A28" s="55" t="s">
        <v>713</v>
      </c>
      <c r="B28" s="56">
        <v>11.36</v>
      </c>
      <c r="C28" s="56">
        <v>65.97</v>
      </c>
      <c r="D28" s="56">
        <v>44.93</v>
      </c>
      <c r="E28" s="56">
        <v>7.7</v>
      </c>
      <c r="F28" s="56">
        <v>6.44</v>
      </c>
      <c r="G28" s="56">
        <v>57.19</v>
      </c>
      <c r="H28" s="56">
        <v>11.97</v>
      </c>
      <c r="I28" s="56">
        <v>4.99</v>
      </c>
      <c r="J28" s="56">
        <v>0.26</v>
      </c>
      <c r="K28" s="56">
        <v>194.88</v>
      </c>
      <c r="L28" s="56">
        <v>29.55</v>
      </c>
      <c r="M28" s="56">
        <v>48.58</v>
      </c>
      <c r="N28" s="56">
        <v>0</v>
      </c>
      <c r="O28" s="56">
        <v>0</v>
      </c>
      <c r="P28" s="56">
        <v>0.69</v>
      </c>
      <c r="Q28" s="56">
        <v>7.03</v>
      </c>
      <c r="R28" s="42"/>
      <c r="S28" s="42"/>
      <c r="T28" s="42"/>
      <c r="U28" s="42"/>
    </row>
    <row r="29" spans="1:21" s="11" customFormat="1">
      <c r="A29" s="55" t="s">
        <v>714</v>
      </c>
      <c r="B29" s="56">
        <v>14.54</v>
      </c>
      <c r="C29" s="56">
        <v>67.349999999999994</v>
      </c>
      <c r="D29" s="56">
        <v>48.2</v>
      </c>
      <c r="E29" s="56">
        <v>7.82</v>
      </c>
      <c r="F29" s="56">
        <v>4.1100000000000003</v>
      </c>
      <c r="G29" s="56">
        <v>64.19</v>
      </c>
      <c r="H29" s="56">
        <v>13.84</v>
      </c>
      <c r="I29" s="56">
        <v>5.35</v>
      </c>
      <c r="J29" s="56">
        <v>0.25</v>
      </c>
      <c r="K29" s="56">
        <v>199.87</v>
      </c>
      <c r="L29" s="56">
        <v>28.4</v>
      </c>
      <c r="M29" s="56">
        <v>53.38</v>
      </c>
      <c r="N29" s="56">
        <v>0</v>
      </c>
      <c r="O29" s="56">
        <v>0</v>
      </c>
      <c r="P29" s="56">
        <v>0.73</v>
      </c>
      <c r="Q29" s="56">
        <v>7.28</v>
      </c>
      <c r="R29" s="42"/>
      <c r="S29" s="42"/>
      <c r="T29" s="42"/>
      <c r="U29" s="42"/>
    </row>
    <row r="30" spans="1:21" s="11" customFormat="1">
      <c r="A30" s="55" t="s">
        <v>715</v>
      </c>
      <c r="B30" s="56">
        <v>20.399999999999999</v>
      </c>
      <c r="C30" s="56">
        <v>68.58</v>
      </c>
      <c r="D30" s="56">
        <v>52.21</v>
      </c>
      <c r="E30" s="56">
        <v>7.68</v>
      </c>
      <c r="F30" s="56">
        <v>4.6100000000000003</v>
      </c>
      <c r="G30" s="56">
        <v>81.260000000000005</v>
      </c>
      <c r="H30" s="56">
        <v>18.2</v>
      </c>
      <c r="I30" s="56">
        <v>5.86</v>
      </c>
      <c r="J30" s="56">
        <v>0.27</v>
      </c>
      <c r="K30" s="56">
        <v>232.55</v>
      </c>
      <c r="L30" s="56">
        <v>27.91</v>
      </c>
      <c r="M30" s="56">
        <v>56.31</v>
      </c>
      <c r="N30" s="56">
        <v>0</v>
      </c>
      <c r="O30" s="56">
        <v>0</v>
      </c>
      <c r="P30" s="56">
        <v>0.8</v>
      </c>
      <c r="Q30" s="56">
        <v>7.63</v>
      </c>
      <c r="R30" s="42"/>
      <c r="S30" s="42"/>
      <c r="T30" s="42"/>
      <c r="U30" s="42"/>
    </row>
    <row r="31" spans="1:21" s="11" customFormat="1">
      <c r="A31" s="55" t="s">
        <v>716</v>
      </c>
      <c r="B31" s="56">
        <v>37.85</v>
      </c>
      <c r="C31" s="56">
        <v>67.48</v>
      </c>
      <c r="D31" s="56">
        <v>65.58</v>
      </c>
      <c r="E31" s="56">
        <v>8.3000000000000007</v>
      </c>
      <c r="F31" s="56">
        <v>3.69</v>
      </c>
      <c r="G31" s="56">
        <v>103.5</v>
      </c>
      <c r="H31" s="56">
        <v>27.02</v>
      </c>
      <c r="I31" s="56">
        <v>6.86</v>
      </c>
      <c r="J31" s="56">
        <v>0.23</v>
      </c>
      <c r="K31" s="56">
        <v>249.75</v>
      </c>
      <c r="L31" s="56">
        <v>27.77</v>
      </c>
      <c r="M31" s="56">
        <v>54.54</v>
      </c>
      <c r="N31" s="56">
        <v>0</v>
      </c>
      <c r="O31" s="56">
        <v>0</v>
      </c>
      <c r="P31" s="56">
        <v>0.9</v>
      </c>
      <c r="Q31" s="56">
        <v>8.36</v>
      </c>
      <c r="R31" s="42"/>
      <c r="S31" s="42"/>
      <c r="T31" s="42"/>
      <c r="U31" s="42"/>
    </row>
    <row r="32" spans="1:21" s="11" customFormat="1">
      <c r="A32" s="55" t="s">
        <v>717</v>
      </c>
      <c r="B32" s="56">
        <v>43.44</v>
      </c>
      <c r="C32" s="56">
        <v>69.12</v>
      </c>
      <c r="D32" s="56">
        <v>69.22</v>
      </c>
      <c r="E32" s="56">
        <v>8.68</v>
      </c>
      <c r="F32" s="56">
        <v>4.43</v>
      </c>
      <c r="G32" s="56">
        <v>108.35</v>
      </c>
      <c r="H32" s="56">
        <v>27.19</v>
      </c>
      <c r="I32" s="56">
        <v>7.32</v>
      </c>
      <c r="J32" s="56">
        <v>0.54</v>
      </c>
      <c r="K32" s="56">
        <v>296.25</v>
      </c>
      <c r="L32" s="56">
        <v>27.61</v>
      </c>
      <c r="M32" s="56">
        <v>65.34</v>
      </c>
      <c r="N32" s="56">
        <v>0</v>
      </c>
      <c r="O32" s="56">
        <v>0</v>
      </c>
      <c r="P32" s="56">
        <v>0.94</v>
      </c>
      <c r="Q32" s="56">
        <v>8.84</v>
      </c>
      <c r="R32" s="42"/>
      <c r="S32" s="42"/>
      <c r="T32" s="42"/>
      <c r="U32" s="42"/>
    </row>
    <row r="33" spans="1:21" s="21" customFormat="1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>
      <c r="A34" s="27" t="s">
        <v>30</v>
      </c>
      <c r="B34" s="28">
        <f t="shared" ref="B34:Q34" si="0">MIN(B9:B32)</f>
        <v>8.5399999999999991</v>
      </c>
      <c r="C34" s="28">
        <f t="shared" si="0"/>
        <v>58.16</v>
      </c>
      <c r="D34" s="28">
        <f t="shared" si="0"/>
        <v>38.92</v>
      </c>
      <c r="E34" s="28">
        <f t="shared" si="0"/>
        <v>6.15</v>
      </c>
      <c r="F34" s="28">
        <f t="shared" si="0"/>
        <v>3.69</v>
      </c>
      <c r="G34" s="28">
        <f t="shared" si="0"/>
        <v>20</v>
      </c>
      <c r="H34" s="28">
        <f>MIN(H9:H32)</f>
        <v>7.29</v>
      </c>
      <c r="I34" s="28">
        <f t="shared" si="0"/>
        <v>4.17</v>
      </c>
      <c r="J34" s="28">
        <f t="shared" si="0"/>
        <v>0.23</v>
      </c>
      <c r="K34" s="28">
        <f t="shared" si="0"/>
        <v>158</v>
      </c>
      <c r="L34" s="28">
        <f t="shared" si="0"/>
        <v>24.78</v>
      </c>
      <c r="M34" s="28">
        <f t="shared" si="0"/>
        <v>30.64</v>
      </c>
      <c r="N34" s="28">
        <f t="shared" si="0"/>
        <v>0</v>
      </c>
      <c r="O34" s="28">
        <f t="shared" si="0"/>
        <v>0</v>
      </c>
      <c r="P34" s="28">
        <f t="shared" si="0"/>
        <v>0.5</v>
      </c>
      <c r="Q34" s="28">
        <f t="shared" si="0"/>
        <v>6.55</v>
      </c>
      <c r="R34" s="28"/>
      <c r="S34" s="28"/>
      <c r="T34" s="28"/>
      <c r="U34" s="28"/>
    </row>
    <row r="35" spans="1:21" s="21" customFormat="1">
      <c r="A35" s="27" t="s">
        <v>31</v>
      </c>
      <c r="B35" s="29">
        <f t="shared" ref="B35:Q35" si="1">MAX(B9:B32)</f>
        <v>43.44</v>
      </c>
      <c r="C35" s="29">
        <f t="shared" si="1"/>
        <v>69.12</v>
      </c>
      <c r="D35" s="29">
        <f t="shared" si="1"/>
        <v>69.22</v>
      </c>
      <c r="E35" s="29">
        <f t="shared" si="1"/>
        <v>9.66</v>
      </c>
      <c r="F35" s="29">
        <f t="shared" si="1"/>
        <v>14.06</v>
      </c>
      <c r="G35" s="29">
        <f>MAX(G9:G32)</f>
        <v>108.35</v>
      </c>
      <c r="H35" s="29">
        <f>MAX(H9:H32)</f>
        <v>27.19</v>
      </c>
      <c r="I35" s="29">
        <f t="shared" si="1"/>
        <v>7.32</v>
      </c>
      <c r="J35" s="29">
        <f t="shared" si="1"/>
        <v>1.66</v>
      </c>
      <c r="K35" s="29">
        <f t="shared" si="1"/>
        <v>357.81</v>
      </c>
      <c r="L35" s="29">
        <f t="shared" si="1"/>
        <v>34.47</v>
      </c>
      <c r="M35" s="29">
        <f t="shared" si="1"/>
        <v>65.34</v>
      </c>
      <c r="N35" s="29">
        <f t="shared" si="1"/>
        <v>858.9</v>
      </c>
      <c r="O35" s="29">
        <f t="shared" si="1"/>
        <v>0</v>
      </c>
      <c r="P35" s="29">
        <f t="shared" si="1"/>
        <v>0.94</v>
      </c>
      <c r="Q35" s="29">
        <f t="shared" si="1"/>
        <v>8.84</v>
      </c>
      <c r="R35" s="29"/>
      <c r="S35" s="29"/>
      <c r="T35" s="29"/>
      <c r="U35" s="29"/>
    </row>
    <row r="36" spans="1:21" s="21" customFormat="1">
      <c r="A36" s="27" t="s">
        <v>32</v>
      </c>
      <c r="B36" s="28">
        <f t="shared" ref="B36:Q36" si="2">AVERAGE(B9:B32)</f>
        <v>19.270833333333336</v>
      </c>
      <c r="C36" s="28">
        <f t="shared" si="2"/>
        <v>63.479166666666664</v>
      </c>
      <c r="D36" s="28">
        <f t="shared" si="2"/>
        <v>49.441666666666663</v>
      </c>
      <c r="E36" s="28">
        <f t="shared" si="2"/>
        <v>7.9804166666666667</v>
      </c>
      <c r="F36" s="28">
        <f t="shared" si="2"/>
        <v>6.782916666666666</v>
      </c>
      <c r="G36" s="28">
        <f t="shared" si="2"/>
        <v>43.387083333333329</v>
      </c>
      <c r="H36" s="28">
        <f>AVERAGE(H9:H32)</f>
        <v>13.6</v>
      </c>
      <c r="I36" s="28">
        <f t="shared" si="2"/>
        <v>5.169999999999999</v>
      </c>
      <c r="J36" s="28">
        <f t="shared" si="2"/>
        <v>0.69208333333333316</v>
      </c>
      <c r="K36" s="28">
        <f t="shared" si="2"/>
        <v>263.60333333333335</v>
      </c>
      <c r="L36" s="28">
        <f t="shared" si="2"/>
        <v>28.931666666666658</v>
      </c>
      <c r="M36" s="28">
        <f t="shared" si="2"/>
        <v>51.219999999999992</v>
      </c>
      <c r="N36" s="28">
        <f t="shared" si="2"/>
        <v>196.36666666666667</v>
      </c>
      <c r="O36" s="28">
        <f t="shared" si="2"/>
        <v>0</v>
      </c>
      <c r="P36" s="28">
        <f t="shared" si="2"/>
        <v>0.61625000000000008</v>
      </c>
      <c r="Q36" s="28">
        <f t="shared" si="2"/>
        <v>7.3608333333333329</v>
      </c>
      <c r="R36" s="28"/>
      <c r="S36" s="28"/>
      <c r="T36" s="28"/>
      <c r="U36" s="28"/>
    </row>
    <row r="37" spans="1:21" s="21" customFormat="1">
      <c r="A37" s="27" t="s">
        <v>38</v>
      </c>
      <c r="B37" s="28">
        <f>STDEV(B9:B32)</f>
        <v>8.6409454578649569</v>
      </c>
      <c r="C37" s="28">
        <f t="shared" ref="C37:Q37" si="3">STDEV(C9:C32)</f>
        <v>3.2633110908036196</v>
      </c>
      <c r="D37" s="28">
        <f t="shared" si="3"/>
        <v>7.4704406869990878</v>
      </c>
      <c r="E37" s="28">
        <f t="shared" si="3"/>
        <v>0.90441659872979452</v>
      </c>
      <c r="F37" s="28">
        <f t="shared" si="3"/>
        <v>3.2977614003476963</v>
      </c>
      <c r="G37" s="28">
        <f t="shared" si="3"/>
        <v>23.948546743449551</v>
      </c>
      <c r="H37" s="28">
        <f>STDEV(H9:H32)</f>
        <v>4.8394385229478099</v>
      </c>
      <c r="I37" s="28">
        <f t="shared" si="3"/>
        <v>0.81893886802692917</v>
      </c>
      <c r="J37" s="28">
        <f t="shared" si="3"/>
        <v>0.41111702731087135</v>
      </c>
      <c r="K37" s="28">
        <f t="shared" si="3"/>
        <v>55.494974756173974</v>
      </c>
      <c r="L37" s="28">
        <f t="shared" si="3"/>
        <v>3.1764249341546686</v>
      </c>
      <c r="M37" s="28">
        <f t="shared" si="3"/>
        <v>10.912170708214694</v>
      </c>
      <c r="N37" s="28">
        <f t="shared" si="3"/>
        <v>275.62466076747995</v>
      </c>
      <c r="O37" s="28">
        <f t="shared" si="3"/>
        <v>0</v>
      </c>
      <c r="P37" s="28">
        <f t="shared" si="3"/>
        <v>0.12225463448137225</v>
      </c>
      <c r="Q37" s="28">
        <f t="shared" si="3"/>
        <v>0.5416152706943097</v>
      </c>
      <c r="R37" s="28"/>
      <c r="S37" s="28"/>
      <c r="T37" s="28"/>
      <c r="U37" s="28"/>
    </row>
    <row r="38" spans="1:21" s="21" customFormat="1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>COUNT(F9:F32)</f>
        <v>24</v>
      </c>
      <c r="G38" s="32">
        <f>COUNT(G9:G32)</f>
        <v>24</v>
      </c>
      <c r="H38" s="32">
        <f>COUNT(H9:H32)</f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>
      <c r="A42" s="13"/>
    </row>
    <row r="43" spans="1:21" s="21" customFormat="1">
      <c r="A43" s="14" t="s">
        <v>35</v>
      </c>
      <c r="B43" s="39" t="s">
        <v>58</v>
      </c>
      <c r="C43" s="41"/>
    </row>
    <row r="44" spans="1:21" s="21" customFormat="1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0"/>
      <c r="C45" s="40"/>
      <c r="D45" s="40"/>
      <c r="E45" s="40"/>
      <c r="F45" s="40"/>
      <c r="G45" s="40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</row>
    <row r="46" spans="1:21" s="21" customFormat="1"/>
    <row r="47" spans="1:21" s="21" customFormat="1"/>
    <row r="48" spans="1:21" s="21" customFormat="1"/>
    <row r="49" s="21" customFormat="1"/>
    <row r="50" s="21" customFormat="1"/>
    <row r="51" s="21" customFormat="1"/>
    <row r="52" s="21" customFormat="1"/>
    <row r="53" s="21" customFormat="1"/>
    <row r="54" s="21" customFormat="1"/>
    <row r="55" s="21" customFormat="1"/>
    <row r="56" s="21" customFormat="1"/>
    <row r="57" s="21" customFormat="1"/>
    <row r="58" s="21" customFormat="1"/>
    <row r="59" s="21" customFormat="1"/>
    <row r="60" s="21" customFormat="1"/>
    <row r="61" s="21" customFormat="1"/>
    <row r="62" s="21" customFormat="1"/>
    <row r="63" s="21" customFormat="1"/>
    <row r="64" s="21" customFormat="1"/>
    <row r="65" s="21" customFormat="1"/>
    <row r="66" s="21" customFormat="1"/>
    <row r="67" s="21" customFormat="1"/>
    <row r="68" s="21" customFormat="1"/>
    <row r="69" s="21" customFormat="1"/>
    <row r="70" s="21" customFormat="1"/>
    <row r="71" s="21" customFormat="1"/>
    <row r="72" s="21" customFormat="1"/>
    <row r="73" s="21" customFormat="1"/>
    <row r="74" s="21" customFormat="1"/>
    <row r="75" s="21" customFormat="1"/>
    <row r="76" s="21" customFormat="1"/>
    <row r="77" s="21" customFormat="1"/>
    <row r="78" s="21" customFormat="1"/>
    <row r="79" s="21" customFormat="1"/>
    <row r="80" s="21" customFormat="1"/>
    <row r="81" s="21" customFormat="1"/>
    <row r="82" s="21" customFormat="1"/>
    <row r="83" s="21" customFormat="1"/>
    <row r="84" s="21" customFormat="1"/>
    <row r="85" s="21" customFormat="1"/>
    <row r="86" s="21" customFormat="1"/>
    <row r="87" s="21" customFormat="1"/>
    <row r="88" s="21" customFormat="1"/>
    <row r="89" s="21" customFormat="1"/>
    <row r="90" s="21" customFormat="1"/>
    <row r="91" s="21" customFormat="1"/>
    <row r="92" s="21" customFormat="1"/>
    <row r="93" s="21" customFormat="1"/>
    <row r="94" s="21" customFormat="1"/>
    <row r="95" s="21" customFormat="1"/>
    <row r="96" s="21" customFormat="1"/>
    <row r="97" spans="1:1" s="21" customFormat="1"/>
    <row r="98" spans="1:1" s="21" customFormat="1"/>
    <row r="99" spans="1:1" s="21" customFormat="1"/>
    <row r="100" spans="1:1" s="21" customFormat="1"/>
    <row r="101" spans="1:1" s="21" customFormat="1"/>
    <row r="102" spans="1:1" s="21" customFormat="1"/>
    <row r="103" spans="1:1" s="21" customFormat="1"/>
    <row r="104" spans="1:1" s="21" customFormat="1"/>
    <row r="105" spans="1:1" s="21" customFormat="1"/>
    <row r="106" spans="1:1">
      <c r="A106" s="20"/>
    </row>
    <row r="107" spans="1:1" s="21" customFormat="1"/>
    <row r="108" spans="1:1" s="21" customFormat="1"/>
    <row r="109" spans="1:1" s="21" customFormat="1"/>
    <row r="110" spans="1:1" s="21" customFormat="1"/>
    <row r="111" spans="1:1" s="21" customFormat="1"/>
    <row r="112" spans="1:1" s="21" customFormat="1"/>
    <row r="113" spans="1:1" s="21" customFormat="1"/>
    <row r="114" spans="1:1" s="21" customFormat="1"/>
    <row r="115" spans="1:1" s="21" customFormat="1"/>
    <row r="116" spans="1:1" s="21" customFormat="1"/>
    <row r="117" spans="1:1" s="21" customFormat="1"/>
    <row r="118" spans="1:1">
      <c r="A118" s="20"/>
    </row>
    <row r="119" spans="1:1">
      <c r="A119" s="20"/>
    </row>
  </sheetData>
  <pageMargins left="0.6692913385826772" right="2.6377952755905514" top="0.19685039370078741" bottom="2.0866141732283467" header="0.31496062992125984" footer="0.15748031496062992"/>
  <pageSetup paperSize="9" scale="90" orientation="landscape" horizontalDpi="300" verticalDpi="300" r:id="rId1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1" ySplit="8" topLeftCell="B27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B38" sqref="B38:Q38"/>
    </sheetView>
  </sheetViews>
  <sheetFormatPr defaultColWidth="8.85546875" defaultRowHeight="1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>
      <c r="A1" s="14" t="s">
        <v>2</v>
      </c>
      <c r="B1" s="23" t="s">
        <v>55</v>
      </c>
      <c r="C1" s="36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>
      <c r="A2" s="14" t="s">
        <v>0</v>
      </c>
      <c r="B2" s="37" t="str">
        <f>$A$9</f>
        <v>28/04/2023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8" t="s">
        <v>7</v>
      </c>
      <c r="Q2" s="12"/>
      <c r="R2" s="8" t="s">
        <v>8</v>
      </c>
      <c r="S2" s="11"/>
      <c r="T2" s="11"/>
      <c r="U2" s="11"/>
    </row>
    <row r="3" spans="1:21" s="21" customFormat="1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8" t="s">
        <v>15</v>
      </c>
      <c r="Q3" s="12"/>
      <c r="R3" s="9" t="s">
        <v>15</v>
      </c>
      <c r="S3" s="11"/>
      <c r="T3" s="11"/>
      <c r="U3" s="11"/>
    </row>
    <row r="4" spans="1:21" s="21" customFormat="1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>
      <c r="A7" s="25" t="s">
        <v>21</v>
      </c>
      <c r="B7" s="48" t="s">
        <v>40</v>
      </c>
      <c r="C7" s="49" t="s">
        <v>41</v>
      </c>
      <c r="D7" s="49" t="s">
        <v>42</v>
      </c>
      <c r="E7" s="49" t="s">
        <v>43</v>
      </c>
      <c r="F7" s="49" t="s">
        <v>44</v>
      </c>
      <c r="G7" s="49" t="s">
        <v>45</v>
      </c>
      <c r="H7" s="49" t="s">
        <v>56</v>
      </c>
      <c r="I7" s="49" t="s">
        <v>46</v>
      </c>
      <c r="J7" s="49" t="s">
        <v>47</v>
      </c>
      <c r="K7" s="49" t="s">
        <v>48</v>
      </c>
      <c r="L7" s="49" t="s">
        <v>49</v>
      </c>
      <c r="M7" s="49" t="s">
        <v>50</v>
      </c>
      <c r="N7" s="49" t="s">
        <v>51</v>
      </c>
      <c r="O7" s="49" t="s">
        <v>52</v>
      </c>
      <c r="P7" s="49" t="s">
        <v>53</v>
      </c>
      <c r="Q7" s="49" t="s">
        <v>54</v>
      </c>
      <c r="R7" s="27"/>
      <c r="S7" s="29"/>
      <c r="T7" s="27"/>
      <c r="U7" s="27"/>
    </row>
    <row r="8" spans="1:21" s="21" customFormat="1">
      <c r="A8" s="25"/>
      <c r="B8" s="50" t="s">
        <v>22</v>
      </c>
      <c r="C8" s="50" t="s">
        <v>22</v>
      </c>
      <c r="D8" s="50" t="s">
        <v>22</v>
      </c>
      <c r="E8" s="50" t="s">
        <v>22</v>
      </c>
      <c r="F8" s="50" t="s">
        <v>22</v>
      </c>
      <c r="G8" s="50" t="s">
        <v>23</v>
      </c>
      <c r="H8" s="50" t="s">
        <v>22</v>
      </c>
      <c r="I8" s="50" t="s">
        <v>22</v>
      </c>
      <c r="J8" s="50" t="s">
        <v>24</v>
      </c>
      <c r="K8" s="50" t="s">
        <v>25</v>
      </c>
      <c r="L8" s="25" t="s">
        <v>27</v>
      </c>
      <c r="M8" s="50" t="s">
        <v>26</v>
      </c>
      <c r="N8" s="50" t="s">
        <v>28</v>
      </c>
      <c r="O8" s="25" t="s">
        <v>29</v>
      </c>
      <c r="P8" s="50" t="s">
        <v>22</v>
      </c>
      <c r="Q8" s="50" t="s">
        <v>22</v>
      </c>
      <c r="R8" s="27"/>
      <c r="S8" s="29"/>
      <c r="T8" s="27"/>
      <c r="U8" s="27"/>
    </row>
    <row r="9" spans="1:21" s="11" customFormat="1">
      <c r="A9" s="52" t="s">
        <v>718</v>
      </c>
      <c r="B9" s="53">
        <v>40.86</v>
      </c>
      <c r="C9" s="53">
        <v>65.06</v>
      </c>
      <c r="D9" s="53">
        <v>66.86</v>
      </c>
      <c r="E9" s="53">
        <v>8.7200000000000006</v>
      </c>
      <c r="F9" s="53">
        <v>4.95</v>
      </c>
      <c r="G9" s="53">
        <v>108.52</v>
      </c>
      <c r="H9" s="53">
        <v>27.19</v>
      </c>
      <c r="I9" s="53">
        <v>7.4</v>
      </c>
      <c r="J9" s="53">
        <v>3.15</v>
      </c>
      <c r="K9" s="53">
        <v>264.27999999999997</v>
      </c>
      <c r="L9" s="53">
        <v>26.75</v>
      </c>
      <c r="M9" s="53">
        <v>91.34</v>
      </c>
      <c r="N9" s="53">
        <v>0.3</v>
      </c>
      <c r="O9" s="53">
        <v>0</v>
      </c>
      <c r="P9" s="53">
        <v>0.93</v>
      </c>
      <c r="Q9" s="53">
        <v>8.84</v>
      </c>
      <c r="R9" s="42"/>
      <c r="S9" s="42"/>
      <c r="T9" s="42"/>
      <c r="U9" s="42"/>
    </row>
    <row r="10" spans="1:21" s="11" customFormat="1">
      <c r="A10" s="52" t="s">
        <v>719</v>
      </c>
      <c r="B10" s="53">
        <v>33.35</v>
      </c>
      <c r="C10" s="53">
        <v>67.790000000000006</v>
      </c>
      <c r="D10" s="53">
        <v>62.71</v>
      </c>
      <c r="E10" s="53">
        <v>7.86</v>
      </c>
      <c r="F10" s="53">
        <v>3.86</v>
      </c>
      <c r="G10" s="53">
        <v>90.39</v>
      </c>
      <c r="H10" s="53">
        <v>24.2</v>
      </c>
      <c r="I10" s="53">
        <v>7.29</v>
      </c>
      <c r="J10" s="53">
        <v>1.54</v>
      </c>
      <c r="K10" s="53">
        <v>242.7</v>
      </c>
      <c r="L10" s="53">
        <v>20.38</v>
      </c>
      <c r="M10" s="53">
        <v>95.61</v>
      </c>
      <c r="N10" s="53">
        <v>0</v>
      </c>
      <c r="O10" s="53">
        <v>0</v>
      </c>
      <c r="P10" s="53">
        <v>0.89</v>
      </c>
      <c r="Q10" s="53">
        <v>8.4</v>
      </c>
      <c r="R10" s="42"/>
      <c r="S10" s="42"/>
      <c r="T10" s="42"/>
      <c r="U10" s="42"/>
    </row>
    <row r="11" spans="1:21" s="11" customFormat="1">
      <c r="A11" s="52" t="s">
        <v>720</v>
      </c>
      <c r="B11" s="53">
        <v>28.3</v>
      </c>
      <c r="C11" s="53">
        <v>66.209999999999994</v>
      </c>
      <c r="D11" s="53">
        <v>58.16</v>
      </c>
      <c r="E11" s="53">
        <v>7.81</v>
      </c>
      <c r="F11" s="53">
        <v>3.88</v>
      </c>
      <c r="G11" s="53">
        <v>53.47</v>
      </c>
      <c r="H11" s="53">
        <v>18.510000000000002</v>
      </c>
      <c r="I11" s="53">
        <v>7.01</v>
      </c>
      <c r="J11" s="53">
        <v>0.55000000000000004</v>
      </c>
      <c r="K11" s="53">
        <v>147.41</v>
      </c>
      <c r="L11" s="53">
        <v>20.91</v>
      </c>
      <c r="M11" s="53">
        <v>97.08</v>
      </c>
      <c r="N11" s="53">
        <v>0</v>
      </c>
      <c r="O11" s="53">
        <v>0</v>
      </c>
      <c r="P11" s="53">
        <v>0.84</v>
      </c>
      <c r="Q11" s="53">
        <v>4.76</v>
      </c>
      <c r="R11" s="42"/>
      <c r="S11" s="42"/>
      <c r="T11" s="42"/>
      <c r="U11" s="42"/>
    </row>
    <row r="12" spans="1:21" s="11" customFormat="1">
      <c r="A12" s="52" t="s">
        <v>721</v>
      </c>
      <c r="B12" s="53">
        <v>26.02</v>
      </c>
      <c r="C12" s="53">
        <v>64.930000000000007</v>
      </c>
      <c r="D12" s="53">
        <v>56.14</v>
      </c>
      <c r="E12" s="53">
        <v>7.69</v>
      </c>
      <c r="F12" s="53">
        <v>3.96</v>
      </c>
      <c r="G12" s="53">
        <v>28.59</v>
      </c>
      <c r="H12" s="53">
        <v>14.33</v>
      </c>
      <c r="I12" s="53">
        <v>6.77</v>
      </c>
      <c r="J12" s="53">
        <v>0.52</v>
      </c>
      <c r="K12" s="53">
        <v>116.81</v>
      </c>
      <c r="L12" s="53">
        <v>21.63</v>
      </c>
      <c r="M12" s="53">
        <v>93.77</v>
      </c>
      <c r="N12" s="53">
        <v>0</v>
      </c>
      <c r="O12" s="53">
        <v>0</v>
      </c>
      <c r="P12" s="53">
        <v>0.77</v>
      </c>
      <c r="Q12" s="53">
        <v>4.67</v>
      </c>
      <c r="R12" s="42"/>
      <c r="S12" s="42"/>
      <c r="T12" s="42"/>
      <c r="U12" s="42"/>
    </row>
    <row r="13" spans="1:21" s="11" customFormat="1">
      <c r="A13" s="54">
        <v>45044.208333333336</v>
      </c>
      <c r="B13" s="53">
        <v>22.97</v>
      </c>
      <c r="C13" s="53">
        <v>64.459999999999994</v>
      </c>
      <c r="D13" s="53">
        <v>53.36</v>
      </c>
      <c r="E13" s="53">
        <v>7.38</v>
      </c>
      <c r="F13" s="53">
        <v>3.59</v>
      </c>
      <c r="G13" s="53">
        <v>19.11</v>
      </c>
      <c r="H13" s="53">
        <v>10.4</v>
      </c>
      <c r="I13" s="53">
        <v>6</v>
      </c>
      <c r="J13" s="53">
        <v>0.32</v>
      </c>
      <c r="K13" s="53">
        <v>110.59</v>
      </c>
      <c r="L13" s="53">
        <v>21.93</v>
      </c>
      <c r="M13" s="53">
        <v>76.44</v>
      </c>
      <c r="N13" s="53">
        <v>0</v>
      </c>
      <c r="O13" s="53">
        <v>0</v>
      </c>
      <c r="P13" s="53">
        <v>0.68</v>
      </c>
      <c r="Q13" s="53">
        <v>4.67</v>
      </c>
      <c r="R13" s="42"/>
      <c r="S13" s="42"/>
      <c r="T13" s="42"/>
      <c r="U13" s="42"/>
    </row>
    <row r="14" spans="1:21" s="11" customFormat="1">
      <c r="A14" s="52" t="s">
        <v>722</v>
      </c>
      <c r="B14" s="3" t="s">
        <v>4</v>
      </c>
      <c r="C14" s="3" t="s">
        <v>4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42"/>
      <c r="S14" s="42"/>
      <c r="T14" s="42"/>
      <c r="U14" s="42"/>
    </row>
    <row r="15" spans="1:21" s="11" customFormat="1">
      <c r="A15" s="52" t="s">
        <v>723</v>
      </c>
      <c r="B15" s="3" t="s">
        <v>4</v>
      </c>
      <c r="C15" s="3" t="s">
        <v>4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42"/>
      <c r="S15" s="42"/>
      <c r="T15" s="42"/>
      <c r="U15" s="42"/>
    </row>
    <row r="16" spans="1:21" s="11" customFormat="1">
      <c r="A16" s="52" t="s">
        <v>724</v>
      </c>
      <c r="B16" s="3" t="s">
        <v>4</v>
      </c>
      <c r="C16" s="3" t="s">
        <v>4</v>
      </c>
      <c r="D16" s="3" t="s">
        <v>4</v>
      </c>
      <c r="E16" s="3" t="s">
        <v>4</v>
      </c>
      <c r="F16" s="3" t="s">
        <v>4</v>
      </c>
      <c r="G16" s="3" t="s">
        <v>4</v>
      </c>
      <c r="H16" s="3" t="s">
        <v>4</v>
      </c>
      <c r="I16" s="3" t="s">
        <v>4</v>
      </c>
      <c r="J16" s="3" t="s">
        <v>4</v>
      </c>
      <c r="K16" s="3" t="s">
        <v>4</v>
      </c>
      <c r="L16" s="3" t="s">
        <v>4</v>
      </c>
      <c r="M16" s="3" t="s">
        <v>4</v>
      </c>
      <c r="N16" s="3" t="s">
        <v>4</v>
      </c>
      <c r="O16" s="3" t="s">
        <v>4</v>
      </c>
      <c r="P16" s="3" t="s">
        <v>4</v>
      </c>
      <c r="Q16" s="3" t="s">
        <v>4</v>
      </c>
      <c r="R16" s="42"/>
      <c r="S16" s="42"/>
      <c r="T16" s="42"/>
      <c r="U16" s="42"/>
    </row>
    <row r="17" spans="1:21" s="11" customFormat="1">
      <c r="A17" s="52" t="s">
        <v>725</v>
      </c>
      <c r="B17" s="3" t="s">
        <v>4</v>
      </c>
      <c r="C17" s="3" t="s">
        <v>4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42"/>
      <c r="S17" s="42"/>
      <c r="T17" s="42"/>
      <c r="U17" s="42"/>
    </row>
    <row r="18" spans="1:21" s="11" customFormat="1">
      <c r="A18" s="52" t="s">
        <v>726</v>
      </c>
      <c r="B18" s="3" t="s">
        <v>4</v>
      </c>
      <c r="C18" s="3" t="s">
        <v>4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42"/>
      <c r="S18" s="42"/>
      <c r="T18" s="42"/>
      <c r="U18" s="42"/>
    </row>
    <row r="19" spans="1:21" s="11" customFormat="1">
      <c r="A19" s="52" t="s">
        <v>727</v>
      </c>
      <c r="B19" s="3" t="s">
        <v>4</v>
      </c>
      <c r="C19" s="3" t="s">
        <v>4</v>
      </c>
      <c r="D19" s="3" t="s">
        <v>4</v>
      </c>
      <c r="E19" s="3" t="s">
        <v>4</v>
      </c>
      <c r="F19" s="3" t="s">
        <v>4</v>
      </c>
      <c r="G19" s="3" t="s">
        <v>4</v>
      </c>
      <c r="H19" s="3" t="s">
        <v>4</v>
      </c>
      <c r="I19" s="3" t="s">
        <v>4</v>
      </c>
      <c r="J19" s="3" t="s">
        <v>4</v>
      </c>
      <c r="K19" s="3" t="s">
        <v>4</v>
      </c>
      <c r="L19" s="3" t="s">
        <v>4</v>
      </c>
      <c r="M19" s="3" t="s">
        <v>4</v>
      </c>
      <c r="N19" s="3" t="s">
        <v>4</v>
      </c>
      <c r="O19" s="3" t="s">
        <v>4</v>
      </c>
      <c r="P19" s="3" t="s">
        <v>4</v>
      </c>
      <c r="Q19" s="3" t="s">
        <v>4</v>
      </c>
      <c r="R19" s="42"/>
      <c r="S19" s="42"/>
      <c r="T19" s="42"/>
      <c r="U19" s="42"/>
    </row>
    <row r="20" spans="1:21" s="11" customFormat="1">
      <c r="A20" s="52" t="s">
        <v>728</v>
      </c>
      <c r="B20" s="53">
        <v>6.65</v>
      </c>
      <c r="C20" s="53">
        <v>35.46</v>
      </c>
      <c r="D20" s="53">
        <v>25.21</v>
      </c>
      <c r="E20" s="53">
        <v>4.58</v>
      </c>
      <c r="F20" s="53">
        <v>28.3</v>
      </c>
      <c r="G20" s="53">
        <v>7.53</v>
      </c>
      <c r="H20" s="53">
        <v>3.34</v>
      </c>
      <c r="I20" s="53">
        <v>4.47</v>
      </c>
      <c r="J20" s="53">
        <v>0.66</v>
      </c>
      <c r="K20" s="53">
        <v>255.37</v>
      </c>
      <c r="L20" s="53">
        <v>32.58</v>
      </c>
      <c r="M20" s="53">
        <v>46</v>
      </c>
      <c r="N20" s="53">
        <v>730</v>
      </c>
      <c r="O20" s="53">
        <v>0</v>
      </c>
      <c r="P20" s="53">
        <v>0.19</v>
      </c>
      <c r="Q20" s="53">
        <v>5</v>
      </c>
      <c r="R20" s="42"/>
      <c r="S20" s="42"/>
      <c r="T20" s="42"/>
      <c r="U20" s="42"/>
    </row>
    <row r="21" spans="1:21" s="11" customFormat="1">
      <c r="A21" s="52" t="s">
        <v>729</v>
      </c>
      <c r="B21" s="18" t="s">
        <v>12</v>
      </c>
      <c r="C21" s="18" t="s">
        <v>12</v>
      </c>
      <c r="D21" s="18" t="s">
        <v>12</v>
      </c>
      <c r="E21" s="18" t="s">
        <v>12</v>
      </c>
      <c r="F21" s="53">
        <v>27.88</v>
      </c>
      <c r="G21" s="18" t="s">
        <v>12</v>
      </c>
      <c r="H21" s="18" t="s">
        <v>12</v>
      </c>
      <c r="I21" s="53">
        <v>7.89</v>
      </c>
      <c r="J21" s="53">
        <v>0.89</v>
      </c>
      <c r="K21" s="53">
        <v>266.44</v>
      </c>
      <c r="L21" s="53">
        <v>32.520000000000003</v>
      </c>
      <c r="M21" s="53">
        <v>46.72</v>
      </c>
      <c r="N21" s="53">
        <v>579.79999999999995</v>
      </c>
      <c r="O21" s="53">
        <v>0</v>
      </c>
      <c r="P21" s="53">
        <v>0.36</v>
      </c>
      <c r="Q21" s="53">
        <v>4.66</v>
      </c>
      <c r="R21" s="42"/>
      <c r="S21" s="42"/>
      <c r="T21" s="42"/>
      <c r="U21" s="42"/>
    </row>
    <row r="22" spans="1:21" s="11" customFormat="1">
      <c r="A22" s="52" t="s">
        <v>730</v>
      </c>
      <c r="B22" s="53">
        <v>10.93</v>
      </c>
      <c r="C22" s="53">
        <v>33.880000000000003</v>
      </c>
      <c r="D22" s="53">
        <v>25.05</v>
      </c>
      <c r="E22" s="18" t="s">
        <v>12</v>
      </c>
      <c r="F22" s="53">
        <v>38.21</v>
      </c>
      <c r="G22" s="18" t="s">
        <v>12</v>
      </c>
      <c r="H22" s="18" t="s">
        <v>12</v>
      </c>
      <c r="I22" s="53">
        <v>19.14</v>
      </c>
      <c r="J22" s="53">
        <v>1.01</v>
      </c>
      <c r="K22" s="53">
        <v>284.87</v>
      </c>
      <c r="L22" s="53">
        <v>33.299999999999997</v>
      </c>
      <c r="M22" s="53">
        <v>45.7</v>
      </c>
      <c r="N22" s="53">
        <v>644.70000000000005</v>
      </c>
      <c r="O22" s="53">
        <v>0</v>
      </c>
      <c r="P22" s="53">
        <v>0.45</v>
      </c>
      <c r="Q22" s="53">
        <v>4.75</v>
      </c>
      <c r="R22" s="42"/>
      <c r="S22" s="42"/>
      <c r="T22" s="42"/>
      <c r="U22" s="42"/>
    </row>
    <row r="23" spans="1:21" s="11" customFormat="1">
      <c r="A23" s="52" t="s">
        <v>731</v>
      </c>
      <c r="B23" s="53">
        <v>10.32</v>
      </c>
      <c r="C23" s="53">
        <v>37</v>
      </c>
      <c r="D23" s="53">
        <v>26.6</v>
      </c>
      <c r="E23" s="53">
        <v>11.01</v>
      </c>
      <c r="F23" s="53">
        <v>32.72</v>
      </c>
      <c r="G23" s="53">
        <v>8.48</v>
      </c>
      <c r="H23" s="53">
        <v>0.63</v>
      </c>
      <c r="I23" s="53">
        <v>37.450000000000003</v>
      </c>
      <c r="J23" s="53">
        <v>1.0900000000000001</v>
      </c>
      <c r="K23" s="53">
        <v>291.73</v>
      </c>
      <c r="L23" s="53">
        <v>33.9</v>
      </c>
      <c r="M23" s="53">
        <v>43.71</v>
      </c>
      <c r="N23" s="53">
        <v>709.6</v>
      </c>
      <c r="O23" s="53">
        <v>0</v>
      </c>
      <c r="P23" s="53">
        <v>0.65</v>
      </c>
      <c r="Q23" s="53">
        <v>4.59</v>
      </c>
      <c r="R23" s="42"/>
      <c r="S23" s="42"/>
      <c r="T23" s="42"/>
      <c r="U23" s="42"/>
    </row>
    <row r="24" spans="1:21" s="11" customFormat="1">
      <c r="A24" s="52" t="s">
        <v>732</v>
      </c>
      <c r="B24" s="53">
        <v>4.88</v>
      </c>
      <c r="C24" s="53">
        <v>48.96</v>
      </c>
      <c r="D24" s="53">
        <v>30.84</v>
      </c>
      <c r="E24" s="53">
        <v>8.52</v>
      </c>
      <c r="F24" s="53">
        <v>15.74</v>
      </c>
      <c r="G24" s="53">
        <v>23.67</v>
      </c>
      <c r="H24" s="53">
        <v>9.6</v>
      </c>
      <c r="I24" s="53">
        <v>38.01</v>
      </c>
      <c r="J24" s="53">
        <v>1.01</v>
      </c>
      <c r="K24" s="53">
        <v>291</v>
      </c>
      <c r="L24" s="53">
        <v>33.54</v>
      </c>
      <c r="M24" s="53">
        <v>43.66</v>
      </c>
      <c r="N24" s="53">
        <v>434.7</v>
      </c>
      <c r="O24" s="53">
        <v>0</v>
      </c>
      <c r="P24" s="53">
        <v>0.69</v>
      </c>
      <c r="Q24" s="53">
        <v>4.79</v>
      </c>
      <c r="R24" s="42"/>
      <c r="S24" s="42"/>
      <c r="T24" s="42"/>
      <c r="U24" s="42"/>
    </row>
    <row r="25" spans="1:21" s="11" customFormat="1">
      <c r="A25" s="52" t="s">
        <v>733</v>
      </c>
      <c r="B25" s="53">
        <v>6.07</v>
      </c>
      <c r="C25" s="53">
        <v>54.89</v>
      </c>
      <c r="D25" s="53">
        <v>34.9</v>
      </c>
      <c r="E25" s="53">
        <v>9.44</v>
      </c>
      <c r="F25" s="53">
        <v>17.41</v>
      </c>
      <c r="G25" s="53">
        <v>26.8</v>
      </c>
      <c r="H25" s="53">
        <v>13.48</v>
      </c>
      <c r="I25" s="53">
        <v>31.95</v>
      </c>
      <c r="J25" s="53">
        <v>0.65</v>
      </c>
      <c r="K25" s="53">
        <v>288.77999999999997</v>
      </c>
      <c r="L25" s="53">
        <v>34.61</v>
      </c>
      <c r="M25" s="53">
        <v>42.19</v>
      </c>
      <c r="N25" s="53">
        <v>457.6</v>
      </c>
      <c r="O25" s="53">
        <v>0</v>
      </c>
      <c r="P25" s="53">
        <v>0.73</v>
      </c>
      <c r="Q25" s="53">
        <v>4.82</v>
      </c>
      <c r="R25" s="42"/>
      <c r="S25" s="42"/>
      <c r="T25" s="42"/>
      <c r="U25" s="42"/>
    </row>
    <row r="26" spans="1:21" s="11" customFormat="1">
      <c r="A26" s="52" t="s">
        <v>734</v>
      </c>
      <c r="B26" s="53">
        <v>6.43</v>
      </c>
      <c r="C26" s="53">
        <v>55.61</v>
      </c>
      <c r="D26" s="53">
        <v>35.46</v>
      </c>
      <c r="E26" s="53">
        <v>8.15</v>
      </c>
      <c r="F26" s="53">
        <v>22.25</v>
      </c>
      <c r="G26" s="53">
        <v>31.09</v>
      </c>
      <c r="H26" s="53">
        <v>14.79</v>
      </c>
      <c r="I26" s="53">
        <v>25.49</v>
      </c>
      <c r="J26" s="53">
        <v>0.76</v>
      </c>
      <c r="K26" s="53">
        <v>227.98</v>
      </c>
      <c r="L26" s="53">
        <v>33.159999999999997</v>
      </c>
      <c r="M26" s="53">
        <v>49.54</v>
      </c>
      <c r="N26" s="53">
        <v>157</v>
      </c>
      <c r="O26" s="53">
        <v>0</v>
      </c>
      <c r="P26" s="53">
        <v>0.7</v>
      </c>
      <c r="Q26" s="53">
        <v>4.88</v>
      </c>
      <c r="R26" s="42"/>
      <c r="S26" s="42"/>
      <c r="T26" s="42"/>
      <c r="U26" s="42"/>
    </row>
    <row r="27" spans="1:21" s="11" customFormat="1">
      <c r="A27" s="52" t="s">
        <v>735</v>
      </c>
      <c r="B27" s="53">
        <v>7.85</v>
      </c>
      <c r="C27" s="53">
        <v>50.32</v>
      </c>
      <c r="D27" s="53">
        <v>33.94</v>
      </c>
      <c r="E27" s="53">
        <v>10.02</v>
      </c>
      <c r="F27" s="53">
        <v>29.74</v>
      </c>
      <c r="G27" s="53">
        <v>31.09</v>
      </c>
      <c r="H27" s="53">
        <v>14.79</v>
      </c>
      <c r="I27" s="53">
        <v>19.850000000000001</v>
      </c>
      <c r="J27" s="53">
        <v>0.19</v>
      </c>
      <c r="K27" s="53">
        <v>196.84</v>
      </c>
      <c r="L27" s="53">
        <v>30.87</v>
      </c>
      <c r="M27" s="53">
        <v>59.45</v>
      </c>
      <c r="N27" s="53">
        <v>0.5</v>
      </c>
      <c r="O27" s="53">
        <v>0</v>
      </c>
      <c r="P27" s="53">
        <v>0.59</v>
      </c>
      <c r="Q27" s="53">
        <v>4.87</v>
      </c>
      <c r="R27" s="42"/>
      <c r="S27" s="42"/>
      <c r="T27" s="42"/>
      <c r="U27" s="42"/>
    </row>
    <row r="28" spans="1:21" s="11" customFormat="1">
      <c r="A28" s="52" t="s">
        <v>736</v>
      </c>
      <c r="B28" s="53">
        <v>10.86</v>
      </c>
      <c r="C28" s="53">
        <v>53.8</v>
      </c>
      <c r="D28" s="53">
        <v>38.17</v>
      </c>
      <c r="E28" s="53">
        <v>10.49</v>
      </c>
      <c r="F28" s="53">
        <v>22.02</v>
      </c>
      <c r="G28" s="53">
        <v>25.45</v>
      </c>
      <c r="H28" s="53">
        <v>13.36</v>
      </c>
      <c r="I28" s="53">
        <v>15.56</v>
      </c>
      <c r="J28" s="53">
        <v>0.19</v>
      </c>
      <c r="K28" s="53">
        <v>159.06</v>
      </c>
      <c r="L28" s="53">
        <v>29</v>
      </c>
      <c r="M28" s="53">
        <v>67.22</v>
      </c>
      <c r="N28" s="53">
        <v>0</v>
      </c>
      <c r="O28" s="53">
        <v>0</v>
      </c>
      <c r="P28" s="53">
        <v>0.6</v>
      </c>
      <c r="Q28" s="53">
        <v>4.9800000000000004</v>
      </c>
      <c r="R28" s="42"/>
      <c r="S28" s="42"/>
      <c r="T28" s="42"/>
      <c r="U28" s="42"/>
    </row>
    <row r="29" spans="1:21" s="11" customFormat="1">
      <c r="A29" s="52" t="s">
        <v>737</v>
      </c>
      <c r="B29" s="53">
        <v>12.78</v>
      </c>
      <c r="C29" s="53">
        <v>55.07</v>
      </c>
      <c r="D29" s="53">
        <v>40.369999999999997</v>
      </c>
      <c r="E29" s="53">
        <v>10.55</v>
      </c>
      <c r="F29" s="53">
        <v>18.260000000000002</v>
      </c>
      <c r="G29" s="53">
        <v>33.32</v>
      </c>
      <c r="H29" s="53">
        <v>14.32</v>
      </c>
      <c r="I29" s="53">
        <v>14.93</v>
      </c>
      <c r="J29" s="53">
        <v>0.14000000000000001</v>
      </c>
      <c r="K29" s="53">
        <v>215.85</v>
      </c>
      <c r="L29" s="53">
        <v>27.91</v>
      </c>
      <c r="M29" s="53">
        <v>67.2</v>
      </c>
      <c r="N29" s="53">
        <v>0</v>
      </c>
      <c r="O29" s="53">
        <v>0</v>
      </c>
      <c r="P29" s="53">
        <v>0.6</v>
      </c>
      <c r="Q29" s="53">
        <v>5.27</v>
      </c>
      <c r="R29" s="42"/>
      <c r="S29" s="42"/>
      <c r="T29" s="42"/>
      <c r="U29" s="42"/>
    </row>
    <row r="30" spans="1:21" s="11" customFormat="1">
      <c r="A30" s="52" t="s">
        <v>738</v>
      </c>
      <c r="B30" s="53">
        <v>15.67</v>
      </c>
      <c r="C30" s="53">
        <v>55.34</v>
      </c>
      <c r="D30" s="53">
        <v>42.83</v>
      </c>
      <c r="E30" s="53">
        <v>10.81</v>
      </c>
      <c r="F30" s="53">
        <v>11.81</v>
      </c>
      <c r="G30" s="53">
        <v>33.32</v>
      </c>
      <c r="H30" s="53">
        <v>15.59</v>
      </c>
      <c r="I30" s="53">
        <v>13.66</v>
      </c>
      <c r="J30" s="53">
        <v>0.16</v>
      </c>
      <c r="K30" s="53">
        <v>220.18</v>
      </c>
      <c r="L30" s="53">
        <v>27.2</v>
      </c>
      <c r="M30" s="53">
        <v>71.67</v>
      </c>
      <c r="N30" s="53">
        <v>0</v>
      </c>
      <c r="O30" s="53">
        <v>0</v>
      </c>
      <c r="P30" s="53">
        <v>0.6</v>
      </c>
      <c r="Q30" s="53">
        <v>5.45</v>
      </c>
      <c r="R30" s="42"/>
      <c r="S30" s="42"/>
      <c r="T30" s="42"/>
      <c r="U30" s="42"/>
    </row>
    <row r="31" spans="1:21" s="11" customFormat="1">
      <c r="A31" s="52" t="s">
        <v>739</v>
      </c>
      <c r="B31" s="53">
        <v>19.04</v>
      </c>
      <c r="C31" s="53">
        <v>68.78</v>
      </c>
      <c r="D31" s="53">
        <v>52.56</v>
      </c>
      <c r="E31" s="53">
        <v>10.8</v>
      </c>
      <c r="F31" s="53">
        <v>10.9</v>
      </c>
      <c r="G31" s="53">
        <v>33.28</v>
      </c>
      <c r="H31" s="53">
        <v>16.29</v>
      </c>
      <c r="I31" s="53">
        <v>12.61</v>
      </c>
      <c r="J31" s="53">
        <v>0.25</v>
      </c>
      <c r="K31" s="53">
        <v>223.09</v>
      </c>
      <c r="L31" s="53">
        <v>27.41</v>
      </c>
      <c r="M31" s="53">
        <v>72.53</v>
      </c>
      <c r="N31" s="53">
        <v>0</v>
      </c>
      <c r="O31" s="53">
        <v>0</v>
      </c>
      <c r="P31" s="53">
        <v>0.61</v>
      </c>
      <c r="Q31" s="53">
        <v>5.91</v>
      </c>
      <c r="R31" s="42"/>
      <c r="S31" s="42"/>
      <c r="T31" s="42"/>
      <c r="U31" s="42"/>
    </row>
    <row r="32" spans="1:21" s="11" customFormat="1">
      <c r="A32" s="52" t="s">
        <v>740</v>
      </c>
      <c r="B32" s="53">
        <v>21.56</v>
      </c>
      <c r="C32" s="53">
        <v>72.38</v>
      </c>
      <c r="D32" s="53">
        <v>55.04</v>
      </c>
      <c r="E32" s="53">
        <v>10.69</v>
      </c>
      <c r="F32" s="53">
        <v>4.09</v>
      </c>
      <c r="G32" s="53">
        <v>35.57</v>
      </c>
      <c r="H32" s="53">
        <v>21.06</v>
      </c>
      <c r="I32" s="53">
        <v>11.92</v>
      </c>
      <c r="J32" s="53">
        <v>0.28000000000000003</v>
      </c>
      <c r="K32" s="53">
        <v>177.96</v>
      </c>
      <c r="L32" s="53">
        <v>26.75</v>
      </c>
      <c r="M32" s="53">
        <v>76.61</v>
      </c>
      <c r="N32" s="53">
        <v>0</v>
      </c>
      <c r="O32" s="53">
        <v>0</v>
      </c>
      <c r="P32" s="53">
        <v>0.62</v>
      </c>
      <c r="Q32" s="53">
        <v>6.32</v>
      </c>
      <c r="R32" s="42"/>
      <c r="S32" s="42"/>
      <c r="T32" s="42"/>
      <c r="U32" s="42"/>
    </row>
    <row r="33" spans="1:21" s="21" customFormat="1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>
      <c r="A34" s="27" t="s">
        <v>30</v>
      </c>
      <c r="B34" s="28">
        <f t="shared" ref="B34:Q34" si="0">MIN(B9:B32)</f>
        <v>4.88</v>
      </c>
      <c r="C34" s="28">
        <f t="shared" si="0"/>
        <v>33.880000000000003</v>
      </c>
      <c r="D34" s="28">
        <f t="shared" si="0"/>
        <v>25.05</v>
      </c>
      <c r="E34" s="28">
        <f t="shared" si="0"/>
        <v>4.58</v>
      </c>
      <c r="F34" s="28">
        <f t="shared" si="0"/>
        <v>3.59</v>
      </c>
      <c r="G34" s="28">
        <f t="shared" si="0"/>
        <v>7.53</v>
      </c>
      <c r="H34" s="28">
        <f>MIN(H9:H32)</f>
        <v>0.63</v>
      </c>
      <c r="I34" s="28">
        <f t="shared" si="0"/>
        <v>4.47</v>
      </c>
      <c r="J34" s="28">
        <f t="shared" si="0"/>
        <v>0.14000000000000001</v>
      </c>
      <c r="K34" s="28">
        <f t="shared" si="0"/>
        <v>110.59</v>
      </c>
      <c r="L34" s="28">
        <f t="shared" si="0"/>
        <v>20.38</v>
      </c>
      <c r="M34" s="28">
        <f t="shared" si="0"/>
        <v>42.19</v>
      </c>
      <c r="N34" s="28">
        <f t="shared" si="0"/>
        <v>0</v>
      </c>
      <c r="O34" s="28">
        <f t="shared" si="0"/>
        <v>0</v>
      </c>
      <c r="P34" s="28">
        <f t="shared" si="0"/>
        <v>0.19</v>
      </c>
      <c r="Q34" s="28">
        <f t="shared" si="0"/>
        <v>4.59</v>
      </c>
      <c r="R34" s="28"/>
      <c r="S34" s="28"/>
      <c r="T34" s="28"/>
      <c r="U34" s="28"/>
    </row>
    <row r="35" spans="1:21" s="21" customFormat="1">
      <c r="A35" s="27" t="s">
        <v>31</v>
      </c>
      <c r="B35" s="29">
        <f t="shared" ref="B35:Q35" si="1">MAX(B9:B32)</f>
        <v>40.86</v>
      </c>
      <c r="C35" s="29">
        <f t="shared" si="1"/>
        <v>72.38</v>
      </c>
      <c r="D35" s="29">
        <f t="shared" si="1"/>
        <v>66.86</v>
      </c>
      <c r="E35" s="29">
        <f t="shared" si="1"/>
        <v>11.01</v>
      </c>
      <c r="F35" s="29">
        <f t="shared" si="1"/>
        <v>38.21</v>
      </c>
      <c r="G35" s="29">
        <f>MAX(G9:G32)</f>
        <v>108.52</v>
      </c>
      <c r="H35" s="29">
        <f>MAX(H9:H32)</f>
        <v>27.19</v>
      </c>
      <c r="I35" s="29">
        <f t="shared" si="1"/>
        <v>38.01</v>
      </c>
      <c r="J35" s="29">
        <f t="shared" si="1"/>
        <v>3.15</v>
      </c>
      <c r="K35" s="29">
        <f t="shared" si="1"/>
        <v>291.73</v>
      </c>
      <c r="L35" s="29">
        <f t="shared" si="1"/>
        <v>34.61</v>
      </c>
      <c r="M35" s="29">
        <f t="shared" si="1"/>
        <v>97.08</v>
      </c>
      <c r="N35" s="29">
        <f t="shared" si="1"/>
        <v>730</v>
      </c>
      <c r="O35" s="29">
        <f t="shared" si="1"/>
        <v>0</v>
      </c>
      <c r="P35" s="29">
        <f t="shared" si="1"/>
        <v>0.93</v>
      </c>
      <c r="Q35" s="29">
        <f t="shared" si="1"/>
        <v>8.84</v>
      </c>
      <c r="R35" s="29"/>
      <c r="S35" s="29"/>
      <c r="T35" s="29"/>
      <c r="U35" s="29"/>
    </row>
    <row r="36" spans="1:21" s="21" customFormat="1">
      <c r="A36" s="27" t="s">
        <v>32</v>
      </c>
      <c r="B36" s="28">
        <f t="shared" ref="B36:Q36" si="2">AVERAGE(B9:B32)</f>
        <v>16.73764705882353</v>
      </c>
      <c r="C36" s="28">
        <f t="shared" si="2"/>
        <v>55.878823529411768</v>
      </c>
      <c r="D36" s="28">
        <f t="shared" si="2"/>
        <v>43.423529411764711</v>
      </c>
      <c r="E36" s="28">
        <f t="shared" si="2"/>
        <v>9.0324999999999989</v>
      </c>
      <c r="F36" s="28">
        <f t="shared" si="2"/>
        <v>16.642777777777777</v>
      </c>
      <c r="G36" s="28">
        <f t="shared" si="2"/>
        <v>36.854999999999997</v>
      </c>
      <c r="H36" s="28">
        <f>AVERAGE(H9:H32)</f>
        <v>14.4925</v>
      </c>
      <c r="I36" s="28">
        <f t="shared" si="2"/>
        <v>15.966666666666669</v>
      </c>
      <c r="J36" s="28">
        <f t="shared" si="2"/>
        <v>0.74222222222222223</v>
      </c>
      <c r="K36" s="28">
        <f t="shared" si="2"/>
        <v>221.16333333333336</v>
      </c>
      <c r="L36" s="28">
        <f t="shared" si="2"/>
        <v>28.575000000000006</v>
      </c>
      <c r="M36" s="28">
        <f t="shared" si="2"/>
        <v>65.913333333333341</v>
      </c>
      <c r="N36" s="28">
        <f t="shared" si="2"/>
        <v>206.34444444444443</v>
      </c>
      <c r="O36" s="28">
        <f t="shared" si="2"/>
        <v>0</v>
      </c>
      <c r="P36" s="28">
        <f t="shared" si="2"/>
        <v>0.63888888888888884</v>
      </c>
      <c r="Q36" s="28">
        <f t="shared" si="2"/>
        <v>5.4238888888888885</v>
      </c>
      <c r="R36" s="28"/>
      <c r="S36" s="28"/>
      <c r="T36" s="28"/>
      <c r="U36" s="28"/>
    </row>
    <row r="37" spans="1:21" s="21" customFormat="1">
      <c r="A37" s="27" t="s">
        <v>38</v>
      </c>
      <c r="B37" s="28">
        <f>STDEV(B9:B32)</f>
        <v>10.644164791924592</v>
      </c>
      <c r="C37" s="28">
        <f t="shared" ref="C37:Q37" si="3">STDEV(C9:C32)</f>
        <v>11.909991017184343</v>
      </c>
      <c r="D37" s="28">
        <f t="shared" si="3"/>
        <v>13.673049194115583</v>
      </c>
      <c r="E37" s="28">
        <f t="shared" si="3"/>
        <v>1.767783923447668</v>
      </c>
      <c r="F37" s="28">
        <f t="shared" si="3"/>
        <v>11.452829501689582</v>
      </c>
      <c r="G37" s="28">
        <f t="shared" si="3"/>
        <v>26.878906475772663</v>
      </c>
      <c r="H37" s="28">
        <f>STDEV(H9:H32)</f>
        <v>6.727768822821818</v>
      </c>
      <c r="I37" s="28">
        <f t="shared" si="3"/>
        <v>10.746189475125309</v>
      </c>
      <c r="J37" s="28">
        <f t="shared" si="3"/>
        <v>0.71815577169462386</v>
      </c>
      <c r="K37" s="28">
        <f t="shared" si="3"/>
        <v>58.901864246937812</v>
      </c>
      <c r="L37" s="28">
        <f t="shared" si="3"/>
        <v>4.8414706686391868</v>
      </c>
      <c r="M37" s="28">
        <f t="shared" si="3"/>
        <v>19.72701044701072</v>
      </c>
      <c r="N37" s="28">
        <f t="shared" si="3"/>
        <v>291.53195208238725</v>
      </c>
      <c r="O37" s="28">
        <f t="shared" si="3"/>
        <v>0</v>
      </c>
      <c r="P37" s="28">
        <f t="shared" si="3"/>
        <v>0.17904612908373435</v>
      </c>
      <c r="Q37" s="28">
        <f t="shared" si="3"/>
        <v>1.2519873091298583</v>
      </c>
      <c r="R37" s="28"/>
      <c r="S37" s="28"/>
      <c r="T37" s="28"/>
      <c r="U37" s="28"/>
    </row>
    <row r="38" spans="1:21" s="21" customFormat="1">
      <c r="A38" s="31" t="s">
        <v>33</v>
      </c>
      <c r="B38" s="32">
        <v>18</v>
      </c>
      <c r="C38" s="32">
        <v>18</v>
      </c>
      <c r="D38" s="32">
        <v>18</v>
      </c>
      <c r="E38" s="32">
        <v>18</v>
      </c>
      <c r="F38" s="32">
        <v>18</v>
      </c>
      <c r="G38" s="32">
        <v>18</v>
      </c>
      <c r="H38" s="32">
        <v>18</v>
      </c>
      <c r="I38" s="32">
        <v>18</v>
      </c>
      <c r="J38" s="32">
        <v>18</v>
      </c>
      <c r="K38" s="32">
        <v>18</v>
      </c>
      <c r="L38" s="32">
        <v>18</v>
      </c>
      <c r="M38" s="32">
        <v>18</v>
      </c>
      <c r="N38" s="32">
        <v>18</v>
      </c>
      <c r="O38" s="32">
        <v>18</v>
      </c>
      <c r="P38" s="32">
        <v>18</v>
      </c>
      <c r="Q38" s="32">
        <v>18</v>
      </c>
      <c r="R38" s="32"/>
      <c r="S38" s="32"/>
      <c r="T38" s="32"/>
      <c r="U38" s="32"/>
    </row>
    <row r="39" spans="1:21" s="21" customFormat="1">
      <c r="A39" s="27" t="s">
        <v>34</v>
      </c>
      <c r="B39" s="29" t="str">
        <f>IF(B38&gt;=22,"&gt;90%",IF(B38&lt;=22,"&lt;90%"))</f>
        <v>&lt;90%</v>
      </c>
      <c r="C39" s="29" t="str">
        <f t="shared" ref="C39:P39" si="4">IF(C38&gt;=22,"&gt;90%",IF(C38&lt;=22,"&lt;90%"))</f>
        <v>&lt;90%</v>
      </c>
      <c r="D39" s="29" t="str">
        <f t="shared" si="4"/>
        <v>&lt;90%</v>
      </c>
      <c r="E39" s="29" t="str">
        <f t="shared" si="4"/>
        <v>&lt;90%</v>
      </c>
      <c r="F39" s="29" t="str">
        <f t="shared" si="4"/>
        <v>&lt;90%</v>
      </c>
      <c r="G39" s="29" t="str">
        <f t="shared" si="4"/>
        <v>&lt;90%</v>
      </c>
      <c r="H39" s="29" t="str">
        <f t="shared" si="4"/>
        <v>&lt;90%</v>
      </c>
      <c r="I39" s="29" t="str">
        <f t="shared" si="4"/>
        <v>&lt;90%</v>
      </c>
      <c r="J39" s="29" t="str">
        <f t="shared" si="4"/>
        <v>&lt;90%</v>
      </c>
      <c r="K39" s="29" t="str">
        <f t="shared" si="4"/>
        <v>&lt;90%</v>
      </c>
      <c r="L39" s="29" t="str">
        <f t="shared" si="4"/>
        <v>&lt;90%</v>
      </c>
      <c r="M39" s="29" t="str">
        <f t="shared" si="4"/>
        <v>&lt;90%</v>
      </c>
      <c r="N39" s="29" t="str">
        <f t="shared" si="4"/>
        <v>&lt;90%</v>
      </c>
      <c r="O39" s="29" t="str">
        <f t="shared" si="4"/>
        <v>&lt;90%</v>
      </c>
      <c r="P39" s="29" t="str">
        <f t="shared" si="4"/>
        <v>&lt;90%</v>
      </c>
      <c r="Q39" s="29" t="str">
        <f>IF(Q38&gt;=22,"&gt;90%",IF(Q38&lt;=22,"&lt;90%"))</f>
        <v>&lt;90%</v>
      </c>
      <c r="R39" s="29"/>
      <c r="S39" s="29"/>
      <c r="T39" s="29"/>
      <c r="U39" s="29"/>
    </row>
    <row r="40" spans="1:21" s="21" customFormat="1">
      <c r="A40" s="27" t="s">
        <v>1</v>
      </c>
      <c r="B40" s="29" t="str">
        <f>IF(B38&gt;=22,"OK",IF(B38&lt;=22,"LESS"))</f>
        <v>LESS</v>
      </c>
      <c r="C40" s="29" t="str">
        <f t="shared" ref="C40:Q40" si="5">IF(C38&gt;=22,"OK",IF(C38&lt;=22,"LESS"))</f>
        <v>LESS</v>
      </c>
      <c r="D40" s="29" t="str">
        <f t="shared" si="5"/>
        <v>LESS</v>
      </c>
      <c r="E40" s="29" t="str">
        <f t="shared" si="5"/>
        <v>LESS</v>
      </c>
      <c r="F40" s="29" t="str">
        <f t="shared" si="5"/>
        <v>LESS</v>
      </c>
      <c r="G40" s="29" t="str">
        <f t="shared" si="5"/>
        <v>LESS</v>
      </c>
      <c r="H40" s="29" t="str">
        <f t="shared" si="5"/>
        <v>LESS</v>
      </c>
      <c r="I40" s="29" t="str">
        <f t="shared" si="5"/>
        <v>LESS</v>
      </c>
      <c r="J40" s="29" t="str">
        <f t="shared" si="5"/>
        <v>LESS</v>
      </c>
      <c r="K40" s="29" t="str">
        <f t="shared" si="5"/>
        <v>LESS</v>
      </c>
      <c r="L40" s="29" t="str">
        <f t="shared" si="5"/>
        <v>LESS</v>
      </c>
      <c r="M40" s="29" t="str">
        <f t="shared" si="5"/>
        <v>LESS</v>
      </c>
      <c r="N40" s="29" t="str">
        <f t="shared" si="5"/>
        <v>LESS</v>
      </c>
      <c r="O40" s="29" t="str">
        <f t="shared" si="5"/>
        <v>LESS</v>
      </c>
      <c r="P40" s="29" t="str">
        <f t="shared" si="5"/>
        <v>LESS</v>
      </c>
      <c r="Q40" s="29" t="str">
        <f t="shared" si="5"/>
        <v>LESS</v>
      </c>
      <c r="R40" s="29"/>
      <c r="S40" s="29"/>
      <c r="T40" s="29"/>
      <c r="U40" s="29"/>
    </row>
    <row r="41" spans="1:21" s="21" customFormat="1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>
      <c r="A42" s="13"/>
    </row>
    <row r="43" spans="1:21" s="21" customFormat="1">
      <c r="A43" s="14" t="s">
        <v>35</v>
      </c>
      <c r="B43" s="39" t="s">
        <v>58</v>
      </c>
      <c r="C43" s="41"/>
    </row>
    <row r="44" spans="1:21" s="21" customFormat="1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0"/>
      <c r="C45" s="40"/>
      <c r="D45" s="40"/>
      <c r="E45" s="40"/>
      <c r="F45" s="40"/>
      <c r="G45" s="40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</row>
    <row r="46" spans="1:21" s="21" customFormat="1"/>
    <row r="47" spans="1:21" s="21" customFormat="1"/>
    <row r="48" spans="1:21" s="21" customFormat="1"/>
    <row r="49" s="21" customFormat="1"/>
    <row r="50" s="21" customFormat="1"/>
    <row r="51" s="21" customFormat="1"/>
    <row r="52" s="21" customFormat="1"/>
    <row r="53" s="21" customFormat="1"/>
    <row r="54" s="21" customFormat="1"/>
    <row r="55" s="21" customFormat="1"/>
    <row r="56" s="21" customFormat="1"/>
    <row r="57" s="21" customFormat="1"/>
    <row r="58" s="21" customFormat="1"/>
    <row r="59" s="21" customFormat="1"/>
    <row r="60" s="21" customFormat="1"/>
    <row r="61" s="21" customFormat="1"/>
    <row r="62" s="21" customFormat="1"/>
    <row r="63" s="21" customFormat="1"/>
    <row r="64" s="21" customFormat="1"/>
    <row r="65" s="21" customFormat="1"/>
    <row r="66" s="21" customFormat="1"/>
    <row r="67" s="21" customFormat="1"/>
    <row r="68" s="21" customFormat="1"/>
    <row r="69" s="21" customFormat="1"/>
    <row r="70" s="21" customFormat="1"/>
    <row r="71" s="21" customFormat="1"/>
    <row r="72" s="21" customFormat="1"/>
    <row r="73" s="21" customFormat="1"/>
    <row r="74" s="21" customFormat="1"/>
    <row r="75" s="21" customFormat="1"/>
    <row r="76" s="21" customFormat="1"/>
    <row r="77" s="21" customFormat="1"/>
    <row r="78" s="21" customFormat="1"/>
    <row r="79" s="21" customFormat="1"/>
    <row r="80" s="21" customFormat="1"/>
    <row r="81" s="21" customFormat="1"/>
    <row r="82" s="21" customFormat="1"/>
    <row r="83" s="21" customFormat="1"/>
    <row r="84" s="21" customFormat="1"/>
    <row r="85" s="21" customFormat="1"/>
    <row r="86" s="21" customFormat="1"/>
    <row r="87" s="21" customFormat="1"/>
    <row r="88" s="21" customFormat="1"/>
    <row r="89" s="21" customFormat="1"/>
    <row r="90" s="21" customFormat="1"/>
    <row r="91" s="21" customFormat="1"/>
    <row r="92" s="21" customFormat="1"/>
    <row r="93" s="21" customFormat="1"/>
    <row r="94" s="21" customFormat="1"/>
    <row r="95" s="21" customFormat="1"/>
    <row r="96" s="21" customFormat="1"/>
    <row r="97" spans="1:1" s="21" customFormat="1"/>
    <row r="98" spans="1:1" s="21" customFormat="1"/>
    <row r="99" spans="1:1" s="21" customFormat="1"/>
    <row r="100" spans="1:1" s="21" customFormat="1"/>
    <row r="101" spans="1:1" s="21" customFormat="1"/>
    <row r="102" spans="1:1" s="21" customFormat="1"/>
    <row r="103" spans="1:1" s="21" customFormat="1"/>
    <row r="104" spans="1:1" s="21" customFormat="1"/>
    <row r="105" spans="1:1" s="21" customFormat="1"/>
    <row r="106" spans="1:1">
      <c r="A106" s="20"/>
    </row>
    <row r="107" spans="1:1" s="21" customFormat="1"/>
    <row r="108" spans="1:1" s="21" customFormat="1"/>
    <row r="109" spans="1:1" s="21" customFormat="1"/>
    <row r="110" spans="1:1" s="21" customFormat="1"/>
    <row r="111" spans="1:1" s="21" customFormat="1"/>
    <row r="112" spans="1:1" s="21" customFormat="1"/>
    <row r="113" spans="1:1" s="21" customFormat="1"/>
    <row r="114" spans="1:1" s="21" customFormat="1"/>
    <row r="115" spans="1:1" s="21" customFormat="1"/>
    <row r="116" spans="1:1" s="21" customFormat="1"/>
    <row r="117" spans="1:1" s="21" customFormat="1"/>
    <row r="118" spans="1:1">
      <c r="A118" s="20"/>
    </row>
    <row r="119" spans="1:1">
      <c r="A119" s="20"/>
    </row>
  </sheetData>
  <pageMargins left="0.7" right="0.7" top="0.75" bottom="0.75" header="0.3" footer="0.3"/>
  <pageSetup paperSize="9" orientation="portrait" horizontalDpi="300" verticalDpi="300" r:id="rId1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45"/>
  <sheetViews>
    <sheetView topLeftCell="A25" workbookViewId="0">
      <selection activeCell="A9" sqref="A9:Q32"/>
    </sheetView>
  </sheetViews>
  <sheetFormatPr defaultRowHeight="15"/>
  <cols>
    <col min="1" max="1" width="12.85546875" customWidth="1"/>
    <col min="2" max="2" width="15.28515625" customWidth="1"/>
  </cols>
  <sheetData>
    <row r="1" spans="1:21" ht="27.75" customHeight="1">
      <c r="A1" s="14" t="s">
        <v>2</v>
      </c>
      <c r="B1" s="12" t="s">
        <v>55</v>
      </c>
      <c r="C1" s="36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>
      <c r="A2" s="14" t="s">
        <v>0</v>
      </c>
      <c r="B2" s="37" t="str">
        <f>$A$9</f>
        <v>29/04/2023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O2" s="21"/>
      <c r="P2" s="38" t="s">
        <v>7</v>
      </c>
      <c r="Q2" s="12"/>
      <c r="R2" s="8" t="s">
        <v>8</v>
      </c>
      <c r="S2" s="11"/>
      <c r="T2" s="11"/>
      <c r="U2" s="11"/>
    </row>
    <row r="3" spans="1:21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8" t="s">
        <v>15</v>
      </c>
      <c r="Q3" s="12"/>
      <c r="R3" s="9" t="s">
        <v>15</v>
      </c>
      <c r="S3" s="11"/>
      <c r="T3" s="11"/>
      <c r="U3" s="11"/>
    </row>
    <row r="4" spans="1:21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>
      <c r="A7" s="25" t="s">
        <v>21</v>
      </c>
      <c r="B7" s="48" t="s">
        <v>40</v>
      </c>
      <c r="C7" s="49" t="s">
        <v>41</v>
      </c>
      <c r="D7" s="49" t="s">
        <v>42</v>
      </c>
      <c r="E7" s="49" t="s">
        <v>43</v>
      </c>
      <c r="F7" s="49" t="s">
        <v>44</v>
      </c>
      <c r="G7" s="49" t="s">
        <v>45</v>
      </c>
      <c r="H7" s="49" t="s">
        <v>56</v>
      </c>
      <c r="I7" s="49" t="s">
        <v>46</v>
      </c>
      <c r="J7" s="49" t="s">
        <v>47</v>
      </c>
      <c r="K7" s="49" t="s">
        <v>48</v>
      </c>
      <c r="L7" s="49" t="s">
        <v>49</v>
      </c>
      <c r="M7" s="49" t="s">
        <v>50</v>
      </c>
      <c r="N7" s="49" t="s">
        <v>51</v>
      </c>
      <c r="O7" s="49" t="s">
        <v>52</v>
      </c>
      <c r="P7" s="49" t="s">
        <v>53</v>
      </c>
      <c r="Q7" s="49" t="s">
        <v>54</v>
      </c>
      <c r="R7" s="27"/>
      <c r="S7" s="29"/>
      <c r="T7" s="27"/>
      <c r="U7" s="27"/>
    </row>
    <row r="8" spans="1:21">
      <c r="A8" s="25"/>
      <c r="B8" s="50" t="s">
        <v>22</v>
      </c>
      <c r="C8" s="50" t="s">
        <v>22</v>
      </c>
      <c r="D8" s="50" t="s">
        <v>22</v>
      </c>
      <c r="E8" s="50" t="s">
        <v>22</v>
      </c>
      <c r="F8" s="50" t="s">
        <v>22</v>
      </c>
      <c r="G8" s="50" t="s">
        <v>23</v>
      </c>
      <c r="H8" s="50" t="s">
        <v>22</v>
      </c>
      <c r="I8" s="50" t="s">
        <v>22</v>
      </c>
      <c r="J8" s="50" t="s">
        <v>24</v>
      </c>
      <c r="K8" s="50" t="s">
        <v>25</v>
      </c>
      <c r="L8" s="25" t="s">
        <v>27</v>
      </c>
      <c r="M8" s="50" t="s">
        <v>26</v>
      </c>
      <c r="N8" s="50" t="s">
        <v>28</v>
      </c>
      <c r="O8" s="25" t="s">
        <v>29</v>
      </c>
      <c r="P8" s="50" t="s">
        <v>22</v>
      </c>
      <c r="Q8" s="50" t="s">
        <v>22</v>
      </c>
      <c r="R8" s="27"/>
      <c r="S8" s="29"/>
      <c r="T8" s="27"/>
      <c r="U8" s="27"/>
    </row>
    <row r="9" spans="1:21">
      <c r="A9" s="52" t="s">
        <v>741</v>
      </c>
      <c r="B9" s="53">
        <v>24.92</v>
      </c>
      <c r="C9" s="53">
        <v>67.650000000000006</v>
      </c>
      <c r="D9" s="53">
        <v>55.67</v>
      </c>
      <c r="E9" s="53">
        <v>10.57</v>
      </c>
      <c r="F9" s="53">
        <v>7.01</v>
      </c>
      <c r="G9" s="53">
        <v>45.86</v>
      </c>
      <c r="H9" s="53">
        <v>21.06</v>
      </c>
      <c r="I9" s="53">
        <v>11.04</v>
      </c>
      <c r="J9" s="53">
        <v>1.45</v>
      </c>
      <c r="K9" s="53">
        <v>354.72</v>
      </c>
      <c r="L9" s="53">
        <v>27.07</v>
      </c>
      <c r="M9" s="53">
        <v>74.94</v>
      </c>
      <c r="N9" s="53">
        <v>0</v>
      </c>
      <c r="O9" s="53">
        <v>0</v>
      </c>
      <c r="P9" s="53">
        <v>0.6</v>
      </c>
      <c r="Q9" s="53">
        <v>6.52</v>
      </c>
      <c r="R9" s="42"/>
      <c r="S9" s="42"/>
      <c r="T9" s="42"/>
      <c r="U9" s="42"/>
    </row>
    <row r="10" spans="1:21">
      <c r="A10" s="52" t="s">
        <v>742</v>
      </c>
      <c r="B10" s="53">
        <v>24.28</v>
      </c>
      <c r="C10" s="53">
        <v>64.930000000000007</v>
      </c>
      <c r="D10" s="53">
        <v>54.25</v>
      </c>
      <c r="E10" s="53">
        <v>10.27</v>
      </c>
      <c r="F10" s="53">
        <v>6.91</v>
      </c>
      <c r="G10" s="53">
        <v>45.86</v>
      </c>
      <c r="H10" s="53">
        <v>19.71</v>
      </c>
      <c r="I10" s="53">
        <v>9.7899999999999991</v>
      </c>
      <c r="J10" s="53">
        <v>2.44</v>
      </c>
      <c r="K10" s="53">
        <v>333.29</v>
      </c>
      <c r="L10" s="53">
        <v>25.25</v>
      </c>
      <c r="M10" s="53">
        <v>62</v>
      </c>
      <c r="N10" s="53">
        <v>0</v>
      </c>
      <c r="O10" s="53">
        <v>0</v>
      </c>
      <c r="P10" s="53">
        <v>0.57999999999999996</v>
      </c>
      <c r="Q10" s="53">
        <v>6.37</v>
      </c>
      <c r="R10" s="42"/>
      <c r="S10" s="42"/>
      <c r="T10" s="42"/>
      <c r="U10" s="42"/>
    </row>
    <row r="11" spans="1:21">
      <c r="A11" s="52" t="s">
        <v>743</v>
      </c>
      <c r="B11" s="53">
        <v>21.48</v>
      </c>
      <c r="C11" s="53">
        <v>65.91</v>
      </c>
      <c r="D11" s="53">
        <v>52.74</v>
      </c>
      <c r="E11" s="53">
        <v>7.83</v>
      </c>
      <c r="F11" s="53">
        <v>5.32</v>
      </c>
      <c r="G11" s="53">
        <v>41.95</v>
      </c>
      <c r="H11" s="53">
        <v>14.08</v>
      </c>
      <c r="I11" s="53">
        <v>8.3699999999999992</v>
      </c>
      <c r="J11" s="53">
        <v>2.2000000000000002</v>
      </c>
      <c r="K11" s="53">
        <v>345.02</v>
      </c>
      <c r="L11" s="53">
        <v>24.09</v>
      </c>
      <c r="M11" s="53">
        <v>74.349999999999994</v>
      </c>
      <c r="N11" s="53">
        <v>0</v>
      </c>
      <c r="O11" s="53">
        <v>0</v>
      </c>
      <c r="P11" s="53">
        <v>0.54</v>
      </c>
      <c r="Q11" s="53">
        <v>6.22</v>
      </c>
      <c r="R11" s="42"/>
      <c r="S11" s="42"/>
      <c r="T11" s="42"/>
      <c r="U11" s="42"/>
    </row>
    <row r="12" spans="1:21">
      <c r="A12" s="52" t="s">
        <v>744</v>
      </c>
      <c r="B12" s="53">
        <v>20.079999999999998</v>
      </c>
      <c r="C12" s="53">
        <v>66.63</v>
      </c>
      <c r="D12" s="53">
        <v>51.95</v>
      </c>
      <c r="E12" s="53">
        <v>7.63</v>
      </c>
      <c r="F12" s="53">
        <v>4.82</v>
      </c>
      <c r="G12" s="53">
        <v>34.229999999999997</v>
      </c>
      <c r="H12" s="53">
        <v>14.51</v>
      </c>
      <c r="I12" s="53">
        <v>6.94</v>
      </c>
      <c r="J12" s="53">
        <v>1.05</v>
      </c>
      <c r="K12" s="53">
        <v>346.4</v>
      </c>
      <c r="L12" s="53">
        <v>22.55</v>
      </c>
      <c r="M12" s="53">
        <v>75.849999999999994</v>
      </c>
      <c r="N12" s="53">
        <v>0</v>
      </c>
      <c r="O12" s="53">
        <v>0</v>
      </c>
      <c r="P12" s="53">
        <v>0.51</v>
      </c>
      <c r="Q12" s="53">
        <v>6.05</v>
      </c>
      <c r="R12" s="42"/>
      <c r="S12" s="42"/>
      <c r="T12" s="42"/>
      <c r="U12" s="42"/>
    </row>
    <row r="13" spans="1:21">
      <c r="A13" s="52" t="s">
        <v>745</v>
      </c>
      <c r="B13" s="53">
        <v>21.21</v>
      </c>
      <c r="C13" s="53">
        <v>63.64</v>
      </c>
      <c r="D13" s="53">
        <v>51.61</v>
      </c>
      <c r="E13" s="53">
        <v>7.28</v>
      </c>
      <c r="F13" s="53">
        <v>4.43</v>
      </c>
      <c r="G13" s="53">
        <v>33.81</v>
      </c>
      <c r="H13" s="53">
        <v>14.51</v>
      </c>
      <c r="I13" s="53">
        <v>6.13</v>
      </c>
      <c r="J13" s="53">
        <v>1.18</v>
      </c>
      <c r="K13" s="53">
        <v>303.19</v>
      </c>
      <c r="L13" s="53">
        <v>22.6</v>
      </c>
      <c r="M13" s="53">
        <v>95.59</v>
      </c>
      <c r="N13" s="53">
        <v>0.1</v>
      </c>
      <c r="O13" s="53">
        <v>0</v>
      </c>
      <c r="P13" s="53">
        <v>0.47</v>
      </c>
      <c r="Q13" s="53">
        <v>5.98</v>
      </c>
      <c r="R13" s="42"/>
      <c r="S13" s="42"/>
      <c r="T13" s="42"/>
      <c r="U13" s="42"/>
    </row>
    <row r="14" spans="1:21">
      <c r="A14" s="52" t="s">
        <v>746</v>
      </c>
      <c r="B14" s="53">
        <v>22.38</v>
      </c>
      <c r="C14" s="53">
        <v>63.1</v>
      </c>
      <c r="D14" s="53">
        <v>52.16</v>
      </c>
      <c r="E14" s="53">
        <v>7.17</v>
      </c>
      <c r="F14" s="53">
        <v>4.6399999999999997</v>
      </c>
      <c r="G14" s="53">
        <v>31.7</v>
      </c>
      <c r="H14" s="53">
        <v>13.13</v>
      </c>
      <c r="I14" s="53">
        <v>5.64</v>
      </c>
      <c r="J14" s="53">
        <v>1.6</v>
      </c>
      <c r="K14" s="53">
        <v>356.06</v>
      </c>
      <c r="L14" s="53">
        <v>21.17</v>
      </c>
      <c r="M14" s="53">
        <v>96.39</v>
      </c>
      <c r="N14" s="53">
        <v>0</v>
      </c>
      <c r="O14" s="53">
        <v>0</v>
      </c>
      <c r="P14" s="53">
        <v>0.46</v>
      </c>
      <c r="Q14" s="53">
        <v>5.98</v>
      </c>
      <c r="R14" s="42"/>
      <c r="S14" s="42"/>
      <c r="T14" s="42"/>
      <c r="U14" s="42"/>
    </row>
    <row r="15" spans="1:21">
      <c r="A15" s="52" t="s">
        <v>747</v>
      </c>
      <c r="B15" s="53">
        <v>23.67</v>
      </c>
      <c r="C15" s="53">
        <v>63.35</v>
      </c>
      <c r="D15" s="53">
        <v>52.95</v>
      </c>
      <c r="E15" s="53">
        <v>6.85</v>
      </c>
      <c r="F15" s="53">
        <v>4.04</v>
      </c>
      <c r="G15" s="53">
        <v>31.7</v>
      </c>
      <c r="H15" s="53">
        <v>13.13</v>
      </c>
      <c r="I15" s="53">
        <v>5.27</v>
      </c>
      <c r="J15" s="53">
        <v>1.28</v>
      </c>
      <c r="K15" s="53">
        <v>100.55</v>
      </c>
      <c r="L15" s="53">
        <v>21.29</v>
      </c>
      <c r="M15" s="53">
        <v>92.73</v>
      </c>
      <c r="N15" s="53">
        <v>63.7</v>
      </c>
      <c r="O15" s="53">
        <v>0</v>
      </c>
      <c r="P15" s="53">
        <v>0.45</v>
      </c>
      <c r="Q15" s="53">
        <v>6.02</v>
      </c>
      <c r="R15" s="42"/>
      <c r="S15" s="42"/>
      <c r="T15" s="42"/>
      <c r="U15" s="42"/>
    </row>
    <row r="16" spans="1:21">
      <c r="A16" s="52" t="s">
        <v>748</v>
      </c>
      <c r="B16" s="53">
        <v>25.86</v>
      </c>
      <c r="C16" s="53">
        <v>61.94</v>
      </c>
      <c r="D16" s="53">
        <v>53.39</v>
      </c>
      <c r="E16" s="53">
        <v>7.07</v>
      </c>
      <c r="F16" s="53">
        <v>3.84</v>
      </c>
      <c r="G16" s="53">
        <v>26.46</v>
      </c>
      <c r="H16" s="53">
        <v>11.21</v>
      </c>
      <c r="I16" s="53">
        <v>4.96</v>
      </c>
      <c r="J16" s="53">
        <v>0.62</v>
      </c>
      <c r="K16" s="53">
        <v>182.7</v>
      </c>
      <c r="L16" s="53">
        <v>22.78</v>
      </c>
      <c r="M16" s="53">
        <v>91.89</v>
      </c>
      <c r="N16" s="53">
        <v>146.1</v>
      </c>
      <c r="O16" s="53">
        <v>0</v>
      </c>
      <c r="P16" s="53">
        <v>0.47</v>
      </c>
      <c r="Q16" s="53">
        <v>6.05</v>
      </c>
      <c r="R16" s="42"/>
      <c r="S16" s="42"/>
      <c r="T16" s="42"/>
      <c r="U16" s="42"/>
    </row>
    <row r="17" spans="1:21">
      <c r="A17" s="52" t="s">
        <v>749</v>
      </c>
      <c r="B17" s="53">
        <v>26.71</v>
      </c>
      <c r="C17" s="53">
        <v>70.16</v>
      </c>
      <c r="D17" s="53">
        <v>59.17</v>
      </c>
      <c r="E17" s="53">
        <v>7.05</v>
      </c>
      <c r="F17" s="53">
        <v>3.99</v>
      </c>
      <c r="G17" s="53">
        <v>26.46</v>
      </c>
      <c r="H17" s="53">
        <v>9.3800000000000008</v>
      </c>
      <c r="I17" s="53">
        <v>4.8</v>
      </c>
      <c r="J17" s="53">
        <v>0.4</v>
      </c>
      <c r="K17" s="53">
        <v>261.8</v>
      </c>
      <c r="L17" s="53">
        <v>24.6</v>
      </c>
      <c r="M17" s="53">
        <v>89.37</v>
      </c>
      <c r="N17" s="53">
        <v>226.5</v>
      </c>
      <c r="O17" s="53">
        <v>0</v>
      </c>
      <c r="P17" s="53">
        <v>0.48</v>
      </c>
      <c r="Q17" s="53">
        <v>6.51</v>
      </c>
      <c r="R17" s="42"/>
      <c r="S17" s="42"/>
      <c r="T17" s="42"/>
      <c r="U17" s="42"/>
    </row>
    <row r="18" spans="1:21">
      <c r="A18" s="52" t="s">
        <v>750</v>
      </c>
      <c r="B18" s="53">
        <v>26.02</v>
      </c>
      <c r="C18" s="53">
        <v>69.83</v>
      </c>
      <c r="D18" s="53">
        <v>58.7</v>
      </c>
      <c r="E18" s="53">
        <v>6.98</v>
      </c>
      <c r="F18" s="53">
        <v>4.24</v>
      </c>
      <c r="G18" s="53">
        <v>22.99</v>
      </c>
      <c r="H18" s="53">
        <v>9.56</v>
      </c>
      <c r="I18" s="53">
        <v>4.7699999999999996</v>
      </c>
      <c r="J18" s="53">
        <v>0.57999999999999996</v>
      </c>
      <c r="K18" s="53">
        <v>242.35</v>
      </c>
      <c r="L18" s="53">
        <v>26.6</v>
      </c>
      <c r="M18" s="53">
        <v>82.16</v>
      </c>
      <c r="N18" s="53">
        <v>360.5</v>
      </c>
      <c r="O18" s="53">
        <v>0</v>
      </c>
      <c r="P18" s="53">
        <v>0.48</v>
      </c>
      <c r="Q18" s="53">
        <v>6.55</v>
      </c>
      <c r="R18" s="42"/>
      <c r="S18" s="42"/>
      <c r="T18" s="42"/>
      <c r="U18" s="42"/>
    </row>
    <row r="19" spans="1:21">
      <c r="A19" s="52" t="s">
        <v>751</v>
      </c>
      <c r="B19" s="53">
        <v>23.64</v>
      </c>
      <c r="C19" s="53">
        <v>66.98</v>
      </c>
      <c r="D19" s="53">
        <v>55.31</v>
      </c>
      <c r="E19" s="53">
        <v>7.82</v>
      </c>
      <c r="F19" s="53">
        <v>4.16</v>
      </c>
      <c r="G19" s="53">
        <v>19.579999999999998</v>
      </c>
      <c r="H19" s="53">
        <v>9.56</v>
      </c>
      <c r="I19" s="53">
        <v>4.54</v>
      </c>
      <c r="J19" s="53">
        <v>0.55000000000000004</v>
      </c>
      <c r="K19" s="53">
        <v>256.37</v>
      </c>
      <c r="L19" s="53">
        <v>28.55</v>
      </c>
      <c r="M19" s="53">
        <v>72.599999999999994</v>
      </c>
      <c r="N19" s="53">
        <v>711.6</v>
      </c>
      <c r="O19" s="53">
        <v>0</v>
      </c>
      <c r="P19" s="53">
        <v>0.47</v>
      </c>
      <c r="Q19" s="53">
        <v>6.37</v>
      </c>
      <c r="R19" s="42"/>
      <c r="S19" s="42"/>
      <c r="T19" s="42"/>
      <c r="U19" s="42"/>
    </row>
    <row r="20" spans="1:21">
      <c r="A20" s="52" t="s">
        <v>752</v>
      </c>
      <c r="B20" s="53">
        <v>20.72</v>
      </c>
      <c r="C20" s="53">
        <v>62.29</v>
      </c>
      <c r="D20" s="53">
        <v>49.75</v>
      </c>
      <c r="E20" s="53">
        <v>7.46</v>
      </c>
      <c r="F20" s="53">
        <v>5.08</v>
      </c>
      <c r="G20" s="53">
        <v>19.579999999999998</v>
      </c>
      <c r="H20" s="53">
        <v>11.98</v>
      </c>
      <c r="I20" s="53">
        <v>4.29</v>
      </c>
      <c r="J20" s="53">
        <v>0.67</v>
      </c>
      <c r="K20" s="53">
        <v>246.05</v>
      </c>
      <c r="L20" s="53">
        <v>29.89</v>
      </c>
      <c r="M20" s="53">
        <v>63.3</v>
      </c>
      <c r="N20" s="53">
        <v>605.6</v>
      </c>
      <c r="O20" s="53">
        <v>0</v>
      </c>
      <c r="P20" s="53">
        <v>0.45</v>
      </c>
      <c r="Q20" s="53">
        <v>5.97</v>
      </c>
      <c r="R20" s="42"/>
      <c r="S20" s="42"/>
      <c r="T20" s="42"/>
      <c r="U20" s="42"/>
    </row>
    <row r="21" spans="1:21">
      <c r="A21" s="52" t="s">
        <v>753</v>
      </c>
      <c r="B21" s="53">
        <v>17.579999999999998</v>
      </c>
      <c r="C21" s="53">
        <v>61.06</v>
      </c>
      <c r="D21" s="53">
        <v>47.35</v>
      </c>
      <c r="E21" s="53">
        <v>7.18</v>
      </c>
      <c r="F21" s="53">
        <v>5.44</v>
      </c>
      <c r="G21" s="53">
        <v>13.96</v>
      </c>
      <c r="H21" s="53">
        <v>11.98</v>
      </c>
      <c r="I21" s="53">
        <v>4.1900000000000004</v>
      </c>
      <c r="J21" s="53">
        <v>0.83</v>
      </c>
      <c r="K21" s="53">
        <v>257.22000000000003</v>
      </c>
      <c r="L21" s="53">
        <v>32.159999999999997</v>
      </c>
      <c r="M21" s="53">
        <v>58.74</v>
      </c>
      <c r="N21" s="53">
        <v>859.9</v>
      </c>
      <c r="O21" s="53">
        <v>0</v>
      </c>
      <c r="P21" s="53">
        <v>0.46</v>
      </c>
      <c r="Q21" s="53">
        <v>5.75</v>
      </c>
      <c r="R21" s="42"/>
      <c r="S21" s="42"/>
      <c r="T21" s="42"/>
      <c r="U21" s="42"/>
    </row>
    <row r="22" spans="1:21">
      <c r="A22" s="52" t="s">
        <v>754</v>
      </c>
      <c r="B22" s="53">
        <v>14.82</v>
      </c>
      <c r="C22" s="53">
        <v>60.06</v>
      </c>
      <c r="D22" s="53">
        <v>44.02</v>
      </c>
      <c r="E22" s="53">
        <v>6.83</v>
      </c>
      <c r="F22" s="53">
        <v>8.41</v>
      </c>
      <c r="G22" s="53">
        <v>13.75</v>
      </c>
      <c r="H22" s="53">
        <v>11.73</v>
      </c>
      <c r="I22" s="53">
        <v>4.03</v>
      </c>
      <c r="J22" s="53">
        <v>0.66</v>
      </c>
      <c r="K22" s="53">
        <v>255.29</v>
      </c>
      <c r="L22" s="53">
        <v>33.65</v>
      </c>
      <c r="M22" s="53">
        <v>50.8</v>
      </c>
      <c r="N22" s="53">
        <v>861.6</v>
      </c>
      <c r="O22" s="53">
        <v>0</v>
      </c>
      <c r="P22" s="53">
        <v>0.45</v>
      </c>
      <c r="Q22" s="53">
        <v>5.47</v>
      </c>
      <c r="R22" s="42"/>
      <c r="S22" s="42"/>
      <c r="T22" s="42"/>
      <c r="U22" s="42"/>
    </row>
    <row r="23" spans="1:21">
      <c r="A23" s="52" t="s">
        <v>755</v>
      </c>
      <c r="B23" s="53">
        <v>12.97</v>
      </c>
      <c r="C23" s="53">
        <v>48.09</v>
      </c>
      <c r="D23" s="53">
        <v>36.880000000000003</v>
      </c>
      <c r="E23" s="53">
        <v>7.16</v>
      </c>
      <c r="F23" s="53">
        <v>16</v>
      </c>
      <c r="G23" s="53">
        <v>15.5</v>
      </c>
      <c r="H23" s="53">
        <v>8.93</v>
      </c>
      <c r="I23" s="53">
        <v>3.99</v>
      </c>
      <c r="J23" s="53">
        <v>0.76</v>
      </c>
      <c r="K23" s="53">
        <v>274.27999999999997</v>
      </c>
      <c r="L23" s="53">
        <v>34.49</v>
      </c>
      <c r="M23" s="53">
        <v>45.89</v>
      </c>
      <c r="N23" s="53">
        <v>712.8</v>
      </c>
      <c r="O23" s="53">
        <v>0</v>
      </c>
      <c r="P23" s="53">
        <v>0.41</v>
      </c>
      <c r="Q23" s="53">
        <v>4.97</v>
      </c>
      <c r="R23" s="42"/>
      <c r="S23" s="42"/>
      <c r="T23" s="42"/>
      <c r="U23" s="42"/>
    </row>
    <row r="24" spans="1:21">
      <c r="A24" s="52" t="s">
        <v>756</v>
      </c>
      <c r="B24" s="53">
        <v>11.16</v>
      </c>
      <c r="C24" s="53">
        <v>50.32</v>
      </c>
      <c r="D24" s="53">
        <v>36.590000000000003</v>
      </c>
      <c r="E24" s="53">
        <v>7.65</v>
      </c>
      <c r="F24" s="53">
        <v>17.350000000000001</v>
      </c>
      <c r="G24" s="53">
        <v>16.68</v>
      </c>
      <c r="H24" s="53">
        <v>11.74</v>
      </c>
      <c r="I24" s="53">
        <v>3.79</v>
      </c>
      <c r="J24" s="53">
        <v>0.53</v>
      </c>
      <c r="K24" s="53">
        <v>243.47</v>
      </c>
      <c r="L24" s="53">
        <v>34.03</v>
      </c>
      <c r="M24" s="53">
        <v>44.47</v>
      </c>
      <c r="N24" s="53">
        <v>327.39999999999998</v>
      </c>
      <c r="O24" s="53">
        <v>0</v>
      </c>
      <c r="P24" s="53">
        <v>0.42</v>
      </c>
      <c r="Q24" s="53">
        <v>4.92</v>
      </c>
      <c r="R24" s="42"/>
      <c r="S24" s="42"/>
      <c r="T24" s="42"/>
      <c r="U24" s="42"/>
    </row>
    <row r="25" spans="1:21">
      <c r="A25" s="52" t="s">
        <v>757</v>
      </c>
      <c r="B25" s="53">
        <v>11.11</v>
      </c>
      <c r="C25" s="53">
        <v>47.83</v>
      </c>
      <c r="D25" s="53">
        <v>35.25</v>
      </c>
      <c r="E25" s="53">
        <v>8.34</v>
      </c>
      <c r="F25" s="53">
        <v>25.68</v>
      </c>
      <c r="G25" s="53">
        <v>16.68</v>
      </c>
      <c r="H25" s="53">
        <v>11.74</v>
      </c>
      <c r="I25" s="53">
        <v>3.56</v>
      </c>
      <c r="J25" s="53">
        <v>0.35</v>
      </c>
      <c r="K25" s="53">
        <v>233.1</v>
      </c>
      <c r="L25" s="53">
        <v>32.42</v>
      </c>
      <c r="M25" s="53">
        <v>52.36</v>
      </c>
      <c r="N25" s="53">
        <v>148.19999999999999</v>
      </c>
      <c r="O25" s="53">
        <v>0</v>
      </c>
      <c r="P25" s="53">
        <v>0.41</v>
      </c>
      <c r="Q25" s="53">
        <v>4.8499999999999996</v>
      </c>
      <c r="R25" s="42"/>
      <c r="S25" s="42"/>
      <c r="T25" s="42"/>
      <c r="U25" s="42"/>
    </row>
    <row r="26" spans="1:21">
      <c r="A26" s="52" t="s">
        <v>758</v>
      </c>
      <c r="B26" s="53">
        <v>11.77</v>
      </c>
      <c r="C26" s="53">
        <v>48.79</v>
      </c>
      <c r="D26" s="53">
        <v>35.979999999999997</v>
      </c>
      <c r="E26" s="53">
        <v>8.93</v>
      </c>
      <c r="F26" s="53">
        <v>26.11</v>
      </c>
      <c r="G26" s="53">
        <v>21.72</v>
      </c>
      <c r="H26" s="53">
        <v>13.82</v>
      </c>
      <c r="I26" s="53">
        <v>3.31</v>
      </c>
      <c r="J26" s="53">
        <v>1.55</v>
      </c>
      <c r="K26" s="53">
        <v>239.25</v>
      </c>
      <c r="L26" s="53">
        <v>30.57</v>
      </c>
      <c r="M26" s="53">
        <v>60.29</v>
      </c>
      <c r="N26" s="53">
        <v>1.5</v>
      </c>
      <c r="O26" s="53">
        <v>0</v>
      </c>
      <c r="P26" s="53">
        <v>0.44</v>
      </c>
      <c r="Q26" s="53">
        <v>4.8600000000000003</v>
      </c>
      <c r="R26" s="42"/>
      <c r="S26" s="42"/>
      <c r="T26" s="42"/>
      <c r="U26" s="42"/>
    </row>
    <row r="27" spans="1:21">
      <c r="A27" s="52" t="s">
        <v>759</v>
      </c>
      <c r="B27" s="53">
        <v>12.58</v>
      </c>
      <c r="C27" s="53">
        <v>67.489999999999995</v>
      </c>
      <c r="D27" s="53">
        <v>46.33</v>
      </c>
      <c r="E27" s="53">
        <v>7.35</v>
      </c>
      <c r="F27" s="53">
        <v>7.48</v>
      </c>
      <c r="G27" s="53">
        <v>24.5</v>
      </c>
      <c r="H27" s="53">
        <v>13.82</v>
      </c>
      <c r="I27" s="53">
        <v>3.65</v>
      </c>
      <c r="J27" s="53">
        <v>1.69</v>
      </c>
      <c r="K27" s="53">
        <v>323.45999999999998</v>
      </c>
      <c r="L27" s="53">
        <v>24.32</v>
      </c>
      <c r="M27" s="53">
        <v>77.680000000000007</v>
      </c>
      <c r="N27" s="53">
        <v>0.2</v>
      </c>
      <c r="O27" s="53">
        <v>0</v>
      </c>
      <c r="P27" s="53">
        <v>0.45</v>
      </c>
      <c r="Q27" s="53">
        <v>5.52</v>
      </c>
      <c r="R27" s="42"/>
      <c r="S27" s="42"/>
      <c r="T27" s="42"/>
      <c r="U27" s="42"/>
    </row>
    <row r="28" spans="1:21">
      <c r="A28" s="52" t="s">
        <v>760</v>
      </c>
      <c r="B28" s="53">
        <v>15.6</v>
      </c>
      <c r="C28" s="53">
        <v>66.27</v>
      </c>
      <c r="D28" s="53">
        <v>48.49</v>
      </c>
      <c r="E28" s="53">
        <v>7.07</v>
      </c>
      <c r="F28" s="53">
        <v>5.09</v>
      </c>
      <c r="G28" s="53">
        <v>24.5</v>
      </c>
      <c r="H28" s="53">
        <v>10.24</v>
      </c>
      <c r="I28" s="53">
        <v>3.59</v>
      </c>
      <c r="J28" s="53">
        <v>0.92</v>
      </c>
      <c r="K28" s="53">
        <v>358.67</v>
      </c>
      <c r="L28" s="53">
        <v>25.13</v>
      </c>
      <c r="M28" s="53">
        <v>73.819999999999993</v>
      </c>
      <c r="N28" s="53">
        <v>0</v>
      </c>
      <c r="O28" s="53">
        <v>0</v>
      </c>
      <c r="P28" s="53">
        <v>0.47</v>
      </c>
      <c r="Q28" s="53">
        <v>5.73</v>
      </c>
      <c r="R28" s="42"/>
      <c r="S28" s="42"/>
      <c r="T28" s="42"/>
      <c r="U28" s="42"/>
    </row>
    <row r="29" spans="1:21">
      <c r="A29" s="52" t="s">
        <v>761</v>
      </c>
      <c r="B29" s="53">
        <v>21.13</v>
      </c>
      <c r="C29" s="53">
        <v>67.36</v>
      </c>
      <c r="D29" s="53">
        <v>53.49</v>
      </c>
      <c r="E29" s="53">
        <v>6.51</v>
      </c>
      <c r="F29" s="53">
        <v>3.99</v>
      </c>
      <c r="G29" s="53">
        <v>27.04</v>
      </c>
      <c r="H29" s="53">
        <v>11.26</v>
      </c>
      <c r="I29" s="53">
        <v>3.96</v>
      </c>
      <c r="J29" s="53">
        <v>0.88</v>
      </c>
      <c r="K29" s="53">
        <v>306.8</v>
      </c>
      <c r="L29" s="53">
        <v>24.99</v>
      </c>
      <c r="M29" s="53">
        <v>71.64</v>
      </c>
      <c r="N29" s="53">
        <v>0</v>
      </c>
      <c r="O29" s="53">
        <v>0</v>
      </c>
      <c r="P29" s="53">
        <v>0.53</v>
      </c>
      <c r="Q29" s="53">
        <v>6.15</v>
      </c>
      <c r="R29" s="42"/>
      <c r="S29" s="42"/>
      <c r="T29" s="42"/>
      <c r="U29" s="42"/>
    </row>
    <row r="30" spans="1:21">
      <c r="A30" s="52" t="s">
        <v>762</v>
      </c>
      <c r="B30" s="53">
        <v>25.69</v>
      </c>
      <c r="C30" s="53">
        <v>67.08</v>
      </c>
      <c r="D30" s="53">
        <v>56.92</v>
      </c>
      <c r="E30" s="53">
        <v>6.45</v>
      </c>
      <c r="F30" s="53">
        <v>3.62</v>
      </c>
      <c r="G30" s="53">
        <v>34.090000000000003</v>
      </c>
      <c r="H30" s="53">
        <v>12.39</v>
      </c>
      <c r="I30" s="53">
        <v>4.26</v>
      </c>
      <c r="J30" s="53">
        <v>0.51</v>
      </c>
      <c r="K30" s="53">
        <v>262.87</v>
      </c>
      <c r="L30" s="53">
        <v>24.51</v>
      </c>
      <c r="M30" s="53">
        <v>75.959999999999994</v>
      </c>
      <c r="N30" s="53">
        <v>0</v>
      </c>
      <c r="O30" s="53">
        <v>0</v>
      </c>
      <c r="P30" s="53">
        <v>0.56000000000000005</v>
      </c>
      <c r="Q30" s="53">
        <v>6.41</v>
      </c>
      <c r="R30" s="42"/>
      <c r="S30" s="42"/>
      <c r="T30" s="42"/>
      <c r="U30" s="42"/>
    </row>
    <row r="31" spans="1:21">
      <c r="A31" s="52" t="s">
        <v>763</v>
      </c>
      <c r="B31" s="53">
        <v>29.54</v>
      </c>
      <c r="C31" s="53">
        <v>66.930000000000007</v>
      </c>
      <c r="D31" s="53">
        <v>59.32</v>
      </c>
      <c r="E31" s="53">
        <v>6.49</v>
      </c>
      <c r="F31" s="53">
        <v>3.93</v>
      </c>
      <c r="G31" s="53">
        <v>45.98</v>
      </c>
      <c r="H31" s="53">
        <v>12.97</v>
      </c>
      <c r="I31" s="53">
        <v>4.57</v>
      </c>
      <c r="J31" s="53">
        <v>0.37</v>
      </c>
      <c r="K31" s="53">
        <v>245.03</v>
      </c>
      <c r="L31" s="53">
        <v>24.55</v>
      </c>
      <c r="M31" s="53">
        <v>81.59</v>
      </c>
      <c r="N31" s="53">
        <v>0</v>
      </c>
      <c r="O31" s="53">
        <v>0</v>
      </c>
      <c r="P31" s="53">
        <v>0.59</v>
      </c>
      <c r="Q31" s="53">
        <v>6.64</v>
      </c>
      <c r="R31" s="42"/>
      <c r="S31" s="42"/>
      <c r="T31" s="42"/>
      <c r="U31" s="42"/>
    </row>
    <row r="32" spans="1:21">
      <c r="A32" s="52" t="s">
        <v>764</v>
      </c>
      <c r="B32" s="53">
        <v>31.8</v>
      </c>
      <c r="C32" s="53">
        <v>66.09</v>
      </c>
      <c r="D32" s="53">
        <v>59.75</v>
      </c>
      <c r="E32" s="53">
        <v>6.45</v>
      </c>
      <c r="F32" s="53">
        <v>4.29</v>
      </c>
      <c r="G32" s="53">
        <v>45.98</v>
      </c>
      <c r="H32" s="53">
        <v>15.82</v>
      </c>
      <c r="I32" s="53">
        <v>4.93</v>
      </c>
      <c r="J32" s="53">
        <v>0.41</v>
      </c>
      <c r="K32" s="53">
        <v>247.36</v>
      </c>
      <c r="L32" s="53">
        <v>23.67</v>
      </c>
      <c r="M32" s="53">
        <v>82.64</v>
      </c>
      <c r="N32" s="53">
        <v>0</v>
      </c>
      <c r="O32" s="53">
        <v>0</v>
      </c>
      <c r="P32" s="53">
        <v>0.6</v>
      </c>
      <c r="Q32" s="53">
        <v>6.64</v>
      </c>
      <c r="R32" s="42"/>
      <c r="S32" s="42"/>
      <c r="T32" s="42"/>
      <c r="U32" s="42"/>
    </row>
    <row r="33" spans="1:21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>
      <c r="A34" s="27" t="s">
        <v>30</v>
      </c>
      <c r="B34" s="28">
        <f t="shared" ref="B34:Q34" si="0">MIN(B9:B32)</f>
        <v>11.11</v>
      </c>
      <c r="C34" s="28">
        <f t="shared" si="0"/>
        <v>47.83</v>
      </c>
      <c r="D34" s="28">
        <f t="shared" si="0"/>
        <v>35.25</v>
      </c>
      <c r="E34" s="28">
        <f t="shared" si="0"/>
        <v>6.45</v>
      </c>
      <c r="F34" s="28">
        <f t="shared" si="0"/>
        <v>3.62</v>
      </c>
      <c r="G34" s="28">
        <f t="shared" si="0"/>
        <v>13.75</v>
      </c>
      <c r="H34" s="28">
        <f>MIN(H9:H32)</f>
        <v>8.93</v>
      </c>
      <c r="I34" s="28">
        <f t="shared" si="0"/>
        <v>3.31</v>
      </c>
      <c r="J34" s="28">
        <f t="shared" si="0"/>
        <v>0.35</v>
      </c>
      <c r="K34" s="28">
        <f t="shared" si="0"/>
        <v>100.55</v>
      </c>
      <c r="L34" s="28">
        <f t="shared" si="0"/>
        <v>21.17</v>
      </c>
      <c r="M34" s="28">
        <f t="shared" si="0"/>
        <v>44.47</v>
      </c>
      <c r="N34" s="28">
        <f t="shared" si="0"/>
        <v>0</v>
      </c>
      <c r="O34" s="28">
        <f t="shared" si="0"/>
        <v>0</v>
      </c>
      <c r="P34" s="28">
        <f t="shared" si="0"/>
        <v>0.41</v>
      </c>
      <c r="Q34" s="28">
        <f t="shared" si="0"/>
        <v>4.8499999999999996</v>
      </c>
      <c r="R34" s="28"/>
      <c r="S34" s="28"/>
      <c r="T34" s="28"/>
      <c r="U34" s="28"/>
    </row>
    <row r="35" spans="1:21">
      <c r="A35" s="27" t="s">
        <v>31</v>
      </c>
      <c r="B35" s="29">
        <f t="shared" ref="B35:Q35" si="1">MAX(B9:B32)</f>
        <v>31.8</v>
      </c>
      <c r="C35" s="29">
        <f t="shared" si="1"/>
        <v>70.16</v>
      </c>
      <c r="D35" s="29">
        <f t="shared" si="1"/>
        <v>59.75</v>
      </c>
      <c r="E35" s="29">
        <f t="shared" si="1"/>
        <v>10.57</v>
      </c>
      <c r="F35" s="29">
        <f t="shared" si="1"/>
        <v>26.11</v>
      </c>
      <c r="G35" s="29">
        <f>MAX(G9:G32)</f>
        <v>45.98</v>
      </c>
      <c r="H35" s="29">
        <f>MAX(H9:H32)</f>
        <v>21.06</v>
      </c>
      <c r="I35" s="29">
        <f t="shared" si="1"/>
        <v>11.04</v>
      </c>
      <c r="J35" s="29">
        <f t="shared" si="1"/>
        <v>2.44</v>
      </c>
      <c r="K35" s="29">
        <f t="shared" si="1"/>
        <v>358.67</v>
      </c>
      <c r="L35" s="29">
        <f t="shared" si="1"/>
        <v>34.49</v>
      </c>
      <c r="M35" s="29">
        <f t="shared" si="1"/>
        <v>96.39</v>
      </c>
      <c r="N35" s="29">
        <f t="shared" si="1"/>
        <v>861.6</v>
      </c>
      <c r="O35" s="29">
        <f t="shared" si="1"/>
        <v>0</v>
      </c>
      <c r="P35" s="29">
        <f t="shared" si="1"/>
        <v>0.6</v>
      </c>
      <c r="Q35" s="29">
        <f t="shared" si="1"/>
        <v>6.64</v>
      </c>
      <c r="R35" s="29"/>
      <c r="S35" s="29"/>
      <c r="T35" s="29"/>
      <c r="U35" s="29"/>
    </row>
    <row r="36" spans="1:21">
      <c r="A36" s="27" t="s">
        <v>32</v>
      </c>
      <c r="B36" s="28">
        <f t="shared" ref="B36:Q36" si="2">AVERAGE(B9:B32)</f>
        <v>20.696666666666669</v>
      </c>
      <c r="C36" s="28">
        <f t="shared" si="2"/>
        <v>62.657499999999992</v>
      </c>
      <c r="D36" s="28">
        <f t="shared" si="2"/>
        <v>50.334166666666675</v>
      </c>
      <c r="E36" s="28">
        <f t="shared" si="2"/>
        <v>7.5162499999999985</v>
      </c>
      <c r="F36" s="28">
        <f t="shared" si="2"/>
        <v>7.7445833333333347</v>
      </c>
      <c r="G36" s="28">
        <f t="shared" si="2"/>
        <v>28.356666666666666</v>
      </c>
      <c r="H36" s="28">
        <f>AVERAGE(H9:H32)</f>
        <v>12.844166666666666</v>
      </c>
      <c r="I36" s="28">
        <f t="shared" si="2"/>
        <v>5.1820833333333347</v>
      </c>
      <c r="J36" s="28">
        <f t="shared" si="2"/>
        <v>0.97833333333333361</v>
      </c>
      <c r="K36" s="28">
        <f t="shared" si="2"/>
        <v>273.97083333333336</v>
      </c>
      <c r="L36" s="28">
        <f t="shared" si="2"/>
        <v>26.705416666666665</v>
      </c>
      <c r="M36" s="28">
        <f t="shared" si="2"/>
        <v>72.793750000000003</v>
      </c>
      <c r="N36" s="28">
        <f t="shared" si="2"/>
        <v>209.40416666666661</v>
      </c>
      <c r="O36" s="28">
        <f t="shared" si="2"/>
        <v>0</v>
      </c>
      <c r="P36" s="28">
        <f t="shared" si="2"/>
        <v>0.48958333333333331</v>
      </c>
      <c r="Q36" s="28">
        <f t="shared" si="2"/>
        <v>5.9374999999999991</v>
      </c>
      <c r="R36" s="28"/>
      <c r="S36" s="28"/>
      <c r="T36" s="28"/>
      <c r="U36" s="28"/>
    </row>
    <row r="37" spans="1:21">
      <c r="A37" s="27" t="s">
        <v>38</v>
      </c>
      <c r="B37" s="28">
        <f>STDEV(B9:B32)</f>
        <v>6.0013916260543496</v>
      </c>
      <c r="C37" s="28">
        <f t="shared" ref="C37:Q37" si="3">STDEV(C9:C32)</f>
        <v>6.8497999018696536</v>
      </c>
      <c r="D37" s="28">
        <f t="shared" si="3"/>
        <v>7.6355575045831667</v>
      </c>
      <c r="E37" s="28">
        <f t="shared" si="3"/>
        <v>1.0715969898687105</v>
      </c>
      <c r="F37" s="28">
        <f t="shared" si="3"/>
        <v>6.5985485750353785</v>
      </c>
      <c r="G37" s="28">
        <f t="shared" si="3"/>
        <v>10.758861935396689</v>
      </c>
      <c r="H37" s="28">
        <f>STDEV(H9:H32)</f>
        <v>2.940646064279461</v>
      </c>
      <c r="I37" s="28">
        <f t="shared" si="3"/>
        <v>1.9886700366055556</v>
      </c>
      <c r="J37" s="28">
        <f t="shared" si="3"/>
        <v>0.58236150931893793</v>
      </c>
      <c r="K37" s="28">
        <f t="shared" si="3"/>
        <v>60.925402991774561</v>
      </c>
      <c r="L37" s="28">
        <f t="shared" si="3"/>
        <v>4.2024454362820185</v>
      </c>
      <c r="M37" s="28">
        <f t="shared" si="3"/>
        <v>15.345135700733122</v>
      </c>
      <c r="N37" s="28">
        <f t="shared" si="3"/>
        <v>305.48688932113191</v>
      </c>
      <c r="O37" s="28">
        <f t="shared" si="3"/>
        <v>0</v>
      </c>
      <c r="P37" s="28">
        <f t="shared" si="3"/>
        <v>5.9671504135534077E-2</v>
      </c>
      <c r="Q37" s="28">
        <f t="shared" si="3"/>
        <v>0.57386750478094328</v>
      </c>
      <c r="R37" s="28"/>
      <c r="S37" s="28"/>
      <c r="T37" s="28"/>
      <c r="U37" s="28"/>
    </row>
    <row r="38" spans="1:21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>COUNT(F9:F32)</f>
        <v>24</v>
      </c>
      <c r="G38" s="32">
        <f>COUNT(G9:G32)</f>
        <v>24</v>
      </c>
      <c r="H38" s="32">
        <f>COUNT(H9:H32)</f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>
      <c r="A41" s="13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13"/>
      <c r="M41" s="21"/>
      <c r="N41" s="16"/>
      <c r="O41" s="16"/>
      <c r="P41" s="16"/>
      <c r="Q41" s="16"/>
      <c r="R41" s="16"/>
      <c r="S41" s="16"/>
      <c r="T41" s="16"/>
      <c r="U41" s="16"/>
    </row>
    <row r="42" spans="1:21">
      <c r="A42" s="13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</row>
    <row r="43" spans="1:21">
      <c r="A43" s="14" t="s">
        <v>35</v>
      </c>
      <c r="B43" s="39" t="s">
        <v>58</v>
      </c>
      <c r="C43" s="4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</row>
    <row r="44" spans="1:21">
      <c r="A44" s="13"/>
      <c r="B44" s="21"/>
      <c r="C44" s="21"/>
      <c r="D44" s="1"/>
      <c r="E44" s="1"/>
      <c r="F44" s="1"/>
      <c r="G44" s="1"/>
      <c r="H44" s="1"/>
      <c r="I44" s="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</row>
    <row r="45" spans="1:21" ht="15.75">
      <c r="A45" s="17" t="s">
        <v>36</v>
      </c>
      <c r="B45" s="40"/>
      <c r="C45" s="40"/>
      <c r="D45" s="40"/>
      <c r="E45" s="40"/>
      <c r="F45" s="40"/>
      <c r="G45" s="40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119"/>
  <sheetViews>
    <sheetView topLeftCell="A25" zoomScale="85" zoomScaleNormal="85" workbookViewId="0">
      <selection activeCell="A9" sqref="A9:Q32"/>
    </sheetView>
  </sheetViews>
  <sheetFormatPr defaultColWidth="8.85546875" defaultRowHeight="1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>
      <c r="A1" s="14" t="s">
        <v>2</v>
      </c>
      <c r="B1" s="23" t="s">
        <v>55</v>
      </c>
      <c r="C1" s="36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>
      <c r="A2" s="14" t="s">
        <v>0</v>
      </c>
      <c r="B2" s="37" t="str">
        <f>$A$9</f>
        <v>30/04/2023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8" t="s">
        <v>7</v>
      </c>
      <c r="Q2" s="12"/>
      <c r="R2" s="8" t="s">
        <v>8</v>
      </c>
      <c r="S2" s="11"/>
      <c r="T2" s="11"/>
      <c r="U2" s="11"/>
    </row>
    <row r="3" spans="1:21" s="21" customFormat="1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8" t="s">
        <v>15</v>
      </c>
      <c r="Q3" s="12"/>
      <c r="R3" s="9" t="s">
        <v>15</v>
      </c>
      <c r="S3" s="11"/>
      <c r="T3" s="11"/>
      <c r="U3" s="11"/>
    </row>
    <row r="4" spans="1:21" s="21" customFormat="1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>
      <c r="A7" s="25" t="s">
        <v>21</v>
      </c>
      <c r="B7" s="48" t="s">
        <v>40</v>
      </c>
      <c r="C7" s="49" t="s">
        <v>41</v>
      </c>
      <c r="D7" s="49" t="s">
        <v>42</v>
      </c>
      <c r="E7" s="49" t="s">
        <v>43</v>
      </c>
      <c r="F7" s="49" t="s">
        <v>44</v>
      </c>
      <c r="G7" s="49" t="s">
        <v>45</v>
      </c>
      <c r="H7" s="49" t="s">
        <v>56</v>
      </c>
      <c r="I7" s="49" t="s">
        <v>46</v>
      </c>
      <c r="J7" s="49" t="s">
        <v>47</v>
      </c>
      <c r="K7" s="49" t="s">
        <v>48</v>
      </c>
      <c r="L7" s="49" t="s">
        <v>49</v>
      </c>
      <c r="M7" s="49" t="s">
        <v>50</v>
      </c>
      <c r="N7" s="49" t="s">
        <v>51</v>
      </c>
      <c r="O7" s="49" t="s">
        <v>52</v>
      </c>
      <c r="P7" s="49" t="s">
        <v>53</v>
      </c>
      <c r="Q7" s="49" t="s">
        <v>54</v>
      </c>
      <c r="R7" s="27"/>
      <c r="S7" s="29"/>
      <c r="T7" s="27"/>
      <c r="U7" s="27"/>
    </row>
    <row r="8" spans="1:21" s="21" customFormat="1">
      <c r="A8" s="25"/>
      <c r="B8" s="50" t="s">
        <v>22</v>
      </c>
      <c r="C8" s="50" t="s">
        <v>22</v>
      </c>
      <c r="D8" s="50" t="s">
        <v>22</v>
      </c>
      <c r="E8" s="50" t="s">
        <v>22</v>
      </c>
      <c r="F8" s="50" t="s">
        <v>22</v>
      </c>
      <c r="G8" s="50" t="s">
        <v>23</v>
      </c>
      <c r="H8" s="50" t="s">
        <v>22</v>
      </c>
      <c r="I8" s="50" t="s">
        <v>22</v>
      </c>
      <c r="J8" s="50" t="s">
        <v>24</v>
      </c>
      <c r="K8" s="50" t="s">
        <v>25</v>
      </c>
      <c r="L8" s="25" t="s">
        <v>27</v>
      </c>
      <c r="M8" s="50" t="s">
        <v>26</v>
      </c>
      <c r="N8" s="50" t="s">
        <v>28</v>
      </c>
      <c r="O8" s="25" t="s">
        <v>29</v>
      </c>
      <c r="P8" s="50" t="s">
        <v>22</v>
      </c>
      <c r="Q8" s="50" t="s">
        <v>22</v>
      </c>
      <c r="R8" s="27"/>
      <c r="S8" s="29"/>
      <c r="T8" s="27"/>
      <c r="U8" s="27"/>
    </row>
    <row r="9" spans="1:21" s="11" customFormat="1">
      <c r="A9" s="52" t="s">
        <v>765</v>
      </c>
      <c r="B9" s="53">
        <v>33.020000000000003</v>
      </c>
      <c r="C9" s="53">
        <v>60.17</v>
      </c>
      <c r="D9" s="53">
        <v>59.26</v>
      </c>
      <c r="E9" s="53">
        <v>6.46</v>
      </c>
      <c r="F9" s="53">
        <v>3.91</v>
      </c>
      <c r="G9" s="53">
        <v>44.61</v>
      </c>
      <c r="H9" s="53">
        <v>15.82</v>
      </c>
      <c r="I9" s="53">
        <v>5.0199999999999996</v>
      </c>
      <c r="J9" s="53">
        <v>0.27</v>
      </c>
      <c r="K9" s="53">
        <v>237.84</v>
      </c>
      <c r="L9" s="53">
        <v>23.39</v>
      </c>
      <c r="M9" s="53">
        <v>83.53</v>
      </c>
      <c r="N9" s="53">
        <v>0</v>
      </c>
      <c r="O9" s="53">
        <v>0</v>
      </c>
      <c r="P9" s="53">
        <v>0.56999999999999995</v>
      </c>
      <c r="Q9" s="53">
        <v>6.56</v>
      </c>
      <c r="R9" s="42"/>
      <c r="S9" s="42"/>
      <c r="T9" s="42"/>
      <c r="U9" s="42"/>
    </row>
    <row r="10" spans="1:21" s="11" customFormat="1">
      <c r="A10" s="52" t="s">
        <v>766</v>
      </c>
      <c r="B10" s="53">
        <v>35.299999999999997</v>
      </c>
      <c r="C10" s="53">
        <v>59.17</v>
      </c>
      <c r="D10" s="53">
        <v>59.91</v>
      </c>
      <c r="E10" s="53">
        <v>6.48</v>
      </c>
      <c r="F10" s="53">
        <v>3.96</v>
      </c>
      <c r="G10" s="53">
        <v>38.200000000000003</v>
      </c>
      <c r="H10" s="53">
        <v>13.48</v>
      </c>
      <c r="I10" s="53">
        <v>4.9800000000000004</v>
      </c>
      <c r="J10" s="53">
        <v>0.16</v>
      </c>
      <c r="K10" s="53">
        <v>266.08999999999997</v>
      </c>
      <c r="L10" s="53">
        <v>23.21</v>
      </c>
      <c r="M10" s="53">
        <v>86.06</v>
      </c>
      <c r="N10" s="53">
        <v>0</v>
      </c>
      <c r="O10" s="53">
        <v>0</v>
      </c>
      <c r="P10" s="53">
        <v>0.56999999999999995</v>
      </c>
      <c r="Q10" s="53">
        <v>6.54</v>
      </c>
      <c r="R10" s="42"/>
      <c r="S10" s="42"/>
      <c r="T10" s="42"/>
      <c r="U10" s="42"/>
    </row>
    <row r="11" spans="1:21" s="11" customFormat="1">
      <c r="A11" s="52" t="s">
        <v>767</v>
      </c>
      <c r="B11" s="53">
        <v>36.51</v>
      </c>
      <c r="C11" s="53">
        <v>59.92</v>
      </c>
      <c r="D11" s="53">
        <v>61.36</v>
      </c>
      <c r="E11" s="53">
        <v>6.38</v>
      </c>
      <c r="F11" s="53">
        <v>4.03</v>
      </c>
      <c r="G11" s="53">
        <v>28.79</v>
      </c>
      <c r="H11" s="53">
        <v>11.13</v>
      </c>
      <c r="I11" s="53">
        <v>4.95</v>
      </c>
      <c r="J11" s="53">
        <v>0.84</v>
      </c>
      <c r="K11" s="53">
        <v>271.29000000000002</v>
      </c>
      <c r="L11" s="53">
        <v>23.39</v>
      </c>
      <c r="M11" s="53">
        <v>84.91</v>
      </c>
      <c r="N11" s="53">
        <v>0</v>
      </c>
      <c r="O11" s="53">
        <v>0</v>
      </c>
      <c r="P11" s="53">
        <v>0.56000000000000005</v>
      </c>
      <c r="Q11" s="53">
        <v>6.64</v>
      </c>
      <c r="R11" s="42"/>
      <c r="S11" s="42"/>
      <c r="T11" s="42"/>
      <c r="U11" s="42"/>
    </row>
    <row r="12" spans="1:21" s="11" customFormat="1">
      <c r="A12" s="52" t="s">
        <v>768</v>
      </c>
      <c r="B12" s="53">
        <v>37.56</v>
      </c>
      <c r="C12" s="53">
        <v>60.04</v>
      </c>
      <c r="D12" s="53">
        <v>62.47</v>
      </c>
      <c r="E12" s="53">
        <v>6.2</v>
      </c>
      <c r="F12" s="53">
        <v>4.04</v>
      </c>
      <c r="G12" s="53">
        <v>25.69</v>
      </c>
      <c r="H12" s="53">
        <v>11.13</v>
      </c>
      <c r="I12" s="53">
        <v>4.87</v>
      </c>
      <c r="J12" s="53">
        <v>0.92</v>
      </c>
      <c r="K12" s="53">
        <v>247.39</v>
      </c>
      <c r="L12" s="53">
        <v>23.34</v>
      </c>
      <c r="M12" s="53">
        <v>79.39</v>
      </c>
      <c r="N12" s="53">
        <v>0</v>
      </c>
      <c r="O12" s="53">
        <v>0</v>
      </c>
      <c r="P12" s="53">
        <v>0.55000000000000004</v>
      </c>
      <c r="Q12" s="53">
        <v>6.67</v>
      </c>
      <c r="R12" s="42"/>
      <c r="S12" s="42"/>
      <c r="T12" s="42"/>
      <c r="U12" s="42"/>
    </row>
    <row r="13" spans="1:21" s="11" customFormat="1">
      <c r="A13" s="52" t="s">
        <v>769</v>
      </c>
      <c r="B13" s="53">
        <v>38.520000000000003</v>
      </c>
      <c r="C13" s="53">
        <v>64.900000000000006</v>
      </c>
      <c r="D13" s="53">
        <v>66.150000000000006</v>
      </c>
      <c r="E13" s="53">
        <v>6.34</v>
      </c>
      <c r="F13" s="53">
        <v>3.79</v>
      </c>
      <c r="G13" s="53">
        <v>28.13</v>
      </c>
      <c r="H13" s="53">
        <v>8.76</v>
      </c>
      <c r="I13" s="53">
        <v>4.8899999999999997</v>
      </c>
      <c r="J13" s="53">
        <v>0.51</v>
      </c>
      <c r="K13" s="53">
        <v>207.96</v>
      </c>
      <c r="L13" s="53">
        <v>22.94</v>
      </c>
      <c r="M13" s="53">
        <v>81.94</v>
      </c>
      <c r="N13" s="53">
        <v>0</v>
      </c>
      <c r="O13" s="53">
        <v>0</v>
      </c>
      <c r="P13" s="53">
        <v>0.56000000000000005</v>
      </c>
      <c r="Q13" s="53">
        <v>7.13</v>
      </c>
      <c r="R13" s="42"/>
      <c r="S13" s="42"/>
      <c r="T13" s="42"/>
      <c r="U13" s="42"/>
    </row>
    <row r="14" spans="1:21" s="11" customFormat="1">
      <c r="A14" s="52" t="s">
        <v>770</v>
      </c>
      <c r="B14" s="53">
        <v>42.19</v>
      </c>
      <c r="C14" s="53">
        <v>65.81</v>
      </c>
      <c r="D14" s="53">
        <v>69.290000000000006</v>
      </c>
      <c r="E14" s="53">
        <v>6.24</v>
      </c>
      <c r="F14" s="53">
        <v>3.73</v>
      </c>
      <c r="G14" s="53">
        <v>28.17</v>
      </c>
      <c r="H14" s="53">
        <v>10.32</v>
      </c>
      <c r="I14" s="53">
        <v>5.01</v>
      </c>
      <c r="J14" s="53">
        <v>0.47</v>
      </c>
      <c r="K14" s="53">
        <v>196.06</v>
      </c>
      <c r="L14" s="53">
        <v>22.94</v>
      </c>
      <c r="M14" s="53">
        <v>84.43</v>
      </c>
      <c r="N14" s="53">
        <v>17.100000000000001</v>
      </c>
      <c r="O14" s="53">
        <v>0</v>
      </c>
      <c r="P14" s="53">
        <v>0.55000000000000004</v>
      </c>
      <c r="Q14" s="53">
        <v>7.39</v>
      </c>
      <c r="R14" s="42"/>
      <c r="S14" s="42"/>
      <c r="T14" s="42"/>
      <c r="U14" s="42"/>
    </row>
    <row r="15" spans="1:21" s="11" customFormat="1">
      <c r="A15" s="52" t="s">
        <v>771</v>
      </c>
      <c r="B15" s="53">
        <v>43.96</v>
      </c>
      <c r="C15" s="53">
        <v>64.7</v>
      </c>
      <c r="D15" s="53">
        <v>70.23</v>
      </c>
      <c r="E15" s="53">
        <v>6.54</v>
      </c>
      <c r="F15" s="53">
        <v>3.79</v>
      </c>
      <c r="G15" s="53">
        <v>28.17</v>
      </c>
      <c r="H15" s="53">
        <v>15.22</v>
      </c>
      <c r="I15" s="53">
        <v>5.15</v>
      </c>
      <c r="J15" s="53">
        <v>2.0499999999999998</v>
      </c>
      <c r="K15" s="53">
        <v>297.55</v>
      </c>
      <c r="L15" s="53">
        <v>23.72</v>
      </c>
      <c r="M15" s="53">
        <v>84.87</v>
      </c>
      <c r="N15" s="53">
        <v>26.9</v>
      </c>
      <c r="O15" s="53">
        <v>0</v>
      </c>
      <c r="P15" s="53">
        <v>0.57999999999999996</v>
      </c>
      <c r="Q15" s="53">
        <v>7.51</v>
      </c>
      <c r="R15" s="42"/>
      <c r="S15" s="42"/>
      <c r="T15" s="42"/>
      <c r="U15" s="42"/>
    </row>
    <row r="16" spans="1:21" s="11" customFormat="1">
      <c r="A16" s="52" t="s">
        <v>772</v>
      </c>
      <c r="B16" s="53">
        <v>43.49</v>
      </c>
      <c r="C16" s="53">
        <v>62.14</v>
      </c>
      <c r="D16" s="53">
        <v>68.7</v>
      </c>
      <c r="E16" s="53">
        <v>5.73</v>
      </c>
      <c r="F16" s="53">
        <v>4.75</v>
      </c>
      <c r="G16" s="53">
        <v>31.73</v>
      </c>
      <c r="H16" s="53">
        <v>15.95</v>
      </c>
      <c r="I16" s="53">
        <v>5.37</v>
      </c>
      <c r="J16" s="53">
        <v>3.63</v>
      </c>
      <c r="K16" s="53">
        <v>310.77</v>
      </c>
      <c r="L16" s="53">
        <v>23.21</v>
      </c>
      <c r="M16" s="53">
        <v>81.14</v>
      </c>
      <c r="N16" s="53">
        <v>123.1</v>
      </c>
      <c r="O16" s="53">
        <v>0</v>
      </c>
      <c r="P16" s="53">
        <v>0.6</v>
      </c>
      <c r="Q16" s="53">
        <v>7.52</v>
      </c>
      <c r="R16" s="42"/>
      <c r="S16" s="42"/>
      <c r="T16" s="42"/>
      <c r="U16" s="42"/>
    </row>
    <row r="17" spans="1:21" s="11" customFormat="1">
      <c r="A17" s="52" t="s">
        <v>773</v>
      </c>
      <c r="B17" s="53">
        <v>31.97</v>
      </c>
      <c r="C17" s="53">
        <v>61</v>
      </c>
      <c r="D17" s="53">
        <v>58.65</v>
      </c>
      <c r="E17" s="53">
        <v>5.4</v>
      </c>
      <c r="F17" s="53">
        <v>4.4000000000000004</v>
      </c>
      <c r="G17" s="53">
        <v>31.73</v>
      </c>
      <c r="H17" s="53">
        <v>15.95</v>
      </c>
      <c r="I17" s="53">
        <v>4.95</v>
      </c>
      <c r="J17" s="53">
        <v>2.81</v>
      </c>
      <c r="K17" s="53">
        <v>328.04</v>
      </c>
      <c r="L17" s="53">
        <v>22</v>
      </c>
      <c r="M17" s="53">
        <v>94.72</v>
      </c>
      <c r="N17" s="53">
        <v>53.5</v>
      </c>
      <c r="O17" s="53">
        <v>0</v>
      </c>
      <c r="P17" s="53">
        <v>0.55000000000000004</v>
      </c>
      <c r="Q17" s="53">
        <v>6.79</v>
      </c>
      <c r="R17" s="42"/>
      <c r="S17" s="42"/>
      <c r="T17" s="42"/>
      <c r="U17" s="42"/>
    </row>
    <row r="18" spans="1:21" s="11" customFormat="1">
      <c r="A18" s="52" t="s">
        <v>774</v>
      </c>
      <c r="B18" s="53">
        <v>27.84</v>
      </c>
      <c r="C18" s="53">
        <v>62.85</v>
      </c>
      <c r="D18" s="53">
        <v>56.37</v>
      </c>
      <c r="E18" s="53">
        <v>4.8899999999999997</v>
      </c>
      <c r="F18" s="53">
        <v>5.08</v>
      </c>
      <c r="G18" s="53">
        <v>28.82</v>
      </c>
      <c r="H18" s="53">
        <v>11.27</v>
      </c>
      <c r="I18" s="53">
        <v>4.17</v>
      </c>
      <c r="J18" s="53">
        <v>2.0499999999999998</v>
      </c>
      <c r="K18" s="53">
        <v>53.83</v>
      </c>
      <c r="L18" s="53">
        <v>20.74</v>
      </c>
      <c r="M18" s="53">
        <v>93.71</v>
      </c>
      <c r="N18" s="53">
        <v>213.1</v>
      </c>
      <c r="O18" s="53">
        <v>0</v>
      </c>
      <c r="P18" s="53">
        <v>0.5</v>
      </c>
      <c r="Q18" s="53">
        <v>6.28</v>
      </c>
      <c r="R18" s="42"/>
      <c r="S18" s="42"/>
      <c r="T18" s="42"/>
      <c r="U18" s="42"/>
    </row>
    <row r="19" spans="1:21" s="11" customFormat="1">
      <c r="A19" s="52" t="s">
        <v>775</v>
      </c>
      <c r="B19" s="53">
        <v>26.84</v>
      </c>
      <c r="C19" s="53">
        <v>61.98</v>
      </c>
      <c r="D19" s="53">
        <v>55.22</v>
      </c>
      <c r="E19" s="53">
        <v>6.34</v>
      </c>
      <c r="F19" s="53">
        <v>4.28</v>
      </c>
      <c r="G19" s="53">
        <v>28.82</v>
      </c>
      <c r="H19" s="53">
        <v>9.23</v>
      </c>
      <c r="I19" s="53">
        <v>4.45</v>
      </c>
      <c r="J19" s="53">
        <v>2</v>
      </c>
      <c r="K19" s="53">
        <v>58.59</v>
      </c>
      <c r="L19" s="53">
        <v>23.31</v>
      </c>
      <c r="M19" s="53">
        <v>80.2</v>
      </c>
      <c r="N19" s="53">
        <v>481.7</v>
      </c>
      <c r="O19" s="53">
        <v>0</v>
      </c>
      <c r="P19" s="53">
        <v>0.47</v>
      </c>
      <c r="Q19" s="53">
        <v>6.29</v>
      </c>
      <c r="R19" s="42"/>
      <c r="S19" s="42"/>
      <c r="T19" s="42"/>
      <c r="U19" s="42"/>
    </row>
    <row r="20" spans="1:21" s="11" customFormat="1">
      <c r="A20" s="52" t="s">
        <v>776</v>
      </c>
      <c r="B20" s="53">
        <v>26.49</v>
      </c>
      <c r="C20" s="53">
        <v>61.21</v>
      </c>
      <c r="D20" s="53">
        <v>54.52</v>
      </c>
      <c r="E20" s="53">
        <v>6.15</v>
      </c>
      <c r="F20" s="53">
        <v>4.2699999999999996</v>
      </c>
      <c r="G20" s="53">
        <v>28.58</v>
      </c>
      <c r="H20" s="53">
        <v>10.46</v>
      </c>
      <c r="I20" s="53">
        <v>4.3600000000000003</v>
      </c>
      <c r="J20" s="53">
        <v>1.72</v>
      </c>
      <c r="K20" s="53">
        <v>58.45</v>
      </c>
      <c r="L20" s="53">
        <v>25.09</v>
      </c>
      <c r="M20" s="53">
        <v>67.260000000000005</v>
      </c>
      <c r="N20" s="53">
        <v>378.8</v>
      </c>
      <c r="O20" s="53">
        <v>0</v>
      </c>
      <c r="P20" s="53">
        <v>0.46</v>
      </c>
      <c r="Q20" s="53">
        <v>6.18</v>
      </c>
      <c r="R20" s="42"/>
      <c r="S20" s="42"/>
      <c r="T20" s="42"/>
      <c r="U20" s="42"/>
    </row>
    <row r="21" spans="1:21" s="11" customFormat="1">
      <c r="A21" s="52" t="s">
        <v>777</v>
      </c>
      <c r="B21" s="53">
        <v>27.05</v>
      </c>
      <c r="C21" s="53">
        <v>61.69</v>
      </c>
      <c r="D21" s="53">
        <v>55.27</v>
      </c>
      <c r="E21" s="53">
        <v>6.43</v>
      </c>
      <c r="F21" s="53">
        <v>5.47</v>
      </c>
      <c r="G21" s="53">
        <v>28.58</v>
      </c>
      <c r="H21" s="53">
        <v>10.46</v>
      </c>
      <c r="I21" s="53">
        <v>4.13</v>
      </c>
      <c r="J21" s="53">
        <v>1.42</v>
      </c>
      <c r="K21" s="53">
        <v>325.07</v>
      </c>
      <c r="L21" s="53">
        <v>25.27</v>
      </c>
      <c r="M21" s="53">
        <v>76.319999999999993</v>
      </c>
      <c r="N21" s="53">
        <v>252.5</v>
      </c>
      <c r="O21" s="53">
        <v>0</v>
      </c>
      <c r="P21" s="53">
        <v>0.46</v>
      </c>
      <c r="Q21" s="53">
        <v>6.21</v>
      </c>
      <c r="R21" s="42"/>
      <c r="S21" s="42"/>
      <c r="T21" s="42"/>
      <c r="U21" s="42"/>
    </row>
    <row r="22" spans="1:21" s="11" customFormat="1">
      <c r="A22" s="52" t="s">
        <v>778</v>
      </c>
      <c r="B22" s="53">
        <v>30.19</v>
      </c>
      <c r="C22" s="53">
        <v>61.29</v>
      </c>
      <c r="D22" s="53">
        <v>56.86</v>
      </c>
      <c r="E22" s="53">
        <v>6.19</v>
      </c>
      <c r="F22" s="53">
        <v>4.03</v>
      </c>
      <c r="G22" s="53">
        <v>26.49</v>
      </c>
      <c r="H22" s="53">
        <v>9.5299999999999994</v>
      </c>
      <c r="I22" s="53">
        <v>4.12</v>
      </c>
      <c r="J22" s="53">
        <v>0.91</v>
      </c>
      <c r="K22" s="53">
        <v>344.93</v>
      </c>
      <c r="L22" s="53">
        <v>21.46</v>
      </c>
      <c r="M22" s="53">
        <v>88.96</v>
      </c>
      <c r="N22" s="53">
        <v>196.9</v>
      </c>
      <c r="O22" s="53">
        <v>0</v>
      </c>
      <c r="P22" s="53">
        <v>0.47</v>
      </c>
      <c r="Q22" s="53">
        <v>6.27</v>
      </c>
      <c r="R22" s="42"/>
      <c r="S22" s="42"/>
      <c r="T22" s="42"/>
      <c r="U22" s="42"/>
    </row>
    <row r="23" spans="1:21" s="11" customFormat="1">
      <c r="A23" s="52" t="s">
        <v>779</v>
      </c>
      <c r="B23" s="53">
        <v>31.81</v>
      </c>
      <c r="C23" s="53">
        <v>68.3</v>
      </c>
      <c r="D23" s="53">
        <v>62.48</v>
      </c>
      <c r="E23" s="53">
        <v>5.93</v>
      </c>
      <c r="F23" s="53">
        <v>4.0599999999999996</v>
      </c>
      <c r="G23" s="53">
        <v>32.94</v>
      </c>
      <c r="H23" s="53">
        <v>13.41</v>
      </c>
      <c r="I23" s="53">
        <v>4.13</v>
      </c>
      <c r="J23" s="53">
        <v>0.94</v>
      </c>
      <c r="K23" s="53">
        <v>58.58</v>
      </c>
      <c r="L23" s="53">
        <v>22.76</v>
      </c>
      <c r="M23" s="53">
        <v>82.75</v>
      </c>
      <c r="N23" s="53">
        <v>319.39999999999998</v>
      </c>
      <c r="O23" s="53">
        <v>0</v>
      </c>
      <c r="P23" s="53">
        <v>0.57999999999999996</v>
      </c>
      <c r="Q23" s="53">
        <v>6.85</v>
      </c>
      <c r="R23" s="42"/>
      <c r="S23" s="42"/>
      <c r="T23" s="42"/>
      <c r="U23" s="42"/>
    </row>
    <row r="24" spans="1:21" s="11" customFormat="1">
      <c r="A24" s="52" t="s">
        <v>780</v>
      </c>
      <c r="B24" s="53">
        <v>32.58</v>
      </c>
      <c r="C24" s="53">
        <v>68.63</v>
      </c>
      <c r="D24" s="53">
        <v>63.26</v>
      </c>
      <c r="E24" s="53">
        <v>5.67</v>
      </c>
      <c r="F24" s="53">
        <v>3.84</v>
      </c>
      <c r="G24" s="53">
        <v>37.74</v>
      </c>
      <c r="H24" s="53">
        <v>13.41</v>
      </c>
      <c r="I24" s="53">
        <v>4.05</v>
      </c>
      <c r="J24" s="53">
        <v>0.74</v>
      </c>
      <c r="K24" s="53">
        <v>62.73</v>
      </c>
      <c r="L24" s="53">
        <v>23.02</v>
      </c>
      <c r="M24" s="53">
        <v>77.540000000000006</v>
      </c>
      <c r="N24" s="53">
        <v>161.30000000000001</v>
      </c>
      <c r="O24" s="53">
        <v>0</v>
      </c>
      <c r="P24" s="53">
        <v>0.57999999999999996</v>
      </c>
      <c r="Q24" s="53">
        <v>6.95</v>
      </c>
      <c r="R24" s="42"/>
      <c r="S24" s="42"/>
      <c r="T24" s="42"/>
      <c r="U24" s="42"/>
    </row>
    <row r="25" spans="1:21" s="11" customFormat="1">
      <c r="A25" s="52" t="s">
        <v>781</v>
      </c>
      <c r="B25" s="53">
        <v>33.18</v>
      </c>
      <c r="C25" s="53">
        <v>69.150000000000006</v>
      </c>
      <c r="D25" s="53">
        <v>63.95</v>
      </c>
      <c r="E25" s="53">
        <v>5.83</v>
      </c>
      <c r="F25" s="53">
        <v>3.77</v>
      </c>
      <c r="G25" s="53">
        <v>41.66</v>
      </c>
      <c r="H25" s="53">
        <v>13.19</v>
      </c>
      <c r="I25" s="53">
        <v>3.92</v>
      </c>
      <c r="J25" s="53">
        <v>0.7</v>
      </c>
      <c r="K25" s="53">
        <v>334.07</v>
      </c>
      <c r="L25" s="53">
        <v>23.43</v>
      </c>
      <c r="M25" s="53">
        <v>75.930000000000007</v>
      </c>
      <c r="N25" s="53">
        <v>103.4</v>
      </c>
      <c r="O25" s="53">
        <v>0</v>
      </c>
      <c r="P25" s="53">
        <v>0.64</v>
      </c>
      <c r="Q25" s="53">
        <v>6.98</v>
      </c>
      <c r="R25" s="42"/>
      <c r="S25" s="42"/>
      <c r="T25" s="42"/>
      <c r="U25" s="42"/>
    </row>
    <row r="26" spans="1:21" s="11" customFormat="1">
      <c r="A26" s="52" t="s">
        <v>782</v>
      </c>
      <c r="B26" s="53">
        <v>36.909999999999997</v>
      </c>
      <c r="C26" s="53">
        <v>69.7</v>
      </c>
      <c r="D26" s="53">
        <v>67.37</v>
      </c>
      <c r="E26" s="53">
        <v>5.55</v>
      </c>
      <c r="F26" s="53">
        <v>3.72</v>
      </c>
      <c r="G26" s="53">
        <v>48.24</v>
      </c>
      <c r="H26" s="53">
        <v>15.27</v>
      </c>
      <c r="I26" s="53">
        <v>3.86</v>
      </c>
      <c r="J26" s="53">
        <v>0.81</v>
      </c>
      <c r="K26" s="53">
        <v>76.77</v>
      </c>
      <c r="L26" s="53">
        <v>23.05</v>
      </c>
      <c r="M26" s="53">
        <v>78.03</v>
      </c>
      <c r="N26" s="53">
        <v>46.2</v>
      </c>
      <c r="O26" s="53">
        <v>0</v>
      </c>
      <c r="P26" s="53">
        <v>0.69</v>
      </c>
      <c r="Q26" s="53">
        <v>7.23</v>
      </c>
      <c r="R26" s="42"/>
      <c r="S26" s="42"/>
      <c r="T26" s="42"/>
      <c r="U26" s="42"/>
    </row>
    <row r="27" spans="1:21" s="11" customFormat="1">
      <c r="A27" s="52" t="s">
        <v>783</v>
      </c>
      <c r="B27" s="53">
        <v>37.61</v>
      </c>
      <c r="C27" s="53">
        <v>69.5</v>
      </c>
      <c r="D27" s="53">
        <v>67.819999999999993</v>
      </c>
      <c r="E27" s="53">
        <v>6.85</v>
      </c>
      <c r="F27" s="53">
        <v>3.69</v>
      </c>
      <c r="G27" s="53">
        <v>51.23</v>
      </c>
      <c r="H27" s="53">
        <v>19.86</v>
      </c>
      <c r="I27" s="53">
        <v>3.91</v>
      </c>
      <c r="J27" s="53">
        <v>0.26</v>
      </c>
      <c r="K27" s="53">
        <v>209.66</v>
      </c>
      <c r="L27" s="53">
        <v>22.95</v>
      </c>
      <c r="M27" s="53">
        <v>84.09</v>
      </c>
      <c r="N27" s="53">
        <v>0.3</v>
      </c>
      <c r="O27" s="53">
        <v>0</v>
      </c>
      <c r="P27" s="53">
        <v>0.7</v>
      </c>
      <c r="Q27" s="53">
        <v>7.35</v>
      </c>
      <c r="R27" s="42"/>
      <c r="S27" s="42"/>
      <c r="T27" s="42"/>
      <c r="U27" s="42"/>
    </row>
    <row r="28" spans="1:21" s="11" customFormat="1">
      <c r="A28" s="52" t="s">
        <v>784</v>
      </c>
      <c r="B28" s="53">
        <v>38.07</v>
      </c>
      <c r="C28" s="53">
        <v>64.349999999999994</v>
      </c>
      <c r="D28" s="53">
        <v>65.2</v>
      </c>
      <c r="E28" s="53">
        <v>7.08</v>
      </c>
      <c r="F28" s="53">
        <v>4.34</v>
      </c>
      <c r="G28" s="53">
        <v>51.23</v>
      </c>
      <c r="H28" s="53">
        <v>19.86</v>
      </c>
      <c r="I28" s="53">
        <v>3.92</v>
      </c>
      <c r="J28" s="53">
        <v>0.13</v>
      </c>
      <c r="K28" s="53">
        <v>222.37</v>
      </c>
      <c r="L28" s="53">
        <v>22.17</v>
      </c>
      <c r="M28" s="53">
        <v>85.09</v>
      </c>
      <c r="N28" s="53">
        <v>0</v>
      </c>
      <c r="O28" s="53">
        <v>0</v>
      </c>
      <c r="P28" s="53">
        <v>0.66</v>
      </c>
      <c r="Q28" s="53">
        <v>6.94</v>
      </c>
      <c r="R28" s="42"/>
      <c r="S28" s="42"/>
      <c r="T28" s="42"/>
      <c r="U28" s="42"/>
    </row>
    <row r="29" spans="1:21" s="11" customFormat="1">
      <c r="A29" s="52" t="s">
        <v>785</v>
      </c>
      <c r="B29" s="53">
        <v>38.28</v>
      </c>
      <c r="C29" s="53">
        <v>62.82</v>
      </c>
      <c r="D29" s="53">
        <v>64.47</v>
      </c>
      <c r="E29" s="53">
        <v>7.3</v>
      </c>
      <c r="F29" s="53">
        <v>3.95</v>
      </c>
      <c r="G29" s="53">
        <v>42</v>
      </c>
      <c r="H29" s="53">
        <v>15.61</v>
      </c>
      <c r="I29" s="53">
        <v>3.94</v>
      </c>
      <c r="J29" s="53">
        <v>0.2</v>
      </c>
      <c r="K29" s="53">
        <v>269.95999999999998</v>
      </c>
      <c r="L29" s="53">
        <v>22.26</v>
      </c>
      <c r="M29" s="53">
        <v>84.7</v>
      </c>
      <c r="N29" s="53">
        <v>0</v>
      </c>
      <c r="O29" s="53">
        <v>0</v>
      </c>
      <c r="P29" s="53">
        <v>0.65</v>
      </c>
      <c r="Q29" s="53">
        <v>6.9</v>
      </c>
      <c r="R29" s="42"/>
      <c r="S29" s="42"/>
      <c r="T29" s="42"/>
      <c r="U29" s="42"/>
    </row>
    <row r="30" spans="1:21" s="11" customFormat="1">
      <c r="A30" s="52" t="s">
        <v>786</v>
      </c>
      <c r="B30" s="53">
        <v>38.31</v>
      </c>
      <c r="C30" s="53">
        <v>61.14</v>
      </c>
      <c r="D30" s="53">
        <v>63.8</v>
      </c>
      <c r="E30" s="53">
        <v>7.39</v>
      </c>
      <c r="F30" s="53">
        <v>3.84</v>
      </c>
      <c r="G30" s="53">
        <v>28.17</v>
      </c>
      <c r="H30" s="53">
        <v>12.65</v>
      </c>
      <c r="I30" s="53">
        <v>3.96</v>
      </c>
      <c r="J30" s="53">
        <v>2.66</v>
      </c>
      <c r="K30" s="53">
        <v>309.33999999999997</v>
      </c>
      <c r="L30" s="53">
        <v>22.25</v>
      </c>
      <c r="M30" s="53">
        <v>87.83</v>
      </c>
      <c r="N30" s="53">
        <v>0</v>
      </c>
      <c r="O30" s="53">
        <v>0</v>
      </c>
      <c r="P30" s="53">
        <v>0.65</v>
      </c>
      <c r="Q30" s="53">
        <v>6.9</v>
      </c>
      <c r="R30" s="42"/>
      <c r="S30" s="42"/>
      <c r="T30" s="42"/>
      <c r="U30" s="42"/>
    </row>
    <row r="31" spans="1:21" s="11" customFormat="1">
      <c r="A31" s="52" t="s">
        <v>787</v>
      </c>
      <c r="B31" s="53">
        <v>38.68</v>
      </c>
      <c r="C31" s="53">
        <v>59.78</v>
      </c>
      <c r="D31" s="53">
        <v>63.49</v>
      </c>
      <c r="E31" s="53">
        <v>7.59</v>
      </c>
      <c r="F31" s="53">
        <v>4.3600000000000003</v>
      </c>
      <c r="G31" s="53">
        <v>30.56</v>
      </c>
      <c r="H31" s="53">
        <v>12.65</v>
      </c>
      <c r="I31" s="53">
        <v>4.34</v>
      </c>
      <c r="J31" s="53">
        <v>1.87</v>
      </c>
      <c r="K31" s="53">
        <v>305.05</v>
      </c>
      <c r="L31" s="53">
        <v>21.43</v>
      </c>
      <c r="M31" s="53">
        <v>93.99</v>
      </c>
      <c r="N31" s="53">
        <v>0</v>
      </c>
      <c r="O31" s="53">
        <v>0</v>
      </c>
      <c r="P31" s="53">
        <v>0.68</v>
      </c>
      <c r="Q31" s="53">
        <v>6.89</v>
      </c>
      <c r="R31" s="42"/>
      <c r="S31" s="42"/>
      <c r="T31" s="42"/>
      <c r="U31" s="42"/>
    </row>
    <row r="32" spans="1:21" s="11" customFormat="1">
      <c r="A32" s="52" t="s">
        <v>788</v>
      </c>
      <c r="B32" s="53">
        <v>39.15</v>
      </c>
      <c r="C32" s="53">
        <v>61.44</v>
      </c>
      <c r="D32" s="53">
        <v>64.84</v>
      </c>
      <c r="E32" s="53">
        <v>7.21</v>
      </c>
      <c r="F32" s="53">
        <v>3.92</v>
      </c>
      <c r="G32" s="53">
        <v>30.56</v>
      </c>
      <c r="H32" s="53">
        <v>10.84</v>
      </c>
      <c r="I32" s="53">
        <v>4.7699999999999996</v>
      </c>
      <c r="J32" s="53">
        <v>0.9</v>
      </c>
      <c r="K32" s="53">
        <v>103.23</v>
      </c>
      <c r="L32" s="53">
        <v>20.89</v>
      </c>
      <c r="M32" s="53">
        <v>94.64</v>
      </c>
      <c r="N32" s="53">
        <v>0</v>
      </c>
      <c r="O32" s="53">
        <v>0</v>
      </c>
      <c r="P32" s="53">
        <v>0.72</v>
      </c>
      <c r="Q32" s="53">
        <v>7.02</v>
      </c>
      <c r="R32" s="42"/>
      <c r="S32" s="42"/>
      <c r="T32" s="42"/>
      <c r="U32" s="42"/>
    </row>
    <row r="33" spans="1:21" s="21" customFormat="1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>
      <c r="A34" s="27" t="s">
        <v>30</v>
      </c>
      <c r="B34" s="28">
        <f t="shared" ref="B34:Q34" si="0">MIN(B9:B32)</f>
        <v>26.49</v>
      </c>
      <c r="C34" s="28">
        <f t="shared" si="0"/>
        <v>59.17</v>
      </c>
      <c r="D34" s="28">
        <f t="shared" si="0"/>
        <v>54.52</v>
      </c>
      <c r="E34" s="28">
        <f t="shared" si="0"/>
        <v>4.8899999999999997</v>
      </c>
      <c r="F34" s="28">
        <f t="shared" si="0"/>
        <v>3.69</v>
      </c>
      <c r="G34" s="28">
        <f t="shared" si="0"/>
        <v>25.69</v>
      </c>
      <c r="H34" s="28">
        <f>MIN(H9:H32)</f>
        <v>8.76</v>
      </c>
      <c r="I34" s="28">
        <f t="shared" si="0"/>
        <v>3.86</v>
      </c>
      <c r="J34" s="28">
        <f t="shared" si="0"/>
        <v>0.13</v>
      </c>
      <c r="K34" s="28">
        <f t="shared" si="0"/>
        <v>53.83</v>
      </c>
      <c r="L34" s="28">
        <f t="shared" si="0"/>
        <v>20.74</v>
      </c>
      <c r="M34" s="28">
        <f t="shared" si="0"/>
        <v>67.260000000000005</v>
      </c>
      <c r="N34" s="28">
        <f t="shared" si="0"/>
        <v>0</v>
      </c>
      <c r="O34" s="28">
        <f t="shared" si="0"/>
        <v>0</v>
      </c>
      <c r="P34" s="28">
        <f t="shared" si="0"/>
        <v>0.46</v>
      </c>
      <c r="Q34" s="28">
        <f t="shared" si="0"/>
        <v>6.18</v>
      </c>
      <c r="R34" s="28"/>
      <c r="S34" s="28"/>
      <c r="T34" s="28"/>
      <c r="U34" s="28"/>
    </row>
    <row r="35" spans="1:21" s="21" customFormat="1">
      <c r="A35" s="27" t="s">
        <v>31</v>
      </c>
      <c r="B35" s="29">
        <f t="shared" ref="B35:Q35" si="1">MAX(B9:B32)</f>
        <v>43.96</v>
      </c>
      <c r="C35" s="29">
        <f t="shared" si="1"/>
        <v>69.7</v>
      </c>
      <c r="D35" s="29">
        <f t="shared" si="1"/>
        <v>70.23</v>
      </c>
      <c r="E35" s="29">
        <f t="shared" si="1"/>
        <v>7.59</v>
      </c>
      <c r="F35" s="29">
        <f t="shared" si="1"/>
        <v>5.47</v>
      </c>
      <c r="G35" s="29">
        <f>MAX(G9:G32)</f>
        <v>51.23</v>
      </c>
      <c r="H35" s="29">
        <f>MAX(H9:H32)</f>
        <v>19.86</v>
      </c>
      <c r="I35" s="29">
        <f t="shared" si="1"/>
        <v>5.37</v>
      </c>
      <c r="J35" s="29">
        <f t="shared" si="1"/>
        <v>3.63</v>
      </c>
      <c r="K35" s="29">
        <f t="shared" si="1"/>
        <v>344.93</v>
      </c>
      <c r="L35" s="29">
        <f t="shared" si="1"/>
        <v>25.27</v>
      </c>
      <c r="M35" s="29">
        <f t="shared" si="1"/>
        <v>94.72</v>
      </c>
      <c r="N35" s="29">
        <f t="shared" si="1"/>
        <v>481.7</v>
      </c>
      <c r="O35" s="29">
        <f t="shared" si="1"/>
        <v>0</v>
      </c>
      <c r="P35" s="29">
        <f t="shared" si="1"/>
        <v>0.72</v>
      </c>
      <c r="Q35" s="29">
        <f t="shared" si="1"/>
        <v>7.52</v>
      </c>
      <c r="R35" s="29"/>
      <c r="S35" s="29"/>
      <c r="T35" s="29"/>
      <c r="U35" s="29"/>
    </row>
    <row r="36" spans="1:21" s="21" customFormat="1">
      <c r="A36" s="27" t="s">
        <v>32</v>
      </c>
      <c r="B36" s="28">
        <f t="shared" ref="B36:Q36" si="2">AVERAGE(B9:B32)</f>
        <v>35.229583333333323</v>
      </c>
      <c r="C36" s="28">
        <f t="shared" si="2"/>
        <v>63.403333333333329</v>
      </c>
      <c r="D36" s="28">
        <f t="shared" si="2"/>
        <v>62.539166666666667</v>
      </c>
      <c r="E36" s="28">
        <f t="shared" si="2"/>
        <v>6.340416666666667</v>
      </c>
      <c r="F36" s="28">
        <f t="shared" si="2"/>
        <v>4.1258333333333335</v>
      </c>
      <c r="G36" s="28">
        <f t="shared" si="2"/>
        <v>34.201666666666661</v>
      </c>
      <c r="H36" s="28">
        <f>AVERAGE(H9:H32)</f>
        <v>13.144166666666665</v>
      </c>
      <c r="I36" s="28">
        <f t="shared" si="2"/>
        <v>4.4674999999999994</v>
      </c>
      <c r="J36" s="28">
        <f t="shared" si="2"/>
        <v>1.2070833333333333</v>
      </c>
      <c r="K36" s="28">
        <f t="shared" si="2"/>
        <v>214.8175</v>
      </c>
      <c r="L36" s="28">
        <f t="shared" si="2"/>
        <v>22.842499999999998</v>
      </c>
      <c r="M36" s="28">
        <f t="shared" si="2"/>
        <v>83.834583333333327</v>
      </c>
      <c r="N36" s="28">
        <f t="shared" si="2"/>
        <v>98.925000000000011</v>
      </c>
      <c r="O36" s="28">
        <f t="shared" si="2"/>
        <v>0</v>
      </c>
      <c r="P36" s="28">
        <f t="shared" si="2"/>
        <v>0.58333333333333337</v>
      </c>
      <c r="Q36" s="28">
        <f t="shared" si="2"/>
        <v>6.8329166666666667</v>
      </c>
      <c r="R36" s="28"/>
      <c r="S36" s="28"/>
      <c r="T36" s="28"/>
      <c r="U36" s="28"/>
    </row>
    <row r="37" spans="1:21" s="21" customFormat="1">
      <c r="A37" s="27" t="s">
        <v>38</v>
      </c>
      <c r="B37" s="28">
        <f>STDEV(B9:B32)</f>
        <v>5.1310118327223693</v>
      </c>
      <c r="C37" s="28">
        <f t="shared" ref="C37:Q37" si="3">STDEV(C9:C32)</f>
        <v>3.4130843715819625</v>
      </c>
      <c r="D37" s="28">
        <f t="shared" si="3"/>
        <v>4.67772698114638</v>
      </c>
      <c r="E37" s="28">
        <f t="shared" si="3"/>
        <v>0.6653699798945889</v>
      </c>
      <c r="F37" s="28">
        <f t="shared" si="3"/>
        <v>0.44387539053076158</v>
      </c>
      <c r="G37" s="28">
        <f t="shared" si="3"/>
        <v>8.0729304343034087</v>
      </c>
      <c r="H37" s="28">
        <f>STDEV(H9:H32)</f>
        <v>3.0623107454093108</v>
      </c>
      <c r="I37" s="28">
        <f t="shared" si="3"/>
        <v>0.48878064787707404</v>
      </c>
      <c r="J37" s="28">
        <f t="shared" si="3"/>
        <v>0.94472208550482195</v>
      </c>
      <c r="K37" s="28">
        <f t="shared" si="3"/>
        <v>105.0900223307535</v>
      </c>
      <c r="L37" s="28">
        <f t="shared" si="3"/>
        <v>1.0934279960787978</v>
      </c>
      <c r="M37" s="28">
        <f t="shared" si="3"/>
        <v>6.5942392376367414</v>
      </c>
      <c r="N37" s="28">
        <f t="shared" si="3"/>
        <v>139.64023417339286</v>
      </c>
      <c r="O37" s="28">
        <f t="shared" si="3"/>
        <v>0</v>
      </c>
      <c r="P37" s="28">
        <f t="shared" si="3"/>
        <v>7.7777087643591092E-2</v>
      </c>
      <c r="Q37" s="28">
        <f t="shared" si="3"/>
        <v>0.40679531405393599</v>
      </c>
      <c r="R37" s="28"/>
      <c r="S37" s="28"/>
      <c r="T37" s="28"/>
      <c r="U37" s="28"/>
    </row>
    <row r="38" spans="1:21" s="21" customFormat="1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>COUNT(F9:F32)</f>
        <v>24</v>
      </c>
      <c r="G38" s="32">
        <f>COUNT(G9:G32)</f>
        <v>24</v>
      </c>
      <c r="H38" s="32">
        <f>COUNT(H9:H32)</f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>
      <c r="A42" s="13"/>
    </row>
    <row r="43" spans="1:21" s="21" customFormat="1">
      <c r="A43" s="14" t="s">
        <v>35</v>
      </c>
      <c r="B43" s="39" t="s">
        <v>58</v>
      </c>
      <c r="C43" s="41"/>
    </row>
    <row r="44" spans="1:21" s="21" customFormat="1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0"/>
      <c r="C45" s="40"/>
      <c r="D45" s="40"/>
      <c r="E45" s="40"/>
      <c r="F45" s="40"/>
      <c r="G45" s="40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</row>
    <row r="46" spans="1:21" s="21" customFormat="1"/>
    <row r="47" spans="1:21" s="21" customFormat="1"/>
    <row r="48" spans="1:21" s="21" customFormat="1"/>
    <row r="49" s="21" customFormat="1"/>
    <row r="50" s="21" customFormat="1"/>
    <row r="51" s="21" customFormat="1"/>
    <row r="52" s="21" customFormat="1"/>
    <row r="53" s="21" customFormat="1"/>
    <row r="54" s="21" customFormat="1"/>
    <row r="55" s="21" customFormat="1"/>
    <row r="56" s="21" customFormat="1"/>
    <row r="57" s="21" customFormat="1"/>
    <row r="58" s="21" customFormat="1"/>
    <row r="59" s="21" customFormat="1"/>
    <row r="60" s="21" customFormat="1"/>
    <row r="61" s="21" customFormat="1"/>
    <row r="62" s="21" customFormat="1"/>
    <row r="63" s="21" customFormat="1"/>
    <row r="64" s="21" customFormat="1"/>
    <row r="65" s="21" customFormat="1"/>
    <row r="66" s="21" customFormat="1"/>
    <row r="67" s="21" customFormat="1"/>
    <row r="68" s="21" customFormat="1"/>
    <row r="69" s="21" customFormat="1"/>
    <row r="70" s="21" customFormat="1"/>
    <row r="71" s="21" customFormat="1"/>
    <row r="72" s="21" customFormat="1"/>
    <row r="73" s="21" customFormat="1"/>
    <row r="74" s="21" customFormat="1"/>
    <row r="75" s="21" customFormat="1"/>
    <row r="76" s="21" customFormat="1"/>
    <row r="77" s="21" customFormat="1"/>
    <row r="78" s="21" customFormat="1"/>
    <row r="79" s="21" customFormat="1"/>
    <row r="80" s="21" customFormat="1"/>
    <row r="81" s="21" customFormat="1"/>
    <row r="82" s="21" customFormat="1"/>
    <row r="83" s="21" customFormat="1"/>
    <row r="84" s="21" customFormat="1"/>
    <row r="85" s="21" customFormat="1"/>
    <row r="86" s="21" customFormat="1"/>
    <row r="87" s="21" customFormat="1"/>
    <row r="88" s="21" customFormat="1"/>
    <row r="89" s="21" customFormat="1"/>
    <row r="90" s="21" customFormat="1"/>
    <row r="91" s="21" customFormat="1"/>
    <row r="92" s="21" customFormat="1"/>
    <row r="93" s="21" customFormat="1"/>
    <row r="94" s="21" customFormat="1"/>
    <row r="95" s="21" customFormat="1"/>
    <row r="96" s="21" customFormat="1"/>
    <row r="97" spans="1:1" s="21" customFormat="1"/>
    <row r="98" spans="1:1" s="21" customFormat="1"/>
    <row r="99" spans="1:1" s="21" customFormat="1"/>
    <row r="100" spans="1:1" s="21" customFormat="1"/>
    <row r="101" spans="1:1" s="21" customFormat="1"/>
    <row r="102" spans="1:1" s="21" customFormat="1"/>
    <row r="103" spans="1:1" s="21" customFormat="1"/>
    <row r="104" spans="1:1" s="21" customFormat="1"/>
    <row r="105" spans="1:1" s="21" customFormat="1"/>
    <row r="106" spans="1:1">
      <c r="A106" s="20"/>
    </row>
    <row r="107" spans="1:1" s="21" customFormat="1"/>
    <row r="108" spans="1:1" s="21" customFormat="1"/>
    <row r="109" spans="1:1" s="21" customFormat="1"/>
    <row r="110" spans="1:1" s="21" customFormat="1"/>
    <row r="111" spans="1:1" s="21" customFormat="1"/>
    <row r="112" spans="1:1" s="21" customFormat="1"/>
    <row r="113" spans="1:1" s="21" customFormat="1"/>
    <row r="114" spans="1:1" s="21" customFormat="1"/>
    <row r="115" spans="1:1" s="21" customFormat="1"/>
    <row r="116" spans="1:1" s="21" customFormat="1"/>
    <row r="117" spans="1:1" s="21" customFormat="1"/>
    <row r="118" spans="1:1">
      <c r="A118" s="20"/>
    </row>
    <row r="119" spans="1:1">
      <c r="A119" s="20"/>
    </row>
  </sheetData>
  <pageMargins left="0.7" right="0.7" top="0.75" bottom="0.75" header="0.3" footer="0.3"/>
  <pageSetup paperSize="9" orientation="portrait" verticalDpi="0" r:id="rId1"/>
</worksheet>
</file>

<file path=xl/worksheets/sheet31.xml><?xml version="1.0" encoding="utf-8"?>
<worksheet xmlns="http://schemas.openxmlformats.org/spreadsheetml/2006/main" xmlns:r="http://schemas.openxmlformats.org/officeDocument/2006/relationships">
  <dimension ref="A1:X54"/>
  <sheetViews>
    <sheetView tabSelected="1" zoomScale="85" zoomScaleNormal="85" workbookViewId="0">
      <pane xSplit="1" ySplit="8" topLeftCell="B9" activePane="bottomRight" state="frozen"/>
      <selection activeCell="B2" sqref="B2"/>
      <selection pane="topRight" activeCell="B2" sqref="B2"/>
      <selection pane="bottomLeft" activeCell="B2" sqref="B2"/>
      <selection pane="bottomRight" activeCell="E10" sqref="E10"/>
    </sheetView>
  </sheetViews>
  <sheetFormatPr defaultColWidth="8.85546875" defaultRowHeight="15"/>
  <cols>
    <col min="1" max="1" width="17.42578125" style="11" customWidth="1"/>
    <col min="2" max="2" width="14" style="11" customWidth="1"/>
    <col min="3" max="3" width="11.7109375" style="11" customWidth="1"/>
    <col min="4" max="4" width="14.42578125" style="11" customWidth="1"/>
    <col min="5" max="5" width="10.7109375" style="11" customWidth="1"/>
    <col min="6" max="6" width="8.85546875" style="11"/>
    <col min="7" max="7" width="11.28515625" style="11" customWidth="1"/>
    <col min="8" max="8" width="12.42578125" style="11" customWidth="1"/>
    <col min="9" max="9" width="13" style="11" customWidth="1"/>
    <col min="10" max="10" width="8.85546875" style="11"/>
    <col min="11" max="11" width="9.7109375" style="11" customWidth="1"/>
    <col min="12" max="12" width="11" style="11" customWidth="1"/>
    <col min="13" max="13" width="10" style="11" customWidth="1"/>
    <col min="14" max="16" width="8.85546875" style="11"/>
    <col min="17" max="17" width="9.7109375" style="11" customWidth="1"/>
    <col min="18" max="18" width="8.85546875" style="11"/>
    <col min="19" max="19" width="12.140625" style="11" customWidth="1"/>
    <col min="20" max="20" width="12.7109375" style="11" customWidth="1"/>
    <col min="21" max="16384" width="8.85546875" style="11"/>
  </cols>
  <sheetData>
    <row r="1" spans="1:21" s="21" customFormat="1" ht="27.75" customHeight="1">
      <c r="A1" s="14" t="s">
        <v>2</v>
      </c>
      <c r="B1" s="23" t="s">
        <v>57</v>
      </c>
      <c r="C1" s="2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>
      <c r="A2" s="14" t="s">
        <v>0</v>
      </c>
      <c r="B2" s="37" t="str">
        <f>$A$9</f>
        <v>01/04/2023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8" t="s">
        <v>7</v>
      </c>
      <c r="Q2" s="12"/>
      <c r="R2" s="8" t="s">
        <v>8</v>
      </c>
      <c r="S2" s="11"/>
      <c r="T2" s="11"/>
      <c r="U2" s="11"/>
    </row>
    <row r="3" spans="1:21" s="21" customFormat="1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8" t="s">
        <v>15</v>
      </c>
      <c r="Q3" s="12"/>
      <c r="R3" s="9" t="s">
        <v>15</v>
      </c>
      <c r="S3" s="11"/>
      <c r="T3" s="11"/>
      <c r="U3" s="11"/>
    </row>
    <row r="4" spans="1:21" s="21" customFormat="1">
      <c r="A4" s="14" t="s">
        <v>16</v>
      </c>
      <c r="B4" s="12" t="s">
        <v>37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>
      <c r="A7" s="25" t="s">
        <v>21</v>
      </c>
      <c r="B7" s="48" t="s">
        <v>59</v>
      </c>
      <c r="C7" s="48" t="s">
        <v>60</v>
      </c>
      <c r="D7" s="48" t="s">
        <v>61</v>
      </c>
      <c r="E7" s="48" t="s">
        <v>62</v>
      </c>
      <c r="F7" s="48" t="s">
        <v>63</v>
      </c>
      <c r="G7" s="48" t="s">
        <v>64</v>
      </c>
      <c r="H7" s="48" t="s">
        <v>74</v>
      </c>
      <c r="I7" s="48" t="s">
        <v>65</v>
      </c>
      <c r="J7" s="48" t="s">
        <v>66</v>
      </c>
      <c r="K7" s="48" t="s">
        <v>67</v>
      </c>
      <c r="L7" s="48" t="s">
        <v>68</v>
      </c>
      <c r="M7" s="48" t="s">
        <v>69</v>
      </c>
      <c r="N7" s="48" t="s">
        <v>70</v>
      </c>
      <c r="O7" s="48" t="s">
        <v>71</v>
      </c>
      <c r="P7" s="48" t="s">
        <v>72</v>
      </c>
      <c r="Q7" s="48" t="s">
        <v>73</v>
      </c>
      <c r="R7" s="27"/>
      <c r="S7" s="29"/>
      <c r="T7" s="27"/>
      <c r="U7" s="27"/>
    </row>
    <row r="8" spans="1:21" s="21" customFormat="1">
      <c r="A8" s="25"/>
      <c r="B8" s="50" t="s">
        <v>22</v>
      </c>
      <c r="C8" s="50" t="s">
        <v>22</v>
      </c>
      <c r="D8" s="50" t="s">
        <v>22</v>
      </c>
      <c r="E8" s="50" t="s">
        <v>22</v>
      </c>
      <c r="F8" s="50" t="s">
        <v>22</v>
      </c>
      <c r="G8" s="50" t="s">
        <v>23</v>
      </c>
      <c r="H8" s="50" t="s">
        <v>22</v>
      </c>
      <c r="I8" s="50" t="s">
        <v>22</v>
      </c>
      <c r="J8" s="50" t="s">
        <v>24</v>
      </c>
      <c r="K8" s="50" t="s">
        <v>25</v>
      </c>
      <c r="L8" s="25" t="s">
        <v>27</v>
      </c>
      <c r="M8" s="50" t="s">
        <v>26</v>
      </c>
      <c r="N8" s="50" t="s">
        <v>28</v>
      </c>
      <c r="O8" s="25" t="s">
        <v>29</v>
      </c>
      <c r="P8" s="50" t="s">
        <v>22</v>
      </c>
      <c r="Q8" s="50" t="s">
        <v>22</v>
      </c>
      <c r="R8" s="27"/>
      <c r="S8" s="29"/>
      <c r="T8" s="27"/>
      <c r="U8" s="27"/>
    </row>
    <row r="9" spans="1:21">
      <c r="A9" s="51" t="str">
        <f>'01'!$B$2</f>
        <v>01/04/2023 01:00</v>
      </c>
      <c r="B9" s="24">
        <f>'01'!B36</f>
        <v>22.735000000000003</v>
      </c>
      <c r="C9" s="24">
        <f>'01'!C36</f>
        <v>62.022500000000001</v>
      </c>
      <c r="D9" s="24">
        <f>'01'!D36</f>
        <v>51.065000000000005</v>
      </c>
      <c r="E9" s="24">
        <f>'01'!E36</f>
        <v>7.5879166666666658</v>
      </c>
      <c r="F9" s="24">
        <f>'01'!F36</f>
        <v>9.1958333333333346</v>
      </c>
      <c r="G9" s="24">
        <f>'01'!G36</f>
        <v>28.163636363636364</v>
      </c>
      <c r="H9" s="24">
        <f>'01'!H36</f>
        <v>13.995555555555553</v>
      </c>
      <c r="I9" s="24">
        <f>'01'!I36</f>
        <v>4.53125</v>
      </c>
      <c r="J9" s="24">
        <f>'01'!J36</f>
        <v>0.59708333333333352</v>
      </c>
      <c r="K9" s="24">
        <f>'01'!K36</f>
        <v>207.33624999999995</v>
      </c>
      <c r="L9" s="24">
        <f>'01'!L36</f>
        <v>27.126249999999999</v>
      </c>
      <c r="M9" s="24">
        <f>'01'!M36</f>
        <v>61.463750000000012</v>
      </c>
      <c r="N9" s="24">
        <f>'01'!N36</f>
        <v>256.75833333333327</v>
      </c>
      <c r="O9" s="24">
        <f>'01'!O36</f>
        <v>0</v>
      </c>
      <c r="P9" s="24">
        <f>'01'!P36</f>
        <v>0.53833333333333344</v>
      </c>
      <c r="Q9" s="24">
        <f>'01'!Q36</f>
        <v>6.8912500000000003</v>
      </c>
      <c r="R9" s="43"/>
      <c r="S9" s="43"/>
      <c r="T9" s="43"/>
      <c r="U9" s="44"/>
    </row>
    <row r="10" spans="1:21" s="34" customFormat="1">
      <c r="A10" s="51" t="str">
        <f>'02'!$B$2</f>
        <v>02/04/2023 01:00</v>
      </c>
      <c r="B10" s="24">
        <f>'02'!B36</f>
        <v>30.494999999999994</v>
      </c>
      <c r="C10" s="24">
        <f>'02'!C36</f>
        <v>66.452083333333348</v>
      </c>
      <c r="D10" s="24">
        <f>'02'!D36</f>
        <v>59.608750000000008</v>
      </c>
      <c r="E10" s="24">
        <f>'02'!E36</f>
        <v>8.5474999999999994</v>
      </c>
      <c r="F10" s="24">
        <f>'02'!F36</f>
        <v>7.7358333333333329</v>
      </c>
      <c r="G10" s="24">
        <f>'02'!G36</f>
        <v>56.087916666666651</v>
      </c>
      <c r="H10" s="24">
        <f>'02'!H36</f>
        <v>22.792173913043474</v>
      </c>
      <c r="I10" s="24">
        <f>'02'!I36</f>
        <v>6.6343478260869571</v>
      </c>
      <c r="J10" s="24">
        <f>'02'!J36</f>
        <v>0.62041666666666673</v>
      </c>
      <c r="K10" s="24">
        <f>'02'!K36</f>
        <v>203.06375</v>
      </c>
      <c r="L10" s="24">
        <f>'02'!L36</f>
        <v>28.647083333333331</v>
      </c>
      <c r="M10" s="24">
        <f>'02'!M36</f>
        <v>50.209166666666675</v>
      </c>
      <c r="N10" s="24">
        <f>'02'!N36</f>
        <v>254.17083333333332</v>
      </c>
      <c r="O10" s="24">
        <f>'02'!O36</f>
        <v>0</v>
      </c>
      <c r="P10" s="24">
        <f>'02'!P36</f>
        <v>0.66500000000000015</v>
      </c>
      <c r="Q10" s="24">
        <f>'02'!Q36</f>
        <v>6.83</v>
      </c>
      <c r="R10" s="45"/>
      <c r="S10" s="45"/>
      <c r="T10" s="45"/>
      <c r="U10" s="45"/>
    </row>
    <row r="11" spans="1:21" s="34" customFormat="1">
      <c r="A11" s="51" t="str">
        <f>'03'!$B$2</f>
        <v>03/04/2023 01:00</v>
      </c>
      <c r="B11" s="24">
        <f>'03'!B36</f>
        <v>32.780833333333334</v>
      </c>
      <c r="C11" s="24">
        <f>'03'!C36</f>
        <v>66.270833333333329</v>
      </c>
      <c r="D11" s="24">
        <f>'03'!D36</f>
        <v>61.52791666666667</v>
      </c>
      <c r="E11" s="24">
        <f>'03'!E36</f>
        <v>9.1058333333333348</v>
      </c>
      <c r="F11" s="24">
        <f>'03'!F36</f>
        <v>10.355416666666667</v>
      </c>
      <c r="G11" s="24">
        <f>'03'!G36</f>
        <v>70.74166666666666</v>
      </c>
      <c r="H11" s="24">
        <f>'03'!H36</f>
        <v>27.881249999999994</v>
      </c>
      <c r="I11" s="24">
        <f>'03'!I36</f>
        <v>7.3625000000000016</v>
      </c>
      <c r="J11" s="24">
        <f>'03'!J36</f>
        <v>0.49541666666666662</v>
      </c>
      <c r="K11" s="24">
        <f>'03'!K36</f>
        <v>204.32749999999999</v>
      </c>
      <c r="L11" s="24">
        <f>'03'!L36</f>
        <v>29.225416666666661</v>
      </c>
      <c r="M11" s="24">
        <f>'03'!M36</f>
        <v>48.303333333333342</v>
      </c>
      <c r="N11" s="24">
        <f>'03'!N36</f>
        <v>250.73333333333335</v>
      </c>
      <c r="O11" s="24">
        <f>'03'!O36</f>
        <v>0</v>
      </c>
      <c r="P11" s="24">
        <f>'03'!P36</f>
        <v>0.81875000000000009</v>
      </c>
      <c r="Q11" s="24">
        <f>'03'!Q36</f>
        <v>5.1316666666666668</v>
      </c>
      <c r="R11" s="45"/>
      <c r="S11" s="45"/>
      <c r="T11" s="45"/>
      <c r="U11" s="45"/>
    </row>
    <row r="12" spans="1:21" s="34" customFormat="1">
      <c r="A12" s="51" t="str">
        <f>'04'!$B$2</f>
        <v>04/04/2023 01:00</v>
      </c>
      <c r="B12" s="24">
        <f>'04'!B36</f>
        <v>14.854583333333332</v>
      </c>
      <c r="C12" s="24">
        <f>'04'!C36</f>
        <v>66.29791666666668</v>
      </c>
      <c r="D12" s="24">
        <f>'04'!D36</f>
        <v>47.242083333333341</v>
      </c>
      <c r="E12" s="24">
        <f>'04'!E36</f>
        <v>8.9541666666666639</v>
      </c>
      <c r="F12" s="24">
        <f>'04'!F36</f>
        <v>8.7029166666666669</v>
      </c>
      <c r="G12" s="24">
        <f>'04'!G36</f>
        <v>39.922083333333326</v>
      </c>
      <c r="H12" s="24">
        <f>'04'!H36</f>
        <v>19.485000000000003</v>
      </c>
      <c r="I12" s="24">
        <f>'04'!I36</f>
        <v>4.6750000000000007</v>
      </c>
      <c r="J12" s="24">
        <f>'04'!J36</f>
        <v>0.7008333333333332</v>
      </c>
      <c r="K12" s="24">
        <f>'04'!K36</f>
        <v>219.80583333333337</v>
      </c>
      <c r="L12" s="24">
        <f>'04'!L36</f>
        <v>29.954999999999998</v>
      </c>
      <c r="M12" s="24">
        <f>'04'!M36</f>
        <v>51.810416666666669</v>
      </c>
      <c r="N12" s="24">
        <f>'04'!N36</f>
        <v>217.39166666666665</v>
      </c>
      <c r="O12" s="24">
        <f>'04'!O36</f>
        <v>0</v>
      </c>
      <c r="P12" s="24">
        <f>'04'!P36</f>
        <v>0.60291666666666666</v>
      </c>
      <c r="Q12" s="24">
        <f>'04'!Q36</f>
        <v>5</v>
      </c>
      <c r="R12" s="45"/>
      <c r="S12" s="45"/>
      <c r="T12" s="45"/>
      <c r="U12" s="45"/>
    </row>
    <row r="13" spans="1:21" s="34" customFormat="1">
      <c r="A13" s="51" t="str">
        <f>'05'!$B$2</f>
        <v>05/04/2023 01:00</v>
      </c>
      <c r="B13" s="24">
        <f>'05'!B36</f>
        <v>17.790000000000003</v>
      </c>
      <c r="C13" s="24">
        <f>'05'!C36</f>
        <v>66.887916666666669</v>
      </c>
      <c r="D13" s="24">
        <f>'05'!D36</f>
        <v>49.89041666666666</v>
      </c>
      <c r="E13" s="24">
        <f>'05'!E36</f>
        <v>12.681666666666667</v>
      </c>
      <c r="F13" s="24">
        <f>'05'!F36</f>
        <v>12.669583333333334</v>
      </c>
      <c r="G13" s="24">
        <f>'05'!G36</f>
        <v>62.04791666666668</v>
      </c>
      <c r="H13" s="24">
        <f>'05'!H36</f>
        <v>22.36791666666667</v>
      </c>
      <c r="I13" s="24">
        <f>'05'!I36</f>
        <v>6.9604166666666671</v>
      </c>
      <c r="J13" s="24">
        <f>'05'!J36</f>
        <v>0.47458333333333336</v>
      </c>
      <c r="K13" s="24">
        <f>'05'!K36</f>
        <v>225.50041666666664</v>
      </c>
      <c r="L13" s="24">
        <f>'05'!L36</f>
        <v>30.271666666666665</v>
      </c>
      <c r="M13" s="24">
        <f>'05'!M36</f>
        <v>48.412083333333335</v>
      </c>
      <c r="N13" s="24">
        <f>'05'!N36</f>
        <v>212.21666666666667</v>
      </c>
      <c r="O13" s="24">
        <f>'05'!O36</f>
        <v>0</v>
      </c>
      <c r="P13" s="24">
        <f>'05'!P36</f>
        <v>0.71416666666666651</v>
      </c>
      <c r="Q13" s="24">
        <f>'05'!Q36</f>
        <v>5</v>
      </c>
      <c r="R13" s="45"/>
      <c r="S13" s="45"/>
      <c r="T13" s="45"/>
      <c r="U13" s="45"/>
    </row>
    <row r="14" spans="1:21" s="34" customFormat="1">
      <c r="A14" s="51" t="str">
        <f>'06'!$B$2</f>
        <v>06/04/2023 01:00</v>
      </c>
      <c r="B14" s="33">
        <f>'06'!B36</f>
        <v>22.824583333333337</v>
      </c>
      <c r="C14" s="33">
        <f>'06'!C36</f>
        <v>70.402500000000018</v>
      </c>
      <c r="D14" s="33">
        <f>'06'!D36</f>
        <v>55.671249999999993</v>
      </c>
      <c r="E14" s="33">
        <f>'06'!E36</f>
        <v>15.171249999999999</v>
      </c>
      <c r="F14" s="33">
        <f>'06'!F36</f>
        <v>10.434999999999999</v>
      </c>
      <c r="G14" s="33">
        <f>'06'!G36</f>
        <v>96.67583333333333</v>
      </c>
      <c r="H14" s="33">
        <f>'06'!H36</f>
        <v>30.829166666666662</v>
      </c>
      <c r="I14" s="33">
        <f>'06'!I36</f>
        <v>6.6233333333333348</v>
      </c>
      <c r="J14" s="33">
        <f>'06'!J36</f>
        <v>0.54041666666666666</v>
      </c>
      <c r="K14" s="33">
        <f>'06'!K36</f>
        <v>205.71416666666664</v>
      </c>
      <c r="L14" s="33">
        <f>'06'!L36</f>
        <v>29.299999999999997</v>
      </c>
      <c r="M14" s="33">
        <f>'06'!M36</f>
        <v>50.96541666666667</v>
      </c>
      <c r="N14" s="33">
        <f>'06'!N36</f>
        <v>183.40416666666667</v>
      </c>
      <c r="O14" s="33">
        <f>'06'!O36</f>
        <v>0</v>
      </c>
      <c r="P14" s="33">
        <f>'06'!P36</f>
        <v>0.81458333333333321</v>
      </c>
      <c r="Q14" s="33">
        <f>'06'!Q36</f>
        <v>5</v>
      </c>
      <c r="R14" s="45"/>
      <c r="S14" s="45"/>
      <c r="T14" s="45"/>
      <c r="U14" s="45"/>
    </row>
    <row r="15" spans="1:21" s="34" customFormat="1">
      <c r="A15" s="51" t="str">
        <f>'07'!$B$2</f>
        <v>07/04/2023 01:00</v>
      </c>
      <c r="B15" s="33">
        <f>'07'!B36</f>
        <v>14.4975</v>
      </c>
      <c r="C15" s="33">
        <f>'07'!C36</f>
        <v>64.349583333333328</v>
      </c>
      <c r="D15" s="33">
        <f>'07'!D36</f>
        <v>45.864583333333343</v>
      </c>
      <c r="E15" s="33">
        <f>'07'!E36</f>
        <v>9.9820833333333319</v>
      </c>
      <c r="F15" s="33">
        <f>'07'!F36</f>
        <v>14.550833333333335</v>
      </c>
      <c r="G15" s="33">
        <f>'07'!G36</f>
        <v>45.799166666666657</v>
      </c>
      <c r="H15" s="33">
        <f>'07'!H36</f>
        <v>18.287083333333335</v>
      </c>
      <c r="I15" s="33">
        <f>'07'!I36</f>
        <v>4.3758333333333335</v>
      </c>
      <c r="J15" s="33">
        <f>'07'!J36</f>
        <v>0.90666666666666662</v>
      </c>
      <c r="K15" s="33">
        <f>'07'!K36</f>
        <v>215.91791666666668</v>
      </c>
      <c r="L15" s="33">
        <f>'07'!L36</f>
        <v>30.031250000000004</v>
      </c>
      <c r="M15" s="33">
        <f>'07'!M36</f>
        <v>51.026250000000005</v>
      </c>
      <c r="N15" s="33">
        <f>'07'!N36</f>
        <v>216.26666666666665</v>
      </c>
      <c r="O15" s="33">
        <f>'07'!O36</f>
        <v>0</v>
      </c>
      <c r="P15" s="33">
        <f>'07'!P36</f>
        <v>0.5675</v>
      </c>
      <c r="Q15" s="33">
        <f>'07'!Q36</f>
        <v>5</v>
      </c>
      <c r="R15" s="45"/>
      <c r="S15" s="45"/>
      <c r="T15" s="45"/>
      <c r="U15" s="45"/>
    </row>
    <row r="16" spans="1:21" s="34" customFormat="1">
      <c r="A16" s="51" t="str">
        <f>'08'!$B$2</f>
        <v>08/04/2023 01:00</v>
      </c>
      <c r="B16" s="33">
        <f>'08'!B36</f>
        <v>16.436666666666664</v>
      </c>
      <c r="C16" s="33">
        <f>'08'!C36</f>
        <v>66.626249999999999</v>
      </c>
      <c r="D16" s="33">
        <f>'08'!D36</f>
        <v>48.81583333333333</v>
      </c>
      <c r="E16" s="33">
        <f>'08'!E36</f>
        <v>8.6539130434782621</v>
      </c>
      <c r="F16" s="33">
        <f>'08'!F36</f>
        <v>8.2850000000000019</v>
      </c>
      <c r="G16" s="33">
        <f>'08'!G36</f>
        <v>58.978750000000012</v>
      </c>
      <c r="H16" s="33">
        <f>'08'!H36</f>
        <v>17.935000000000002</v>
      </c>
      <c r="I16" s="33">
        <f>'08'!I36</f>
        <v>11.405000000000001</v>
      </c>
      <c r="J16" s="33">
        <f>'08'!J36</f>
        <v>1.0525</v>
      </c>
      <c r="K16" s="33">
        <f>'08'!K36</f>
        <v>204.75583333333338</v>
      </c>
      <c r="L16" s="33">
        <f>'08'!L36</f>
        <v>27.424999999999997</v>
      </c>
      <c r="M16" s="33">
        <f>'08'!M36</f>
        <v>46.969166666666666</v>
      </c>
      <c r="N16" s="33">
        <f>'08'!N36</f>
        <v>164.71249999999998</v>
      </c>
      <c r="O16" s="33">
        <f>'08'!O36</f>
        <v>0</v>
      </c>
      <c r="P16" s="33">
        <f>'08'!P36</f>
        <v>0.59749999999999992</v>
      </c>
      <c r="Q16" s="33">
        <f>'08'!Q36</f>
        <v>5.3386956521739117</v>
      </c>
      <c r="R16" s="45"/>
      <c r="S16" s="45"/>
      <c r="T16" s="45"/>
      <c r="U16" s="45"/>
    </row>
    <row r="17" spans="1:24" s="34" customFormat="1">
      <c r="A17" s="51" t="str">
        <f>'09'!$B$2</f>
        <v>09/04/2023 01:00</v>
      </c>
      <c r="B17" s="33">
        <f>'09'!B36</f>
        <v>23.503750000000007</v>
      </c>
      <c r="C17" s="33">
        <f>'09'!C36</f>
        <v>67.764583333333334</v>
      </c>
      <c r="D17" s="33">
        <f>'09'!D36</f>
        <v>55.40291666666667</v>
      </c>
      <c r="E17" s="33">
        <f>'09'!E36</f>
        <v>11.334583333333333</v>
      </c>
      <c r="F17" s="33">
        <f>'09'!F36</f>
        <v>13.103333333333333</v>
      </c>
      <c r="G17" s="33">
        <f>'09'!G36</f>
        <v>67.81750000000001</v>
      </c>
      <c r="H17" s="33">
        <f>'09'!H36</f>
        <v>25.538750000000007</v>
      </c>
      <c r="I17" s="33">
        <f>'09'!I36</f>
        <v>7.13</v>
      </c>
      <c r="J17" s="33">
        <f>'09'!J36</f>
        <v>0.73416666666666641</v>
      </c>
      <c r="K17" s="33">
        <f>'09'!K36</f>
        <v>195.88208333333333</v>
      </c>
      <c r="L17" s="33">
        <f>'09'!L36</f>
        <v>30.21833333333333</v>
      </c>
      <c r="M17" s="33">
        <f>'09'!M36</f>
        <v>43.883333333333326</v>
      </c>
      <c r="N17" s="33">
        <f>'09'!N36</f>
        <v>234.47916666666666</v>
      </c>
      <c r="O17" s="33">
        <f>'09'!O36</f>
        <v>0</v>
      </c>
      <c r="P17" s="33">
        <f>'09'!P36</f>
        <v>0.7912499999999999</v>
      </c>
      <c r="Q17" s="33">
        <f>'09'!Q36</f>
        <v>6.237499999999998</v>
      </c>
      <c r="R17" s="45"/>
      <c r="S17" s="45"/>
      <c r="T17" s="45"/>
      <c r="U17" s="45"/>
      <c r="V17" s="35"/>
      <c r="W17" s="35"/>
      <c r="X17" s="35"/>
    </row>
    <row r="18" spans="1:24" s="34" customFormat="1">
      <c r="A18" s="51" t="str">
        <f>'10'!$B$2</f>
        <v>10/04/2023 01:00</v>
      </c>
      <c r="B18" s="33">
        <f>'10'!B36</f>
        <v>15.57958333333333</v>
      </c>
      <c r="C18" s="33">
        <f>'10'!C36</f>
        <v>65.349583333333342</v>
      </c>
      <c r="D18" s="33">
        <f>'10'!D36</f>
        <v>47.753333333333337</v>
      </c>
      <c r="E18" s="33">
        <f>'10'!E36</f>
        <v>10.143749999999997</v>
      </c>
      <c r="F18" s="33">
        <f>'10'!F36</f>
        <v>14.482083333333334</v>
      </c>
      <c r="G18" s="33">
        <f>'10'!G36</f>
        <v>47.908333333333331</v>
      </c>
      <c r="H18" s="33">
        <f>'10'!H36</f>
        <v>17.837499999999999</v>
      </c>
      <c r="I18" s="33">
        <f>'10'!I36</f>
        <v>5.336666666666666</v>
      </c>
      <c r="J18" s="33">
        <f>'10'!J36</f>
        <v>0.60166666666666668</v>
      </c>
      <c r="K18" s="33">
        <f>'10'!K36</f>
        <v>238.20791666666662</v>
      </c>
      <c r="L18" s="33">
        <f>'10'!L36</f>
        <v>30.341249999999992</v>
      </c>
      <c r="M18" s="33">
        <f>'10'!M36</f>
        <v>44.715416666666663</v>
      </c>
      <c r="N18" s="33">
        <f>'10'!N36</f>
        <v>222.60000000000002</v>
      </c>
      <c r="O18" s="33">
        <f>'10'!O36</f>
        <v>0</v>
      </c>
      <c r="P18" s="33">
        <f>'10'!P36</f>
        <v>0.70583333333333309</v>
      </c>
      <c r="Q18" s="33">
        <f>'10'!Q36</f>
        <v>5.6429166666666672</v>
      </c>
      <c r="R18" s="45"/>
      <c r="S18" s="45"/>
      <c r="T18" s="45"/>
      <c r="U18" s="45"/>
    </row>
    <row r="19" spans="1:24" s="34" customFormat="1">
      <c r="A19" s="51" t="str">
        <f>'11'!$B$2</f>
        <v>11/04/2023 01:00</v>
      </c>
      <c r="B19" s="33">
        <f>'11'!B36</f>
        <v>15.877500000000003</v>
      </c>
      <c r="C19" s="33">
        <f>'11'!C36</f>
        <v>68.062499999999986</v>
      </c>
      <c r="D19" s="33">
        <f>'11'!D36</f>
        <v>49.559999999999981</v>
      </c>
      <c r="E19" s="33">
        <f>'11'!E36</f>
        <v>14.185833333333335</v>
      </c>
      <c r="F19" s="33">
        <f>'11'!F36</f>
        <v>17.298749999999998</v>
      </c>
      <c r="G19" s="33">
        <f>'11'!G36</f>
        <v>66.135416666666671</v>
      </c>
      <c r="H19" s="33">
        <f>'11'!H36</f>
        <v>25.09416666666667</v>
      </c>
      <c r="I19" s="33">
        <f>'11'!I36</f>
        <v>6.4362499999999985</v>
      </c>
      <c r="J19" s="33">
        <f>'11'!J36</f>
        <v>0.51708333333333323</v>
      </c>
      <c r="K19" s="33">
        <f>'11'!K36</f>
        <v>222.92291666666668</v>
      </c>
      <c r="L19" s="33">
        <f>'11'!L36</f>
        <v>32.013750000000009</v>
      </c>
      <c r="M19" s="33">
        <f>'11'!M36</f>
        <v>41.132500000000007</v>
      </c>
      <c r="N19" s="33">
        <f>'11'!N36</f>
        <v>230.65416666666661</v>
      </c>
      <c r="O19" s="33">
        <f>'11'!O36</f>
        <v>0</v>
      </c>
      <c r="P19" s="33">
        <f>'11'!P36</f>
        <v>0.76916666666666655</v>
      </c>
      <c r="Q19" s="33">
        <f>'11'!Q36</f>
        <v>5.802083333333333</v>
      </c>
      <c r="R19" s="45"/>
      <c r="S19" s="45"/>
      <c r="T19" s="45"/>
      <c r="U19" s="45"/>
    </row>
    <row r="20" spans="1:24" s="34" customFormat="1">
      <c r="A20" s="51" t="str">
        <f>'12'!$B$2</f>
        <v>12/04/2023 01:00</v>
      </c>
      <c r="B20" s="33">
        <f>'12'!B36</f>
        <v>19.068333333333332</v>
      </c>
      <c r="C20" s="33">
        <f>'12'!C36</f>
        <v>66.889166666666668</v>
      </c>
      <c r="D20" s="33">
        <f>'12'!D36</f>
        <v>51.559999999999995</v>
      </c>
      <c r="E20" s="33">
        <f>'12'!E36</f>
        <v>14.459583333333333</v>
      </c>
      <c r="F20" s="33">
        <f>'12'!F36</f>
        <v>25.616249999999997</v>
      </c>
      <c r="G20" s="33">
        <f>'12'!G36</f>
        <v>74.09708333333333</v>
      </c>
      <c r="H20" s="33">
        <f>'12'!H36</f>
        <v>26.689166666666665</v>
      </c>
      <c r="I20" s="33">
        <f>'12'!I36</f>
        <v>6.614583333333333</v>
      </c>
      <c r="J20" s="33">
        <f>'12'!J36</f>
        <v>0.39666666666666656</v>
      </c>
      <c r="K20" s="33">
        <f>'12'!K36</f>
        <v>205.83</v>
      </c>
      <c r="L20" s="33">
        <f>'12'!L36</f>
        <v>32.954166666666659</v>
      </c>
      <c r="M20" s="33">
        <f>'12'!M36</f>
        <v>35.311249999999994</v>
      </c>
      <c r="N20" s="33">
        <f>'12'!N36</f>
        <v>232.72916666666666</v>
      </c>
      <c r="O20" s="33">
        <f>'12'!O36</f>
        <v>0</v>
      </c>
      <c r="P20" s="33">
        <f>'12'!P36</f>
        <v>0.73749999999999993</v>
      </c>
      <c r="Q20" s="33">
        <f>'12'!Q36</f>
        <v>6.0308333333333328</v>
      </c>
      <c r="R20" s="45"/>
      <c r="S20" s="45"/>
      <c r="T20" s="45"/>
      <c r="U20" s="45"/>
    </row>
    <row r="21" spans="1:24" s="34" customFormat="1">
      <c r="A21" s="51">
        <f>'13'!$B$2</f>
        <v>45029.041666666664</v>
      </c>
      <c r="B21" s="33">
        <f>'13'!B36</f>
        <v>16.354583333333334</v>
      </c>
      <c r="C21" s="33">
        <f>'13'!C36</f>
        <v>61.140833333333347</v>
      </c>
      <c r="D21" s="33">
        <f>'13'!D36</f>
        <v>46.19083333333333</v>
      </c>
      <c r="E21" s="33">
        <f>'13'!E36</f>
        <v>15.950833333333335</v>
      </c>
      <c r="F21" s="33">
        <f>'13'!F36</f>
        <v>34.478333333333332</v>
      </c>
      <c r="G21" s="33">
        <f>'13'!G36</f>
        <v>81.144999999999996</v>
      </c>
      <c r="H21" s="33">
        <f>'13'!H36</f>
        <v>31.897083333333338</v>
      </c>
      <c r="I21" s="33">
        <f>'13'!I36</f>
        <v>8.1529166666666661</v>
      </c>
      <c r="J21" s="33">
        <f>'13'!J36</f>
        <v>0.50874999999999992</v>
      </c>
      <c r="K21" s="33">
        <f>'13'!K36</f>
        <v>228.24083333333331</v>
      </c>
      <c r="L21" s="33">
        <f>'13'!L36</f>
        <v>33.269583333333344</v>
      </c>
      <c r="M21" s="33">
        <f>'13'!M36</f>
        <v>36.812083333333341</v>
      </c>
      <c r="N21" s="33">
        <f>'13'!N36</f>
        <v>202.21249999999998</v>
      </c>
      <c r="O21" s="33">
        <f>'13'!O36</f>
        <v>0</v>
      </c>
      <c r="P21" s="33">
        <f>'13'!P36</f>
        <v>0.85416666666666663</v>
      </c>
      <c r="Q21" s="33">
        <f>'13'!Q36</f>
        <v>5.7679166666666681</v>
      </c>
      <c r="R21" s="45"/>
      <c r="S21" s="45"/>
      <c r="T21" s="45"/>
      <c r="U21" s="45"/>
    </row>
    <row r="22" spans="1:24" s="34" customFormat="1">
      <c r="A22" s="51" t="str">
        <f>'14'!$B$2</f>
        <v>14/04/2023 01:00</v>
      </c>
      <c r="B22" s="33">
        <f>'14'!B36</f>
        <v>11.779166666666667</v>
      </c>
      <c r="C22" s="33">
        <f>'14'!C36</f>
        <v>62.673333333333339</v>
      </c>
      <c r="D22" s="33">
        <f>'14'!D36</f>
        <v>43.393750000000004</v>
      </c>
      <c r="E22" s="33">
        <f>'14'!E36</f>
        <v>11.811249999999996</v>
      </c>
      <c r="F22" s="33">
        <f>'14'!F36</f>
        <v>27.578333333333337</v>
      </c>
      <c r="G22" s="33">
        <f>'14'!G36</f>
        <v>59.299166666666672</v>
      </c>
      <c r="H22" s="33">
        <f>'14'!H36</f>
        <v>26.387916666666658</v>
      </c>
      <c r="I22" s="33">
        <f>'14'!I36</f>
        <v>5.9145833333333329</v>
      </c>
      <c r="J22" s="33">
        <f>'14'!J36</f>
        <v>0.48083333333333328</v>
      </c>
      <c r="K22" s="33">
        <f>'14'!K36</f>
        <v>224.64166666666674</v>
      </c>
      <c r="L22" s="33">
        <f>'14'!L36</f>
        <v>33.763333333333335</v>
      </c>
      <c r="M22" s="33">
        <f>'14'!M36</f>
        <v>36.031249999999993</v>
      </c>
      <c r="N22" s="33">
        <f>'14'!N36</f>
        <v>198.93333333333331</v>
      </c>
      <c r="O22" s="33">
        <f>'14'!O36</f>
        <v>0</v>
      </c>
      <c r="P22" s="33">
        <f>'14'!P36</f>
        <v>0.79041666666666666</v>
      </c>
      <c r="Q22" s="33">
        <f>'14'!Q36</f>
        <v>5.4358333333333322</v>
      </c>
      <c r="R22" s="46"/>
      <c r="S22" s="46"/>
      <c r="T22" s="46"/>
      <c r="U22" s="46"/>
    </row>
    <row r="23" spans="1:24" s="34" customFormat="1">
      <c r="A23" s="51" t="str">
        <f>'15'!$B$2</f>
        <v>15/04/2023 01:00</v>
      </c>
      <c r="B23" s="30">
        <f>'15'!B36</f>
        <v>13.473333333333334</v>
      </c>
      <c r="C23" s="30">
        <f>'15'!C36</f>
        <v>65.307916666666657</v>
      </c>
      <c r="D23" s="30">
        <f>'15'!D36</f>
        <v>46.001250000000006</v>
      </c>
      <c r="E23" s="30">
        <f>'15'!E36</f>
        <v>10.209166666666667</v>
      </c>
      <c r="F23" s="30">
        <f>'15'!F36</f>
        <v>15.460416666666662</v>
      </c>
      <c r="G23" s="30">
        <f>'15'!G36</f>
        <v>59.386250000000011</v>
      </c>
      <c r="H23" s="30">
        <f>'15'!H36</f>
        <v>21.217083333333338</v>
      </c>
      <c r="I23" s="30">
        <f>'15'!I36</f>
        <v>6.2887500000000012</v>
      </c>
      <c r="J23" s="30">
        <f>'15'!J36</f>
        <v>1.1895833333333334</v>
      </c>
      <c r="K23" s="30">
        <f>'15'!K36</f>
        <v>286.31083333333333</v>
      </c>
      <c r="L23" s="30">
        <f>'15'!L36</f>
        <v>34.004583333333329</v>
      </c>
      <c r="M23" s="30">
        <f>'15'!M36</f>
        <v>26.68041666666667</v>
      </c>
      <c r="N23" s="30">
        <f>'15'!N36</f>
        <v>222.56250000000003</v>
      </c>
      <c r="O23" s="30">
        <f>'15'!O36</f>
        <v>0</v>
      </c>
      <c r="P23" s="30">
        <f>'15'!P36</f>
        <v>0.72291666666666676</v>
      </c>
      <c r="Q23" s="30">
        <f>'15'!Q36</f>
        <v>5.5204166666666659</v>
      </c>
      <c r="R23" s="46"/>
      <c r="S23" s="46"/>
      <c r="T23" s="46"/>
      <c r="U23" s="45"/>
    </row>
    <row r="24" spans="1:24" s="34" customFormat="1">
      <c r="A24" s="51" t="str">
        <f>'16'!$B$2</f>
        <v>16/04/2023 01:00</v>
      </c>
      <c r="B24" s="33">
        <f>'16'!B36</f>
        <v>13.878333333333332</v>
      </c>
      <c r="C24" s="33">
        <f>'16'!C36</f>
        <v>62.79249999999999</v>
      </c>
      <c r="D24" s="33">
        <f>'16'!D36</f>
        <v>45.108750000000008</v>
      </c>
      <c r="E24" s="33">
        <f>'16'!E36</f>
        <v>12.924583333333331</v>
      </c>
      <c r="F24" s="33">
        <f>'16'!F36</f>
        <v>24.157083333333336</v>
      </c>
      <c r="G24" s="33">
        <f>'16'!G36</f>
        <v>50.978333333333332</v>
      </c>
      <c r="H24" s="33">
        <f>'16'!H36</f>
        <v>18.414999999999999</v>
      </c>
      <c r="I24" s="33">
        <f>'16'!I36</f>
        <v>5.5141666666666671</v>
      </c>
      <c r="J24" s="33">
        <f>'16'!J36</f>
        <v>0.4825000000000001</v>
      </c>
      <c r="K24" s="33">
        <f>'16'!K36</f>
        <v>234.93208333333337</v>
      </c>
      <c r="L24" s="33">
        <f>'16'!L36</f>
        <v>33.247499999999995</v>
      </c>
      <c r="M24" s="33">
        <f>'16'!M36</f>
        <v>30.898333333333341</v>
      </c>
      <c r="N24" s="33">
        <f>'16'!N36</f>
        <v>222.37916666666669</v>
      </c>
      <c r="O24" s="33">
        <f>'16'!O36</f>
        <v>0</v>
      </c>
      <c r="P24" s="33">
        <f>'16'!P36</f>
        <v>0.62041666666666651</v>
      </c>
      <c r="Q24" s="33">
        <f>'16'!Q36</f>
        <v>5.3924999999999992</v>
      </c>
      <c r="R24" s="46"/>
      <c r="S24" s="46"/>
      <c r="T24" s="46"/>
      <c r="U24" s="45"/>
    </row>
    <row r="25" spans="1:24" s="34" customFormat="1">
      <c r="A25" s="51" t="str">
        <f>'17'!$B$2</f>
        <v>17/04/2023 01:00</v>
      </c>
      <c r="B25" s="33">
        <f>'17'!B36</f>
        <v>11.045416666666666</v>
      </c>
      <c r="C25" s="33">
        <f>'17'!C36</f>
        <v>63.999583333333334</v>
      </c>
      <c r="D25" s="33">
        <f>'17'!D36</f>
        <v>43.5075</v>
      </c>
      <c r="E25" s="33">
        <f>'17'!E36</f>
        <v>9.0841666666666665</v>
      </c>
      <c r="F25" s="33">
        <f>'17'!F36</f>
        <v>25.074999999999999</v>
      </c>
      <c r="G25" s="33">
        <f>'17'!G36</f>
        <v>53.230833333333329</v>
      </c>
      <c r="H25" s="33">
        <f>'17'!H36</f>
        <v>23.933750000000003</v>
      </c>
      <c r="I25" s="33">
        <f>'17'!I36</f>
        <v>6.6970833333333326</v>
      </c>
      <c r="J25" s="33">
        <f>'17'!J36</f>
        <v>0.44083333333333341</v>
      </c>
      <c r="K25" s="33">
        <f>'17'!K36</f>
        <v>230.59333333333345</v>
      </c>
      <c r="L25" s="33">
        <f>'17'!L36</f>
        <v>33.858333333333334</v>
      </c>
      <c r="M25" s="33">
        <f>'17'!M36</f>
        <v>31.799583333333334</v>
      </c>
      <c r="N25" s="33">
        <f>'17'!N36</f>
        <v>227.48333333333335</v>
      </c>
      <c r="O25" s="33">
        <f>'17'!O36</f>
        <v>0</v>
      </c>
      <c r="P25" s="33">
        <f>'17'!P36</f>
        <v>0.78333333333333333</v>
      </c>
      <c r="Q25" s="33">
        <f>'17'!Q36</f>
        <v>5.3500000000000014</v>
      </c>
      <c r="R25" s="46"/>
      <c r="S25" s="46"/>
      <c r="T25" s="46"/>
      <c r="U25" s="45"/>
    </row>
    <row r="26" spans="1:24" s="34" customFormat="1">
      <c r="A26" s="51" t="str">
        <f>'18'!$B$2</f>
        <v>18/04/2023 01:00</v>
      </c>
      <c r="B26" s="33">
        <f>'18'!B36</f>
        <v>10.415000000000001</v>
      </c>
      <c r="C26" s="33">
        <f>'18'!C36</f>
        <v>61.489583333333343</v>
      </c>
      <c r="D26" s="33">
        <f>'18'!D36</f>
        <v>41.552916666666661</v>
      </c>
      <c r="E26" s="33">
        <f>'18'!E36</f>
        <v>8.3475000000000019</v>
      </c>
      <c r="F26" s="33">
        <f>'18'!F36</f>
        <v>26.544583333333332</v>
      </c>
      <c r="G26" s="33">
        <f>'18'!G36</f>
        <v>57.864166666666677</v>
      </c>
      <c r="H26" s="33">
        <f>'18'!H36</f>
        <v>24.043749999999999</v>
      </c>
      <c r="I26" s="33">
        <f>'18'!I36</f>
        <v>6.7666666666666666</v>
      </c>
      <c r="J26" s="33">
        <f>'18'!J36</f>
        <v>0.53583333333333327</v>
      </c>
      <c r="K26" s="33">
        <f>'18'!K36</f>
        <v>233.33416666666665</v>
      </c>
      <c r="L26" s="33">
        <f>'18'!L36</f>
        <v>34.217916666666667</v>
      </c>
      <c r="M26" s="33">
        <f>'18'!M36</f>
        <v>28.602500000000003</v>
      </c>
      <c r="N26" s="33">
        <f>'18'!N36</f>
        <v>221.69583333333333</v>
      </c>
      <c r="O26" s="33">
        <f>'18'!O36</f>
        <v>0</v>
      </c>
      <c r="P26" s="33">
        <f>'18'!P36</f>
        <v>0.76583333333333325</v>
      </c>
      <c r="Q26" s="33">
        <f>'18'!Q36</f>
        <v>5.1904166666666667</v>
      </c>
      <c r="R26" s="46"/>
      <c r="S26" s="46"/>
      <c r="T26" s="46"/>
      <c r="U26" s="45"/>
    </row>
    <row r="27" spans="1:24" s="34" customFormat="1">
      <c r="A27" s="51" t="str">
        <f>'19'!$B$2</f>
        <v>19/04/2023 01:00</v>
      </c>
      <c r="B27" s="33">
        <f>'19'!B36</f>
        <v>15.853333333333333</v>
      </c>
      <c r="C27" s="33">
        <f>'19'!C36</f>
        <v>62.352500000000013</v>
      </c>
      <c r="D27" s="33">
        <f>'19'!D36</f>
        <v>46.710833333333341</v>
      </c>
      <c r="E27" s="33">
        <f>'19'!E36</f>
        <v>17.155833333333334</v>
      </c>
      <c r="F27" s="33">
        <f>'19'!F36</f>
        <v>27.032916666666665</v>
      </c>
      <c r="G27" s="33">
        <f>'19'!G36</f>
        <v>75.196666666666673</v>
      </c>
      <c r="H27" s="33">
        <f>'19'!H36</f>
        <v>26.750833333333333</v>
      </c>
      <c r="I27" s="33">
        <f>'19'!I36</f>
        <v>10.493333333333334</v>
      </c>
      <c r="J27" s="33">
        <f>'19'!J36</f>
        <v>0.7629166666666668</v>
      </c>
      <c r="K27" s="33">
        <f>'19'!K36</f>
        <v>253.10125000000002</v>
      </c>
      <c r="L27" s="33">
        <f>'19'!L36</f>
        <v>35.087083333333325</v>
      </c>
      <c r="M27" s="33">
        <f>'19'!M36</f>
        <v>24.575833333333335</v>
      </c>
      <c r="N27" s="33">
        <f>'19'!N36</f>
        <v>206.93750000000003</v>
      </c>
      <c r="O27" s="33">
        <f>'19'!O36</f>
        <v>0</v>
      </c>
      <c r="P27" s="33">
        <f>'19'!P36</f>
        <v>0.88833333333333331</v>
      </c>
      <c r="Q27" s="33">
        <f>'19'!Q36</f>
        <v>5.5237499999999997</v>
      </c>
      <c r="R27" s="46"/>
      <c r="S27" s="46"/>
      <c r="T27" s="46"/>
      <c r="U27" s="45"/>
    </row>
    <row r="28" spans="1:24" s="34" customFormat="1">
      <c r="A28" s="51" t="str">
        <f>'20'!$B$2</f>
        <v>20/04/2023 01:00</v>
      </c>
      <c r="B28" s="33">
        <f>'20'!B36</f>
        <v>8.7895833333333346</v>
      </c>
      <c r="C28" s="33">
        <f>'20'!C36</f>
        <v>44.701249999999995</v>
      </c>
      <c r="D28" s="33">
        <f>'20'!D36</f>
        <v>31.31958333333333</v>
      </c>
      <c r="E28" s="33">
        <f>'20'!E36</f>
        <v>16.827916666666667</v>
      </c>
      <c r="F28" s="33">
        <f>'20'!F36</f>
        <v>33.049166666666665</v>
      </c>
      <c r="G28" s="33">
        <f>'20'!G36</f>
        <v>63.932083333333338</v>
      </c>
      <c r="H28" s="33">
        <f>'20'!H36</f>
        <v>25.397916666666671</v>
      </c>
      <c r="I28" s="33">
        <f>'20'!I36</f>
        <v>0</v>
      </c>
      <c r="J28" s="33">
        <f>'20'!J36</f>
        <v>1.3745833333333335</v>
      </c>
      <c r="K28" s="33">
        <f>'20'!K36</f>
        <v>233.8983333333334</v>
      </c>
      <c r="L28" s="33">
        <f>'20'!L36</f>
        <v>33.077083333333334</v>
      </c>
      <c r="M28" s="33">
        <f>'20'!M36</f>
        <v>29.554166666666664</v>
      </c>
      <c r="N28" s="33">
        <f>'20'!N36</f>
        <v>193.0958333333333</v>
      </c>
      <c r="O28" s="33">
        <f>'20'!O36</f>
        <v>0</v>
      </c>
      <c r="P28" s="33">
        <f>'20'!P36</f>
        <v>0.58625000000000005</v>
      </c>
      <c r="Q28" s="33">
        <f>'20'!Q36</f>
        <v>4.9545833333333329</v>
      </c>
      <c r="R28" s="46"/>
      <c r="S28" s="46"/>
      <c r="T28" s="46"/>
      <c r="U28" s="45"/>
    </row>
    <row r="29" spans="1:24" s="34" customFormat="1">
      <c r="A29" s="51" t="str">
        <f>'21'!$B$2</f>
        <v>21/04/2023 01:00</v>
      </c>
      <c r="B29" s="33">
        <f>'21'!B36</f>
        <v>7.9670833333333313</v>
      </c>
      <c r="C29" s="33">
        <f>'21'!C36</f>
        <v>46.493749999999984</v>
      </c>
      <c r="D29" s="33">
        <f>'21'!D36</f>
        <v>31.972916666666666</v>
      </c>
      <c r="E29" s="33">
        <f>'21'!E36</f>
        <v>10.928749999999999</v>
      </c>
      <c r="F29" s="33">
        <f>'21'!F36</f>
        <v>21.775416666666668</v>
      </c>
      <c r="G29" s="33">
        <f>'21'!G36</f>
        <v>35.664166666666667</v>
      </c>
      <c r="H29" s="33">
        <f>'21'!H36</f>
        <v>14.296666666666667</v>
      </c>
      <c r="I29" s="33">
        <f>'21'!I36</f>
        <v>0</v>
      </c>
      <c r="J29" s="33">
        <f>'21'!J36</f>
        <v>0.69999999999999984</v>
      </c>
      <c r="K29" s="33">
        <f>'21'!K36</f>
        <v>255.10666666666668</v>
      </c>
      <c r="L29" s="33">
        <f>'21'!L36</f>
        <v>29.714583333333326</v>
      </c>
      <c r="M29" s="33">
        <f>'21'!M36</f>
        <v>48.812083333333334</v>
      </c>
      <c r="N29" s="33">
        <f>'21'!N36</f>
        <v>224.49166666666667</v>
      </c>
      <c r="O29" s="33">
        <f>'21'!O36</f>
        <v>0</v>
      </c>
      <c r="P29" s="33">
        <f>'21'!P36</f>
        <v>0.53291666666666659</v>
      </c>
      <c r="Q29" s="33">
        <f>'21'!Q36</f>
        <v>4.916666666666667</v>
      </c>
      <c r="R29" s="46"/>
      <c r="S29" s="46"/>
      <c r="T29" s="46"/>
      <c r="U29" s="45"/>
    </row>
    <row r="30" spans="1:24" s="34" customFormat="1">
      <c r="A30" s="51" t="str">
        <f>'22'!$B$2</f>
        <v>22/04/2023 01:00</v>
      </c>
      <c r="B30" s="33">
        <f>'22'!B36</f>
        <v>9.6466666666666665</v>
      </c>
      <c r="C30" s="33">
        <f>'22'!C36</f>
        <v>48.269583333333344</v>
      </c>
      <c r="D30" s="33">
        <f>'22'!D36</f>
        <v>34.104999999999997</v>
      </c>
      <c r="E30" s="33">
        <f>'22'!E36</f>
        <v>10.909166666666669</v>
      </c>
      <c r="F30" s="33">
        <f>'22'!F36</f>
        <v>27.516666666666669</v>
      </c>
      <c r="G30" s="33">
        <f>'22'!G36</f>
        <v>41.236666666666672</v>
      </c>
      <c r="H30" s="33">
        <f>'22'!H36</f>
        <v>13.984166666666667</v>
      </c>
      <c r="I30" s="33">
        <f>'22'!I36</f>
        <v>1.5779166666666666</v>
      </c>
      <c r="J30" s="33">
        <f>'22'!J36</f>
        <v>1.2091666666666667</v>
      </c>
      <c r="K30" s="33">
        <f>'22'!K36</f>
        <v>204.52333333333331</v>
      </c>
      <c r="L30" s="33">
        <f>'22'!L36</f>
        <v>28.833749999999995</v>
      </c>
      <c r="M30" s="33">
        <f>'22'!M36</f>
        <v>54.033749999999998</v>
      </c>
      <c r="N30" s="33">
        <f>'22'!N36</f>
        <v>243.44583333333333</v>
      </c>
      <c r="O30" s="33">
        <f>'22'!O36</f>
        <v>0</v>
      </c>
      <c r="P30" s="33">
        <f>'22'!P36</f>
        <v>0.48666666666666664</v>
      </c>
      <c r="Q30" s="33">
        <f>'22'!Q36</f>
        <v>5.4920833333333334</v>
      </c>
      <c r="R30" s="46"/>
      <c r="S30" s="45"/>
      <c r="T30" s="45"/>
      <c r="U30" s="45"/>
    </row>
    <row r="31" spans="1:24" s="34" customFormat="1">
      <c r="A31" s="51" t="str">
        <f>'23'!$B$2</f>
        <v>23/04/2023 01:00</v>
      </c>
      <c r="B31" s="33">
        <f>'23'!B36</f>
        <v>22.225833333333338</v>
      </c>
      <c r="C31" s="33">
        <f>'23'!C36</f>
        <v>63.484999999999992</v>
      </c>
      <c r="D31" s="33">
        <f>'23'!D36</f>
        <v>52.132083333333334</v>
      </c>
      <c r="E31" s="33">
        <f>'23'!E36</f>
        <v>6.9425000000000017</v>
      </c>
      <c r="F31" s="33">
        <f>'23'!F36</f>
        <v>7.2920833333333341</v>
      </c>
      <c r="G31" s="33">
        <f>'23'!G36</f>
        <v>27.012083333333333</v>
      </c>
      <c r="H31" s="33">
        <f>'23'!H36</f>
        <v>12.401250000000005</v>
      </c>
      <c r="I31" s="33">
        <f>'23'!I36</f>
        <v>4.0462500000000015</v>
      </c>
      <c r="J31" s="33">
        <f>'23'!J36</f>
        <v>0.56916666666666671</v>
      </c>
      <c r="K31" s="33">
        <f>'23'!K36</f>
        <v>235.28875000000002</v>
      </c>
      <c r="L31" s="33">
        <f>'23'!L36</f>
        <v>27.433750000000003</v>
      </c>
      <c r="M31" s="33">
        <f>'23'!M36</f>
        <v>64.38333333333334</v>
      </c>
      <c r="N31" s="33">
        <f>'23'!N36</f>
        <v>267.47916666666669</v>
      </c>
      <c r="O31" s="33">
        <f>'23'!O36</f>
        <v>0</v>
      </c>
      <c r="P31" s="33">
        <f>'23'!P36</f>
        <v>0.51874999999999993</v>
      </c>
      <c r="Q31" s="33">
        <f>'23'!Q36</f>
        <v>7.4158333333333326</v>
      </c>
      <c r="R31" s="45"/>
      <c r="S31" s="45"/>
      <c r="T31" s="45"/>
      <c r="U31" s="45"/>
    </row>
    <row r="32" spans="1:24" s="34" customFormat="1">
      <c r="A32" s="51" t="str">
        <f>'24'!$B$2</f>
        <v>24/04/2023 01:00</v>
      </c>
      <c r="B32" s="33">
        <f>'24'!B36</f>
        <v>19.874166666666667</v>
      </c>
      <c r="C32" s="33">
        <f>'24'!C36</f>
        <v>64.631666666666661</v>
      </c>
      <c r="D32" s="33">
        <f>'24'!D36</f>
        <v>50.627499999999998</v>
      </c>
      <c r="E32" s="33">
        <f>'24'!E36</f>
        <v>6.6754166666666661</v>
      </c>
      <c r="F32" s="33">
        <f>'24'!F36</f>
        <v>7.475833333333334</v>
      </c>
      <c r="G32" s="33">
        <f>'24'!G36</f>
        <v>21.014583333333331</v>
      </c>
      <c r="H32" s="33">
        <f>'24'!H36</f>
        <v>7.734583333333334</v>
      </c>
      <c r="I32" s="33">
        <f>'24'!I36</f>
        <v>4.0549999999999997</v>
      </c>
      <c r="J32" s="33">
        <f>'24'!J36</f>
        <v>0.65249999999999997</v>
      </c>
      <c r="K32" s="33">
        <f>'24'!K36</f>
        <v>183.81083333333331</v>
      </c>
      <c r="L32" s="33">
        <f>'24'!L36</f>
        <v>27.574583333333337</v>
      </c>
      <c r="M32" s="33">
        <f>'24'!M36</f>
        <v>65.165416666666644</v>
      </c>
      <c r="N32" s="33">
        <f>'24'!N36</f>
        <v>249.3125</v>
      </c>
      <c r="O32" s="33">
        <f>'24'!O36</f>
        <v>0</v>
      </c>
      <c r="P32" s="33">
        <f>'24'!P36</f>
        <v>0.45625000000000004</v>
      </c>
      <c r="Q32" s="33">
        <f>'24'!Q36</f>
        <v>7.4162499999999989</v>
      </c>
      <c r="R32" s="45"/>
      <c r="S32" s="45"/>
      <c r="T32" s="45"/>
      <c r="U32" s="45"/>
    </row>
    <row r="33" spans="1:21" s="34" customFormat="1">
      <c r="A33" s="51" t="str">
        <f>'25'!$B$2</f>
        <v>25/04/2023 01:00</v>
      </c>
      <c r="B33" s="33">
        <f>'25'!B36</f>
        <v>18.708749999999995</v>
      </c>
      <c r="C33" s="33">
        <f>'25'!C36</f>
        <v>60.139166666666675</v>
      </c>
      <c r="D33" s="33">
        <f>'25'!D36</f>
        <v>47.584583333333342</v>
      </c>
      <c r="E33" s="33">
        <f>'25'!E36</f>
        <v>8.2600000000000016</v>
      </c>
      <c r="F33" s="33">
        <f>'25'!F36</f>
        <v>11.947916666666666</v>
      </c>
      <c r="G33" s="33">
        <f>'25'!G36</f>
        <v>29.272499999999997</v>
      </c>
      <c r="H33" s="33">
        <f>'25'!H36</f>
        <v>13.127916666666669</v>
      </c>
      <c r="I33" s="33">
        <f>'25'!I36</f>
        <v>3.5837499999999998</v>
      </c>
      <c r="J33" s="33">
        <f>'25'!J36</f>
        <v>1.1125</v>
      </c>
      <c r="K33" s="33">
        <f>'25'!K36</f>
        <v>171.85583333333332</v>
      </c>
      <c r="L33" s="33">
        <f>'25'!L36</f>
        <v>28.474583333333332</v>
      </c>
      <c r="M33" s="33">
        <f>'25'!M36</f>
        <v>58.77999999999998</v>
      </c>
      <c r="N33" s="33">
        <f>'25'!N36</f>
        <v>244.29166666666666</v>
      </c>
      <c r="O33" s="33">
        <f>'25'!O36</f>
        <v>0</v>
      </c>
      <c r="P33" s="33">
        <f>'25'!P36</f>
        <v>0.45875000000000005</v>
      </c>
      <c r="Q33" s="33">
        <f>'25'!Q36</f>
        <v>7.3229166666666679</v>
      </c>
      <c r="R33" s="45"/>
      <c r="S33" s="45"/>
      <c r="T33" s="45"/>
      <c r="U33" s="45"/>
    </row>
    <row r="34" spans="1:21" s="34" customFormat="1">
      <c r="A34" s="51" t="str">
        <f>'26'!$B$2</f>
        <v>26/04/2023 01:00</v>
      </c>
      <c r="B34" s="33">
        <f>'26'!B36</f>
        <v>13.697916666666666</v>
      </c>
      <c r="C34" s="33">
        <f>'26'!C36</f>
        <v>61.032499999999999</v>
      </c>
      <c r="D34" s="33">
        <f>'26'!D36</f>
        <v>43.931666666666672</v>
      </c>
      <c r="E34" s="33">
        <f>'26'!E36</f>
        <v>7.6537499999999996</v>
      </c>
      <c r="F34" s="33">
        <f>'26'!F36</f>
        <v>10.674166666666665</v>
      </c>
      <c r="G34" s="33">
        <f>'26'!G36</f>
        <v>30.717083333333346</v>
      </c>
      <c r="H34" s="33">
        <f>'26'!H36</f>
        <v>10.997083333333334</v>
      </c>
      <c r="I34" s="33">
        <f>'26'!I36</f>
        <v>4.1008333333333331</v>
      </c>
      <c r="J34" s="33">
        <f>'26'!J36</f>
        <v>0.61541666666666661</v>
      </c>
      <c r="K34" s="33">
        <f>'26'!K36</f>
        <v>240.67416666666668</v>
      </c>
      <c r="L34" s="33">
        <f>'26'!L36</f>
        <v>29.471250000000001</v>
      </c>
      <c r="M34" s="33">
        <f>'26'!M36</f>
        <v>51.56</v>
      </c>
      <c r="N34" s="33">
        <f>'26'!N36</f>
        <v>256.47499999999997</v>
      </c>
      <c r="O34" s="33">
        <f>'26'!O36</f>
        <v>0</v>
      </c>
      <c r="P34" s="33">
        <f>'26'!P36</f>
        <v>0.48041666666666666</v>
      </c>
      <c r="Q34" s="33">
        <f>'26'!Q36</f>
        <v>6.979583333333335</v>
      </c>
      <c r="R34" s="45"/>
      <c r="S34" s="45"/>
      <c r="T34" s="45"/>
      <c r="U34" s="45"/>
    </row>
    <row r="35" spans="1:21" s="34" customFormat="1">
      <c r="A35" s="51" t="str">
        <f>'27'!$B$2</f>
        <v>27/04/2023 01:00</v>
      </c>
      <c r="B35" s="33">
        <f>'27'!B36</f>
        <v>19.270833333333336</v>
      </c>
      <c r="C35" s="33">
        <f>'27'!C36</f>
        <v>63.479166666666664</v>
      </c>
      <c r="D35" s="33">
        <f>'27'!D36</f>
        <v>49.441666666666663</v>
      </c>
      <c r="E35" s="33">
        <f>'27'!E36</f>
        <v>7.9804166666666667</v>
      </c>
      <c r="F35" s="33">
        <f>'27'!F36</f>
        <v>6.782916666666666</v>
      </c>
      <c r="G35" s="33">
        <f>'27'!G36</f>
        <v>43.387083333333329</v>
      </c>
      <c r="H35" s="33">
        <f>'27'!H36</f>
        <v>13.6</v>
      </c>
      <c r="I35" s="33">
        <f>'27'!I36</f>
        <v>5.169999999999999</v>
      </c>
      <c r="J35" s="33">
        <f>'27'!J36</f>
        <v>0.69208333333333316</v>
      </c>
      <c r="K35" s="33">
        <f>'27'!K36</f>
        <v>263.60333333333335</v>
      </c>
      <c r="L35" s="33">
        <f>'27'!L36</f>
        <v>28.931666666666658</v>
      </c>
      <c r="M35" s="33">
        <f>'27'!M36</f>
        <v>51.219999999999992</v>
      </c>
      <c r="N35" s="33">
        <f>'27'!N36</f>
        <v>196.36666666666667</v>
      </c>
      <c r="O35" s="33">
        <f>'27'!O36</f>
        <v>0</v>
      </c>
      <c r="P35" s="33">
        <f>'27'!P36</f>
        <v>0.61625000000000008</v>
      </c>
      <c r="Q35" s="33">
        <f>'27'!Q36</f>
        <v>7.3608333333333329</v>
      </c>
      <c r="R35" s="45"/>
      <c r="S35" s="45"/>
      <c r="T35" s="45"/>
      <c r="U35" s="45"/>
    </row>
    <row r="36" spans="1:21" s="34" customFormat="1">
      <c r="A36" s="51" t="str">
        <f>'28'!$B$2</f>
        <v>28/04/2023 01:00</v>
      </c>
      <c r="B36" s="33">
        <f>'28'!B36</f>
        <v>16.73764705882353</v>
      </c>
      <c r="C36" s="33">
        <f>'28'!C36</f>
        <v>55.878823529411768</v>
      </c>
      <c r="D36" s="33">
        <f>'28'!D36</f>
        <v>43.423529411764711</v>
      </c>
      <c r="E36" s="33">
        <f>'28'!E36</f>
        <v>9.0324999999999989</v>
      </c>
      <c r="F36" s="33">
        <f>'28'!F36</f>
        <v>16.642777777777777</v>
      </c>
      <c r="G36" s="33">
        <f>'28'!G36</f>
        <v>36.854999999999997</v>
      </c>
      <c r="H36" s="33">
        <f>'28'!H36</f>
        <v>14.4925</v>
      </c>
      <c r="I36" s="33">
        <f>'28'!I36</f>
        <v>15.966666666666669</v>
      </c>
      <c r="J36" s="33">
        <f>'28'!J36</f>
        <v>0.74222222222222223</v>
      </c>
      <c r="K36" s="33">
        <f>'28'!K36</f>
        <v>221.16333333333336</v>
      </c>
      <c r="L36" s="33">
        <f>'28'!L36</f>
        <v>28.575000000000006</v>
      </c>
      <c r="M36" s="33">
        <f>'28'!M36</f>
        <v>65.913333333333341</v>
      </c>
      <c r="N36" s="33">
        <f>'28'!N36</f>
        <v>206.34444444444443</v>
      </c>
      <c r="O36" s="33">
        <f>'28'!O36</f>
        <v>0</v>
      </c>
      <c r="P36" s="33">
        <f>'28'!P36</f>
        <v>0.63888888888888884</v>
      </c>
      <c r="Q36" s="33">
        <f>'28'!Q36</f>
        <v>5.4238888888888885</v>
      </c>
      <c r="R36" s="45"/>
      <c r="S36" s="45"/>
      <c r="T36" s="45"/>
      <c r="U36" s="45"/>
    </row>
    <row r="37" spans="1:21" s="34" customFormat="1">
      <c r="A37" s="51" t="str">
        <f>'29'!$B$2</f>
        <v>29/04/2023 01:00</v>
      </c>
      <c r="B37" s="33">
        <f>'29'!B36</f>
        <v>20.696666666666669</v>
      </c>
      <c r="C37" s="33">
        <f>'29'!C36</f>
        <v>62.657499999999992</v>
      </c>
      <c r="D37" s="33">
        <f>'29'!D36</f>
        <v>50.334166666666675</v>
      </c>
      <c r="E37" s="33">
        <f>'29'!E36</f>
        <v>7.5162499999999985</v>
      </c>
      <c r="F37" s="33">
        <f>'29'!F36</f>
        <v>7.7445833333333347</v>
      </c>
      <c r="G37" s="33">
        <f>'29'!G36</f>
        <v>28.356666666666666</v>
      </c>
      <c r="H37" s="33">
        <f>'29'!H36</f>
        <v>12.844166666666666</v>
      </c>
      <c r="I37" s="33">
        <f>'29'!I36</f>
        <v>5.1820833333333347</v>
      </c>
      <c r="J37" s="33">
        <f>'29'!J36</f>
        <v>0.97833333333333361</v>
      </c>
      <c r="K37" s="33">
        <f>'29'!K36</f>
        <v>273.97083333333336</v>
      </c>
      <c r="L37" s="33">
        <f>'29'!L36</f>
        <v>26.705416666666665</v>
      </c>
      <c r="M37" s="33">
        <f>'29'!M36</f>
        <v>72.793750000000003</v>
      </c>
      <c r="N37" s="33">
        <f>'29'!N36</f>
        <v>209.40416666666661</v>
      </c>
      <c r="O37" s="33">
        <f>'29'!O36</f>
        <v>0</v>
      </c>
      <c r="P37" s="33">
        <f>'29'!P36</f>
        <v>0.48958333333333331</v>
      </c>
      <c r="Q37" s="33">
        <f>'29'!Q36</f>
        <v>5.9374999999999991</v>
      </c>
      <c r="R37" s="45"/>
      <c r="S37" s="45"/>
      <c r="T37" s="45"/>
      <c r="U37" s="45"/>
    </row>
    <row r="38" spans="1:21" s="34" customFormat="1">
      <c r="A38" s="51" t="str">
        <f>'30'!$B$2</f>
        <v>30/04/2023 01:00</v>
      </c>
      <c r="B38" s="33">
        <f>'30'!B36</f>
        <v>35.229583333333323</v>
      </c>
      <c r="C38" s="33">
        <f>'30'!C36</f>
        <v>63.403333333333329</v>
      </c>
      <c r="D38" s="33">
        <f>'30'!D36</f>
        <v>62.539166666666667</v>
      </c>
      <c r="E38" s="33">
        <f>'30'!E36</f>
        <v>6.340416666666667</v>
      </c>
      <c r="F38" s="33">
        <f>'30'!F36</f>
        <v>4.1258333333333335</v>
      </c>
      <c r="G38" s="33">
        <f>'30'!G36</f>
        <v>34.201666666666661</v>
      </c>
      <c r="H38" s="33">
        <f>'30'!H36</f>
        <v>13.144166666666665</v>
      </c>
      <c r="I38" s="33">
        <f>'30'!I36</f>
        <v>4.4674999999999994</v>
      </c>
      <c r="J38" s="33">
        <f>'30'!J36</f>
        <v>1.2070833333333333</v>
      </c>
      <c r="K38" s="33">
        <f>'30'!K36</f>
        <v>214.8175</v>
      </c>
      <c r="L38" s="33">
        <f>'30'!L36</f>
        <v>22.842499999999998</v>
      </c>
      <c r="M38" s="33">
        <f>'30'!M36</f>
        <v>83.834583333333327</v>
      </c>
      <c r="N38" s="33">
        <f>'30'!N36</f>
        <v>98.925000000000011</v>
      </c>
      <c r="O38" s="33">
        <f>'30'!O36</f>
        <v>0</v>
      </c>
      <c r="P38" s="33">
        <f>'30'!P36</f>
        <v>0.58333333333333337</v>
      </c>
      <c r="Q38" s="33">
        <f>'30'!Q36</f>
        <v>6.8329166666666667</v>
      </c>
      <c r="R38" s="45"/>
      <c r="S38" s="45"/>
      <c r="T38" s="45"/>
      <c r="U38" s="45"/>
    </row>
    <row r="39" spans="1:21"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0"/>
      <c r="S39" s="20"/>
      <c r="T39" s="20"/>
      <c r="U39" s="47"/>
    </row>
    <row r="40" spans="1:21" s="21" customFormat="1">
      <c r="A40" s="14" t="s">
        <v>30</v>
      </c>
      <c r="B40" s="15">
        <f t="shared" ref="B40:Q40" si="0">MIN(B9:B38)</f>
        <v>7.9670833333333313</v>
      </c>
      <c r="C40" s="15">
        <f t="shared" si="0"/>
        <v>44.701249999999995</v>
      </c>
      <c r="D40" s="15">
        <f t="shared" si="0"/>
        <v>31.31958333333333</v>
      </c>
      <c r="E40" s="15">
        <f t="shared" si="0"/>
        <v>6.340416666666667</v>
      </c>
      <c r="F40" s="15">
        <f t="shared" si="0"/>
        <v>4.1258333333333335</v>
      </c>
      <c r="G40" s="15">
        <f t="shared" si="0"/>
        <v>21.014583333333331</v>
      </c>
      <c r="H40" s="15">
        <f t="shared" si="0"/>
        <v>7.734583333333334</v>
      </c>
      <c r="I40" s="15">
        <f t="shared" si="0"/>
        <v>0</v>
      </c>
      <c r="J40" s="15">
        <f t="shared" si="0"/>
        <v>0.39666666666666656</v>
      </c>
      <c r="K40" s="15">
        <f t="shared" si="0"/>
        <v>171.85583333333332</v>
      </c>
      <c r="L40" s="15">
        <f t="shared" si="0"/>
        <v>22.842499999999998</v>
      </c>
      <c r="M40" s="15">
        <f t="shared" si="0"/>
        <v>24.575833333333335</v>
      </c>
      <c r="N40" s="15">
        <f t="shared" si="0"/>
        <v>98.925000000000011</v>
      </c>
      <c r="O40" s="15">
        <f t="shared" si="0"/>
        <v>0</v>
      </c>
      <c r="P40" s="15">
        <f t="shared" si="0"/>
        <v>0.45625000000000004</v>
      </c>
      <c r="Q40" s="15">
        <f t="shared" si="0"/>
        <v>4.916666666666667</v>
      </c>
      <c r="R40" s="28"/>
      <c r="S40" s="28"/>
      <c r="T40" s="28"/>
      <c r="U40" s="28"/>
    </row>
    <row r="41" spans="1:21" s="21" customFormat="1">
      <c r="A41" s="14" t="s">
        <v>31</v>
      </c>
      <c r="B41" s="15">
        <f t="shared" ref="B41:Q41" si="1">MAX(B9:B38)</f>
        <v>35.229583333333323</v>
      </c>
      <c r="C41" s="15">
        <f t="shared" si="1"/>
        <v>70.402500000000018</v>
      </c>
      <c r="D41" s="15">
        <f t="shared" si="1"/>
        <v>62.539166666666667</v>
      </c>
      <c r="E41" s="15">
        <f t="shared" si="1"/>
        <v>17.155833333333334</v>
      </c>
      <c r="F41" s="15">
        <f t="shared" si="1"/>
        <v>34.478333333333332</v>
      </c>
      <c r="G41" s="15">
        <f t="shared" si="1"/>
        <v>96.67583333333333</v>
      </c>
      <c r="H41" s="15">
        <f t="shared" si="1"/>
        <v>31.897083333333338</v>
      </c>
      <c r="I41" s="15">
        <f t="shared" si="1"/>
        <v>15.966666666666669</v>
      </c>
      <c r="J41" s="15">
        <f t="shared" si="1"/>
        <v>1.3745833333333335</v>
      </c>
      <c r="K41" s="15">
        <f t="shared" si="1"/>
        <v>286.31083333333333</v>
      </c>
      <c r="L41" s="15">
        <f t="shared" si="1"/>
        <v>35.087083333333325</v>
      </c>
      <c r="M41" s="15">
        <f t="shared" si="1"/>
        <v>83.834583333333327</v>
      </c>
      <c r="N41" s="15">
        <f t="shared" si="1"/>
        <v>267.47916666666669</v>
      </c>
      <c r="O41" s="15">
        <f t="shared" si="1"/>
        <v>0</v>
      </c>
      <c r="P41" s="15">
        <f t="shared" si="1"/>
        <v>0.88833333333333331</v>
      </c>
      <c r="Q41" s="15">
        <f t="shared" si="1"/>
        <v>7.4162499999999989</v>
      </c>
      <c r="R41" s="28"/>
      <c r="S41" s="28"/>
      <c r="T41" s="28"/>
      <c r="U41" s="28"/>
    </row>
    <row r="42" spans="1:21" s="21" customFormat="1">
      <c r="A42" s="14" t="s">
        <v>32</v>
      </c>
      <c r="B42" s="15">
        <f t="shared" ref="B42:Q42" si="2">AVERAGE(B9:B38)</f>
        <v>17.736241013071897</v>
      </c>
      <c r="C42" s="15">
        <f t="shared" si="2"/>
        <v>62.376780228758179</v>
      </c>
      <c r="D42" s="15">
        <f t="shared" si="2"/>
        <v>47.794659313725489</v>
      </c>
      <c r="E42" s="15">
        <f t="shared" si="2"/>
        <v>10.511949879227052</v>
      </c>
      <c r="F42" s="15">
        <f t="shared" si="2"/>
        <v>16.25949537037037</v>
      </c>
      <c r="G42" s="15">
        <f t="shared" si="2"/>
        <v>51.437510101010098</v>
      </c>
      <c r="H42" s="15">
        <f t="shared" si="2"/>
        <v>19.77995209339775</v>
      </c>
      <c r="I42" s="15">
        <f t="shared" si="2"/>
        <v>5.8687560386473443</v>
      </c>
      <c r="J42" s="15">
        <f t="shared" si="2"/>
        <v>0.72972685185185193</v>
      </c>
      <c r="K42" s="15">
        <f t="shared" si="2"/>
        <v>224.63772222222221</v>
      </c>
      <c r="L42" s="15">
        <f t="shared" si="2"/>
        <v>30.219722222222224</v>
      </c>
      <c r="M42" s="15">
        <f t="shared" si="2"/>
        <v>47.855083333333333</v>
      </c>
      <c r="N42" s="15">
        <f t="shared" si="2"/>
        <v>218.93175925925928</v>
      </c>
      <c r="O42" s="15">
        <f t="shared" si="2"/>
        <v>0</v>
      </c>
      <c r="P42" s="15">
        <f t="shared" si="2"/>
        <v>0.65319907407407407</v>
      </c>
      <c r="Q42" s="15">
        <f t="shared" si="2"/>
        <v>5.8712944847020925</v>
      </c>
      <c r="R42" s="28"/>
      <c r="S42" s="28"/>
      <c r="T42" s="28"/>
      <c r="U42" s="28"/>
    </row>
    <row r="43" spans="1:21" s="21" customFormat="1">
      <c r="A43" s="14" t="s">
        <v>38</v>
      </c>
      <c r="B43" s="15">
        <f t="shared" ref="B43:Q43" si="3">STDEV(B9:B38)</f>
        <v>6.635935722002813</v>
      </c>
      <c r="C43" s="15">
        <f t="shared" si="3"/>
        <v>6.1018571479710024</v>
      </c>
      <c r="D43" s="15">
        <f t="shared" si="3"/>
        <v>7.3650594366181528</v>
      </c>
      <c r="E43" s="15">
        <f t="shared" si="3"/>
        <v>3.1117117558875487</v>
      </c>
      <c r="F43" s="15">
        <f t="shared" si="3"/>
        <v>8.7262472991961779</v>
      </c>
      <c r="G43" s="15">
        <f t="shared" si="3"/>
        <v>18.571673176298294</v>
      </c>
      <c r="H43" s="15">
        <f t="shared" si="3"/>
        <v>6.4553051277856364</v>
      </c>
      <c r="I43" s="15">
        <f t="shared" si="3"/>
        <v>3.101552482092488</v>
      </c>
      <c r="J43" s="15">
        <f t="shared" si="3"/>
        <v>0.27094688768721642</v>
      </c>
      <c r="K43" s="15">
        <f t="shared" si="3"/>
        <v>25.287974169644013</v>
      </c>
      <c r="L43" s="15">
        <f t="shared" si="3"/>
        <v>2.8199836458057028</v>
      </c>
      <c r="M43" s="15">
        <f t="shared" si="3"/>
        <v>14.332752393750329</v>
      </c>
      <c r="N43" s="15">
        <f t="shared" si="3"/>
        <v>32.82369113871605</v>
      </c>
      <c r="O43" s="15">
        <f t="shared" si="3"/>
        <v>0</v>
      </c>
      <c r="P43" s="15">
        <f t="shared" si="3"/>
        <v>0.12870127651335478</v>
      </c>
      <c r="Q43" s="15">
        <f t="shared" si="3"/>
        <v>0.84697296031628688</v>
      </c>
      <c r="R43" s="28"/>
      <c r="S43" s="28"/>
      <c r="T43" s="28"/>
      <c r="U43" s="28"/>
    </row>
    <row r="44" spans="1:21" s="21" customFormat="1">
      <c r="A44" s="14" t="s">
        <v>33</v>
      </c>
      <c r="B44" s="12">
        <f t="shared" ref="B44:Q44" si="4">COUNT(B9:B38)</f>
        <v>30</v>
      </c>
      <c r="C44" s="12">
        <f t="shared" si="4"/>
        <v>30</v>
      </c>
      <c r="D44" s="12">
        <f t="shared" si="4"/>
        <v>30</v>
      </c>
      <c r="E44" s="12">
        <f t="shared" si="4"/>
        <v>30</v>
      </c>
      <c r="F44" s="12">
        <f t="shared" si="4"/>
        <v>30</v>
      </c>
      <c r="G44" s="12">
        <f t="shared" si="4"/>
        <v>30</v>
      </c>
      <c r="H44" s="12">
        <f t="shared" si="4"/>
        <v>30</v>
      </c>
      <c r="I44" s="12">
        <f t="shared" si="4"/>
        <v>30</v>
      </c>
      <c r="J44" s="12">
        <f t="shared" si="4"/>
        <v>30</v>
      </c>
      <c r="K44" s="12">
        <f t="shared" si="4"/>
        <v>30</v>
      </c>
      <c r="L44" s="12">
        <f t="shared" si="4"/>
        <v>30</v>
      </c>
      <c r="M44" s="12">
        <f t="shared" si="4"/>
        <v>30</v>
      </c>
      <c r="N44" s="12">
        <f t="shared" si="4"/>
        <v>30</v>
      </c>
      <c r="O44" s="12">
        <f t="shared" si="4"/>
        <v>30</v>
      </c>
      <c r="P44" s="12">
        <f t="shared" si="4"/>
        <v>30</v>
      </c>
      <c r="Q44" s="12">
        <f t="shared" si="4"/>
        <v>30</v>
      </c>
      <c r="R44" s="29"/>
      <c r="S44" s="29"/>
      <c r="T44" s="29"/>
      <c r="U44" s="29"/>
    </row>
    <row r="45" spans="1:21" s="21" customFormat="1">
      <c r="A45" s="14" t="s">
        <v>34</v>
      </c>
      <c r="B45" s="12" t="str">
        <f>IF(B44&gt;=28,"&gt;90%",IF(B44&lt;=28,"&lt;90%"))</f>
        <v>&gt;90%</v>
      </c>
      <c r="C45" s="12" t="str">
        <f t="shared" ref="C45:Q45" si="5">IF(C44&gt;=28,"&gt;90%",IF(C44&lt;=28,"&lt;90%"))</f>
        <v>&gt;90%</v>
      </c>
      <c r="D45" s="12" t="str">
        <f t="shared" si="5"/>
        <v>&gt;90%</v>
      </c>
      <c r="E45" s="12" t="str">
        <f t="shared" si="5"/>
        <v>&gt;90%</v>
      </c>
      <c r="F45" s="12" t="str">
        <f t="shared" si="5"/>
        <v>&gt;90%</v>
      </c>
      <c r="G45" s="12" t="str">
        <f t="shared" si="5"/>
        <v>&gt;90%</v>
      </c>
      <c r="H45" s="12" t="str">
        <f t="shared" si="5"/>
        <v>&gt;90%</v>
      </c>
      <c r="I45" s="12" t="str">
        <f t="shared" si="5"/>
        <v>&gt;90%</v>
      </c>
      <c r="J45" s="12" t="str">
        <f t="shared" si="5"/>
        <v>&gt;90%</v>
      </c>
      <c r="K45" s="12" t="str">
        <f t="shared" si="5"/>
        <v>&gt;90%</v>
      </c>
      <c r="L45" s="12" t="str">
        <f t="shared" si="5"/>
        <v>&gt;90%</v>
      </c>
      <c r="M45" s="12" t="str">
        <f t="shared" si="5"/>
        <v>&gt;90%</v>
      </c>
      <c r="N45" s="12" t="str">
        <f t="shared" si="5"/>
        <v>&gt;90%</v>
      </c>
      <c r="O45" s="12" t="str">
        <f t="shared" si="5"/>
        <v>&gt;90%</v>
      </c>
      <c r="P45" s="12" t="str">
        <f t="shared" si="5"/>
        <v>&gt;90%</v>
      </c>
      <c r="Q45" s="12" t="str">
        <f t="shared" si="5"/>
        <v>&gt;90%</v>
      </c>
      <c r="R45" s="29"/>
      <c r="S45" s="29"/>
      <c r="T45" s="29"/>
      <c r="U45" s="29"/>
    </row>
    <row r="46" spans="1:21" s="21" customFormat="1">
      <c r="A46" s="14" t="s">
        <v>1</v>
      </c>
      <c r="B46" s="12" t="str">
        <f>IF(B44&gt;=28,"OK",IF(B44&lt;=28,"LESS"))</f>
        <v>OK</v>
      </c>
      <c r="C46" s="12" t="str">
        <f t="shared" ref="C46:Q46" si="6">IF(C44&gt;=28,"OK",IF(C44&lt;=28,"LESS"))</f>
        <v>OK</v>
      </c>
      <c r="D46" s="12" t="str">
        <f t="shared" si="6"/>
        <v>OK</v>
      </c>
      <c r="E46" s="12" t="str">
        <f t="shared" si="6"/>
        <v>OK</v>
      </c>
      <c r="F46" s="12" t="str">
        <f t="shared" si="6"/>
        <v>OK</v>
      </c>
      <c r="G46" s="12" t="str">
        <f t="shared" si="6"/>
        <v>OK</v>
      </c>
      <c r="H46" s="12" t="str">
        <f t="shared" si="6"/>
        <v>OK</v>
      </c>
      <c r="I46" s="12" t="str">
        <f t="shared" si="6"/>
        <v>OK</v>
      </c>
      <c r="J46" s="12" t="str">
        <f t="shared" si="6"/>
        <v>OK</v>
      </c>
      <c r="K46" s="12" t="str">
        <f t="shared" si="6"/>
        <v>OK</v>
      </c>
      <c r="L46" s="12" t="str">
        <f t="shared" si="6"/>
        <v>OK</v>
      </c>
      <c r="M46" s="12" t="str">
        <f t="shared" si="6"/>
        <v>OK</v>
      </c>
      <c r="N46" s="12" t="str">
        <f t="shared" si="6"/>
        <v>OK</v>
      </c>
      <c r="O46" s="12" t="str">
        <f t="shared" si="6"/>
        <v>OK</v>
      </c>
      <c r="P46" s="12" t="str">
        <f t="shared" si="6"/>
        <v>OK</v>
      </c>
      <c r="Q46" s="12" t="str">
        <f t="shared" si="6"/>
        <v>OK</v>
      </c>
      <c r="R46" s="29"/>
      <c r="S46" s="29"/>
      <c r="T46" s="29"/>
      <c r="U46" s="29"/>
    </row>
    <row r="47" spans="1:21"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</row>
    <row r="49" spans="1:16">
      <c r="A49" s="14" t="s">
        <v>35</v>
      </c>
      <c r="B49" s="39" t="s">
        <v>58</v>
      </c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</row>
    <row r="50" spans="1:16">
      <c r="A50" s="13"/>
      <c r="B50" s="21"/>
      <c r="C50" s="21"/>
      <c r="D50" s="1"/>
      <c r="E50" s="1"/>
      <c r="F50" s="1"/>
      <c r="G50" s="1"/>
      <c r="H50" s="1"/>
      <c r="I50" s="1"/>
      <c r="J50" s="21"/>
      <c r="K50" s="21"/>
      <c r="L50" s="21"/>
      <c r="M50" s="21"/>
      <c r="N50" s="21"/>
      <c r="O50" s="21"/>
      <c r="P50" s="21"/>
    </row>
    <row r="51" spans="1:16" ht="15.75">
      <c r="A51" s="17" t="s">
        <v>36</v>
      </c>
      <c r="B51" s="58"/>
      <c r="C51" s="58"/>
      <c r="D51" s="58"/>
      <c r="E51" s="58"/>
      <c r="F51" s="58"/>
      <c r="G51" s="58"/>
      <c r="H51" s="58"/>
      <c r="I51" s="58"/>
      <c r="J51" s="58"/>
      <c r="K51" s="58"/>
      <c r="L51" s="58"/>
      <c r="M51" s="58"/>
      <c r="N51" s="58"/>
      <c r="O51" s="58"/>
      <c r="P51" s="58"/>
    </row>
    <row r="52" spans="1:16">
      <c r="A52" s="13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</row>
    <row r="53" spans="1:16">
      <c r="A53" s="13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</row>
    <row r="54" spans="1:16">
      <c r="A54" s="13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</row>
  </sheetData>
  <mergeCells count="1">
    <mergeCell ref="B51:P5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MONTHLY 31</vt:lpstr>
    </vt:vector>
  </TitlesOfParts>
  <Company>wbpcb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IDEAL DCR</dc:title>
  <dc:subject>DCR FORMAT</dc:subject>
  <dc:creator>DEBLOHIT BOSE</dc:creator>
  <cp:keywords>DCR</cp:keywords>
  <dc:description>"IDEAL DCR"- by Deblohit Bose</dc:description>
  <cp:lastModifiedBy>Lenovo</cp:lastModifiedBy>
  <cp:lastPrinted>2018-07-30T12:51:54Z</cp:lastPrinted>
  <dcterms:created xsi:type="dcterms:W3CDTF">2013-08-23T16:44:31Z</dcterms:created>
  <dcterms:modified xsi:type="dcterms:W3CDTF">2023-05-02T12:28:25Z</dcterms:modified>
</cp:coreProperties>
</file>