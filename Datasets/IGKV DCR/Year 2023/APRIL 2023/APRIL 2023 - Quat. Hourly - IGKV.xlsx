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tabRatio="814" firstSheet="14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sharedStrings.xml><?xml version="1.0" encoding="utf-8"?>
<sst xmlns="http://schemas.openxmlformats.org/spreadsheetml/2006/main" count="6361" uniqueCount="3133">
  <si>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</si>
  <si>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</si>
  <si>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</si>
  <si>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</si>
  <si>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</si>
  <si>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</si>
  <si>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</si>
  <si>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</si>
  <si>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</si>
  <si>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</si>
  <si>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</si>
  <si>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</si>
  <si>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</si>
  <si>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</si>
  <si>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</si>
  <si>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</si>
  <si>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</si>
  <si>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</si>
  <si>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</si>
  <si>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</si>
  <si>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</si>
  <si>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</si>
  <si>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</si>
  <si>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NO_IGKV</t>
  </si>
  <si>
    <t>NO2__IGKV</t>
  </si>
  <si>
    <t>NOX_IGKV</t>
  </si>
  <si>
    <t xml:space="preserve">SO2__IGKV </t>
  </si>
  <si>
    <t>O3__IGKV</t>
  </si>
  <si>
    <t>PM10_IGKV</t>
  </si>
  <si>
    <t>PM2.5_IGKV</t>
  </si>
  <si>
    <t>BENZ_IGKV</t>
  </si>
  <si>
    <t>WS_IGKV</t>
  </si>
  <si>
    <t>WD_IGKV</t>
  </si>
  <si>
    <t>TEMP_IGKV</t>
  </si>
  <si>
    <t>HUM_IGKV</t>
  </si>
  <si>
    <t>SR_IGKV</t>
  </si>
  <si>
    <t>RG_IGKV</t>
  </si>
  <si>
    <t>CO_IGKV</t>
  </si>
  <si>
    <t>NH3_IGKV</t>
  </si>
  <si>
    <t>ug/m3</t>
  </si>
  <si>
    <t>m/sec</t>
  </si>
  <si>
    <t>deg</t>
  </si>
  <si>
    <t>degreC</t>
  </si>
  <si>
    <t>%</t>
  </si>
  <si>
    <t>w/m2</t>
  </si>
  <si>
    <t>mm</t>
  </si>
  <si>
    <t>mg/m3</t>
  </si>
  <si>
    <t>01/04/2023 00:15</t>
  </si>
  <si>
    <t>01/04/2023 00:30</t>
  </si>
  <si>
    <t>01/04/2023 00:45</t>
  </si>
  <si>
    <t>01/04/2023 01:15</t>
  </si>
  <si>
    <t>01/04/2023 01:30</t>
  </si>
  <si>
    <t>01/04/2023 01:45</t>
  </si>
  <si>
    <t>01/04/2023 02:00</t>
  </si>
  <si>
    <t>01/04/2023 02:15</t>
  </si>
  <si>
    <t>01/04/2023 02:30</t>
  </si>
  <si>
    <t>01/04/2023 02:45</t>
  </si>
  <si>
    <t>01/04/2023 03:00</t>
  </si>
  <si>
    <t>01/04/2023 03:15</t>
  </si>
  <si>
    <t>01/04/2023 03:30</t>
  </si>
  <si>
    <t>01/04/2023 03:45</t>
  </si>
  <si>
    <t>01/04/2023 04:00</t>
  </si>
  <si>
    <t>01/04/2023 04:15</t>
  </si>
  <si>
    <t>01/04/2023 04:30</t>
  </si>
  <si>
    <t>01/04/2023 04:45</t>
  </si>
  <si>
    <t>01/04/2023 05:00</t>
  </si>
  <si>
    <t>01/04/2023 05:15</t>
  </si>
  <si>
    <t>01/04/2023 05:30</t>
  </si>
  <si>
    <t>01/04/2023 05:45</t>
  </si>
  <si>
    <t>01/04/2023 06:00</t>
  </si>
  <si>
    <t>01/04/2023 06:15</t>
  </si>
  <si>
    <t>01/04/2023 06:30</t>
  </si>
  <si>
    <t>01/04/2023 06:45</t>
  </si>
  <si>
    <t>01/04/2023 07:00</t>
  </si>
  <si>
    <t>01/04/2023 07:15</t>
  </si>
  <si>
    <t>01/04/2023 07:30</t>
  </si>
  <si>
    <t>01/04/2023 07:45</t>
  </si>
  <si>
    <t>01/04/2023 08:00</t>
  </si>
  <si>
    <t>01/04/2023 08:15</t>
  </si>
  <si>
    <t>01/04/2023 08:30</t>
  </si>
  <si>
    <t>01/04/2023 08:45</t>
  </si>
  <si>
    <t>01/04/2023 09:00</t>
  </si>
  <si>
    <t>01/04/2023 09:15</t>
  </si>
  <si>
    <t>01/04/2023 09:30</t>
  </si>
  <si>
    <t>01/04/2023 09:45</t>
  </si>
  <si>
    <t>01/04/2023 10:00</t>
  </si>
  <si>
    <t>01/04/2023 10:15</t>
  </si>
  <si>
    <t>01/04/2023 10:30</t>
  </si>
  <si>
    <t>01/04/2023 10:45</t>
  </si>
  <si>
    <t>01/04/2023 11:00</t>
  </si>
  <si>
    <t>01/04/2023 11:15</t>
  </si>
  <si>
    <t>01/04/2023 11:30</t>
  </si>
  <si>
    <t>01/04/2023 11:45</t>
  </si>
  <si>
    <t>01/04/2023 12:00</t>
  </si>
  <si>
    <t>01/04/2023 12:15</t>
  </si>
  <si>
    <t>01/04/2023 12:30</t>
  </si>
  <si>
    <t>01/04/2023 12:45</t>
  </si>
  <si>
    <t>01/04/2023 13:00</t>
  </si>
  <si>
    <t>01/04/2023 13:15</t>
  </si>
  <si>
    <t>01/04/2023 13:30</t>
  </si>
  <si>
    <t>01/04/2023 13:45</t>
  </si>
  <si>
    <t>01/04/2023 14:00</t>
  </si>
  <si>
    <t>01/04/2023 14:15</t>
  </si>
  <si>
    <t>01/04/2023 14:30</t>
  </si>
  <si>
    <t>01/04/2023 14:45</t>
  </si>
  <si>
    <t>01/04/2023 15:00</t>
  </si>
  <si>
    <t>01/04/2023 15:15</t>
  </si>
  <si>
    <t>01/04/2023 15:30</t>
  </si>
  <si>
    <t>01/04/2023 15:45</t>
  </si>
  <si>
    <t>01/04/2023 16:00</t>
  </si>
  <si>
    <t>01/04/2023 16:15</t>
  </si>
  <si>
    <t>01/04/2023 16:30</t>
  </si>
  <si>
    <t>01/04/2023 16:45</t>
  </si>
  <si>
    <t>01/04/2023 17:00</t>
  </si>
  <si>
    <t>01/04/2023 17:15</t>
  </si>
  <si>
    <t>01/04/2023 17:30</t>
  </si>
  <si>
    <t>01/04/2023 17:45</t>
  </si>
  <si>
    <t>01/04/2023 18:00</t>
  </si>
  <si>
    <t>01/04/2023 18:15</t>
  </si>
  <si>
    <t>01/04/2023 18:30</t>
  </si>
  <si>
    <t>01/04/2023 18:45</t>
  </si>
  <si>
    <t>01/04/2023 19:00</t>
  </si>
  <si>
    <t>01/04/2023 19:15</t>
  </si>
  <si>
    <t>01/04/2023 19:30</t>
  </si>
  <si>
    <t>01/04/2023 19:45</t>
  </si>
  <si>
    <t>01/04/2023 20:00</t>
  </si>
  <si>
    <t>01/04/2023 20:15</t>
  </si>
  <si>
    <t>01/04/2023 20:30</t>
  </si>
  <si>
    <t>01/04/2023 20:45</t>
  </si>
  <si>
    <t>01/04/2023 21:00</t>
  </si>
  <si>
    <t>01/04/2023 21:15</t>
  </si>
  <si>
    <t>01/04/2023 21:30</t>
  </si>
  <si>
    <t>01/04/2023 21:45</t>
  </si>
  <si>
    <t>01/04/2023 22:00</t>
  </si>
  <si>
    <t>01/04/2023 22:15</t>
  </si>
  <si>
    <t>01/04/2023 22:30</t>
  </si>
  <si>
    <t>01/04/2023 22:45</t>
  </si>
  <si>
    <t>01/04/2023 23:00</t>
  </si>
  <si>
    <t>01/04/2023 23:15</t>
  </si>
  <si>
    <t>01/04/2023 23:30</t>
  </si>
  <si>
    <t>01/04/2023 23:45</t>
  </si>
  <si>
    <t>01/04/2023 24:00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</si>
  <si>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</si>
  <si>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</si>
  <si>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</si>
  <si>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</si>
  <si>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</si>
  <si>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</si>
  <si>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</si>
  <si>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</si>
  <si>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</si>
  <si>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</si>
  <si>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02/04/2023 00:15</t>
  </si>
  <si>
    <t>02/04/2023 00:30</t>
  </si>
  <si>
    <t>02/04/2023 00:45</t>
  </si>
  <si>
    <t>02/04/2023 01:00</t>
  </si>
  <si>
    <t>02/04/2023 01:15</t>
  </si>
  <si>
    <t>02/04/2023 01:30</t>
  </si>
  <si>
    <t>02/04/2023 01:45</t>
  </si>
  <si>
    <t>02/04/2023 02:00</t>
  </si>
  <si>
    <t>02/04/2023 02:15</t>
  </si>
  <si>
    <t>02/04/2023 02:30</t>
  </si>
  <si>
    <t>02/04/2023 02:45</t>
  </si>
  <si>
    <t>02/04/2023 03:00</t>
  </si>
  <si>
    <t>02/04/2023 03:15</t>
  </si>
  <si>
    <t>02/04/2023 03:30</t>
  </si>
  <si>
    <t>02/04/2023 03:45</t>
  </si>
  <si>
    <t>02/04/2023 04:00</t>
  </si>
  <si>
    <t>02/04/2023 04:15</t>
  </si>
  <si>
    <t>02/04/2023 04:30</t>
  </si>
  <si>
    <t>02/04/2023 04:45</t>
  </si>
  <si>
    <t>02/04/2023 05:00</t>
  </si>
  <si>
    <t>02/04/2023 05:15</t>
  </si>
  <si>
    <t>02/04/2023 05:30</t>
  </si>
  <si>
    <t>02/04/2023 05:45</t>
  </si>
  <si>
    <t>02/04/2023 06:00</t>
  </si>
  <si>
    <t>02/04/2023 06:15</t>
  </si>
  <si>
    <t>02/04/2023 06:30</t>
  </si>
  <si>
    <t>02/04/2023 06:45</t>
  </si>
  <si>
    <t>02/04/2023 07:00</t>
  </si>
  <si>
    <t>02/04/2023 07:15</t>
  </si>
  <si>
    <t>02/04/2023 07:30</t>
  </si>
  <si>
    <t>02/04/2023 07:45</t>
  </si>
  <si>
    <t>02/04/2023 08:00</t>
  </si>
  <si>
    <t>02/04/2023 08:15</t>
  </si>
  <si>
    <t>02/04/2023 08:30</t>
  </si>
  <si>
    <t>02/04/2023 08:45</t>
  </si>
  <si>
    <t>02/04/2023 09:00</t>
  </si>
  <si>
    <t>02/04/2023 09:15</t>
  </si>
  <si>
    <t>02/04/2023 09:30</t>
  </si>
  <si>
    <t>02/04/2023 09:45</t>
  </si>
  <si>
    <t>02/04/2023 10:00</t>
  </si>
  <si>
    <t>02/04/2023 10:15</t>
  </si>
  <si>
    <t>02/04/2023 10:30</t>
  </si>
  <si>
    <t>02/04/2023 10:45</t>
  </si>
  <si>
    <t>02/04/2023 11:00</t>
  </si>
  <si>
    <t>02/04/2023 11:15</t>
  </si>
  <si>
    <t>02/04/2023 11:30</t>
  </si>
  <si>
    <t>02/04/2023 11:45</t>
  </si>
  <si>
    <t>02/04/2023 12:00</t>
  </si>
  <si>
    <t>02/04/2023 12:15</t>
  </si>
  <si>
    <t>02/04/2023 12:30</t>
  </si>
  <si>
    <t>02/04/2023 12:45</t>
  </si>
  <si>
    <t>02/04/2023 13:00</t>
  </si>
  <si>
    <t>02/04/2023 13:15</t>
  </si>
  <si>
    <t>02/04/2023 13:30</t>
  </si>
  <si>
    <t>02/04/2023 13:45</t>
  </si>
  <si>
    <t>02/04/2023 14:00</t>
  </si>
  <si>
    <t>02/04/2023 14:15</t>
  </si>
  <si>
    <t>02/04/2023 14:30</t>
  </si>
  <si>
    <t>02/04/2023 14:45</t>
  </si>
  <si>
    <t>02/04/2023 15:00</t>
  </si>
  <si>
    <t>02/04/2023 15:15</t>
  </si>
  <si>
    <t>02/04/2023 15:30</t>
  </si>
  <si>
    <t>02/04/2023 15:45</t>
  </si>
  <si>
    <t>02/04/2023 16:00</t>
  </si>
  <si>
    <t>02/04/2023 16:15</t>
  </si>
  <si>
    <t>02/04/2023 16:30</t>
  </si>
  <si>
    <t>02/04/2023 16:45</t>
  </si>
  <si>
    <t>02/04/2023 17:00</t>
  </si>
  <si>
    <t>02/04/2023 17:15</t>
  </si>
  <si>
    <t>02/04/2023 17:30</t>
  </si>
  <si>
    <t>02/04/2023 17:45</t>
  </si>
  <si>
    <t>02/04/2023 18:00</t>
  </si>
  <si>
    <t>02/04/2023 18:15</t>
  </si>
  <si>
    <t>02/04/2023 18:30</t>
  </si>
  <si>
    <t>02/04/2023 18:45</t>
  </si>
  <si>
    <t>02/04/2023 19:00</t>
  </si>
  <si>
    <t>02/04/2023 19:15</t>
  </si>
  <si>
    <t>02/04/2023 19:30</t>
  </si>
  <si>
    <t>02/04/2023 19:45</t>
  </si>
  <si>
    <t>02/04/2023 20:00</t>
  </si>
  <si>
    <t>02/04/2023 20:15</t>
  </si>
  <si>
    <t>02/04/2023 20:30</t>
  </si>
  <si>
    <t>02/04/2023 20:45</t>
  </si>
  <si>
    <t>02/04/2023 21:00</t>
  </si>
  <si>
    <t>02/04/2023 21:15</t>
  </si>
  <si>
    <t>02/04/2023 21:30</t>
  </si>
  <si>
    <t>02/04/2023 21:45</t>
  </si>
  <si>
    <t>02/04/2023 22:00</t>
  </si>
  <si>
    <t>02/04/2023 22:15</t>
  </si>
  <si>
    <t>02/04/2023 22:30</t>
  </si>
  <si>
    <t>02/04/2023 22:45</t>
  </si>
  <si>
    <t>02/04/2023 23:00</t>
  </si>
  <si>
    <t>02/04/2023 23:15</t>
  </si>
  <si>
    <t>02/04/2023 23:30</t>
  </si>
  <si>
    <t>02/04/2023 23:45</t>
  </si>
  <si>
    <t>02/04/2023 24:00</t>
  </si>
  <si>
    <t>03/04/2023 00:15</t>
  </si>
  <si>
    <t>03/04/2023 00:30</t>
  </si>
  <si>
    <t>03/04/2023 00:45</t>
  </si>
  <si>
    <t>03/04/2023 01:00</t>
  </si>
  <si>
    <t>03/04/2023 01:15</t>
  </si>
  <si>
    <t>03/04/2023 01:30</t>
  </si>
  <si>
    <t>03/04/2023 01:45</t>
  </si>
  <si>
    <t>03/04/2023 02:00</t>
  </si>
  <si>
    <t>03/04/2023 02:15</t>
  </si>
  <si>
    <t>03/04/2023 02:30</t>
  </si>
  <si>
    <t>03/04/2023 02:45</t>
  </si>
  <si>
    <t>03/04/2023 03:00</t>
  </si>
  <si>
    <t>03/04/2023 03:15</t>
  </si>
  <si>
    <t>03/04/2023 03:30</t>
  </si>
  <si>
    <t>03/04/2023 03:45</t>
  </si>
  <si>
    <t>03/04/2023 04:00</t>
  </si>
  <si>
    <t>03/04/2023 04:15</t>
  </si>
  <si>
    <t>03/04/2023 04:30</t>
  </si>
  <si>
    <t>03/04/2023 04:45</t>
  </si>
  <si>
    <t>03/04/2023 05:00</t>
  </si>
  <si>
    <t>03/04/2023 05:15</t>
  </si>
  <si>
    <t>03/04/2023 05:30</t>
  </si>
  <si>
    <t>03/04/2023 05:45</t>
  </si>
  <si>
    <t>03/04/2023 06:00</t>
  </si>
  <si>
    <t>03/04/2023 06:15</t>
  </si>
  <si>
    <t>03/04/2023 06:30</t>
  </si>
  <si>
    <t>03/04/2023 06:45</t>
  </si>
  <si>
    <t>03/04/2023 07:00</t>
  </si>
  <si>
    <t>03/04/2023 07:15</t>
  </si>
  <si>
    <t>03/04/2023 07:30</t>
  </si>
  <si>
    <t>03/04/2023 07:45</t>
  </si>
  <si>
    <t>03/04/2023 08:00</t>
  </si>
  <si>
    <t>03/04/2023 08:15</t>
  </si>
  <si>
    <t>03/04/2023 08:30</t>
  </si>
  <si>
    <t>03/04/2023 08:45</t>
  </si>
  <si>
    <t>03/04/2023 09:00</t>
  </si>
  <si>
    <t>03/04/2023 09:15</t>
  </si>
  <si>
    <t>03/04/2023 09:30</t>
  </si>
  <si>
    <t>03/04/2023 09:45</t>
  </si>
  <si>
    <t>03/04/2023 10:00</t>
  </si>
  <si>
    <t>03/04/2023 10:15</t>
  </si>
  <si>
    <t>03/04/2023 10:30</t>
  </si>
  <si>
    <t>03/04/2023 10:45</t>
  </si>
  <si>
    <t>03/04/2023 11:00</t>
  </si>
  <si>
    <t>03/04/2023 11:15</t>
  </si>
  <si>
    <t>03/04/2023 11:30</t>
  </si>
  <si>
    <t>03/04/2023 11:45</t>
  </si>
  <si>
    <t>03/04/2023 12:00</t>
  </si>
  <si>
    <t>03/04/2023 12:15</t>
  </si>
  <si>
    <t>03/04/2023 12:30</t>
  </si>
  <si>
    <t>03/04/2023 12:45</t>
  </si>
  <si>
    <t>03/04/2023 13:00</t>
  </si>
  <si>
    <t>03/04/2023 13:15</t>
  </si>
  <si>
    <t>03/04/2023 13:30</t>
  </si>
  <si>
    <t>03/04/2023 13:45</t>
  </si>
  <si>
    <t>03/04/2023 14:00</t>
  </si>
  <si>
    <t>03/04/2023 14:15</t>
  </si>
  <si>
    <t>03/04/2023 14:30</t>
  </si>
  <si>
    <t>03/04/2023 14:45</t>
  </si>
  <si>
    <t>03/04/2023 15:00</t>
  </si>
  <si>
    <t>03/04/2023 15:15</t>
  </si>
  <si>
    <t>03/04/2023 15:30</t>
  </si>
  <si>
    <t>03/04/2023 15:45</t>
  </si>
  <si>
    <t>03/04/2023 16:00</t>
  </si>
  <si>
    <t>03/04/2023 16:15</t>
  </si>
  <si>
    <t>03/04/2023 16:30</t>
  </si>
  <si>
    <t>03/04/2023 16:45</t>
  </si>
  <si>
    <t>03/04/2023 17:00</t>
  </si>
  <si>
    <t>03/04/2023 17:15</t>
  </si>
  <si>
    <t>03/04/2023 17:30</t>
  </si>
  <si>
    <t>03/04/2023 17:45</t>
  </si>
  <si>
    <t>03/04/2023 18:00</t>
  </si>
  <si>
    <t>03/04/2023 18:15</t>
  </si>
  <si>
    <t>03/04/2023 18:30</t>
  </si>
  <si>
    <t>03/04/2023 18:45</t>
  </si>
  <si>
    <t>03/04/2023 19:00</t>
  </si>
  <si>
    <t>03/04/2023 19:15</t>
  </si>
  <si>
    <t>03/04/2023 19:30</t>
  </si>
  <si>
    <t>03/04/2023 19:45</t>
  </si>
  <si>
    <t>03/04/2023 20:00</t>
  </si>
  <si>
    <t>03/04/2023 20:15</t>
  </si>
  <si>
    <t>03/04/2023 20:30</t>
  </si>
  <si>
    <t>03/04/2023 20:45</t>
  </si>
  <si>
    <t>03/04/2023 21:00</t>
  </si>
  <si>
    <t>03/04/2023 21:15</t>
  </si>
  <si>
    <t>03/04/2023 21:30</t>
  </si>
  <si>
    <t>03/04/2023 21:45</t>
  </si>
  <si>
    <t>03/04/2023 22:00</t>
  </si>
  <si>
    <t>03/04/2023 22:15</t>
  </si>
  <si>
    <t>03/04/2023 22:30</t>
  </si>
  <si>
    <t>03/04/2023 22:45</t>
  </si>
  <si>
    <t>03/04/2023 23:00</t>
  </si>
  <si>
    <t>03/04/2023 23:15</t>
  </si>
  <si>
    <t>03/04/2023 23:30</t>
  </si>
  <si>
    <t>03/04/2023 23:45</t>
  </si>
  <si>
    <t>03/04/2023 24:00</t>
  </si>
  <si>
    <t>04/04/2023 00:15</t>
  </si>
  <si>
    <t>04/04/2023 00:30</t>
  </si>
  <si>
    <t>04/04/2023 00:45</t>
  </si>
  <si>
    <t>04/04/2023 01:00</t>
  </si>
  <si>
    <t>04/04/2023 01:15</t>
  </si>
  <si>
    <t>04/04/2023 01:30</t>
  </si>
  <si>
    <t>04/04/2023 01:45</t>
  </si>
  <si>
    <t>04/04/2023 02:00</t>
  </si>
  <si>
    <t>04/04/2023 02:15</t>
  </si>
  <si>
    <t>04/04/2023 02:30</t>
  </si>
  <si>
    <t>04/04/2023 02:45</t>
  </si>
  <si>
    <t>04/04/2023 03:00</t>
  </si>
  <si>
    <t>04/04/2023 03:15</t>
  </si>
  <si>
    <t>04/04/2023 03:30</t>
  </si>
  <si>
    <t>04/04/2023 03:45</t>
  </si>
  <si>
    <t>04/04/2023 04:00</t>
  </si>
  <si>
    <t>04/04/2023 04:15</t>
  </si>
  <si>
    <t>04/04/2023 04:30</t>
  </si>
  <si>
    <t>04/04/2023 04:45</t>
  </si>
  <si>
    <t>04/04/2023 05:00</t>
  </si>
  <si>
    <t>04/04/2023 05:15</t>
  </si>
  <si>
    <t>04/04/2023 05:30</t>
  </si>
  <si>
    <t>04/04/2023 05:45</t>
  </si>
  <si>
    <t>04/04/2023 06:00</t>
  </si>
  <si>
    <t>04/04/2023 06:15</t>
  </si>
  <si>
    <t>04/04/2023 06:30</t>
  </si>
  <si>
    <t>04/04/2023 06:45</t>
  </si>
  <si>
    <t>04/04/2023 07:00</t>
  </si>
  <si>
    <t>04/04/2023 07:15</t>
  </si>
  <si>
    <t>04/04/2023 07:30</t>
  </si>
  <si>
    <t>04/04/2023 07:45</t>
  </si>
  <si>
    <t>04/04/2023 08:00</t>
  </si>
  <si>
    <t>04/04/2023 08:15</t>
  </si>
  <si>
    <t>04/04/2023 08:30</t>
  </si>
  <si>
    <t>04/04/2023 08:45</t>
  </si>
  <si>
    <t>04/04/2023 09:00</t>
  </si>
  <si>
    <t>04/04/2023 09:15</t>
  </si>
  <si>
    <t>04/04/2023 09:30</t>
  </si>
  <si>
    <t>04/04/2023 09:45</t>
  </si>
  <si>
    <t>04/04/2023 10:00</t>
  </si>
  <si>
    <t>04/04/2023 10:15</t>
  </si>
  <si>
    <t>04/04/2023 10:30</t>
  </si>
  <si>
    <t>04/04/2023 10:45</t>
  </si>
  <si>
    <t>04/04/2023 11:00</t>
  </si>
  <si>
    <t>04/04/2023 11:15</t>
  </si>
  <si>
    <t>04/04/2023 11:30</t>
  </si>
  <si>
    <t>04/04/2023 11:45</t>
  </si>
  <si>
    <t>04/04/2023 12:00</t>
  </si>
  <si>
    <t>04/04/2023 12:15</t>
  </si>
  <si>
    <t>04/04/2023 12:30</t>
  </si>
  <si>
    <t>04/04/2023 12:45</t>
  </si>
  <si>
    <t>04/04/2023 13:00</t>
  </si>
  <si>
    <t>04/04/2023 13:15</t>
  </si>
  <si>
    <t>04/04/2023 13:30</t>
  </si>
  <si>
    <t>04/04/2023 13:45</t>
  </si>
  <si>
    <t>04/04/2023 14:00</t>
  </si>
  <si>
    <t>04/04/2023 14:15</t>
  </si>
  <si>
    <t>04/04/2023 14:30</t>
  </si>
  <si>
    <t>04/04/2023 14:45</t>
  </si>
  <si>
    <t>04/04/2023 15:00</t>
  </si>
  <si>
    <t>04/04/2023 15:15</t>
  </si>
  <si>
    <t>04/04/2023 15:30</t>
  </si>
  <si>
    <t>04/04/2023 15:45</t>
  </si>
  <si>
    <t>04/04/2023 16:00</t>
  </si>
  <si>
    <t>04/04/2023 16:15</t>
  </si>
  <si>
    <t>04/04/2023 16:30</t>
  </si>
  <si>
    <t>04/04/2023 16:45</t>
  </si>
  <si>
    <t>04/04/2023 17:00</t>
  </si>
  <si>
    <t>04/04/2023 17:15</t>
  </si>
  <si>
    <t>04/04/2023 17:30</t>
  </si>
  <si>
    <t>04/04/2023 17:45</t>
  </si>
  <si>
    <t>04/04/2023 18:00</t>
  </si>
  <si>
    <t>04/04/2023 18:15</t>
  </si>
  <si>
    <t>04/04/2023 18:30</t>
  </si>
  <si>
    <t>04/04/2023 18:45</t>
  </si>
  <si>
    <t>04/04/2023 19:00</t>
  </si>
  <si>
    <t>04/04/2023 19:15</t>
  </si>
  <si>
    <t>04/04/2023 19:30</t>
  </si>
  <si>
    <t>04/04/2023 19:45</t>
  </si>
  <si>
    <t>04/04/2023 20:00</t>
  </si>
  <si>
    <t>04/04/2023 20:15</t>
  </si>
  <si>
    <t>04/04/2023 20:30</t>
  </si>
  <si>
    <t>04/04/2023 20:45</t>
  </si>
  <si>
    <t>04/04/2023 21:00</t>
  </si>
  <si>
    <t>04/04/2023 21:15</t>
  </si>
  <si>
    <t>04/04/2023 21:30</t>
  </si>
  <si>
    <t>04/04/2023 21:45</t>
  </si>
  <si>
    <t>04/04/2023 22:00</t>
  </si>
  <si>
    <t>04/04/2023 22:15</t>
  </si>
  <si>
    <t>04/04/2023 22:30</t>
  </si>
  <si>
    <t>04/04/2023 22:45</t>
  </si>
  <si>
    <t>04/04/2023 23:00</t>
  </si>
  <si>
    <t>04/04/2023 23:15</t>
  </si>
  <si>
    <t>04/04/2023 23:30</t>
  </si>
  <si>
    <t>04/04/2023 23:45</t>
  </si>
  <si>
    <t>04/04/2023 24:00</t>
  </si>
  <si>
    <t>05/04/2023 00:15</t>
  </si>
  <si>
    <t>05/04/2023 00:30</t>
  </si>
  <si>
    <t>05/04/2023 00:45</t>
  </si>
  <si>
    <t>05/04/2023 01:00</t>
  </si>
  <si>
    <t>05/04/2023 01:15</t>
  </si>
  <si>
    <t>05/04/2023 01:30</t>
  </si>
  <si>
    <t>05/04/2023 01:45</t>
  </si>
  <si>
    <t>05/04/2023 02:00</t>
  </si>
  <si>
    <t>05/04/2023 02:15</t>
  </si>
  <si>
    <t>05/04/2023 02:30</t>
  </si>
  <si>
    <t>05/04/2023 02:45</t>
  </si>
  <si>
    <t>05/04/2023 03:00</t>
  </si>
  <si>
    <t>05/04/2023 03:15</t>
  </si>
  <si>
    <t>05/04/2023 03:30</t>
  </si>
  <si>
    <t>05/04/2023 03:45</t>
  </si>
  <si>
    <t>05/04/2023 04:00</t>
  </si>
  <si>
    <t>05/04/2023 04:15</t>
  </si>
  <si>
    <t>05/04/2023 04:30</t>
  </si>
  <si>
    <t>05/04/2023 04:45</t>
  </si>
  <si>
    <t>05/04/2023 05:00</t>
  </si>
  <si>
    <t>05/04/2023 05:15</t>
  </si>
  <si>
    <t>05/04/2023 05:30</t>
  </si>
  <si>
    <t>05/04/2023 05:45</t>
  </si>
  <si>
    <t>05/04/2023 06:00</t>
  </si>
  <si>
    <t>05/04/2023 06:15</t>
  </si>
  <si>
    <t>05/04/2023 06:30</t>
  </si>
  <si>
    <t>05/04/2023 06:45</t>
  </si>
  <si>
    <t>05/04/2023 07:00</t>
  </si>
  <si>
    <t>05/04/2023 07:15</t>
  </si>
  <si>
    <t>05/04/2023 07:30</t>
  </si>
  <si>
    <t>05/04/2023 07:45</t>
  </si>
  <si>
    <t>05/04/2023 08:00</t>
  </si>
  <si>
    <t>05/04/2023 08:15</t>
  </si>
  <si>
    <t>05/04/2023 08:30</t>
  </si>
  <si>
    <t>05/04/2023 08:45</t>
  </si>
  <si>
    <t>05/04/2023 09:00</t>
  </si>
  <si>
    <t>05/04/2023 09:15</t>
  </si>
  <si>
    <t>05/04/2023 09:30</t>
  </si>
  <si>
    <t>05/04/2023 09:45</t>
  </si>
  <si>
    <t>05/04/2023 10:00</t>
  </si>
  <si>
    <t>05/04/2023 10:15</t>
  </si>
  <si>
    <t>05/04/2023 10:30</t>
  </si>
  <si>
    <t>05/04/2023 10:45</t>
  </si>
  <si>
    <t>05/04/2023 11:00</t>
  </si>
  <si>
    <t>05/04/2023 11:15</t>
  </si>
  <si>
    <t>05/04/2023 11:30</t>
  </si>
  <si>
    <t>05/04/2023 11:45</t>
  </si>
  <si>
    <t>05/04/2023 12:00</t>
  </si>
  <si>
    <t>05/04/2023 12:15</t>
  </si>
  <si>
    <t>05/04/2023 12:30</t>
  </si>
  <si>
    <t>05/04/2023 12:45</t>
  </si>
  <si>
    <t>05/04/2023 13:00</t>
  </si>
  <si>
    <t>05/04/2023 13:15</t>
  </si>
  <si>
    <t>05/04/2023 13:30</t>
  </si>
  <si>
    <t>05/04/2023 13:45</t>
  </si>
  <si>
    <t>05/04/2023 14:00</t>
  </si>
  <si>
    <t>05/04/2023 14:15</t>
  </si>
  <si>
    <t>05/04/2023 14:30</t>
  </si>
  <si>
    <t>05/04/2023 14:45</t>
  </si>
  <si>
    <t>05/04/2023 15:00</t>
  </si>
  <si>
    <t>05/04/2023 15:15</t>
  </si>
  <si>
    <t>05/04/2023 15:30</t>
  </si>
  <si>
    <t>05/04/2023 15:45</t>
  </si>
  <si>
    <t>05/04/2023 16:00</t>
  </si>
  <si>
    <t>05/04/2023 16:15</t>
  </si>
  <si>
    <t>05/04/2023 16:30</t>
  </si>
  <si>
    <t>05/04/2023 16:45</t>
  </si>
  <si>
    <t>05/04/2023 17:00</t>
  </si>
  <si>
    <t>05/04/2023 17:15</t>
  </si>
  <si>
    <t>05/04/2023 17:30</t>
  </si>
  <si>
    <t>05/04/2023 17:45</t>
  </si>
  <si>
    <t>05/04/2023 18:00</t>
  </si>
  <si>
    <t>05/04/2023 18:15</t>
  </si>
  <si>
    <t>05/04/2023 18:30</t>
  </si>
  <si>
    <t>05/04/2023 18:45</t>
  </si>
  <si>
    <t>05/04/2023 19:00</t>
  </si>
  <si>
    <t>05/04/2023 19:15</t>
  </si>
  <si>
    <t>05/04/2023 19:30</t>
  </si>
  <si>
    <t>05/04/2023 19:45</t>
  </si>
  <si>
    <t>05/04/2023 20:00</t>
  </si>
  <si>
    <t>05/04/2023 20:15</t>
  </si>
  <si>
    <t>05/04/2023 20:30</t>
  </si>
  <si>
    <t>05/04/2023 20:45</t>
  </si>
  <si>
    <t>05/04/2023 21:00</t>
  </si>
  <si>
    <t>05/04/2023 21:15</t>
  </si>
  <si>
    <t>05/04/2023 21:30</t>
  </si>
  <si>
    <t>05/04/2023 21:45</t>
  </si>
  <si>
    <t>05/04/2023 22:00</t>
  </si>
  <si>
    <t>05/04/2023 22:15</t>
  </si>
  <si>
    <t>05/04/2023 22:30</t>
  </si>
  <si>
    <t>05/04/2023 22:45</t>
  </si>
  <si>
    <t>05/04/2023 23:00</t>
  </si>
  <si>
    <t>05/04/2023 23:15</t>
  </si>
  <si>
    <t>05/04/2023 23:30</t>
  </si>
  <si>
    <t>05/04/2023 23:45</t>
  </si>
  <si>
    <t>05/04/2023 24:00</t>
  </si>
  <si>
    <t>06/04/2023 00:15</t>
  </si>
  <si>
    <t>06/04/2023 00:30</t>
  </si>
  <si>
    <t>06/04/2023 00:45</t>
  </si>
  <si>
    <t>06/04/2023 01:00</t>
  </si>
  <si>
    <t>06/04/2023 01:15</t>
  </si>
  <si>
    <t>06/04/2023 01:30</t>
  </si>
  <si>
    <t>06/04/2023 01:45</t>
  </si>
  <si>
    <t>06/04/2023 02:00</t>
  </si>
  <si>
    <t>06/04/2023 02:15</t>
  </si>
  <si>
    <t>06/04/2023 02:30</t>
  </si>
  <si>
    <t>06/04/2023 02:45</t>
  </si>
  <si>
    <t>06/04/2023 03:00</t>
  </si>
  <si>
    <t>06/04/2023 03:15</t>
  </si>
  <si>
    <t>06/04/2023 03:30</t>
  </si>
  <si>
    <t>06/04/2023 03:45</t>
  </si>
  <si>
    <t>06/04/2023 04:00</t>
  </si>
  <si>
    <t>06/04/2023 04:15</t>
  </si>
  <si>
    <t>06/04/2023 04:30</t>
  </si>
  <si>
    <t>06/04/2023 04:45</t>
  </si>
  <si>
    <t>06/04/2023 05:00</t>
  </si>
  <si>
    <t>06/04/2023 05:15</t>
  </si>
  <si>
    <t>06/04/2023 05:30</t>
  </si>
  <si>
    <t>06/04/2023 05:45</t>
  </si>
  <si>
    <t>06/04/2023 06:00</t>
  </si>
  <si>
    <t>06/04/2023 06:15</t>
  </si>
  <si>
    <t>06/04/2023 06:30</t>
  </si>
  <si>
    <t>06/04/2023 06:45</t>
  </si>
  <si>
    <t>06/04/2023 07:00</t>
  </si>
  <si>
    <t>06/04/2023 07:15</t>
  </si>
  <si>
    <t>06/04/2023 07:30</t>
  </si>
  <si>
    <t>06/04/2023 07:45</t>
  </si>
  <si>
    <t>06/04/2023 08:00</t>
  </si>
  <si>
    <t>06/04/2023 08:15</t>
  </si>
  <si>
    <t>06/04/2023 08:30</t>
  </si>
  <si>
    <t>06/04/2023 08:45</t>
  </si>
  <si>
    <t>06/04/2023 09:00</t>
  </si>
  <si>
    <t>06/04/2023 09:15</t>
  </si>
  <si>
    <t>06/04/2023 09:30</t>
  </si>
  <si>
    <t>06/04/2023 09:45</t>
  </si>
  <si>
    <t>06/04/2023 10:00</t>
  </si>
  <si>
    <t>06/04/2023 10:15</t>
  </si>
  <si>
    <t>06/04/2023 10:30</t>
  </si>
  <si>
    <t>06/04/2023 10:45</t>
  </si>
  <si>
    <t>06/04/2023 11:00</t>
  </si>
  <si>
    <t>06/04/2023 11:15</t>
  </si>
  <si>
    <t>06/04/2023 11:30</t>
  </si>
  <si>
    <t>06/04/2023 11:45</t>
  </si>
  <si>
    <t>06/04/2023 12:00</t>
  </si>
  <si>
    <t>06/04/2023 12:15</t>
  </si>
  <si>
    <t>06/04/2023 12:30</t>
  </si>
  <si>
    <t>06/04/2023 12:45</t>
  </si>
  <si>
    <t>06/04/2023 13:00</t>
  </si>
  <si>
    <t>06/04/2023 13:15</t>
  </si>
  <si>
    <t>06/04/2023 13:30</t>
  </si>
  <si>
    <t>06/04/2023 13:45</t>
  </si>
  <si>
    <t>06/04/2023 14:00</t>
  </si>
  <si>
    <t>06/04/2023 14:15</t>
  </si>
  <si>
    <t>06/04/2023 14:30</t>
  </si>
  <si>
    <t>06/04/2023 14:45</t>
  </si>
  <si>
    <t>06/04/2023 15:00</t>
  </si>
  <si>
    <t>06/04/2023 15:15</t>
  </si>
  <si>
    <t>06/04/2023 15:30</t>
  </si>
  <si>
    <t>06/04/2023 15:45</t>
  </si>
  <si>
    <t>06/04/2023 16:00</t>
  </si>
  <si>
    <t>06/04/2023 16:15</t>
  </si>
  <si>
    <t>06/04/2023 16:30</t>
  </si>
  <si>
    <t>06/04/2023 16:45</t>
  </si>
  <si>
    <t>06/04/2023 17:00</t>
  </si>
  <si>
    <t>06/04/2023 17:15</t>
  </si>
  <si>
    <t>06/04/2023 17:30</t>
  </si>
  <si>
    <t>06/04/2023 17:45</t>
  </si>
  <si>
    <t>06/04/2023 18:00</t>
  </si>
  <si>
    <t>06/04/2023 18:15</t>
  </si>
  <si>
    <t>06/04/2023 18:30</t>
  </si>
  <si>
    <t>06/04/2023 18:45</t>
  </si>
  <si>
    <t>06/04/2023 19:00</t>
  </si>
  <si>
    <t>06/04/2023 19:15</t>
  </si>
  <si>
    <t>06/04/2023 19:30</t>
  </si>
  <si>
    <t>06/04/2023 19:45</t>
  </si>
  <si>
    <t>06/04/2023 20:00</t>
  </si>
  <si>
    <t>06/04/2023 20:15</t>
  </si>
  <si>
    <t>06/04/2023 20:30</t>
  </si>
  <si>
    <t>06/04/2023 20:45</t>
  </si>
  <si>
    <t>06/04/2023 21:00</t>
  </si>
  <si>
    <t>06/04/2023 21:15</t>
  </si>
  <si>
    <t>06/04/2023 21:30</t>
  </si>
  <si>
    <t>06/04/2023 21:45</t>
  </si>
  <si>
    <t>06/04/2023 22:00</t>
  </si>
  <si>
    <t>06/04/2023 22:15</t>
  </si>
  <si>
    <t>06/04/2023 22:30</t>
  </si>
  <si>
    <t>06/04/2023 22:45</t>
  </si>
  <si>
    <t>06/04/2023 23:00</t>
  </si>
  <si>
    <t>06/04/2023 23:15</t>
  </si>
  <si>
    <t>06/04/2023 23:30</t>
  </si>
  <si>
    <t>06/04/2023 23:45</t>
  </si>
  <si>
    <t>06/04/2023 24:00</t>
  </si>
  <si>
    <t>07/04/2023 00:15</t>
  </si>
  <si>
    <t>07/04/2023 00:30</t>
  </si>
  <si>
    <t>07/04/2023 00:45</t>
  </si>
  <si>
    <t>07/04/2023 01:00</t>
  </si>
  <si>
    <t>07/04/2023 01:15</t>
  </si>
  <si>
    <t>07/04/2023 01:30</t>
  </si>
  <si>
    <t>07/04/2023 01:45</t>
  </si>
  <si>
    <t>07/04/2023 02:00</t>
  </si>
  <si>
    <t>07/04/2023 02:15</t>
  </si>
  <si>
    <t>07/04/2023 02:30</t>
  </si>
  <si>
    <t>07/04/2023 02:45</t>
  </si>
  <si>
    <t>07/04/2023 03:00</t>
  </si>
  <si>
    <t>07/04/2023 03:15</t>
  </si>
  <si>
    <t>07/04/2023 03:30</t>
  </si>
  <si>
    <t>07/04/2023 03:45</t>
  </si>
  <si>
    <t>07/04/2023 04:00</t>
  </si>
  <si>
    <t>07/04/2023 04:15</t>
  </si>
  <si>
    <t>07/04/2023 04:30</t>
  </si>
  <si>
    <t>07/04/2023 04:45</t>
  </si>
  <si>
    <t>07/04/2023 05:00</t>
  </si>
  <si>
    <t>07/04/2023 05:15</t>
  </si>
  <si>
    <t>07/04/2023 05:30</t>
  </si>
  <si>
    <t>07/04/2023 05:45</t>
  </si>
  <si>
    <t>07/04/2023 06:00</t>
  </si>
  <si>
    <t>07/04/2023 06:15</t>
  </si>
  <si>
    <t>07/04/2023 06:30</t>
  </si>
  <si>
    <t>07/04/2023 06:45</t>
  </si>
  <si>
    <t>07/04/2023 07:00</t>
  </si>
  <si>
    <t>07/04/2023 07:15</t>
  </si>
  <si>
    <t>07/04/2023 07:30</t>
  </si>
  <si>
    <t>07/04/2023 07:45</t>
  </si>
  <si>
    <t>07/04/2023 08:00</t>
  </si>
  <si>
    <t>07/04/2023 08:15</t>
  </si>
  <si>
    <t>07/04/2023 08:30</t>
  </si>
  <si>
    <t>07/04/2023 08:45</t>
  </si>
  <si>
    <t>07/04/2023 09:00</t>
  </si>
  <si>
    <t>07/04/2023 09:15</t>
  </si>
  <si>
    <t>07/04/2023 09:30</t>
  </si>
  <si>
    <t>07/04/2023 09:45</t>
  </si>
  <si>
    <t>07/04/2023 10:00</t>
  </si>
  <si>
    <t>07/04/2023 10:15</t>
  </si>
  <si>
    <t>07/04/2023 10:30</t>
  </si>
  <si>
    <t>07/04/2023 10:45</t>
  </si>
  <si>
    <t>07/04/2023 11:00</t>
  </si>
  <si>
    <t>07/04/2023 11:15</t>
  </si>
  <si>
    <t>07/04/2023 11:30</t>
  </si>
  <si>
    <t>07/04/2023 11:45</t>
  </si>
  <si>
    <t>07/04/2023 12:00</t>
  </si>
  <si>
    <t>07/04/2023 12:15</t>
  </si>
  <si>
    <t>07/04/2023 12:30</t>
  </si>
  <si>
    <t>07/04/2023 12:45</t>
  </si>
  <si>
    <t>07/04/2023 13:00</t>
  </si>
  <si>
    <t>07/04/2023 13:15</t>
  </si>
  <si>
    <t>07/04/2023 13:30</t>
  </si>
  <si>
    <t>07/04/2023 13:45</t>
  </si>
  <si>
    <t>07/04/2023 14:00</t>
  </si>
  <si>
    <t>07/04/2023 14:15</t>
  </si>
  <si>
    <t>07/04/2023 14:30</t>
  </si>
  <si>
    <t>07/04/2023 14:45</t>
  </si>
  <si>
    <t>07/04/2023 15:00</t>
  </si>
  <si>
    <t>07/04/2023 15:15</t>
  </si>
  <si>
    <t>07/04/2023 15:30</t>
  </si>
  <si>
    <t>07/04/2023 15:45</t>
  </si>
  <si>
    <t>07/04/2023 16:00</t>
  </si>
  <si>
    <t>07/04/2023 16:15</t>
  </si>
  <si>
    <t>07/04/2023 16:30</t>
  </si>
  <si>
    <t>07/04/2023 16:45</t>
  </si>
  <si>
    <t>07/04/2023 17:00</t>
  </si>
  <si>
    <t>07/04/2023 17:15</t>
  </si>
  <si>
    <t>07/04/2023 17:30</t>
  </si>
  <si>
    <t>07/04/2023 17:45</t>
  </si>
  <si>
    <t>07/04/2023 18:00</t>
  </si>
  <si>
    <t>07/04/2023 18:15</t>
  </si>
  <si>
    <t>07/04/2023 18:30</t>
  </si>
  <si>
    <t>07/04/2023 18:45</t>
  </si>
  <si>
    <t>07/04/2023 19:00</t>
  </si>
  <si>
    <t>07/04/2023 19:15</t>
  </si>
  <si>
    <t>07/04/2023 19:30</t>
  </si>
  <si>
    <t>07/04/2023 19:45</t>
  </si>
  <si>
    <t>07/04/2023 20:00</t>
  </si>
  <si>
    <t>07/04/2023 20:15</t>
  </si>
  <si>
    <t>07/04/2023 20:30</t>
  </si>
  <si>
    <t>07/04/2023 20:45</t>
  </si>
  <si>
    <t>07/04/2023 21:00</t>
  </si>
  <si>
    <t>07/04/2023 21:15</t>
  </si>
  <si>
    <t>07/04/2023 21:30</t>
  </si>
  <si>
    <t>07/04/2023 21:45</t>
  </si>
  <si>
    <t>07/04/2023 22:00</t>
  </si>
  <si>
    <t>07/04/2023 22:15</t>
  </si>
  <si>
    <t>07/04/2023 22:30</t>
  </si>
  <si>
    <t>07/04/2023 22:45</t>
  </si>
  <si>
    <t>07/04/2023 23:00</t>
  </si>
  <si>
    <t>07/04/2023 23:15</t>
  </si>
  <si>
    <t>07/04/2023 23:30</t>
  </si>
  <si>
    <t>07/04/2023 23:45</t>
  </si>
  <si>
    <t>07/04/2023 24:00</t>
  </si>
  <si>
    <t>08/04/2023 00:15</t>
  </si>
  <si>
    <t>08/04/2023 00:30</t>
  </si>
  <si>
    <t>08/04/2023 00:45</t>
  </si>
  <si>
    <t>08/04/2023 01:15</t>
  </si>
  <si>
    <t>08/04/2023 01:30</t>
  </si>
  <si>
    <t>08/04/2023 01:45</t>
  </si>
  <si>
    <t>08/04/2023 02:00</t>
  </si>
  <si>
    <t>08/04/2023 02:15</t>
  </si>
  <si>
    <t>08/04/2023 02:30</t>
  </si>
  <si>
    <t>08/04/2023 02:45</t>
  </si>
  <si>
    <t>08/04/2023 03:00</t>
  </si>
  <si>
    <t>08/04/2023 03:15</t>
  </si>
  <si>
    <t>08/04/2023 03:30</t>
  </si>
  <si>
    <t>08/04/2023 03:45</t>
  </si>
  <si>
    <t>08/04/2023 04:00</t>
  </si>
  <si>
    <t>08/04/2023 04:15</t>
  </si>
  <si>
    <t>08/04/2023 04:30</t>
  </si>
  <si>
    <t>08/04/2023 04:45</t>
  </si>
  <si>
    <t>08/04/2023 05:00</t>
  </si>
  <si>
    <t>08/04/2023 05:15</t>
  </si>
  <si>
    <t>08/04/2023 05:30</t>
  </si>
  <si>
    <t>08/04/2023 05:45</t>
  </si>
  <si>
    <t>08/04/2023 06:00</t>
  </si>
  <si>
    <t>08/04/2023 06:15</t>
  </si>
  <si>
    <t>08/04/2023 06:30</t>
  </si>
  <si>
    <t>08/04/2023 06:45</t>
  </si>
  <si>
    <t>08/04/2023 07:00</t>
  </si>
  <si>
    <t>08/04/2023 07:15</t>
  </si>
  <si>
    <t>08/04/2023 07:30</t>
  </si>
  <si>
    <t>08/04/2023 07:45</t>
  </si>
  <si>
    <t>08/04/2023 08:00</t>
  </si>
  <si>
    <t>08/04/2023 08:15</t>
  </si>
  <si>
    <t>08/04/2023 08:30</t>
  </si>
  <si>
    <t>08/04/2023 08:45</t>
  </si>
  <si>
    <t>08/04/2023 09:00</t>
  </si>
  <si>
    <t>08/04/2023 09:15</t>
  </si>
  <si>
    <t>08/04/2023 09:30</t>
  </si>
  <si>
    <t>08/04/2023 09:45</t>
  </si>
  <si>
    <t>08/04/2023 10:00</t>
  </si>
  <si>
    <t>08/04/2023 10:15</t>
  </si>
  <si>
    <t>08/04/2023 10:30</t>
  </si>
  <si>
    <t>08/04/2023 10:45</t>
  </si>
  <si>
    <t>08/04/2023 11:00</t>
  </si>
  <si>
    <t>08/04/2023 11:15</t>
  </si>
  <si>
    <t>08/04/2023 11:30</t>
  </si>
  <si>
    <t>08/04/2023 11:45</t>
  </si>
  <si>
    <t>08/04/2023 12:00</t>
  </si>
  <si>
    <t>08/04/2023 12:15</t>
  </si>
  <si>
    <t>08/04/2023 12:30</t>
  </si>
  <si>
    <t>08/04/2023 12:45</t>
  </si>
  <si>
    <t>08/04/2023 13:00</t>
  </si>
  <si>
    <t>08/04/2023 13:15</t>
  </si>
  <si>
    <t>08/04/2023 13:30</t>
  </si>
  <si>
    <t>08/04/2023 13:45</t>
  </si>
  <si>
    <t>08/04/2023 14:00</t>
  </si>
  <si>
    <t>08/04/2023 14:15</t>
  </si>
  <si>
    <t>08/04/2023 14:30</t>
  </si>
  <si>
    <t>08/04/2023 14:45</t>
  </si>
  <si>
    <t>08/04/2023 15:00</t>
  </si>
  <si>
    <t>08/04/2023 15:15</t>
  </si>
  <si>
    <t>08/04/2023 15:30</t>
  </si>
  <si>
    <t>08/04/2023 15:45</t>
  </si>
  <si>
    <t>08/04/2023 16:00</t>
  </si>
  <si>
    <t>08/04/2023 16:15</t>
  </si>
  <si>
    <t>08/04/2023 16:30</t>
  </si>
  <si>
    <t>08/04/2023 16:45</t>
  </si>
  <si>
    <t>08/04/2023 17:00</t>
  </si>
  <si>
    <t>08/04/2023 17:15</t>
  </si>
  <si>
    <t>08/04/2023 17:30</t>
  </si>
  <si>
    <t>08/04/2023 17:45</t>
  </si>
  <si>
    <t>08/04/2023 18:00</t>
  </si>
  <si>
    <t>08/04/2023 18:15</t>
  </si>
  <si>
    <t>08/04/2023 18:30</t>
  </si>
  <si>
    <t>08/04/2023 18:45</t>
  </si>
  <si>
    <t>08/04/2023 19:00</t>
  </si>
  <si>
    <t>08/04/2023 19:15</t>
  </si>
  <si>
    <t>08/04/2023 19:30</t>
  </si>
  <si>
    <t>08/04/2023 19:45</t>
  </si>
  <si>
    <t>08/04/2023 20:00</t>
  </si>
  <si>
    <t>08/04/2023 20:15</t>
  </si>
  <si>
    <t>08/04/2023 20:30</t>
  </si>
  <si>
    <t>08/04/2023 20:45</t>
  </si>
  <si>
    <t>08/04/2023 21:00</t>
  </si>
  <si>
    <t>08/04/2023 21:15</t>
  </si>
  <si>
    <t>08/04/2023 21:30</t>
  </si>
  <si>
    <t>08/04/2023 21:45</t>
  </si>
  <si>
    <t>08/04/2023 22:00</t>
  </si>
  <si>
    <t>08/04/2023 22:15</t>
  </si>
  <si>
    <t>08/04/2023 22:30</t>
  </si>
  <si>
    <t>08/04/2023 22:45</t>
  </si>
  <si>
    <t>08/04/2023 23:00</t>
  </si>
  <si>
    <t>08/04/2023 23:15</t>
  </si>
  <si>
    <t>08/04/2023 23:30</t>
  </si>
  <si>
    <t>08/04/2023 23:45</t>
  </si>
  <si>
    <t>08/04/2023 24:00</t>
  </si>
  <si>
    <t>09/04/2023 00:15</t>
  </si>
  <si>
    <t>09/04/2023 00:30</t>
  </si>
  <si>
    <t>09/04/2023 00:45</t>
  </si>
  <si>
    <t>09/04/2023 01:00</t>
  </si>
  <si>
    <t>09/04/2023 01:15</t>
  </si>
  <si>
    <t>09/04/2023 01:30</t>
  </si>
  <si>
    <t>09/04/2023 01:45</t>
  </si>
  <si>
    <t>09/04/2023 02:00</t>
  </si>
  <si>
    <t>09/04/2023 02:15</t>
  </si>
  <si>
    <t>09/04/2023 02:30</t>
  </si>
  <si>
    <t>09/04/2023 02:45</t>
  </si>
  <si>
    <t>09/04/2023 03:00</t>
  </si>
  <si>
    <t>09/04/2023 03:15</t>
  </si>
  <si>
    <t>09/04/2023 03:30</t>
  </si>
  <si>
    <t>09/04/2023 03:45</t>
  </si>
  <si>
    <t>09/04/2023 04:00</t>
  </si>
  <si>
    <t>09/04/2023 04:15</t>
  </si>
  <si>
    <t>09/04/2023 04:30</t>
  </si>
  <si>
    <t>09/04/2023 04:45</t>
  </si>
  <si>
    <t>09/04/2023 05:00</t>
  </si>
  <si>
    <t>09/04/2023 05:15</t>
  </si>
  <si>
    <t>09/04/2023 05:30</t>
  </si>
  <si>
    <t>09/04/2023 05:45</t>
  </si>
  <si>
    <t>09/04/2023 06:00</t>
  </si>
  <si>
    <t>09/04/2023 06:15</t>
  </si>
  <si>
    <t>09/04/2023 06:30</t>
  </si>
  <si>
    <t>09/04/2023 06:45</t>
  </si>
  <si>
    <t>09/04/2023 07:00</t>
  </si>
  <si>
    <t>09/04/2023 07:15</t>
  </si>
  <si>
    <t>09/04/2023 07:30</t>
  </si>
  <si>
    <t>09/04/2023 07:45</t>
  </si>
  <si>
    <t>09/04/2023 08:00</t>
  </si>
  <si>
    <t>09/04/2023 08:15</t>
  </si>
  <si>
    <t>09/04/2023 08:30</t>
  </si>
  <si>
    <t>09/04/2023 08:45</t>
  </si>
  <si>
    <t>09/04/2023 09:00</t>
  </si>
  <si>
    <t>09/04/2023 09:15</t>
  </si>
  <si>
    <t>09/04/2023 09:30</t>
  </si>
  <si>
    <t>09/04/2023 09:45</t>
  </si>
  <si>
    <t>09/04/2023 10:00</t>
  </si>
  <si>
    <t>09/04/2023 10:15</t>
  </si>
  <si>
    <t>09/04/2023 10:30</t>
  </si>
  <si>
    <t>09/04/2023 10:45</t>
  </si>
  <si>
    <t>09/04/2023 11:00</t>
  </si>
  <si>
    <t>09/04/2023 11:15</t>
  </si>
  <si>
    <t>09/04/2023 11:30</t>
  </si>
  <si>
    <t>09/04/2023 11:45</t>
  </si>
  <si>
    <t>09/04/2023 12:00</t>
  </si>
  <si>
    <t>09/04/2023 12:15</t>
  </si>
  <si>
    <t>09/04/2023 12:30</t>
  </si>
  <si>
    <t>09/04/2023 12:45</t>
  </si>
  <si>
    <t>09/04/2023 13:00</t>
  </si>
  <si>
    <t>09/04/2023 13:15</t>
  </si>
  <si>
    <t>09/04/2023 13:30</t>
  </si>
  <si>
    <t>09/04/2023 13:45</t>
  </si>
  <si>
    <t>09/04/2023 14:00</t>
  </si>
  <si>
    <t>09/04/2023 14:15</t>
  </si>
  <si>
    <t>09/04/2023 14:30</t>
  </si>
  <si>
    <t>09/04/2023 14:45</t>
  </si>
  <si>
    <t>09/04/2023 15:00</t>
  </si>
  <si>
    <t>09/04/2023 15:15</t>
  </si>
  <si>
    <t>09/04/2023 15:30</t>
  </si>
  <si>
    <t>09/04/2023 15:45</t>
  </si>
  <si>
    <t>09/04/2023 16:00</t>
  </si>
  <si>
    <t>09/04/2023 16:15</t>
  </si>
  <si>
    <t>09/04/2023 16:30</t>
  </si>
  <si>
    <t>09/04/2023 16:45</t>
  </si>
  <si>
    <t>09/04/2023 17:00</t>
  </si>
  <si>
    <t>09/04/2023 17:15</t>
  </si>
  <si>
    <t>09/04/2023 17:30</t>
  </si>
  <si>
    <t>09/04/2023 17:45</t>
  </si>
  <si>
    <t>09/04/2023 18:00</t>
  </si>
  <si>
    <t>09/04/2023 18:15</t>
  </si>
  <si>
    <t>09/04/2023 18:30</t>
  </si>
  <si>
    <t>09/04/2023 18:45</t>
  </si>
  <si>
    <t>09/04/2023 19:00</t>
  </si>
  <si>
    <t>09/04/2023 19:15</t>
  </si>
  <si>
    <t>09/04/2023 19:30</t>
  </si>
  <si>
    <t>09/04/2023 19:45</t>
  </si>
  <si>
    <t>09/04/2023 20:00</t>
  </si>
  <si>
    <t>09/04/2023 20:15</t>
  </si>
  <si>
    <t>09/04/2023 20:30</t>
  </si>
  <si>
    <t>09/04/2023 20:45</t>
  </si>
  <si>
    <t>09/04/2023 21:00</t>
  </si>
  <si>
    <t>09/04/2023 21:15</t>
  </si>
  <si>
    <t>09/04/2023 21:30</t>
  </si>
  <si>
    <t>09/04/2023 21:45</t>
  </si>
  <si>
    <t>09/04/2023 22:00</t>
  </si>
  <si>
    <t>09/04/2023 22:15</t>
  </si>
  <si>
    <t>09/04/2023 22:30</t>
  </si>
  <si>
    <t>09/04/2023 22:45</t>
  </si>
  <si>
    <t>09/04/2023 23:00</t>
  </si>
  <si>
    <t>09/04/2023 23:15</t>
  </si>
  <si>
    <t>09/04/2023 23:30</t>
  </si>
  <si>
    <t>09/04/2023 23:45</t>
  </si>
  <si>
    <t>09/04/2023 24:00</t>
  </si>
  <si>
    <t>10/04/2023 00:15</t>
  </si>
  <si>
    <t>10/04/2023 00:30</t>
  </si>
  <si>
    <t>10/04/2023 00:45</t>
  </si>
  <si>
    <t>10/04/2023 01:00</t>
  </si>
  <si>
    <t>10/04/2023 01:15</t>
  </si>
  <si>
    <t>10/04/2023 01:30</t>
  </si>
  <si>
    <t>10/04/2023 01:45</t>
  </si>
  <si>
    <t>10/04/2023 02:00</t>
  </si>
  <si>
    <t>10/04/2023 02:15</t>
  </si>
  <si>
    <t>10/04/2023 02:30</t>
  </si>
  <si>
    <t>10/04/2023 02:45</t>
  </si>
  <si>
    <t>10/04/2023 03:00</t>
  </si>
  <si>
    <t>10/04/2023 03:15</t>
  </si>
  <si>
    <t>10/04/2023 03:30</t>
  </si>
  <si>
    <t>10/04/2023 03:45</t>
  </si>
  <si>
    <t>10/04/2023 04:00</t>
  </si>
  <si>
    <t>10/04/2023 04:15</t>
  </si>
  <si>
    <t>10/04/2023 04:30</t>
  </si>
  <si>
    <t>10/04/2023 04:45</t>
  </si>
  <si>
    <t>10/04/2023 05:00</t>
  </si>
  <si>
    <t>10/04/2023 05:15</t>
  </si>
  <si>
    <t>10/04/2023 05:30</t>
  </si>
  <si>
    <t>10/04/2023 05:45</t>
  </si>
  <si>
    <t>10/04/2023 06:00</t>
  </si>
  <si>
    <t>10/04/2023 06:15</t>
  </si>
  <si>
    <t>10/04/2023 06:30</t>
  </si>
  <si>
    <t>10/04/2023 06:45</t>
  </si>
  <si>
    <t>10/04/2023 07:00</t>
  </si>
  <si>
    <t>10/04/2023 07:15</t>
  </si>
  <si>
    <t>10/04/2023 07:30</t>
  </si>
  <si>
    <t>10/04/2023 07:45</t>
  </si>
  <si>
    <t>10/04/2023 08:00</t>
  </si>
  <si>
    <t>10/04/2023 08:15</t>
  </si>
  <si>
    <t>10/04/2023 08:30</t>
  </si>
  <si>
    <t>10/04/2023 08:45</t>
  </si>
  <si>
    <t>10/04/2023 09:00</t>
  </si>
  <si>
    <t>10/04/2023 09:15</t>
  </si>
  <si>
    <t>10/04/2023 09:30</t>
  </si>
  <si>
    <t>10/04/2023 09:45</t>
  </si>
  <si>
    <t>10/04/2023 10:00</t>
  </si>
  <si>
    <t>10/04/2023 10:15</t>
  </si>
  <si>
    <t>10/04/2023 10:30</t>
  </si>
  <si>
    <t>10/04/2023 10:45</t>
  </si>
  <si>
    <t>10/04/2023 11:00</t>
  </si>
  <si>
    <t>10/04/2023 11:15</t>
  </si>
  <si>
    <t>10/04/2023 11:30</t>
  </si>
  <si>
    <t>10/04/2023 11:45</t>
  </si>
  <si>
    <t>10/04/2023 12:00</t>
  </si>
  <si>
    <t>10/04/2023 12:15</t>
  </si>
  <si>
    <t>10/04/2023 12:30</t>
  </si>
  <si>
    <t>10/04/2023 12:45</t>
  </si>
  <si>
    <t>10/04/2023 13:00</t>
  </si>
  <si>
    <t>10/04/2023 13:15</t>
  </si>
  <si>
    <t>10/04/2023 13:30</t>
  </si>
  <si>
    <t>10/04/2023 13:45</t>
  </si>
  <si>
    <t>10/04/2023 14:00</t>
  </si>
  <si>
    <t>10/04/2023 14:15</t>
  </si>
  <si>
    <t>10/04/2023 14:30</t>
  </si>
  <si>
    <t>10/04/2023 14:45</t>
  </si>
  <si>
    <t>10/04/2023 15:00</t>
  </si>
  <si>
    <t>10/04/2023 15:15</t>
  </si>
  <si>
    <t>10/04/2023 15:30</t>
  </si>
  <si>
    <t>10/04/2023 15:45</t>
  </si>
  <si>
    <t>10/04/2023 16:00</t>
  </si>
  <si>
    <t>10/04/2023 16:15</t>
  </si>
  <si>
    <t>10/04/2023 16:30</t>
  </si>
  <si>
    <t>10/04/2023 16:45</t>
  </si>
  <si>
    <t>10/04/2023 17:00</t>
  </si>
  <si>
    <t>10/04/2023 17:15</t>
  </si>
  <si>
    <t>10/04/2023 17:30</t>
  </si>
  <si>
    <t>10/04/2023 17:45</t>
  </si>
  <si>
    <t>10/04/2023 18:00</t>
  </si>
  <si>
    <t>10/04/2023 18:15</t>
  </si>
  <si>
    <t>10/04/2023 18:30</t>
  </si>
  <si>
    <t>10/04/2023 18:45</t>
  </si>
  <si>
    <t>10/04/2023 19:00</t>
  </si>
  <si>
    <t>10/04/2023 19:15</t>
  </si>
  <si>
    <t>10/04/2023 19:30</t>
  </si>
  <si>
    <t>10/04/2023 19:45</t>
  </si>
  <si>
    <t>10/04/2023 20:00</t>
  </si>
  <si>
    <t>10/04/2023 20:15</t>
  </si>
  <si>
    <t>10/04/2023 20:30</t>
  </si>
  <si>
    <t>10/04/2023 20:45</t>
  </si>
  <si>
    <t>10/04/2023 21:00</t>
  </si>
  <si>
    <t>10/04/2023 21:15</t>
  </si>
  <si>
    <t>10/04/2023 21:30</t>
  </si>
  <si>
    <t>10/04/2023 21:45</t>
  </si>
  <si>
    <t>10/04/2023 22:00</t>
  </si>
  <si>
    <t>10/04/2023 22:15</t>
  </si>
  <si>
    <t>10/04/2023 22:30</t>
  </si>
  <si>
    <t>10/04/2023 22:45</t>
  </si>
  <si>
    <t>10/04/2023 23:00</t>
  </si>
  <si>
    <t>10/04/2023 23:15</t>
  </si>
  <si>
    <t>10/04/2023 23:30</t>
  </si>
  <si>
    <t>10/04/2023 23:45</t>
  </si>
  <si>
    <t>10/04/2023 24:00</t>
  </si>
  <si>
    <t>11/04/2023 00:15</t>
  </si>
  <si>
    <t>11/04/2023 00:30</t>
  </si>
  <si>
    <t>11/04/2023 00:45</t>
  </si>
  <si>
    <t>11/04/2023 01:00</t>
  </si>
  <si>
    <t>11/04/2023 01:15</t>
  </si>
  <si>
    <t>11/04/2023 01:30</t>
  </si>
  <si>
    <t>11/04/2023 01:45</t>
  </si>
  <si>
    <t>11/04/2023 02:00</t>
  </si>
  <si>
    <t>11/04/2023 02:15</t>
  </si>
  <si>
    <t>11/04/2023 02:30</t>
  </si>
  <si>
    <t>11/04/2023 02:45</t>
  </si>
  <si>
    <t>11/04/2023 03:00</t>
  </si>
  <si>
    <t>11/04/2023 03:15</t>
  </si>
  <si>
    <t>11/04/2023 03:30</t>
  </si>
  <si>
    <t>11/04/2023 03:45</t>
  </si>
  <si>
    <t>11/04/2023 04:00</t>
  </si>
  <si>
    <t>11/04/2023 04:15</t>
  </si>
  <si>
    <t>11/04/2023 04:30</t>
  </si>
  <si>
    <t>11/04/2023 04:45</t>
  </si>
  <si>
    <t>11/04/2023 05:00</t>
  </si>
  <si>
    <t>11/04/2023 05:15</t>
  </si>
  <si>
    <t>11/04/2023 05:30</t>
  </si>
  <si>
    <t>11/04/2023 05:45</t>
  </si>
  <si>
    <t>11/04/2023 06:00</t>
  </si>
  <si>
    <t>11/04/2023 06:15</t>
  </si>
  <si>
    <t>11/04/2023 06:30</t>
  </si>
  <si>
    <t>11/04/2023 06:45</t>
  </si>
  <si>
    <t>11/04/2023 07:00</t>
  </si>
  <si>
    <t>11/04/2023 07:15</t>
  </si>
  <si>
    <t>11/04/2023 07:30</t>
  </si>
  <si>
    <t>11/04/2023 07:45</t>
  </si>
  <si>
    <t>11/04/2023 08:00</t>
  </si>
  <si>
    <t>11/04/2023 08:15</t>
  </si>
  <si>
    <t>11/04/2023 08:30</t>
  </si>
  <si>
    <t>11/04/2023 08:45</t>
  </si>
  <si>
    <t>11/04/2023 09:00</t>
  </si>
  <si>
    <t>11/04/2023 09:15</t>
  </si>
  <si>
    <t>11/04/2023 09:30</t>
  </si>
  <si>
    <t>11/04/2023 09:45</t>
  </si>
  <si>
    <t>11/04/2023 10:00</t>
  </si>
  <si>
    <t>11/04/2023 10:15</t>
  </si>
  <si>
    <t>11/04/2023 10:30</t>
  </si>
  <si>
    <t>11/04/2023 10:45</t>
  </si>
  <si>
    <t>11/04/2023 11:00</t>
  </si>
  <si>
    <t>11/04/2023 11:15</t>
  </si>
  <si>
    <t>11/04/2023 11:30</t>
  </si>
  <si>
    <t>11/04/2023 11:45</t>
  </si>
  <si>
    <t>11/04/2023 12:00</t>
  </si>
  <si>
    <t>11/04/2023 12:15</t>
  </si>
  <si>
    <t>11/04/2023 12:30</t>
  </si>
  <si>
    <t>11/04/2023 12:45</t>
  </si>
  <si>
    <t>11/04/2023 13:00</t>
  </si>
  <si>
    <t>11/04/2023 13:15</t>
  </si>
  <si>
    <t>11/04/2023 13:30</t>
  </si>
  <si>
    <t>11/04/2023 13:45</t>
  </si>
  <si>
    <t>11/04/2023 14:00</t>
  </si>
  <si>
    <t>11/04/2023 14:15</t>
  </si>
  <si>
    <t>11/04/2023 14:30</t>
  </si>
  <si>
    <t>11/04/2023 14:45</t>
  </si>
  <si>
    <t>11/04/2023 15:00</t>
  </si>
  <si>
    <t>11/04/2023 15:15</t>
  </si>
  <si>
    <t>11/04/2023 15:30</t>
  </si>
  <si>
    <t>11/04/2023 15:45</t>
  </si>
  <si>
    <t>11/04/2023 16:00</t>
  </si>
  <si>
    <t>11/04/2023 16:15</t>
  </si>
  <si>
    <t>11/04/2023 16:30</t>
  </si>
  <si>
    <t>11/04/2023 16:45</t>
  </si>
  <si>
    <t>11/04/2023 17:00</t>
  </si>
  <si>
    <t>11/04/2023 17:15</t>
  </si>
  <si>
    <t>11/04/2023 17:30</t>
  </si>
  <si>
    <t>11/04/2023 17:45</t>
  </si>
  <si>
    <t>11/04/2023 18:00</t>
  </si>
  <si>
    <t>11/04/2023 18:15</t>
  </si>
  <si>
    <t>11/04/2023 18:30</t>
  </si>
  <si>
    <t>11/04/2023 18:45</t>
  </si>
  <si>
    <t>11/04/2023 19:00</t>
  </si>
  <si>
    <t>11/04/2023 19:15</t>
  </si>
  <si>
    <t>11/04/2023 19:30</t>
  </si>
  <si>
    <t>11/04/2023 19:45</t>
  </si>
  <si>
    <t>11/04/2023 20:00</t>
  </si>
  <si>
    <t>11/04/2023 20:15</t>
  </si>
  <si>
    <t>11/04/2023 20:30</t>
  </si>
  <si>
    <t>11/04/2023 20:45</t>
  </si>
  <si>
    <t>11/04/2023 21:00</t>
  </si>
  <si>
    <t>11/04/2023 21:15</t>
  </si>
  <si>
    <t>11/04/2023 21:30</t>
  </si>
  <si>
    <t>11/04/2023 21:45</t>
  </si>
  <si>
    <t>11/04/2023 22:00</t>
  </si>
  <si>
    <t>11/04/2023 22:15</t>
  </si>
  <si>
    <t>11/04/2023 22:30</t>
  </si>
  <si>
    <t>11/04/2023 22:45</t>
  </si>
  <si>
    <t>11/04/2023 23:00</t>
  </si>
  <si>
    <t>11/04/2023 23:15</t>
  </si>
  <si>
    <t>11/04/2023 23:30</t>
  </si>
  <si>
    <t>11/04/2023 23:45</t>
  </si>
  <si>
    <t>11/04/2023 24:00</t>
  </si>
  <si>
    <t>12/04/2023 00:15</t>
  </si>
  <si>
    <t>12/04/2023 00:30</t>
  </si>
  <si>
    <t>12/04/2023 00:45</t>
  </si>
  <si>
    <t>12/04/2023 01:00</t>
  </si>
  <si>
    <t>12/04/2023 01:15</t>
  </si>
  <si>
    <t>12/04/2023 01:30</t>
  </si>
  <si>
    <t>12/04/2023 01:45</t>
  </si>
  <si>
    <t>12/04/2023 02:00</t>
  </si>
  <si>
    <t>12/04/2023 02:15</t>
  </si>
  <si>
    <t>12/04/2023 02:30</t>
  </si>
  <si>
    <t>12/04/2023 02:45</t>
  </si>
  <si>
    <t>12/04/2023 03:00</t>
  </si>
  <si>
    <t>12/04/2023 03:15</t>
  </si>
  <si>
    <t>12/04/2023 03:30</t>
  </si>
  <si>
    <t>12/04/2023 03:45</t>
  </si>
  <si>
    <t>12/04/2023 04:00</t>
  </si>
  <si>
    <t>12/04/2023 04:15</t>
  </si>
  <si>
    <t>12/04/2023 04:30</t>
  </si>
  <si>
    <t>12/04/2023 04:45</t>
  </si>
  <si>
    <t>12/04/2023 05:00</t>
  </si>
  <si>
    <t>12/04/2023 05:15</t>
  </si>
  <si>
    <t>12/04/2023 05:30</t>
  </si>
  <si>
    <t>12/04/2023 05:45</t>
  </si>
  <si>
    <t>12/04/2023 06:00</t>
  </si>
  <si>
    <t>12/04/2023 06:15</t>
  </si>
  <si>
    <t>12/04/2023 06:30</t>
  </si>
  <si>
    <t>12/04/2023 06:45</t>
  </si>
  <si>
    <t>12/04/2023 07:00</t>
  </si>
  <si>
    <t>12/04/2023 07:15</t>
  </si>
  <si>
    <t>12/04/2023 07:30</t>
  </si>
  <si>
    <t>12/04/2023 07:45</t>
  </si>
  <si>
    <t>12/04/2023 08:00</t>
  </si>
  <si>
    <t>12/04/2023 08:15</t>
  </si>
  <si>
    <t>12/04/2023 08:30</t>
  </si>
  <si>
    <t>12/04/2023 08:45</t>
  </si>
  <si>
    <t>12/04/2023 09:00</t>
  </si>
  <si>
    <t>12/04/2023 09:15</t>
  </si>
  <si>
    <t>12/04/2023 09:30</t>
  </si>
  <si>
    <t>12/04/2023 09:45</t>
  </si>
  <si>
    <t>12/04/2023 10:00</t>
  </si>
  <si>
    <t>12/04/2023 10:15</t>
  </si>
  <si>
    <t>12/04/2023 10:30</t>
  </si>
  <si>
    <t>12/04/2023 10:45</t>
  </si>
  <si>
    <t>12/04/2023 11:00</t>
  </si>
  <si>
    <t>12/04/2023 11:15</t>
  </si>
  <si>
    <t>12/04/2023 11:30</t>
  </si>
  <si>
    <t>12/04/2023 11:45</t>
  </si>
  <si>
    <t>12/04/2023 12:00</t>
  </si>
  <si>
    <t>12/04/2023 12:15</t>
  </si>
  <si>
    <t>12/04/2023 12:30</t>
  </si>
  <si>
    <t>12/04/2023 12:45</t>
  </si>
  <si>
    <t>12/04/2023 13:00</t>
  </si>
  <si>
    <t>12/04/2023 13:15</t>
  </si>
  <si>
    <t>12/04/2023 13:30</t>
  </si>
  <si>
    <t>12/04/2023 13:45</t>
  </si>
  <si>
    <t>12/04/2023 14:00</t>
  </si>
  <si>
    <t>12/04/2023 14:15</t>
  </si>
  <si>
    <t>12/04/2023 14:30</t>
  </si>
  <si>
    <t>12/04/2023 14:45</t>
  </si>
  <si>
    <t>12/04/2023 15:00</t>
  </si>
  <si>
    <t>12/04/2023 15:15</t>
  </si>
  <si>
    <t>12/04/2023 15:30</t>
  </si>
  <si>
    <t>12/04/2023 15:45</t>
  </si>
  <si>
    <t>12/04/2023 16:00</t>
  </si>
  <si>
    <t>12/04/2023 16:15</t>
  </si>
  <si>
    <t>12/04/2023 16:30</t>
  </si>
  <si>
    <t>12/04/2023 16:45</t>
  </si>
  <si>
    <t>12/04/2023 17:00</t>
  </si>
  <si>
    <t>12/04/2023 17:15</t>
  </si>
  <si>
    <t>12/04/2023 17:30</t>
  </si>
  <si>
    <t>12/04/2023 17:45</t>
  </si>
  <si>
    <t>12/04/2023 18:00</t>
  </si>
  <si>
    <t>12/04/2023 18:15</t>
  </si>
  <si>
    <t>12/04/2023 18:30</t>
  </si>
  <si>
    <t>12/04/2023 18:45</t>
  </si>
  <si>
    <t>12/04/2023 19:00</t>
  </si>
  <si>
    <t>12/04/2023 19:15</t>
  </si>
  <si>
    <t>12/04/2023 19:30</t>
  </si>
  <si>
    <t>12/04/2023 19:45</t>
  </si>
  <si>
    <t>12/04/2023 20:00</t>
  </si>
  <si>
    <t>12/04/2023 20:15</t>
  </si>
  <si>
    <t>12/04/2023 20:30</t>
  </si>
  <si>
    <t>12/04/2023 20:45</t>
  </si>
  <si>
    <t>12/04/2023 21:00</t>
  </si>
  <si>
    <t>12/04/2023 21:15</t>
  </si>
  <si>
    <t>12/04/2023 21:30</t>
  </si>
  <si>
    <t>12/04/2023 21:45</t>
  </si>
  <si>
    <t>12/04/2023 22:00</t>
  </si>
  <si>
    <t>12/04/2023 22:15</t>
  </si>
  <si>
    <t>12/04/2023 22:30</t>
  </si>
  <si>
    <t>12/04/2023 22:45</t>
  </si>
  <si>
    <t>12/04/2023 23:00</t>
  </si>
  <si>
    <t>12/04/2023 23:15</t>
  </si>
  <si>
    <t>12/04/2023 23:30</t>
  </si>
  <si>
    <t>12/04/2023 23:45</t>
  </si>
  <si>
    <t>12/04/2023 24:00</t>
  </si>
  <si>
    <t>13/04/2023 00:30</t>
  </si>
  <si>
    <t>13/04/2023 00:45</t>
  </si>
  <si>
    <t>13/04/2023 01:00</t>
  </si>
  <si>
    <t>13/04/2023 01:15</t>
  </si>
  <si>
    <t>13/04/2023 01:30</t>
  </si>
  <si>
    <t>13/04/2023 01:45</t>
  </si>
  <si>
    <t>13/04/2023 02:00</t>
  </si>
  <si>
    <t>13/04/2023 02:15</t>
  </si>
  <si>
    <t>13/04/2023 02:30</t>
  </si>
  <si>
    <t>13/04/2023 02:45</t>
  </si>
  <si>
    <t>13/04/2023 03:00</t>
  </si>
  <si>
    <t>13/04/2023 03:15</t>
  </si>
  <si>
    <t>13/04/2023 03:30</t>
  </si>
  <si>
    <t>13/04/2023 03:45</t>
  </si>
  <si>
    <t>13/04/2023 04:00</t>
  </si>
  <si>
    <t>13/04/2023 04:15</t>
  </si>
  <si>
    <t>13/04/2023 04:30</t>
  </si>
  <si>
    <t>13/04/2023 04:45</t>
  </si>
  <si>
    <t>13/04/2023 05:00</t>
  </si>
  <si>
    <t>13/04/2023 05:15</t>
  </si>
  <si>
    <t>13/04/2023 05:30</t>
  </si>
  <si>
    <t>13/04/2023 05:45</t>
  </si>
  <si>
    <t>13/04/2023 06:00</t>
  </si>
  <si>
    <t>13/04/2023 06:15</t>
  </si>
  <si>
    <t>13/04/2023 06:30</t>
  </si>
  <si>
    <t>13/04/2023 06:45</t>
  </si>
  <si>
    <t>13/04/2023 07:00</t>
  </si>
  <si>
    <t>13/04/2023 07:15</t>
  </si>
  <si>
    <t>13/04/2023 07:30</t>
  </si>
  <si>
    <t>13/04/2023 07:45</t>
  </si>
  <si>
    <t>13/04/2023 08:00</t>
  </si>
  <si>
    <t>13/04/2023 08:15</t>
  </si>
  <si>
    <t>13/04/2023 08:30</t>
  </si>
  <si>
    <t>13/04/2023 08:45</t>
  </si>
  <si>
    <t>13/04/2023 09:00</t>
  </si>
  <si>
    <t>13/04/2023 09:15</t>
  </si>
  <si>
    <t>13/04/2023 09:30</t>
  </si>
  <si>
    <t>13/04/2023 09:45</t>
  </si>
  <si>
    <t>13/04/2023 10:00</t>
  </si>
  <si>
    <t>13/04/2023 10:15</t>
  </si>
  <si>
    <t>13/04/2023 10:30</t>
  </si>
  <si>
    <t>13/04/2023 10:45</t>
  </si>
  <si>
    <t>13/04/2023 11:00</t>
  </si>
  <si>
    <t>13/04/2023 11:15</t>
  </si>
  <si>
    <t>13/04/2023 11:30</t>
  </si>
  <si>
    <t>13/04/2023 11:45</t>
  </si>
  <si>
    <t>13/04/2023 12:00</t>
  </si>
  <si>
    <t>13/04/2023 12:15</t>
  </si>
  <si>
    <t>13/04/2023 12:30</t>
  </si>
  <si>
    <t>13/04/2023 12:45</t>
  </si>
  <si>
    <t>13/04/2023 13:00</t>
  </si>
  <si>
    <t>13/04/2023 13:15</t>
  </si>
  <si>
    <t>13/04/2023 13:30</t>
  </si>
  <si>
    <t>13/04/2023 13:45</t>
  </si>
  <si>
    <t>13/04/2023 14:00</t>
  </si>
  <si>
    <t>13/04/2023 14:15</t>
  </si>
  <si>
    <t>13/04/2023 14:30</t>
  </si>
  <si>
    <t>13/04/2023 14:45</t>
  </si>
  <si>
    <t>13/04/2023 15:00</t>
  </si>
  <si>
    <t>13/04/2023 15:15</t>
  </si>
  <si>
    <t>13/04/2023 15:30</t>
  </si>
  <si>
    <t>13/04/2023 15:45</t>
  </si>
  <si>
    <t>13/04/2023 16:00</t>
  </si>
  <si>
    <t>13/04/2023 16:15</t>
  </si>
  <si>
    <t>13/04/2023 16:30</t>
  </si>
  <si>
    <t>13/04/2023 16:45</t>
  </si>
  <si>
    <t>13/04/2023 17:00</t>
  </si>
  <si>
    <t>13/04/2023 17:15</t>
  </si>
  <si>
    <t>13/04/2023 17:30</t>
  </si>
  <si>
    <t>13/04/2023 17:45</t>
  </si>
  <si>
    <t>13/04/2023 18:00</t>
  </si>
  <si>
    <t>13/04/2023 18:15</t>
  </si>
  <si>
    <t>13/04/2023 18:30</t>
  </si>
  <si>
    <t>13/04/2023 18:45</t>
  </si>
  <si>
    <t>13/04/2023 19:00</t>
  </si>
  <si>
    <t>13/04/2023 19:15</t>
  </si>
  <si>
    <t>13/04/2023 19:30</t>
  </si>
  <si>
    <t>13/04/2023 19:45</t>
  </si>
  <si>
    <t>13/04/2023 20:00</t>
  </si>
  <si>
    <t>13/04/2023 20:15</t>
  </si>
  <si>
    <t>13/04/2023 20:30</t>
  </si>
  <si>
    <t>13/04/2023 20:45</t>
  </si>
  <si>
    <t>13/04/2023 21:00</t>
  </si>
  <si>
    <t>13/04/2023 21:15</t>
  </si>
  <si>
    <t>13/04/2023 21:30</t>
  </si>
  <si>
    <t>13/04/2023 21:45</t>
  </si>
  <si>
    <t>13/04/2023 22:00</t>
  </si>
  <si>
    <t>13/04/2023 22:15</t>
  </si>
  <si>
    <t>13/04/2023 22:30</t>
  </si>
  <si>
    <t>13/04/2023 22:45</t>
  </si>
  <si>
    <t>13/04/2023 23:00</t>
  </si>
  <si>
    <t>13/04/2023 23:15</t>
  </si>
  <si>
    <t>13/04/2023 23:30</t>
  </si>
  <si>
    <t>13/04/2023 23:45</t>
  </si>
  <si>
    <t>13/04/2023 24:00</t>
  </si>
  <si>
    <t>14/04/2023 00:15</t>
  </si>
  <si>
    <t>14/04/2023 00:30</t>
  </si>
  <si>
    <t>14/04/2023 00:45</t>
  </si>
  <si>
    <t>14/04/2023 01:00</t>
  </si>
  <si>
    <t>14/04/2023 01:15</t>
  </si>
  <si>
    <t>14/04/2023 01:30</t>
  </si>
  <si>
    <t>14/04/2023 01:45</t>
  </si>
  <si>
    <t>14/04/2023 02:00</t>
  </si>
  <si>
    <t>14/04/2023 02:15</t>
  </si>
  <si>
    <t>14/04/2023 02:30</t>
  </si>
  <si>
    <t>14/04/2023 02:45</t>
  </si>
  <si>
    <t>14/04/2023 03:00</t>
  </si>
  <si>
    <t>14/04/2023 03:15</t>
  </si>
  <si>
    <t>14/04/2023 03:30</t>
  </si>
  <si>
    <t>14/04/2023 03:45</t>
  </si>
  <si>
    <t>14/04/2023 04:00</t>
  </si>
  <si>
    <t>14/04/2023 04:15</t>
  </si>
  <si>
    <t>14/04/2023 04:30</t>
  </si>
  <si>
    <t>14/04/2023 04:45</t>
  </si>
  <si>
    <t>14/04/2023 05:00</t>
  </si>
  <si>
    <t>14/04/2023 05:15</t>
  </si>
  <si>
    <t>14/04/2023 05:30</t>
  </si>
  <si>
    <t>14/04/2023 05:45</t>
  </si>
  <si>
    <t>14/04/2023 06:00</t>
  </si>
  <si>
    <t>14/04/2023 06:15</t>
  </si>
  <si>
    <t>14/04/2023 06:30</t>
  </si>
  <si>
    <t>14/04/2023 06:45</t>
  </si>
  <si>
    <t>14/04/2023 07:00</t>
  </si>
  <si>
    <t>14/04/2023 07:15</t>
  </si>
  <si>
    <t>14/04/2023 07:30</t>
  </si>
  <si>
    <t>14/04/2023 07:45</t>
  </si>
  <si>
    <t>14/04/2023 08:00</t>
  </si>
  <si>
    <t>14/04/2023 08:15</t>
  </si>
  <si>
    <t>14/04/2023 08:30</t>
  </si>
  <si>
    <t>14/04/2023 08:45</t>
  </si>
  <si>
    <t>14/04/2023 09:00</t>
  </si>
  <si>
    <t>14/04/2023 09:15</t>
  </si>
  <si>
    <t>14/04/2023 09:30</t>
  </si>
  <si>
    <t>14/04/2023 09:45</t>
  </si>
  <si>
    <t>14/04/2023 10:00</t>
  </si>
  <si>
    <t>14/04/2023 10:15</t>
  </si>
  <si>
    <t>14/04/2023 10:30</t>
  </si>
  <si>
    <t>14/04/2023 10:45</t>
  </si>
  <si>
    <t>14/04/2023 11:00</t>
  </si>
  <si>
    <t>14/04/2023 11:15</t>
  </si>
  <si>
    <t>14/04/2023 11:30</t>
  </si>
  <si>
    <t>14/04/2023 11:45</t>
  </si>
  <si>
    <t>14/04/2023 12:00</t>
  </si>
  <si>
    <t>14/04/2023 12:15</t>
  </si>
  <si>
    <t>14/04/2023 12:30</t>
  </si>
  <si>
    <t>14/04/2023 12:45</t>
  </si>
  <si>
    <t>14/04/2023 13:00</t>
  </si>
  <si>
    <t>14/04/2023 13:15</t>
  </si>
  <si>
    <t>14/04/2023 13:30</t>
  </si>
  <si>
    <t>14/04/2023 13:45</t>
  </si>
  <si>
    <t>14/04/2023 14:00</t>
  </si>
  <si>
    <t>14/04/2023 14:15</t>
  </si>
  <si>
    <t>14/04/2023 14:30</t>
  </si>
  <si>
    <t>14/04/2023 14:45</t>
  </si>
  <si>
    <t>14/04/2023 15:00</t>
  </si>
  <si>
    <t>14/04/2023 15:15</t>
  </si>
  <si>
    <t>14/04/2023 15:30</t>
  </si>
  <si>
    <t>14/04/2023 15:45</t>
  </si>
  <si>
    <t>14/04/2023 16:00</t>
  </si>
  <si>
    <t>14/04/2023 16:15</t>
  </si>
  <si>
    <t>14/04/2023 16:30</t>
  </si>
  <si>
    <t>14/04/2023 16:45</t>
  </si>
  <si>
    <t>14/04/2023 17:00</t>
  </si>
  <si>
    <t>14/04/2023 17:15</t>
  </si>
  <si>
    <t>14/04/2023 17:30</t>
  </si>
  <si>
    <t>14/04/2023 17:45</t>
  </si>
  <si>
    <t>14/04/2023 18:00</t>
  </si>
  <si>
    <t>14/04/2023 18:15</t>
  </si>
  <si>
    <t>14/04/2023 18:30</t>
  </si>
  <si>
    <t>14/04/2023 18:45</t>
  </si>
  <si>
    <t>14/04/2023 19:00</t>
  </si>
  <si>
    <t>14/04/2023 19:15</t>
  </si>
  <si>
    <t>14/04/2023 19:30</t>
  </si>
  <si>
    <t>14/04/2023 19:45</t>
  </si>
  <si>
    <t>14/04/2023 20:00</t>
  </si>
  <si>
    <t>14/04/2023 20:15</t>
  </si>
  <si>
    <t>14/04/2023 20:30</t>
  </si>
  <si>
    <t>14/04/2023 20:45</t>
  </si>
  <si>
    <t>14/04/2023 21:00</t>
  </si>
  <si>
    <t>14/04/2023 21:15</t>
  </si>
  <si>
    <t>14/04/2023 21:30</t>
  </si>
  <si>
    <t>14/04/2023 21:45</t>
  </si>
  <si>
    <t>14/04/2023 22:00</t>
  </si>
  <si>
    <t>14/04/2023 22:15</t>
  </si>
  <si>
    <t>14/04/2023 22:30</t>
  </si>
  <si>
    <t>14/04/2023 22:45</t>
  </si>
  <si>
    <t>14/04/2023 23:00</t>
  </si>
  <si>
    <t>14/04/2023 23:15</t>
  </si>
  <si>
    <t>14/04/2023 23:30</t>
  </si>
  <si>
    <t>14/04/2023 23:45</t>
  </si>
  <si>
    <t>14/04/2023 24:00</t>
  </si>
  <si>
    <t>15/04/2023 00:15</t>
  </si>
  <si>
    <t>15/04/2023 00:30</t>
  </si>
  <si>
    <t>15/04/2023 00:45</t>
  </si>
  <si>
    <t>15/04/2023 01:00</t>
  </si>
  <si>
    <t>15/04/2023 01:15</t>
  </si>
  <si>
    <t>15/04/2023 01:30</t>
  </si>
  <si>
    <t>15/04/2023 01:45</t>
  </si>
  <si>
    <t>15/04/2023 02:00</t>
  </si>
  <si>
    <t>15/04/2023 02:15</t>
  </si>
  <si>
    <t>15/04/2023 02:30</t>
  </si>
  <si>
    <t>15/04/2023 02:45</t>
  </si>
  <si>
    <t>15/04/2023 03:00</t>
  </si>
  <si>
    <t>15/04/2023 03:15</t>
  </si>
  <si>
    <t>15/04/2023 03:30</t>
  </si>
  <si>
    <t>15/04/2023 03:45</t>
  </si>
  <si>
    <t>15/04/2023 04:00</t>
  </si>
  <si>
    <t>15/04/2023 04:15</t>
  </si>
  <si>
    <t>15/04/2023 04:30</t>
  </si>
  <si>
    <t>15/04/2023 04:45</t>
  </si>
  <si>
    <t>15/04/2023 05:00</t>
  </si>
  <si>
    <t>15/04/2023 05:15</t>
  </si>
  <si>
    <t>15/04/2023 05:30</t>
  </si>
  <si>
    <t>15/04/2023 05:45</t>
  </si>
  <si>
    <t>15/04/2023 06:00</t>
  </si>
  <si>
    <t>15/04/2023 06:15</t>
  </si>
  <si>
    <t>15/04/2023 06:30</t>
  </si>
  <si>
    <t>15/04/2023 06:45</t>
  </si>
  <si>
    <t>15/04/2023 07:00</t>
  </si>
  <si>
    <t>15/04/2023 07:15</t>
  </si>
  <si>
    <t>15/04/2023 07:30</t>
  </si>
  <si>
    <t>15/04/2023 07:45</t>
  </si>
  <si>
    <t>15/04/2023 08:00</t>
  </si>
  <si>
    <t>15/04/2023 08:15</t>
  </si>
  <si>
    <t>15/04/2023 08:30</t>
  </si>
  <si>
    <t>15/04/2023 08:45</t>
  </si>
  <si>
    <t>15/04/2023 09:00</t>
  </si>
  <si>
    <t>15/04/2023 09:15</t>
  </si>
  <si>
    <t>15/04/2023 09:30</t>
  </si>
  <si>
    <t>15/04/2023 09:45</t>
  </si>
  <si>
    <t>15/04/2023 10:00</t>
  </si>
  <si>
    <t>15/04/2023 10:15</t>
  </si>
  <si>
    <t>15/04/2023 10:30</t>
  </si>
  <si>
    <t>15/04/2023 10:45</t>
  </si>
  <si>
    <t>15/04/2023 11:00</t>
  </si>
  <si>
    <t>15/04/2023 11:15</t>
  </si>
  <si>
    <t>15/04/2023 11:30</t>
  </si>
  <si>
    <t>15/04/2023 11:45</t>
  </si>
  <si>
    <t>15/04/2023 12:00</t>
  </si>
  <si>
    <t>15/04/2023 12:15</t>
  </si>
  <si>
    <t>15/04/2023 12:30</t>
  </si>
  <si>
    <t>15/04/2023 12:45</t>
  </si>
  <si>
    <t>15/04/2023 13:00</t>
  </si>
  <si>
    <t>15/04/2023 13:15</t>
  </si>
  <si>
    <t>15/04/2023 13:30</t>
  </si>
  <si>
    <t>15/04/2023 13:45</t>
  </si>
  <si>
    <t>15/04/2023 14:00</t>
  </si>
  <si>
    <t>15/04/2023 14:15</t>
  </si>
  <si>
    <t>15/04/2023 14:30</t>
  </si>
  <si>
    <t>15/04/2023 14:45</t>
  </si>
  <si>
    <t>15/04/2023 15:00</t>
  </si>
  <si>
    <t>15/04/2023 15:15</t>
  </si>
  <si>
    <t>15/04/2023 15:30</t>
  </si>
  <si>
    <t>15/04/2023 15:45</t>
  </si>
  <si>
    <t>15/04/2023 16:00</t>
  </si>
  <si>
    <t>15/04/2023 16:15</t>
  </si>
  <si>
    <t>15/04/2023 16:30</t>
  </si>
  <si>
    <t>15/04/2023 16:45</t>
  </si>
  <si>
    <t>15/04/2023 17:00</t>
  </si>
  <si>
    <t>15/04/2023 17:15</t>
  </si>
  <si>
    <t>15/04/2023 17:30</t>
  </si>
  <si>
    <t>15/04/2023 17:45</t>
  </si>
  <si>
    <t>15/04/2023 18:00</t>
  </si>
  <si>
    <t>15/04/2023 18:15</t>
  </si>
  <si>
    <t>15/04/2023 18:30</t>
  </si>
  <si>
    <t>15/04/2023 18:45</t>
  </si>
  <si>
    <t>15/04/2023 19:00</t>
  </si>
  <si>
    <t>15/04/2023 19:15</t>
  </si>
  <si>
    <t>15/04/2023 19:30</t>
  </si>
  <si>
    <t>15/04/2023 19:45</t>
  </si>
  <si>
    <t>15/04/2023 20:00</t>
  </si>
  <si>
    <t>15/04/2023 20:15</t>
  </si>
  <si>
    <t>15/04/2023 20:30</t>
  </si>
  <si>
    <t>15/04/2023 20:45</t>
  </si>
  <si>
    <t>15/04/2023 21:00</t>
  </si>
  <si>
    <t>15/04/2023 21:15</t>
  </si>
  <si>
    <t>15/04/2023 21:30</t>
  </si>
  <si>
    <t>15/04/2023 21:45</t>
  </si>
  <si>
    <t>15/04/2023 22:00</t>
  </si>
  <si>
    <t>15/04/2023 22:15</t>
  </si>
  <si>
    <t>15/04/2023 22:30</t>
  </si>
  <si>
    <t>15/04/2023 22:45</t>
  </si>
  <si>
    <t>15/04/2023 23:00</t>
  </si>
  <si>
    <t>15/04/2023 23:15</t>
  </si>
  <si>
    <t>15/04/2023 23:30</t>
  </si>
  <si>
    <t>15/04/2023 23:45</t>
  </si>
  <si>
    <t>15/04/2023 24:00</t>
  </si>
  <si>
    <t>16/04/2023 00:15</t>
  </si>
  <si>
    <t>16/04/2023 00:30</t>
  </si>
  <si>
    <t>16/04/2023 00:45</t>
  </si>
  <si>
    <t>16/04/2023 01:00</t>
  </si>
  <si>
    <t>16/04/2023 01:15</t>
  </si>
  <si>
    <t>16/04/2023 01:30</t>
  </si>
  <si>
    <t>16/04/2023 01:45</t>
  </si>
  <si>
    <t>16/04/2023 02:00</t>
  </si>
  <si>
    <t>16/04/2023 02:15</t>
  </si>
  <si>
    <t>16/04/2023 02:30</t>
  </si>
  <si>
    <t>16/04/2023 02:45</t>
  </si>
  <si>
    <t>16/04/2023 03:00</t>
  </si>
  <si>
    <t>16/04/2023 03:15</t>
  </si>
  <si>
    <t>16/04/2023 03:30</t>
  </si>
  <si>
    <t>16/04/2023 03:45</t>
  </si>
  <si>
    <t>16/04/2023 04:00</t>
  </si>
  <si>
    <t>16/04/2023 04:15</t>
  </si>
  <si>
    <t>16/04/2023 04:30</t>
  </si>
  <si>
    <t>16/04/2023 04:45</t>
  </si>
  <si>
    <t>16/04/2023 05:00</t>
  </si>
  <si>
    <t>16/04/2023 05:15</t>
  </si>
  <si>
    <t>16/04/2023 05:30</t>
  </si>
  <si>
    <t>16/04/2023 05:45</t>
  </si>
  <si>
    <t>16/04/2023 06:00</t>
  </si>
  <si>
    <t>16/04/2023 06:15</t>
  </si>
  <si>
    <t>16/04/2023 06:30</t>
  </si>
  <si>
    <t>16/04/2023 06:45</t>
  </si>
  <si>
    <t>16/04/2023 07:00</t>
  </si>
  <si>
    <t>16/04/2023 07:15</t>
  </si>
  <si>
    <t>16/04/2023 07:30</t>
  </si>
  <si>
    <t>16/04/2023 07:45</t>
  </si>
  <si>
    <t>16/04/2023 08:00</t>
  </si>
  <si>
    <t>16/04/2023 08:15</t>
  </si>
  <si>
    <t>16/04/2023 08:30</t>
  </si>
  <si>
    <t>16/04/2023 08:45</t>
  </si>
  <si>
    <t>16/04/2023 09:00</t>
  </si>
  <si>
    <t>16/04/2023 09:15</t>
  </si>
  <si>
    <t>16/04/2023 09:30</t>
  </si>
  <si>
    <t>16/04/2023 09:45</t>
  </si>
  <si>
    <t>16/04/2023 10:00</t>
  </si>
  <si>
    <t>16/04/2023 10:15</t>
  </si>
  <si>
    <t>16/04/2023 10:30</t>
  </si>
  <si>
    <t>16/04/2023 10:45</t>
  </si>
  <si>
    <t>16/04/2023 11:00</t>
  </si>
  <si>
    <t>16/04/2023 11:15</t>
  </si>
  <si>
    <t>16/04/2023 11:30</t>
  </si>
  <si>
    <t>16/04/2023 11:45</t>
  </si>
  <si>
    <t>16/04/2023 12:00</t>
  </si>
  <si>
    <t>16/04/2023 12:15</t>
  </si>
  <si>
    <t>16/04/2023 12:30</t>
  </si>
  <si>
    <t>16/04/2023 12:45</t>
  </si>
  <si>
    <t>16/04/2023 13:00</t>
  </si>
  <si>
    <t>16/04/2023 13:15</t>
  </si>
  <si>
    <t>16/04/2023 13:30</t>
  </si>
  <si>
    <t>16/04/2023 13:45</t>
  </si>
  <si>
    <t>16/04/2023 14:00</t>
  </si>
  <si>
    <t>16/04/2023 14:15</t>
  </si>
  <si>
    <t>16/04/2023 14:30</t>
  </si>
  <si>
    <t>16/04/2023 14:45</t>
  </si>
  <si>
    <t>16/04/2023 15:00</t>
  </si>
  <si>
    <t>16/04/2023 15:15</t>
  </si>
  <si>
    <t>16/04/2023 15:30</t>
  </si>
  <si>
    <t>16/04/2023 15:45</t>
  </si>
  <si>
    <t>16/04/2023 16:00</t>
  </si>
  <si>
    <t>16/04/2023 16:15</t>
  </si>
  <si>
    <t>16/04/2023 16:30</t>
  </si>
  <si>
    <t>16/04/2023 16:45</t>
  </si>
  <si>
    <t>16/04/2023 17:00</t>
  </si>
  <si>
    <t>16/04/2023 17:15</t>
  </si>
  <si>
    <t>16/04/2023 17:30</t>
  </si>
  <si>
    <t>16/04/2023 17:45</t>
  </si>
  <si>
    <t>16/04/2023 18:00</t>
  </si>
  <si>
    <t>16/04/2023 18:15</t>
  </si>
  <si>
    <t>16/04/2023 18:30</t>
  </si>
  <si>
    <t>16/04/2023 18:45</t>
  </si>
  <si>
    <t>16/04/2023 19:00</t>
  </si>
  <si>
    <t>16/04/2023 19:15</t>
  </si>
  <si>
    <t>16/04/2023 19:30</t>
  </si>
  <si>
    <t>16/04/2023 19:45</t>
  </si>
  <si>
    <t>16/04/2023 20:00</t>
  </si>
  <si>
    <t>16/04/2023 20:15</t>
  </si>
  <si>
    <t>16/04/2023 20:30</t>
  </si>
  <si>
    <t>16/04/2023 20:45</t>
  </si>
  <si>
    <t>16/04/2023 21:00</t>
  </si>
  <si>
    <t>16/04/2023 21:15</t>
  </si>
  <si>
    <t>16/04/2023 21:30</t>
  </si>
  <si>
    <t>16/04/2023 21:45</t>
  </si>
  <si>
    <t>16/04/2023 22:00</t>
  </si>
  <si>
    <t>16/04/2023 22:15</t>
  </si>
  <si>
    <t>16/04/2023 22:30</t>
  </si>
  <si>
    <t>16/04/2023 22:45</t>
  </si>
  <si>
    <t>16/04/2023 23:00</t>
  </si>
  <si>
    <t>16/04/2023 23:15</t>
  </si>
  <si>
    <t>16/04/2023 23:30</t>
  </si>
  <si>
    <t>16/04/2023 23:45</t>
  </si>
  <si>
    <t>16/04/2023 24:00</t>
  </si>
  <si>
    <t>17/04/2023 00:15</t>
  </si>
  <si>
    <t>17/04/2023 00:30</t>
  </si>
  <si>
    <t>17/04/2023 00:45</t>
  </si>
  <si>
    <t>17/04/2023 01:00</t>
  </si>
  <si>
    <t>17/04/2023 01:15</t>
  </si>
  <si>
    <t>17/04/2023 01:30</t>
  </si>
  <si>
    <t>17/04/2023 01:45</t>
  </si>
  <si>
    <t>17/04/2023 02:00</t>
  </si>
  <si>
    <t>17/04/2023 02:15</t>
  </si>
  <si>
    <t>17/04/2023 02:30</t>
  </si>
  <si>
    <t>17/04/2023 02:45</t>
  </si>
  <si>
    <t>17/04/2023 03:00</t>
  </si>
  <si>
    <t>17/04/2023 03:15</t>
  </si>
  <si>
    <t>17/04/2023 03:30</t>
  </si>
  <si>
    <t>17/04/2023 03:45</t>
  </si>
  <si>
    <t>17/04/2023 04:00</t>
  </si>
  <si>
    <t>17/04/2023 04:15</t>
  </si>
  <si>
    <t>17/04/2023 04:30</t>
  </si>
  <si>
    <t>17/04/2023 04:45</t>
  </si>
  <si>
    <t>17/04/2023 05:00</t>
  </si>
  <si>
    <t>17/04/2023 05:15</t>
  </si>
  <si>
    <t>17/04/2023 05:30</t>
  </si>
  <si>
    <t>17/04/2023 05:45</t>
  </si>
  <si>
    <t>17/04/2023 06:00</t>
  </si>
  <si>
    <t>17/04/2023 06:15</t>
  </si>
  <si>
    <t>17/04/2023 06:30</t>
  </si>
  <si>
    <t>17/04/2023 06:45</t>
  </si>
  <si>
    <t>17/04/2023 07:00</t>
  </si>
  <si>
    <t>17/04/2023 07:15</t>
  </si>
  <si>
    <t>17/04/2023 07:30</t>
  </si>
  <si>
    <t>17/04/2023 07:45</t>
  </si>
  <si>
    <t>17/04/2023 08:00</t>
  </si>
  <si>
    <t>17/04/2023 08:15</t>
  </si>
  <si>
    <t>17/04/2023 08:30</t>
  </si>
  <si>
    <t>17/04/2023 08:45</t>
  </si>
  <si>
    <t>17/04/2023 09:00</t>
  </si>
  <si>
    <t>17/04/2023 09:15</t>
  </si>
  <si>
    <t>17/04/2023 09:30</t>
  </si>
  <si>
    <t>17/04/2023 09:45</t>
  </si>
  <si>
    <t>17/04/2023 10:00</t>
  </si>
  <si>
    <t>17/04/2023 10:15</t>
  </si>
  <si>
    <t>17/04/2023 10:30</t>
  </si>
  <si>
    <t>17/04/2023 10:45</t>
  </si>
  <si>
    <t>17/04/2023 11:00</t>
  </si>
  <si>
    <t>17/04/2023 11:15</t>
  </si>
  <si>
    <t>17/04/2023 11:30</t>
  </si>
  <si>
    <t>17/04/2023 11:45</t>
  </si>
  <si>
    <t>17/04/2023 12:00</t>
  </si>
  <si>
    <t>17/04/2023 12:15</t>
  </si>
  <si>
    <t>17/04/2023 12:30</t>
  </si>
  <si>
    <t>17/04/2023 12:45</t>
  </si>
  <si>
    <t>17/04/2023 13:00</t>
  </si>
  <si>
    <t>17/04/2023 13:15</t>
  </si>
  <si>
    <t>17/04/2023 13:30</t>
  </si>
  <si>
    <t>17/04/2023 13:45</t>
  </si>
  <si>
    <t>17/04/2023 14:00</t>
  </si>
  <si>
    <t>17/04/2023 14:15</t>
  </si>
  <si>
    <t>17/04/2023 14:30</t>
  </si>
  <si>
    <t>17/04/2023 14:45</t>
  </si>
  <si>
    <t>17/04/2023 15:00</t>
  </si>
  <si>
    <t>17/04/2023 15:15</t>
  </si>
  <si>
    <t>17/04/2023 15:30</t>
  </si>
  <si>
    <t>17/04/2023 15:45</t>
  </si>
  <si>
    <t>17/04/2023 16:00</t>
  </si>
  <si>
    <t>17/04/2023 16:15</t>
  </si>
  <si>
    <t>17/04/2023 16:30</t>
  </si>
  <si>
    <t>17/04/2023 16:45</t>
  </si>
  <si>
    <t>17/04/2023 17:00</t>
  </si>
  <si>
    <t>17/04/2023 17:15</t>
  </si>
  <si>
    <t>17/04/2023 17:30</t>
  </si>
  <si>
    <t>17/04/2023 17:45</t>
  </si>
  <si>
    <t>17/04/2023 18:00</t>
  </si>
  <si>
    <t>17/04/2023 18:15</t>
  </si>
  <si>
    <t>17/04/2023 18:30</t>
  </si>
  <si>
    <t>17/04/2023 18:45</t>
  </si>
  <si>
    <t>17/04/2023 19:00</t>
  </si>
  <si>
    <t>17/04/2023 19:15</t>
  </si>
  <si>
    <t>17/04/2023 19:30</t>
  </si>
  <si>
    <t>17/04/2023 19:45</t>
  </si>
  <si>
    <t>17/04/2023 20:00</t>
  </si>
  <si>
    <t>17/04/2023 20:15</t>
  </si>
  <si>
    <t>17/04/2023 20:30</t>
  </si>
  <si>
    <t>17/04/2023 20:45</t>
  </si>
  <si>
    <t>17/04/2023 21:00</t>
  </si>
  <si>
    <t>17/04/2023 21:15</t>
  </si>
  <si>
    <t>17/04/2023 21:30</t>
  </si>
  <si>
    <t>17/04/2023 21:45</t>
  </si>
  <si>
    <t>17/04/2023 22:00</t>
  </si>
  <si>
    <t>17/04/2023 22:15</t>
  </si>
  <si>
    <t>17/04/2023 22:30</t>
  </si>
  <si>
    <t>17/04/2023 22:45</t>
  </si>
  <si>
    <t>17/04/2023 23:00</t>
  </si>
  <si>
    <t>17/04/2023 23:15</t>
  </si>
  <si>
    <t>17/04/2023 23:30</t>
  </si>
  <si>
    <t>17/04/2023 23:45</t>
  </si>
  <si>
    <t>17/04/2023 24:00</t>
  </si>
  <si>
    <t>18/04/2023 00:15</t>
  </si>
  <si>
    <t>18/04/2023 00:30</t>
  </si>
  <si>
    <t>18/04/2023 00:45</t>
  </si>
  <si>
    <t>18/04/2023 01:00</t>
  </si>
  <si>
    <t>18/04/2023 01:15</t>
  </si>
  <si>
    <t>18/04/2023 01:30</t>
  </si>
  <si>
    <t>18/04/2023 01:45</t>
  </si>
  <si>
    <t>18/04/2023 02:00</t>
  </si>
  <si>
    <t>18/04/2023 02:15</t>
  </si>
  <si>
    <t>18/04/2023 02:30</t>
  </si>
  <si>
    <t>18/04/2023 02:45</t>
  </si>
  <si>
    <t>18/04/2023 03:00</t>
  </si>
  <si>
    <t>18/04/2023 03:15</t>
  </si>
  <si>
    <t>18/04/2023 03:30</t>
  </si>
  <si>
    <t>18/04/2023 03:45</t>
  </si>
  <si>
    <t>18/04/2023 04:00</t>
  </si>
  <si>
    <t>18/04/2023 04:15</t>
  </si>
  <si>
    <t>18/04/2023 04:30</t>
  </si>
  <si>
    <t>18/04/2023 04:45</t>
  </si>
  <si>
    <t>18/04/2023 05:00</t>
  </si>
  <si>
    <t>18/04/2023 05:15</t>
  </si>
  <si>
    <t>18/04/2023 05:30</t>
  </si>
  <si>
    <t>18/04/2023 05:45</t>
  </si>
  <si>
    <t>18/04/2023 06:00</t>
  </si>
  <si>
    <t>18/04/2023 06:15</t>
  </si>
  <si>
    <t>18/04/2023 06:30</t>
  </si>
  <si>
    <t>18/04/2023 06:45</t>
  </si>
  <si>
    <t>18/04/2023 07:00</t>
  </si>
  <si>
    <t>18/04/2023 07:15</t>
  </si>
  <si>
    <t>18/04/2023 07:30</t>
  </si>
  <si>
    <t>18/04/2023 07:45</t>
  </si>
  <si>
    <t>18/04/2023 08:00</t>
  </si>
  <si>
    <t>18/04/2023 08:15</t>
  </si>
  <si>
    <t>18/04/2023 08:30</t>
  </si>
  <si>
    <t>18/04/2023 08:45</t>
  </si>
  <si>
    <t>18/04/2023 09:00</t>
  </si>
  <si>
    <t>18/04/2023 09:15</t>
  </si>
  <si>
    <t>18/04/2023 09:30</t>
  </si>
  <si>
    <t>18/04/2023 09:45</t>
  </si>
  <si>
    <t>18/04/2023 10:00</t>
  </si>
  <si>
    <t>18/04/2023 10:15</t>
  </si>
  <si>
    <t>18/04/2023 10:30</t>
  </si>
  <si>
    <t>18/04/2023 10:45</t>
  </si>
  <si>
    <t>18/04/2023 11:00</t>
  </si>
  <si>
    <t>18/04/2023 11:15</t>
  </si>
  <si>
    <t>18/04/2023 11:30</t>
  </si>
  <si>
    <t>18/04/2023 11:45</t>
  </si>
  <si>
    <t>18/04/2023 12:00</t>
  </si>
  <si>
    <t>18/04/2023 12:15</t>
  </si>
  <si>
    <t>18/04/2023 12:30</t>
  </si>
  <si>
    <t>18/04/2023 12:45</t>
  </si>
  <si>
    <t>18/04/2023 13:00</t>
  </si>
  <si>
    <t>18/04/2023 13:15</t>
  </si>
  <si>
    <t>18/04/2023 13:30</t>
  </si>
  <si>
    <t>18/04/2023 13:45</t>
  </si>
  <si>
    <t>18/04/2023 14:00</t>
  </si>
  <si>
    <t>18/04/2023 14:15</t>
  </si>
  <si>
    <t>18/04/2023 14:30</t>
  </si>
  <si>
    <t>18/04/2023 14:45</t>
  </si>
  <si>
    <t>18/04/2023 15:00</t>
  </si>
  <si>
    <t>18/04/2023 15:15</t>
  </si>
  <si>
    <t>18/04/2023 15:30</t>
  </si>
  <si>
    <t>18/04/2023 15:45</t>
  </si>
  <si>
    <t>18/04/2023 16:00</t>
  </si>
  <si>
    <t>18/04/2023 16:15</t>
  </si>
  <si>
    <t>18/04/2023 16:30</t>
  </si>
  <si>
    <t>18/04/2023 16:45</t>
  </si>
  <si>
    <t>18/04/2023 17:00</t>
  </si>
  <si>
    <t>18/04/2023 17:15</t>
  </si>
  <si>
    <t>18/04/2023 17:30</t>
  </si>
  <si>
    <t>18/04/2023 17:45</t>
  </si>
  <si>
    <t>18/04/2023 18:00</t>
  </si>
  <si>
    <t>18/04/2023 18:15</t>
  </si>
  <si>
    <t>18/04/2023 18:30</t>
  </si>
  <si>
    <t>18/04/2023 18:45</t>
  </si>
  <si>
    <t>18/04/2023 19:00</t>
  </si>
  <si>
    <t>18/04/2023 19:15</t>
  </si>
  <si>
    <t>18/04/2023 19:30</t>
  </si>
  <si>
    <t>18/04/2023 19:45</t>
  </si>
  <si>
    <t>18/04/2023 20:00</t>
  </si>
  <si>
    <t>18/04/2023 20:15</t>
  </si>
  <si>
    <t>18/04/2023 20:30</t>
  </si>
  <si>
    <t>18/04/2023 20:45</t>
  </si>
  <si>
    <t>18/04/2023 21:00</t>
  </si>
  <si>
    <t>18/04/2023 21:15</t>
  </si>
  <si>
    <t>18/04/2023 21:30</t>
  </si>
  <si>
    <t>18/04/2023 21:45</t>
  </si>
  <si>
    <t>18/04/2023 22:00</t>
  </si>
  <si>
    <t>18/04/2023 22:15</t>
  </si>
  <si>
    <t>18/04/2023 22:30</t>
  </si>
  <si>
    <t>18/04/2023 22:45</t>
  </si>
  <si>
    <t>18/04/2023 23:00</t>
  </si>
  <si>
    <t>18/04/2023 23:15</t>
  </si>
  <si>
    <t>18/04/2023 23:30</t>
  </si>
  <si>
    <t>18/04/2023 23:45</t>
  </si>
  <si>
    <t>18/04/2023 24:00</t>
  </si>
  <si>
    <t>19/04/2023 00:15</t>
  </si>
  <si>
    <t>19/04/2023 00:30</t>
  </si>
  <si>
    <t>19/04/2023 00:45</t>
  </si>
  <si>
    <t>19/04/2023 01:00</t>
  </si>
  <si>
    <t>19/04/2023 01:15</t>
  </si>
  <si>
    <t>19/04/2023 01:30</t>
  </si>
  <si>
    <t>19/04/2023 01:45</t>
  </si>
  <si>
    <t>19/04/2023 02:00</t>
  </si>
  <si>
    <t>19/04/2023 02:15</t>
  </si>
  <si>
    <t>19/04/2023 02:30</t>
  </si>
  <si>
    <t>19/04/2023 02:45</t>
  </si>
  <si>
    <t>19/04/2023 03:00</t>
  </si>
  <si>
    <t>19/04/2023 03:15</t>
  </si>
  <si>
    <t>19/04/2023 03:30</t>
  </si>
  <si>
    <t>19/04/2023 03:45</t>
  </si>
  <si>
    <t>19/04/2023 04:00</t>
  </si>
  <si>
    <t>19/04/2023 04:15</t>
  </si>
  <si>
    <t>19/04/2023 04:30</t>
  </si>
  <si>
    <t>19/04/2023 04:45</t>
  </si>
  <si>
    <t>19/04/2023 05:00</t>
  </si>
  <si>
    <t>19/04/2023 05:15</t>
  </si>
  <si>
    <t>19/04/2023 05:30</t>
  </si>
  <si>
    <t>19/04/2023 05:45</t>
  </si>
  <si>
    <t>19/04/2023 06:00</t>
  </si>
  <si>
    <t>19/04/2023 06:15</t>
  </si>
  <si>
    <t>19/04/2023 06:30</t>
  </si>
  <si>
    <t>19/04/2023 06:45</t>
  </si>
  <si>
    <t>19/04/2023 07:00</t>
  </si>
  <si>
    <t>19/04/2023 07:15</t>
  </si>
  <si>
    <t>19/04/2023 07:30</t>
  </si>
  <si>
    <t>19/04/2023 07:45</t>
  </si>
  <si>
    <t>19/04/2023 08:00</t>
  </si>
  <si>
    <t>19/04/2023 08:15</t>
  </si>
  <si>
    <t>19/04/2023 08:30</t>
  </si>
  <si>
    <t>19/04/2023 08:45</t>
  </si>
  <si>
    <t>19/04/2023 09:00</t>
  </si>
  <si>
    <t>19/04/2023 09:15</t>
  </si>
  <si>
    <t>19/04/2023 09:30</t>
  </si>
  <si>
    <t>19/04/2023 09:45</t>
  </si>
  <si>
    <t>19/04/2023 10:00</t>
  </si>
  <si>
    <t>19/04/2023 10:15</t>
  </si>
  <si>
    <t>19/04/2023 10:30</t>
  </si>
  <si>
    <t>19/04/2023 10:45</t>
  </si>
  <si>
    <t>19/04/2023 11:00</t>
  </si>
  <si>
    <t>19/04/2023 11:15</t>
  </si>
  <si>
    <t>19/04/2023 11:30</t>
  </si>
  <si>
    <t>19/04/2023 11:45</t>
  </si>
  <si>
    <t>19/04/2023 12:00</t>
  </si>
  <si>
    <t>19/04/2023 12:15</t>
  </si>
  <si>
    <t>19/04/2023 12:30</t>
  </si>
  <si>
    <t>19/04/2023 12:45</t>
  </si>
  <si>
    <t>19/04/2023 13:00</t>
  </si>
  <si>
    <t>19/04/2023 13:15</t>
  </si>
  <si>
    <t>19/04/2023 13:30</t>
  </si>
  <si>
    <t>19/04/2023 13:45</t>
  </si>
  <si>
    <t>19/04/2023 14:00</t>
  </si>
  <si>
    <t>19/04/2023 14:15</t>
  </si>
  <si>
    <t>19/04/2023 14:30</t>
  </si>
  <si>
    <t>19/04/2023 14:45</t>
  </si>
  <si>
    <t>19/04/2023 15:00</t>
  </si>
  <si>
    <t>19/04/2023 15:15</t>
  </si>
  <si>
    <t>19/04/2023 15:30</t>
  </si>
  <si>
    <t>19/04/2023 15:45</t>
  </si>
  <si>
    <t>19/04/2023 16:00</t>
  </si>
  <si>
    <t>19/04/2023 16:15</t>
  </si>
  <si>
    <t>19/04/2023 16:30</t>
  </si>
  <si>
    <t>19/04/2023 16:45</t>
  </si>
  <si>
    <t>19/04/2023 17:00</t>
  </si>
  <si>
    <t>19/04/2023 17:15</t>
  </si>
  <si>
    <t>19/04/2023 17:30</t>
  </si>
  <si>
    <t>19/04/2023 17:45</t>
  </si>
  <si>
    <t>19/04/2023 18:00</t>
  </si>
  <si>
    <t>19/04/2023 18:15</t>
  </si>
  <si>
    <t>19/04/2023 18:30</t>
  </si>
  <si>
    <t>19/04/2023 18:45</t>
  </si>
  <si>
    <t>19/04/2023 19:00</t>
  </si>
  <si>
    <t>19/04/2023 19:15</t>
  </si>
  <si>
    <t>19/04/2023 19:30</t>
  </si>
  <si>
    <t>19/04/2023 19:45</t>
  </si>
  <si>
    <t>19/04/2023 20:00</t>
  </si>
  <si>
    <t>19/04/2023 20:15</t>
  </si>
  <si>
    <t>19/04/2023 20:30</t>
  </si>
  <si>
    <t>19/04/2023 20:45</t>
  </si>
  <si>
    <t>19/04/2023 21:00</t>
  </si>
  <si>
    <t>19/04/2023 21:15</t>
  </si>
  <si>
    <t>19/04/2023 21:30</t>
  </si>
  <si>
    <t>19/04/2023 21:45</t>
  </si>
  <si>
    <t>19/04/2023 22:00</t>
  </si>
  <si>
    <t>19/04/2023 22:15</t>
  </si>
  <si>
    <t>19/04/2023 22:30</t>
  </si>
  <si>
    <t>19/04/2023 22:45</t>
  </si>
  <si>
    <t>19/04/2023 23:00</t>
  </si>
  <si>
    <t>19/04/2023 23:15</t>
  </si>
  <si>
    <t>19/04/2023 23:30</t>
  </si>
  <si>
    <t>19/04/2023 23:45</t>
  </si>
  <si>
    <t>19/04/2023 24:00</t>
  </si>
  <si>
    <t>20/04/2023 00:15</t>
  </si>
  <si>
    <t>20/04/2023 00:30</t>
  </si>
  <si>
    <t>20/04/2023 00:45</t>
  </si>
  <si>
    <t>20/04/2023 01:00</t>
  </si>
  <si>
    <t>20/04/2023 01:15</t>
  </si>
  <si>
    <t>20/04/2023 01:30</t>
  </si>
  <si>
    <t>20/04/2023 01:45</t>
  </si>
  <si>
    <t>20/04/2023 02:00</t>
  </si>
  <si>
    <t>20/04/2023 02:15</t>
  </si>
  <si>
    <t>20/04/2023 02:30</t>
  </si>
  <si>
    <t>20/04/2023 02:45</t>
  </si>
  <si>
    <t>20/04/2023 03:00</t>
  </si>
  <si>
    <t>20/04/2023 03:15</t>
  </si>
  <si>
    <t>20/04/2023 03:30</t>
  </si>
  <si>
    <t>20/04/2023 03:45</t>
  </si>
  <si>
    <t>20/04/2023 04:00</t>
  </si>
  <si>
    <t>20/04/2023 04:15</t>
  </si>
  <si>
    <t>20/04/2023 04:30</t>
  </si>
  <si>
    <t>20/04/2023 04:45</t>
  </si>
  <si>
    <t>20/04/2023 05:00</t>
  </si>
  <si>
    <t>20/04/2023 05:15</t>
  </si>
  <si>
    <t>20/04/2023 05:30</t>
  </si>
  <si>
    <t>20/04/2023 05:45</t>
  </si>
  <si>
    <t>20/04/2023 06:00</t>
  </si>
  <si>
    <t>20/04/2023 06:15</t>
  </si>
  <si>
    <t>20/04/2023 06:30</t>
  </si>
  <si>
    <t>20/04/2023 06:45</t>
  </si>
  <si>
    <t>20/04/2023 07:00</t>
  </si>
  <si>
    <t>20/04/2023 07:15</t>
  </si>
  <si>
    <t>20/04/2023 07:30</t>
  </si>
  <si>
    <t>20/04/2023 07:45</t>
  </si>
  <si>
    <t>20/04/2023 08:00</t>
  </si>
  <si>
    <t>20/04/2023 08:15</t>
  </si>
  <si>
    <t>20/04/2023 08:30</t>
  </si>
  <si>
    <t>20/04/2023 08:45</t>
  </si>
  <si>
    <t>20/04/2023 09:00</t>
  </si>
  <si>
    <t>20/04/2023 09:15</t>
  </si>
  <si>
    <t>20/04/2023 09:30</t>
  </si>
  <si>
    <t>20/04/2023 09:45</t>
  </si>
  <si>
    <t>20/04/2023 10:00</t>
  </si>
  <si>
    <t>20/04/2023 10:15</t>
  </si>
  <si>
    <t>20/04/2023 10:30</t>
  </si>
  <si>
    <t>20/04/2023 10:45</t>
  </si>
  <si>
    <t>20/04/2023 11:00</t>
  </si>
  <si>
    <t>20/04/2023 11:15</t>
  </si>
  <si>
    <t>20/04/2023 11:30</t>
  </si>
  <si>
    <t>20/04/2023 11:45</t>
  </si>
  <si>
    <t>20/04/2023 12:00</t>
  </si>
  <si>
    <t>20/04/2023 12:15</t>
  </si>
  <si>
    <t>20/04/2023 12:30</t>
  </si>
  <si>
    <t>20/04/2023 12:45</t>
  </si>
  <si>
    <t>20/04/2023 13:00</t>
  </si>
  <si>
    <t>20/04/2023 13:15</t>
  </si>
  <si>
    <t>20/04/2023 13:30</t>
  </si>
  <si>
    <t>20/04/2023 13:45</t>
  </si>
  <si>
    <t>20/04/2023 14:00</t>
  </si>
  <si>
    <t>20/04/2023 14:15</t>
  </si>
  <si>
    <t>20/04/2023 14:30</t>
  </si>
  <si>
    <t>20/04/2023 14:45</t>
  </si>
  <si>
    <t>20/04/2023 15:00</t>
  </si>
  <si>
    <t>20/04/2023 15:15</t>
  </si>
  <si>
    <t>20/04/2023 15:30</t>
  </si>
  <si>
    <t>20/04/2023 15:45</t>
  </si>
  <si>
    <t>20/04/2023 16:00</t>
  </si>
  <si>
    <t>20/04/2023 16:15</t>
  </si>
  <si>
    <t>20/04/2023 16:30</t>
  </si>
  <si>
    <t>20/04/2023 16:45</t>
  </si>
  <si>
    <t>20/04/2023 17:00</t>
  </si>
  <si>
    <t>20/04/2023 17:15</t>
  </si>
  <si>
    <t>20/04/2023 17:30</t>
  </si>
  <si>
    <t>20/04/2023 17:45</t>
  </si>
  <si>
    <t>20/04/2023 18:00</t>
  </si>
  <si>
    <t>20/04/2023 18:15</t>
  </si>
  <si>
    <t>20/04/2023 18:30</t>
  </si>
  <si>
    <t>20/04/2023 18:45</t>
  </si>
  <si>
    <t>20/04/2023 19:00</t>
  </si>
  <si>
    <t>20/04/2023 19:15</t>
  </si>
  <si>
    <t>20/04/2023 19:30</t>
  </si>
  <si>
    <t>20/04/2023 19:45</t>
  </si>
  <si>
    <t>20/04/2023 20:00</t>
  </si>
  <si>
    <t>20/04/2023 20:15</t>
  </si>
  <si>
    <t>20/04/2023 20:30</t>
  </si>
  <si>
    <t>20/04/2023 20:45</t>
  </si>
  <si>
    <t>20/04/2023 21:00</t>
  </si>
  <si>
    <t>20/04/2023 21:15</t>
  </si>
  <si>
    <t>20/04/2023 21:30</t>
  </si>
  <si>
    <t>20/04/2023 21:45</t>
  </si>
  <si>
    <t>20/04/2023 22:00</t>
  </si>
  <si>
    <t>20/04/2023 22:15</t>
  </si>
  <si>
    <t>20/04/2023 22:30</t>
  </si>
  <si>
    <t>20/04/2023 22:45</t>
  </si>
  <si>
    <t>20/04/2023 23:00</t>
  </si>
  <si>
    <t>20/04/2023 23:15</t>
  </si>
  <si>
    <t>20/04/2023 23:30</t>
  </si>
  <si>
    <t>20/04/2023 23:45</t>
  </si>
  <si>
    <t>20/04/2023 24:00</t>
  </si>
  <si>
    <t>21/04/2023 00:15</t>
  </si>
  <si>
    <t>21/04/2023 00:30</t>
  </si>
  <si>
    <t>21/04/2023 00:45</t>
  </si>
  <si>
    <t>21/04/2023 01:00</t>
  </si>
  <si>
    <t>21/04/2023 01:15</t>
  </si>
  <si>
    <t>21/04/2023 01:30</t>
  </si>
  <si>
    <t>21/04/2023 01:45</t>
  </si>
  <si>
    <t>21/04/2023 02:00</t>
  </si>
  <si>
    <t>21/04/2023 02:15</t>
  </si>
  <si>
    <t>21/04/2023 02:30</t>
  </si>
  <si>
    <t>21/04/2023 02:45</t>
  </si>
  <si>
    <t>21/04/2023 03:00</t>
  </si>
  <si>
    <t>21/04/2023 03:15</t>
  </si>
  <si>
    <t>21/04/2023 03:30</t>
  </si>
  <si>
    <t>21/04/2023 03:45</t>
  </si>
  <si>
    <t>21/04/2023 04:00</t>
  </si>
  <si>
    <t>21/04/2023 04:15</t>
  </si>
  <si>
    <t>21/04/2023 04:30</t>
  </si>
  <si>
    <t>21/04/2023 04:45</t>
  </si>
  <si>
    <t>21/04/2023 05:00</t>
  </si>
  <si>
    <t>21/04/2023 05:15</t>
  </si>
  <si>
    <t>21/04/2023 05:30</t>
  </si>
  <si>
    <t>21/04/2023 05:45</t>
  </si>
  <si>
    <t>21/04/2023 06:00</t>
  </si>
  <si>
    <t>21/04/2023 06:15</t>
  </si>
  <si>
    <t>21/04/2023 06:30</t>
  </si>
  <si>
    <t>21/04/2023 06:45</t>
  </si>
  <si>
    <t>21/04/2023 07:00</t>
  </si>
  <si>
    <t>21/04/2023 07:15</t>
  </si>
  <si>
    <t>21/04/2023 07:30</t>
  </si>
  <si>
    <t>21/04/2023 07:45</t>
  </si>
  <si>
    <t>21/04/2023 08:00</t>
  </si>
  <si>
    <t>21/04/2023 08:15</t>
  </si>
  <si>
    <t>21/04/2023 08:30</t>
  </si>
  <si>
    <t>21/04/2023 08:45</t>
  </si>
  <si>
    <t>21/04/2023 09:00</t>
  </si>
  <si>
    <t>21/04/2023 09:15</t>
  </si>
  <si>
    <t>21/04/2023 09:30</t>
  </si>
  <si>
    <t>21/04/2023 09:45</t>
  </si>
  <si>
    <t>21/04/2023 10:00</t>
  </si>
  <si>
    <t>21/04/2023 10:15</t>
  </si>
  <si>
    <t>21/04/2023 10:30</t>
  </si>
  <si>
    <t>21/04/2023 10:45</t>
  </si>
  <si>
    <t>21/04/2023 11:00</t>
  </si>
  <si>
    <t>21/04/2023 11:15</t>
  </si>
  <si>
    <t>21/04/2023 11:30</t>
  </si>
  <si>
    <t>21/04/2023 11:45</t>
  </si>
  <si>
    <t>21/04/2023 12:00</t>
  </si>
  <si>
    <t>21/04/2023 12:15</t>
  </si>
  <si>
    <t>21/04/2023 12:30</t>
  </si>
  <si>
    <t>21/04/2023 12:45</t>
  </si>
  <si>
    <t>21/04/2023 13:00</t>
  </si>
  <si>
    <t>21/04/2023 13:15</t>
  </si>
  <si>
    <t>21/04/2023 13:30</t>
  </si>
  <si>
    <t>21/04/2023 13:45</t>
  </si>
  <si>
    <t>21/04/2023 14:00</t>
  </si>
  <si>
    <t>21/04/2023 14:15</t>
  </si>
  <si>
    <t>21/04/2023 14:30</t>
  </si>
  <si>
    <t>21/04/2023 14:45</t>
  </si>
  <si>
    <t>21/04/2023 15:00</t>
  </si>
  <si>
    <t>21/04/2023 15:15</t>
  </si>
  <si>
    <t>21/04/2023 15:30</t>
  </si>
  <si>
    <t>21/04/2023 15:45</t>
  </si>
  <si>
    <t>21/04/2023 16:00</t>
  </si>
  <si>
    <t>21/04/2023 16:15</t>
  </si>
  <si>
    <t>21/04/2023 16:30</t>
  </si>
  <si>
    <t>21/04/2023 16:45</t>
  </si>
  <si>
    <t>21/04/2023 17:00</t>
  </si>
  <si>
    <t>21/04/2023 17:15</t>
  </si>
  <si>
    <t>21/04/2023 17:30</t>
  </si>
  <si>
    <t>21/04/2023 17:45</t>
  </si>
  <si>
    <t>21/04/2023 18:00</t>
  </si>
  <si>
    <t>21/04/2023 18:15</t>
  </si>
  <si>
    <t>21/04/2023 18:30</t>
  </si>
  <si>
    <t>21/04/2023 18:45</t>
  </si>
  <si>
    <t>21/04/2023 19:00</t>
  </si>
  <si>
    <t>21/04/2023 19:15</t>
  </si>
  <si>
    <t>21/04/2023 19:30</t>
  </si>
  <si>
    <t>21/04/2023 19:45</t>
  </si>
  <si>
    <t>21/04/2023 20:00</t>
  </si>
  <si>
    <t>21/04/2023 20:15</t>
  </si>
  <si>
    <t>21/04/2023 20:30</t>
  </si>
  <si>
    <t>21/04/2023 20:45</t>
  </si>
  <si>
    <t>21/04/2023 21:00</t>
  </si>
  <si>
    <t>21/04/2023 21:15</t>
  </si>
  <si>
    <t>21/04/2023 21:30</t>
  </si>
  <si>
    <t>21/04/2023 21:45</t>
  </si>
  <si>
    <t>21/04/2023 22:00</t>
  </si>
  <si>
    <t>21/04/2023 22:15</t>
  </si>
  <si>
    <t>21/04/2023 22:30</t>
  </si>
  <si>
    <t>21/04/2023 22:45</t>
  </si>
  <si>
    <t>21/04/2023 23:00</t>
  </si>
  <si>
    <t>21/04/2023 23:15</t>
  </si>
  <si>
    <t>21/04/2023 23:30</t>
  </si>
  <si>
    <t>21/04/2023 23:45</t>
  </si>
  <si>
    <t>21/04/2023 24:00</t>
  </si>
  <si>
    <t>22/04/2023 00:15</t>
  </si>
  <si>
    <t>22/04/2023 00:30</t>
  </si>
  <si>
    <t>22/04/2023 00:45</t>
  </si>
  <si>
    <t>22/04/2023 01:00</t>
  </si>
  <si>
    <t>22/04/2023 01:15</t>
  </si>
  <si>
    <t>22/04/2023 01:30</t>
  </si>
  <si>
    <t>22/04/2023 01:45</t>
  </si>
  <si>
    <t>22/04/2023 02:00</t>
  </si>
  <si>
    <t>22/04/2023 02:15</t>
  </si>
  <si>
    <t>22/04/2023 02:30</t>
  </si>
  <si>
    <t>22/04/2023 02:45</t>
  </si>
  <si>
    <t>22/04/2023 03:00</t>
  </si>
  <si>
    <t>22/04/2023 03:15</t>
  </si>
  <si>
    <t>22/04/2023 03:30</t>
  </si>
  <si>
    <t>22/04/2023 03:45</t>
  </si>
  <si>
    <t>22/04/2023 04:00</t>
  </si>
  <si>
    <t>22/04/2023 04:15</t>
  </si>
  <si>
    <t>22/04/2023 04:30</t>
  </si>
  <si>
    <t>22/04/2023 04:45</t>
  </si>
  <si>
    <t>22/04/2023 05:00</t>
  </si>
  <si>
    <t>22/04/2023 05:15</t>
  </si>
  <si>
    <t>22/04/2023 05:30</t>
  </si>
  <si>
    <t>22/04/2023 05:45</t>
  </si>
  <si>
    <t>22/04/2023 06:00</t>
  </si>
  <si>
    <t>22/04/2023 06:15</t>
  </si>
  <si>
    <t>22/04/2023 06:30</t>
  </si>
  <si>
    <t>22/04/2023 06:45</t>
  </si>
  <si>
    <t>22/04/2023 07:00</t>
  </si>
  <si>
    <t>22/04/2023 07:15</t>
  </si>
  <si>
    <t>22/04/2023 07:30</t>
  </si>
  <si>
    <t>22/04/2023 07:45</t>
  </si>
  <si>
    <t>22/04/2023 08:00</t>
  </si>
  <si>
    <t>22/04/2023 08:15</t>
  </si>
  <si>
    <t>22/04/2023 08:30</t>
  </si>
  <si>
    <t>22/04/2023 08:45</t>
  </si>
  <si>
    <t>22/04/2023 09:00</t>
  </si>
  <si>
    <t>22/04/2023 09:15</t>
  </si>
  <si>
    <t>22/04/2023 09:30</t>
  </si>
  <si>
    <t>22/04/2023 09:45</t>
  </si>
  <si>
    <t>22/04/2023 10:00</t>
  </si>
  <si>
    <t>22/04/2023 10:15</t>
  </si>
  <si>
    <t>22/04/2023 10:30</t>
  </si>
  <si>
    <t>22/04/2023 10:45</t>
  </si>
  <si>
    <t>22/04/2023 11:00</t>
  </si>
  <si>
    <t>22/04/2023 11:15</t>
  </si>
  <si>
    <t>22/04/2023 11:30</t>
  </si>
  <si>
    <t>22/04/2023 11:45</t>
  </si>
  <si>
    <t>22/04/2023 12:00</t>
  </si>
  <si>
    <t>22/04/2023 12:15</t>
  </si>
  <si>
    <t>22/04/2023 12:30</t>
  </si>
  <si>
    <t>22/04/2023 12:45</t>
  </si>
  <si>
    <t>22/04/2023 13:00</t>
  </si>
  <si>
    <t>22/04/2023 13:15</t>
  </si>
  <si>
    <t>22/04/2023 13:30</t>
  </si>
  <si>
    <t>22/04/2023 13:45</t>
  </si>
  <si>
    <t>22/04/2023 14:00</t>
  </si>
  <si>
    <t>22/04/2023 14:15</t>
  </si>
  <si>
    <t>22/04/2023 14:30</t>
  </si>
  <si>
    <t>22/04/2023 14:45</t>
  </si>
  <si>
    <t>22/04/2023 15:00</t>
  </si>
  <si>
    <t>22/04/2023 15:15</t>
  </si>
  <si>
    <t>22/04/2023 15:30</t>
  </si>
  <si>
    <t>22/04/2023 15:45</t>
  </si>
  <si>
    <t>22/04/2023 16:00</t>
  </si>
  <si>
    <t>22/04/2023 16:15</t>
  </si>
  <si>
    <t>22/04/2023 16:30</t>
  </si>
  <si>
    <t>22/04/2023 16:45</t>
  </si>
  <si>
    <t>22/04/2023 17:00</t>
  </si>
  <si>
    <t>22/04/2023 17:15</t>
  </si>
  <si>
    <t>22/04/2023 17:30</t>
  </si>
  <si>
    <t>22/04/2023 17:45</t>
  </si>
  <si>
    <t>22/04/2023 18:00</t>
  </si>
  <si>
    <t>22/04/2023 18:15</t>
  </si>
  <si>
    <t>22/04/2023 18:30</t>
  </si>
  <si>
    <t>22/04/2023 18:45</t>
  </si>
  <si>
    <t>22/04/2023 19:00</t>
  </si>
  <si>
    <t>22/04/2023 19:15</t>
  </si>
  <si>
    <t>22/04/2023 19:30</t>
  </si>
  <si>
    <t>22/04/2023 19:45</t>
  </si>
  <si>
    <t>22/04/2023 20:00</t>
  </si>
  <si>
    <t>22/04/2023 20:15</t>
  </si>
  <si>
    <t>22/04/2023 20:30</t>
  </si>
  <si>
    <t>22/04/2023 20:45</t>
  </si>
  <si>
    <t>22/04/2023 21:00</t>
  </si>
  <si>
    <t>22/04/2023 21:15</t>
  </si>
  <si>
    <t>22/04/2023 21:30</t>
  </si>
  <si>
    <t>22/04/2023 21:45</t>
  </si>
  <si>
    <t>22/04/2023 22:00</t>
  </si>
  <si>
    <t>22/04/2023 22:15</t>
  </si>
  <si>
    <t>22/04/2023 22:30</t>
  </si>
  <si>
    <t>22/04/2023 22:45</t>
  </si>
  <si>
    <t>22/04/2023 23:00</t>
  </si>
  <si>
    <t>22/04/2023 23:15</t>
  </si>
  <si>
    <t>22/04/2023 23:30</t>
  </si>
  <si>
    <t>22/04/2023 23:45</t>
  </si>
  <si>
    <t>22/04/2023 24:00</t>
  </si>
  <si>
    <t>23/04/2023 00:15</t>
  </si>
  <si>
    <t>23/04/2023 00:30</t>
  </si>
  <si>
    <t>23/04/2023 00:45</t>
  </si>
  <si>
    <t>23/04/2023 01:00</t>
  </si>
  <si>
    <t>23/04/2023 01:15</t>
  </si>
  <si>
    <t>23/04/2023 01:30</t>
  </si>
  <si>
    <t>23/04/2023 01:45</t>
  </si>
  <si>
    <t>23/04/2023 02:00</t>
  </si>
  <si>
    <t>23/04/2023 02:15</t>
  </si>
  <si>
    <t>23/04/2023 02:30</t>
  </si>
  <si>
    <t>23/04/2023 02:45</t>
  </si>
  <si>
    <t>23/04/2023 03:00</t>
  </si>
  <si>
    <t>23/04/2023 03:15</t>
  </si>
  <si>
    <t>23/04/2023 03:30</t>
  </si>
  <si>
    <t>23/04/2023 03:45</t>
  </si>
  <si>
    <t>23/04/2023 04:00</t>
  </si>
  <si>
    <t>23/04/2023 04:15</t>
  </si>
  <si>
    <t>23/04/2023 04:30</t>
  </si>
  <si>
    <t>23/04/2023 04:45</t>
  </si>
  <si>
    <t>23/04/2023 05:00</t>
  </si>
  <si>
    <t>23/04/2023 05:15</t>
  </si>
  <si>
    <t>23/04/2023 05:30</t>
  </si>
  <si>
    <t>23/04/2023 05:45</t>
  </si>
  <si>
    <t>23/04/2023 06:00</t>
  </si>
  <si>
    <t>23/04/2023 06:15</t>
  </si>
  <si>
    <t>23/04/2023 06:30</t>
  </si>
  <si>
    <t>23/04/2023 06:45</t>
  </si>
  <si>
    <t>23/04/2023 07:00</t>
  </si>
  <si>
    <t>23/04/2023 07:15</t>
  </si>
  <si>
    <t>23/04/2023 07:30</t>
  </si>
  <si>
    <t>23/04/2023 07:45</t>
  </si>
  <si>
    <t>23/04/2023 08:00</t>
  </si>
  <si>
    <t>23/04/2023 08:15</t>
  </si>
  <si>
    <t>23/04/2023 08:30</t>
  </si>
  <si>
    <t>23/04/2023 08:45</t>
  </si>
  <si>
    <t>23/04/2023 09:00</t>
  </si>
  <si>
    <t>23/04/2023 09:15</t>
  </si>
  <si>
    <t>23/04/2023 09:30</t>
  </si>
  <si>
    <t>23/04/2023 09:45</t>
  </si>
  <si>
    <t>23/04/2023 10:00</t>
  </si>
  <si>
    <t>23/04/2023 10:15</t>
  </si>
  <si>
    <t>23/04/2023 10:30</t>
  </si>
  <si>
    <t>23/04/2023 10:45</t>
  </si>
  <si>
    <t>23/04/2023 11:00</t>
  </si>
  <si>
    <t>23/04/2023 11:15</t>
  </si>
  <si>
    <t>23/04/2023 11:30</t>
  </si>
  <si>
    <t>23/04/2023 11:45</t>
  </si>
  <si>
    <t>23/04/2023 12:00</t>
  </si>
  <si>
    <t>23/04/2023 12:15</t>
  </si>
  <si>
    <t>23/04/2023 12:30</t>
  </si>
  <si>
    <t>23/04/2023 12:45</t>
  </si>
  <si>
    <t>23/04/2023 13:00</t>
  </si>
  <si>
    <t>23/04/2023 13:15</t>
  </si>
  <si>
    <t>23/04/2023 13:30</t>
  </si>
  <si>
    <t>23/04/2023 13:45</t>
  </si>
  <si>
    <t>23/04/2023 14:00</t>
  </si>
  <si>
    <t>23/04/2023 14:15</t>
  </si>
  <si>
    <t>23/04/2023 14:30</t>
  </si>
  <si>
    <t>23/04/2023 14:45</t>
  </si>
  <si>
    <t>23/04/2023 15:00</t>
  </si>
  <si>
    <t>23/04/2023 15:15</t>
  </si>
  <si>
    <t>23/04/2023 15:30</t>
  </si>
  <si>
    <t>23/04/2023 15:45</t>
  </si>
  <si>
    <t>23/04/2023 16:00</t>
  </si>
  <si>
    <t>23/04/2023 16:15</t>
  </si>
  <si>
    <t>23/04/2023 16:30</t>
  </si>
  <si>
    <t>23/04/2023 16:45</t>
  </si>
  <si>
    <t>23/04/2023 17:00</t>
  </si>
  <si>
    <t>23/04/2023 17:15</t>
  </si>
  <si>
    <t>23/04/2023 17:30</t>
  </si>
  <si>
    <t>23/04/2023 17:45</t>
  </si>
  <si>
    <t>23/04/2023 18:00</t>
  </si>
  <si>
    <t>23/04/2023 18:15</t>
  </si>
  <si>
    <t>23/04/2023 18:30</t>
  </si>
  <si>
    <t>23/04/2023 18:45</t>
  </si>
  <si>
    <t>23/04/2023 19:00</t>
  </si>
  <si>
    <t>23/04/2023 19:15</t>
  </si>
  <si>
    <t>23/04/2023 19:30</t>
  </si>
  <si>
    <t>23/04/2023 19:45</t>
  </si>
  <si>
    <t>23/04/2023 20:00</t>
  </si>
  <si>
    <t>23/04/2023 20:15</t>
  </si>
  <si>
    <t>23/04/2023 20:30</t>
  </si>
  <si>
    <t>23/04/2023 20:45</t>
  </si>
  <si>
    <t>23/04/2023 21:00</t>
  </si>
  <si>
    <t>23/04/2023 21:15</t>
  </si>
  <si>
    <t>23/04/2023 21:30</t>
  </si>
  <si>
    <t>23/04/2023 21:45</t>
  </si>
  <si>
    <t>23/04/2023 22:00</t>
  </si>
  <si>
    <t>23/04/2023 22:15</t>
  </si>
  <si>
    <t>23/04/2023 22:30</t>
  </si>
  <si>
    <t>23/04/2023 22:45</t>
  </si>
  <si>
    <t>23/04/2023 23:00</t>
  </si>
  <si>
    <t>23/04/2023 23:15</t>
  </si>
  <si>
    <t>23/04/2023 23:30</t>
  </si>
  <si>
    <t>23/04/2023 23:45</t>
  </si>
  <si>
    <t>23/04/2023 24:00</t>
  </si>
  <si>
    <t>24/04/2023 00:15</t>
  </si>
  <si>
    <t>24/04/2023 00:30</t>
  </si>
  <si>
    <t>24/04/2023 00:45</t>
  </si>
  <si>
    <t>24/04/2023 01:00</t>
  </si>
  <si>
    <t>24/04/2023 01:15</t>
  </si>
  <si>
    <t>24/04/2023 01:30</t>
  </si>
  <si>
    <t>24/04/2023 01:45</t>
  </si>
  <si>
    <t>24/04/2023 02:00</t>
  </si>
  <si>
    <t>24/04/2023 02:15</t>
  </si>
  <si>
    <t>24/04/2023 02:30</t>
  </si>
  <si>
    <t>24/04/2023 02:45</t>
  </si>
  <si>
    <t>24/04/2023 03:00</t>
  </si>
  <si>
    <t>24/04/2023 03:15</t>
  </si>
  <si>
    <t>24/04/2023 03:30</t>
  </si>
  <si>
    <t>24/04/2023 03:45</t>
  </si>
  <si>
    <t>24/04/2023 04:00</t>
  </si>
  <si>
    <t>24/04/2023 04:15</t>
  </si>
  <si>
    <t>24/04/2023 04:30</t>
  </si>
  <si>
    <t>24/04/2023 04:45</t>
  </si>
  <si>
    <t>24/04/2023 05:00</t>
  </si>
  <si>
    <t>24/04/2023 05:15</t>
  </si>
  <si>
    <t>24/04/2023 05:30</t>
  </si>
  <si>
    <t>24/04/2023 05:45</t>
  </si>
  <si>
    <t>24/04/2023 06:00</t>
  </si>
  <si>
    <t>24/04/2023 06:15</t>
  </si>
  <si>
    <t>24/04/2023 06:30</t>
  </si>
  <si>
    <t>24/04/2023 06:45</t>
  </si>
  <si>
    <t>24/04/2023 07:00</t>
  </si>
  <si>
    <t>24/04/2023 07:15</t>
  </si>
  <si>
    <t>24/04/2023 07:30</t>
  </si>
  <si>
    <t>24/04/2023 07:45</t>
  </si>
  <si>
    <t>24/04/2023 08:00</t>
  </si>
  <si>
    <t>24/04/2023 08:15</t>
  </si>
  <si>
    <t>24/04/2023 08:30</t>
  </si>
  <si>
    <t>24/04/2023 08:45</t>
  </si>
  <si>
    <t>24/04/2023 09:00</t>
  </si>
  <si>
    <t>24/04/2023 09:15</t>
  </si>
  <si>
    <t>24/04/2023 09:30</t>
  </si>
  <si>
    <t>24/04/2023 09:45</t>
  </si>
  <si>
    <t>24/04/2023 10:00</t>
  </si>
  <si>
    <t>24/04/2023 10:15</t>
  </si>
  <si>
    <t>24/04/2023 10:30</t>
  </si>
  <si>
    <t>24/04/2023 10:45</t>
  </si>
  <si>
    <t>24/04/2023 11:00</t>
  </si>
  <si>
    <t>24/04/2023 11:15</t>
  </si>
  <si>
    <t>24/04/2023 11:30</t>
  </si>
  <si>
    <t>24/04/2023 11:45</t>
  </si>
  <si>
    <t>24/04/2023 12:00</t>
  </si>
  <si>
    <t>24/04/2023 12:15</t>
  </si>
  <si>
    <t>24/04/2023 12:30</t>
  </si>
  <si>
    <t>24/04/2023 12:45</t>
  </si>
  <si>
    <t>24/04/2023 13:00</t>
  </si>
  <si>
    <t>24/04/2023 13:15</t>
  </si>
  <si>
    <t>24/04/2023 13:30</t>
  </si>
  <si>
    <t>24/04/2023 13:45</t>
  </si>
  <si>
    <t>24/04/2023 14:00</t>
  </si>
  <si>
    <t>24/04/2023 14:15</t>
  </si>
  <si>
    <t>24/04/2023 14:30</t>
  </si>
  <si>
    <t>24/04/2023 14:45</t>
  </si>
  <si>
    <t>24/04/2023 15:00</t>
  </si>
  <si>
    <t>24/04/2023 15:15</t>
  </si>
  <si>
    <t>24/04/2023 15:30</t>
  </si>
  <si>
    <t>24/04/2023 15:45</t>
  </si>
  <si>
    <t>24/04/2023 16:00</t>
  </si>
  <si>
    <t>24/04/2023 16:15</t>
  </si>
  <si>
    <t>24/04/2023 16:30</t>
  </si>
  <si>
    <t>24/04/2023 16:45</t>
  </si>
  <si>
    <t>24/04/2023 17:00</t>
  </si>
  <si>
    <t>24/04/2023 17:15</t>
  </si>
  <si>
    <t>24/04/2023 17:30</t>
  </si>
  <si>
    <t>24/04/2023 17:45</t>
  </si>
  <si>
    <t>24/04/2023 18:00</t>
  </si>
  <si>
    <t>24/04/2023 18:15</t>
  </si>
  <si>
    <t>24/04/2023 18:30</t>
  </si>
  <si>
    <t>24/04/2023 18:45</t>
  </si>
  <si>
    <t>24/04/2023 19:00</t>
  </si>
  <si>
    <t>24/04/2023 19:15</t>
  </si>
  <si>
    <t>24/04/2023 19:30</t>
  </si>
  <si>
    <t>24/04/2023 19:45</t>
  </si>
  <si>
    <t>24/04/2023 20:00</t>
  </si>
  <si>
    <t>24/04/2023 20:15</t>
  </si>
  <si>
    <t>24/04/2023 20:30</t>
  </si>
  <si>
    <t>24/04/2023 20:45</t>
  </si>
  <si>
    <t>24/04/2023 21:00</t>
  </si>
  <si>
    <t>24/04/2023 21:15</t>
  </si>
  <si>
    <t>24/04/2023 21:30</t>
  </si>
  <si>
    <t>24/04/2023 21:45</t>
  </si>
  <si>
    <t>24/04/2023 22:00</t>
  </si>
  <si>
    <t>24/04/2023 22:15</t>
  </si>
  <si>
    <t>24/04/2023 22:30</t>
  </si>
  <si>
    <t>24/04/2023 22:45</t>
  </si>
  <si>
    <t>24/04/2023 23:00</t>
  </si>
  <si>
    <t>24/04/2023 23:15</t>
  </si>
  <si>
    <t>24/04/2023 23:30</t>
  </si>
  <si>
    <t>24/04/2023 23:45</t>
  </si>
  <si>
    <t>24/04/2023 24:00</t>
  </si>
  <si>
    <t>25/04/2023 00:15</t>
  </si>
  <si>
    <t>25/04/2023 00:30</t>
  </si>
  <si>
    <t>25/04/2023 00:45</t>
  </si>
  <si>
    <t>25/04/2023 01:00</t>
  </si>
  <si>
    <t>25/04/2023 01:15</t>
  </si>
  <si>
    <t>25/04/2023 01:30</t>
  </si>
  <si>
    <t>25/04/2023 01:45</t>
  </si>
  <si>
    <t>25/04/2023 02:00</t>
  </si>
  <si>
    <t>25/04/2023 02:15</t>
  </si>
  <si>
    <t>25/04/2023 02:30</t>
  </si>
  <si>
    <t>25/04/2023 02:45</t>
  </si>
  <si>
    <t>25/04/2023 03:00</t>
  </si>
  <si>
    <t>25/04/2023 03:15</t>
  </si>
  <si>
    <t>25/04/2023 03:30</t>
  </si>
  <si>
    <t>25/04/2023 03:45</t>
  </si>
  <si>
    <t>25/04/2023 04:00</t>
  </si>
  <si>
    <t>25/04/2023 04:15</t>
  </si>
  <si>
    <t>25/04/2023 04:30</t>
  </si>
  <si>
    <t>25/04/2023 04:45</t>
  </si>
  <si>
    <t>25/04/2023 05:00</t>
  </si>
  <si>
    <t>25/04/2023 05:15</t>
  </si>
  <si>
    <t>25/04/2023 05:30</t>
  </si>
  <si>
    <t>25/04/2023 05:45</t>
  </si>
  <si>
    <t>25/04/2023 06:00</t>
  </si>
  <si>
    <t>25/04/2023 06:15</t>
  </si>
  <si>
    <t>25/04/2023 06:30</t>
  </si>
  <si>
    <t>25/04/2023 06:45</t>
  </si>
  <si>
    <t>25/04/2023 07:00</t>
  </si>
  <si>
    <t>25/04/2023 07:15</t>
  </si>
  <si>
    <t>25/04/2023 07:30</t>
  </si>
  <si>
    <t>25/04/2023 07:45</t>
  </si>
  <si>
    <t>25/04/2023 08:00</t>
  </si>
  <si>
    <t>25/04/2023 08:15</t>
  </si>
  <si>
    <t>25/04/2023 08:30</t>
  </si>
  <si>
    <t>25/04/2023 08:45</t>
  </si>
  <si>
    <t>25/04/2023 09:00</t>
  </si>
  <si>
    <t>25/04/2023 09:15</t>
  </si>
  <si>
    <t>25/04/2023 09:30</t>
  </si>
  <si>
    <t>25/04/2023 09:45</t>
  </si>
  <si>
    <t>25/04/2023 10:00</t>
  </si>
  <si>
    <t>25/04/2023 10:15</t>
  </si>
  <si>
    <t>25/04/2023 10:30</t>
  </si>
  <si>
    <t>25/04/2023 10:45</t>
  </si>
  <si>
    <t>25/04/2023 11:00</t>
  </si>
  <si>
    <t>25/04/2023 11:15</t>
  </si>
  <si>
    <t>25/04/2023 11:30</t>
  </si>
  <si>
    <t>25/04/2023 11:45</t>
  </si>
  <si>
    <t>25/04/2023 12:00</t>
  </si>
  <si>
    <t>25/04/2023 12:15</t>
  </si>
  <si>
    <t>25/04/2023 12:30</t>
  </si>
  <si>
    <t>25/04/2023 12:45</t>
  </si>
  <si>
    <t>25/04/2023 13:00</t>
  </si>
  <si>
    <t>25/04/2023 13:15</t>
  </si>
  <si>
    <t>25/04/2023 13:30</t>
  </si>
  <si>
    <t>25/04/2023 13:45</t>
  </si>
  <si>
    <t>25/04/2023 14:00</t>
  </si>
  <si>
    <t>25/04/2023 14:15</t>
  </si>
  <si>
    <t>25/04/2023 14:30</t>
  </si>
  <si>
    <t>25/04/2023 14:45</t>
  </si>
  <si>
    <t>25/04/2023 15:00</t>
  </si>
  <si>
    <t>25/04/2023 15:15</t>
  </si>
  <si>
    <t>25/04/2023 15:30</t>
  </si>
  <si>
    <t>25/04/2023 15:45</t>
  </si>
  <si>
    <t>25/04/2023 16:00</t>
  </si>
  <si>
    <t>25/04/2023 16:15</t>
  </si>
  <si>
    <t>25/04/2023 16:30</t>
  </si>
  <si>
    <t>25/04/2023 16:45</t>
  </si>
  <si>
    <t>25/04/2023 17:00</t>
  </si>
  <si>
    <t>25/04/2023 17:15</t>
  </si>
  <si>
    <t>25/04/2023 17:30</t>
  </si>
  <si>
    <t>25/04/2023 17:45</t>
  </si>
  <si>
    <t>25/04/2023 18:00</t>
  </si>
  <si>
    <t>25/04/2023 18:15</t>
  </si>
  <si>
    <t>25/04/2023 18:30</t>
  </si>
  <si>
    <t>25/04/2023 18:45</t>
  </si>
  <si>
    <t>25/04/2023 19:00</t>
  </si>
  <si>
    <t>25/04/2023 19:15</t>
  </si>
  <si>
    <t>25/04/2023 19:30</t>
  </si>
  <si>
    <t>25/04/2023 19:45</t>
  </si>
  <si>
    <t>25/04/2023 20:00</t>
  </si>
  <si>
    <t>25/04/2023 20:15</t>
  </si>
  <si>
    <t>25/04/2023 20:30</t>
  </si>
  <si>
    <t>25/04/2023 20:45</t>
  </si>
  <si>
    <t>25/04/2023 21:00</t>
  </si>
  <si>
    <t>25/04/2023 21:15</t>
  </si>
  <si>
    <t>25/04/2023 21:30</t>
  </si>
  <si>
    <t>25/04/2023 21:45</t>
  </si>
  <si>
    <t>25/04/2023 22:00</t>
  </si>
  <si>
    <t>25/04/2023 22:15</t>
  </si>
  <si>
    <t>25/04/2023 22:30</t>
  </si>
  <si>
    <t>25/04/2023 22:45</t>
  </si>
  <si>
    <t>25/04/2023 23:00</t>
  </si>
  <si>
    <t>25/04/2023 23:15</t>
  </si>
  <si>
    <t>25/04/2023 23:30</t>
  </si>
  <si>
    <t>25/04/2023 23:45</t>
  </si>
  <si>
    <t>25/04/2023 24:00</t>
  </si>
  <si>
    <t>26/04/2023 00:15</t>
  </si>
  <si>
    <t>26/04/2023 00:30</t>
  </si>
  <si>
    <t>26/04/2023 00:45</t>
  </si>
  <si>
    <t>26/04/2023 01:00</t>
  </si>
  <si>
    <t>26/04/2023 01:15</t>
  </si>
  <si>
    <t>26/04/2023 01:30</t>
  </si>
  <si>
    <t>26/04/2023 01:45</t>
  </si>
  <si>
    <t>26/04/2023 02:00</t>
  </si>
  <si>
    <t>26/04/2023 02:15</t>
  </si>
  <si>
    <t>26/04/2023 02:30</t>
  </si>
  <si>
    <t>26/04/2023 02:45</t>
  </si>
  <si>
    <t>26/04/2023 03:00</t>
  </si>
  <si>
    <t>26/04/2023 03:15</t>
  </si>
  <si>
    <t>26/04/2023 03:30</t>
  </si>
  <si>
    <t>26/04/2023 03:45</t>
  </si>
  <si>
    <t>26/04/2023 04:00</t>
  </si>
  <si>
    <t>26/04/2023 04:15</t>
  </si>
  <si>
    <t>26/04/2023 04:30</t>
  </si>
  <si>
    <t>26/04/2023 04:45</t>
  </si>
  <si>
    <t>26/04/2023 05:00</t>
  </si>
  <si>
    <t>26/04/2023 05:15</t>
  </si>
  <si>
    <t>26/04/2023 05:30</t>
  </si>
  <si>
    <t>26/04/2023 05:45</t>
  </si>
  <si>
    <t>26/04/2023 06:00</t>
  </si>
  <si>
    <t>26/04/2023 06:15</t>
  </si>
  <si>
    <t>26/04/2023 06:30</t>
  </si>
  <si>
    <t>26/04/2023 06:45</t>
  </si>
  <si>
    <t>26/04/2023 07:00</t>
  </si>
  <si>
    <t>26/04/2023 07:15</t>
  </si>
  <si>
    <t>26/04/2023 07:30</t>
  </si>
  <si>
    <t>26/04/2023 07:45</t>
  </si>
  <si>
    <t>26/04/2023 08:00</t>
  </si>
  <si>
    <t>26/04/2023 08:15</t>
  </si>
  <si>
    <t>26/04/2023 08:30</t>
  </si>
  <si>
    <t>26/04/2023 08:45</t>
  </si>
  <si>
    <t>26/04/2023 09:00</t>
  </si>
  <si>
    <t>26/04/2023 09:15</t>
  </si>
  <si>
    <t>26/04/2023 09:30</t>
  </si>
  <si>
    <t>26/04/2023 09:45</t>
  </si>
  <si>
    <t>26/04/2023 10:00</t>
  </si>
  <si>
    <t>26/04/2023 10:15</t>
  </si>
  <si>
    <t>26/04/2023 10:30</t>
  </si>
  <si>
    <t>26/04/2023 10:45</t>
  </si>
  <si>
    <t>26/04/2023 11:00</t>
  </si>
  <si>
    <t>26/04/2023 11:15</t>
  </si>
  <si>
    <t>26/04/2023 11:30</t>
  </si>
  <si>
    <t>26/04/2023 11:45</t>
  </si>
  <si>
    <t>26/04/2023 12:00</t>
  </si>
  <si>
    <t>26/04/2023 12:15</t>
  </si>
  <si>
    <t>26/04/2023 12:30</t>
  </si>
  <si>
    <t>26/04/2023 12:45</t>
  </si>
  <si>
    <t>26/04/2023 13:00</t>
  </si>
  <si>
    <t>26/04/2023 13:15</t>
  </si>
  <si>
    <t>26/04/2023 13:30</t>
  </si>
  <si>
    <t>26/04/2023 13:45</t>
  </si>
  <si>
    <t>26/04/2023 14:00</t>
  </si>
  <si>
    <t>26/04/2023 14:15</t>
  </si>
  <si>
    <t>26/04/2023 14:30</t>
  </si>
  <si>
    <t>26/04/2023 14:45</t>
  </si>
  <si>
    <t>26/04/2023 15:00</t>
  </si>
  <si>
    <t>26/04/2023 15:15</t>
  </si>
  <si>
    <t>26/04/2023 15:30</t>
  </si>
  <si>
    <t>26/04/2023 15:45</t>
  </si>
  <si>
    <t>26/04/2023 16:00</t>
  </si>
  <si>
    <t>26/04/2023 16:15</t>
  </si>
  <si>
    <t>26/04/2023 16:30</t>
  </si>
  <si>
    <t>26/04/2023 16:45</t>
  </si>
  <si>
    <t>26/04/2023 17:00</t>
  </si>
  <si>
    <t>26/04/2023 17:15</t>
  </si>
  <si>
    <t>26/04/2023 17:30</t>
  </si>
  <si>
    <t>26/04/2023 17:45</t>
  </si>
  <si>
    <t>26/04/2023 18:00</t>
  </si>
  <si>
    <t>26/04/2023 18:15</t>
  </si>
  <si>
    <t>26/04/2023 18:30</t>
  </si>
  <si>
    <t>26/04/2023 18:45</t>
  </si>
  <si>
    <t>26/04/2023 19:00</t>
  </si>
  <si>
    <t>26/04/2023 19:15</t>
  </si>
  <si>
    <t>26/04/2023 19:30</t>
  </si>
  <si>
    <t>26/04/2023 19:45</t>
  </si>
  <si>
    <t>26/04/2023 20:00</t>
  </si>
  <si>
    <t>26/04/2023 20:15</t>
  </si>
  <si>
    <t>26/04/2023 20:30</t>
  </si>
  <si>
    <t>26/04/2023 20:45</t>
  </si>
  <si>
    <t>26/04/2023 21:00</t>
  </si>
  <si>
    <t>26/04/2023 21:15</t>
  </si>
  <si>
    <t>26/04/2023 21:30</t>
  </si>
  <si>
    <t>26/04/2023 21:45</t>
  </si>
  <si>
    <t>26/04/2023 22:00</t>
  </si>
  <si>
    <t>26/04/2023 22:15</t>
  </si>
  <si>
    <t>26/04/2023 22:30</t>
  </si>
  <si>
    <t>26/04/2023 22:45</t>
  </si>
  <si>
    <t>26/04/2023 23:00</t>
  </si>
  <si>
    <t>26/04/2023 23:15</t>
  </si>
  <si>
    <t>26/04/2023 23:30</t>
  </si>
  <si>
    <t>26/04/2023 23:45</t>
  </si>
  <si>
    <t>26/04/2023 24:00</t>
  </si>
  <si>
    <t>27/04/2023 00:15</t>
  </si>
  <si>
    <t>27/04/2023 00:30</t>
  </si>
  <si>
    <t>27/04/2023 00:45</t>
  </si>
  <si>
    <t>27/04/2023 01:00</t>
  </si>
  <si>
    <t>27/04/2023 01:15</t>
  </si>
  <si>
    <t>27/04/2023 01:30</t>
  </si>
  <si>
    <t>27/04/2023 01:45</t>
  </si>
  <si>
    <t>27/04/2023 02:00</t>
  </si>
  <si>
    <t>27/04/2023 02:15</t>
  </si>
  <si>
    <t>27/04/2023 02:30</t>
  </si>
  <si>
    <t>27/04/2023 02:45</t>
  </si>
  <si>
    <t>27/04/2023 03:00</t>
  </si>
  <si>
    <t>27/04/2023 03:15</t>
  </si>
  <si>
    <t>27/04/2023 03:30</t>
  </si>
  <si>
    <t>27/04/2023 03:45</t>
  </si>
  <si>
    <t>27/04/2023 04:00</t>
  </si>
  <si>
    <t>27/04/2023 04:15</t>
  </si>
  <si>
    <t>27/04/2023 04:30</t>
  </si>
  <si>
    <t>27/04/2023 04:45</t>
  </si>
  <si>
    <t>27/04/2023 05:00</t>
  </si>
  <si>
    <t>27/04/2023 05:15</t>
  </si>
  <si>
    <t>27/04/2023 05:30</t>
  </si>
  <si>
    <t>27/04/2023 05:45</t>
  </si>
  <si>
    <t>27/04/2023 06:00</t>
  </si>
  <si>
    <t>27/04/2023 06:15</t>
  </si>
  <si>
    <t>27/04/2023 06:30</t>
  </si>
  <si>
    <t>27/04/2023 06:45</t>
  </si>
  <si>
    <t>27/04/2023 07:00</t>
  </si>
  <si>
    <t>27/04/2023 07:15</t>
  </si>
  <si>
    <t>27/04/2023 07:30</t>
  </si>
  <si>
    <t>27/04/2023 07:45</t>
  </si>
  <si>
    <t>27/04/2023 08:00</t>
  </si>
  <si>
    <t>27/04/2023 08:15</t>
  </si>
  <si>
    <t>27/04/2023 08:30</t>
  </si>
  <si>
    <t>27/04/2023 08:45</t>
  </si>
  <si>
    <t>27/04/2023 09:00</t>
  </si>
  <si>
    <t>27/04/2023 09:15</t>
  </si>
  <si>
    <t>27/04/2023 09:30</t>
  </si>
  <si>
    <t>27/04/2023 09:45</t>
  </si>
  <si>
    <t>27/04/2023 10:00</t>
  </si>
  <si>
    <t>27/04/2023 10:15</t>
  </si>
  <si>
    <t>27/04/2023 10:30</t>
  </si>
  <si>
    <t>27/04/2023 10:45</t>
  </si>
  <si>
    <t>27/04/2023 11:00</t>
  </si>
  <si>
    <t>27/04/2023 11:15</t>
  </si>
  <si>
    <t>27/04/2023 11:30</t>
  </si>
  <si>
    <t>27/04/2023 11:45</t>
  </si>
  <si>
    <t>27/04/2023 12:00</t>
  </si>
  <si>
    <t>27/04/2023 12:15</t>
  </si>
  <si>
    <t>27/04/2023 12:30</t>
  </si>
  <si>
    <t>27/04/2023 12:45</t>
  </si>
  <si>
    <t>27/04/2023 13:00</t>
  </si>
  <si>
    <t>27/04/2023 13:15</t>
  </si>
  <si>
    <t>27/04/2023 13:30</t>
  </si>
  <si>
    <t>27/04/2023 13:45</t>
  </si>
  <si>
    <t>27/04/2023 14:00</t>
  </si>
  <si>
    <t>27/04/2023 14:15</t>
  </si>
  <si>
    <t>27/04/2023 14:30</t>
  </si>
  <si>
    <t>27/04/2023 14:45</t>
  </si>
  <si>
    <t>27/04/2023 15:00</t>
  </si>
  <si>
    <t>27/04/2023 15:15</t>
  </si>
  <si>
    <t>27/04/2023 15:30</t>
  </si>
  <si>
    <t>27/04/2023 15:45</t>
  </si>
  <si>
    <t>27/04/2023 16:00</t>
  </si>
  <si>
    <t>27/04/2023 16:15</t>
  </si>
  <si>
    <t>27/04/2023 16:30</t>
  </si>
  <si>
    <t>27/04/2023 16:45</t>
  </si>
  <si>
    <t>27/04/2023 17:00</t>
  </si>
  <si>
    <t>27/04/2023 17:15</t>
  </si>
  <si>
    <t>27/04/2023 17:30</t>
  </si>
  <si>
    <t>27/04/2023 17:45</t>
  </si>
  <si>
    <t>27/04/2023 18:00</t>
  </si>
  <si>
    <t>27/04/2023 18:15</t>
  </si>
  <si>
    <t>27/04/2023 18:30</t>
  </si>
  <si>
    <t>27/04/2023 18:45</t>
  </si>
  <si>
    <t>27/04/2023 19:00</t>
  </si>
  <si>
    <t>27/04/2023 19:15</t>
  </si>
  <si>
    <t>27/04/2023 19:30</t>
  </si>
  <si>
    <t>27/04/2023 19:45</t>
  </si>
  <si>
    <t>27/04/2023 20:00</t>
  </si>
  <si>
    <t>27/04/2023 20:15</t>
  </si>
  <si>
    <t>27/04/2023 20:30</t>
  </si>
  <si>
    <t>27/04/2023 20:45</t>
  </si>
  <si>
    <t>27/04/2023 21:00</t>
  </si>
  <si>
    <t>27/04/2023 21:15</t>
  </si>
  <si>
    <t>27/04/2023 21:30</t>
  </si>
  <si>
    <t>27/04/2023 21:45</t>
  </si>
  <si>
    <t>27/04/2023 22:00</t>
  </si>
  <si>
    <t>27/04/2023 22:15</t>
  </si>
  <si>
    <t>27/04/2023 22:30</t>
  </si>
  <si>
    <t>27/04/2023 22:45</t>
  </si>
  <si>
    <t>27/04/2023 23:00</t>
  </si>
  <si>
    <t>27/04/2023 23:15</t>
  </si>
  <si>
    <t>27/04/2023 23:30</t>
  </si>
  <si>
    <t>27/04/2023 23:45</t>
  </si>
  <si>
    <t>27/04/2023 24:00</t>
  </si>
  <si>
    <t>28/04/2023 00:15</t>
  </si>
  <si>
    <t>28/04/2023 00:30</t>
  </si>
  <si>
    <t>28/04/2023 00:45</t>
  </si>
  <si>
    <t>28/04/2023 01:15</t>
  </si>
  <si>
    <t>28/04/2023 01:30</t>
  </si>
  <si>
    <t>28/04/2023 01:45</t>
  </si>
  <si>
    <t>28/04/2023 02:00</t>
  </si>
  <si>
    <t>28/04/2023 02:15</t>
  </si>
  <si>
    <t>28/04/2023 02:30</t>
  </si>
  <si>
    <t>28/04/2023 02:45</t>
  </si>
  <si>
    <t>28/04/2023 03:00</t>
  </si>
  <si>
    <t>28/04/2023 03:15</t>
  </si>
  <si>
    <t>28/04/2023 03:30</t>
  </si>
  <si>
    <t>28/04/2023 03:45</t>
  </si>
  <si>
    <t>28/04/2023 04:00</t>
  </si>
  <si>
    <t>28/04/2023 04:15</t>
  </si>
  <si>
    <t>28/04/2023 04:30</t>
  </si>
  <si>
    <t>28/04/2023 04:45</t>
  </si>
  <si>
    <t>28/04/2023 05:00</t>
  </si>
  <si>
    <t>28/04/2023 05:15</t>
  </si>
  <si>
    <t>28/04/2023 05:30</t>
  </si>
  <si>
    <t>28/04/2023 05:45</t>
  </si>
  <si>
    <t>28/04/2023 06:00</t>
  </si>
  <si>
    <t>28/04/2023 06:15</t>
  </si>
  <si>
    <t>28/04/2023 06:30</t>
  </si>
  <si>
    <t>28/04/2023 06:45</t>
  </si>
  <si>
    <t>28/04/2023 07:00</t>
  </si>
  <si>
    <t>28/04/2023 07:15</t>
  </si>
  <si>
    <t>28/04/2023 07:30</t>
  </si>
  <si>
    <t>28/04/2023 07:45</t>
  </si>
  <si>
    <t>28/04/2023 08:00</t>
  </si>
  <si>
    <t>28/04/2023 08:15</t>
  </si>
  <si>
    <t>28/04/2023 08:30</t>
  </si>
  <si>
    <t>28/04/2023 08:45</t>
  </si>
  <si>
    <t>28/04/2023 09:00</t>
  </si>
  <si>
    <t>28/04/2023 09:15</t>
  </si>
  <si>
    <t>28/04/2023 09:30</t>
  </si>
  <si>
    <t>28/04/2023 09:45</t>
  </si>
  <si>
    <t>28/04/2023 10:00</t>
  </si>
  <si>
    <t>28/04/2023 10:15</t>
  </si>
  <si>
    <t>28/04/2023 10:30</t>
  </si>
  <si>
    <t>28/04/2023 10:45</t>
  </si>
  <si>
    <t>28/04/2023 11:00</t>
  </si>
  <si>
    <t>28/04/2023 11:15</t>
  </si>
  <si>
    <t>28/04/2023 11:30</t>
  </si>
  <si>
    <t>28/04/2023 11:45</t>
  </si>
  <si>
    <t>28/04/2023 12:00</t>
  </si>
  <si>
    <t>28/04/2023 12:15</t>
  </si>
  <si>
    <t>28/04/2023 12:30</t>
  </si>
  <si>
    <t>28/04/2023 12:45</t>
  </si>
  <si>
    <t>28/04/2023 13:00</t>
  </si>
  <si>
    <t>28/04/2023 13:15</t>
  </si>
  <si>
    <t>28/04/2023 13:30</t>
  </si>
  <si>
    <t>28/04/2023 13:45</t>
  </si>
  <si>
    <t>28/04/2023 14:00</t>
  </si>
  <si>
    <t>28/04/2023 14:15</t>
  </si>
  <si>
    <t>28/04/2023 14:30</t>
  </si>
  <si>
    <t>28/04/2023 14:45</t>
  </si>
  <si>
    <t>28/04/2023 15:00</t>
  </si>
  <si>
    <t>28/04/2023 15:15</t>
  </si>
  <si>
    <t>28/04/2023 15:30</t>
  </si>
  <si>
    <t>28/04/2023 15:45</t>
  </si>
  <si>
    <t>28/04/2023 16:00</t>
  </si>
  <si>
    <t>28/04/2023 16:15</t>
  </si>
  <si>
    <t>28/04/2023 16:30</t>
  </si>
  <si>
    <t>28/04/2023 16:45</t>
  </si>
  <si>
    <t>28/04/2023 17:00</t>
  </si>
  <si>
    <t>28/04/2023 17:15</t>
  </si>
  <si>
    <t>28/04/2023 17:30</t>
  </si>
  <si>
    <t>28/04/2023 17:45</t>
  </si>
  <si>
    <t>28/04/2023 18:00</t>
  </si>
  <si>
    <t>28/04/2023 18:15</t>
  </si>
  <si>
    <t>28/04/2023 18:30</t>
  </si>
  <si>
    <t>28/04/2023 18:45</t>
  </si>
  <si>
    <t>28/04/2023 19:00</t>
  </si>
  <si>
    <t>28/04/2023 19:15</t>
  </si>
  <si>
    <t>28/04/2023 19:30</t>
  </si>
  <si>
    <t>28/04/2023 19:45</t>
  </si>
  <si>
    <t>28/04/2023 20:00</t>
  </si>
  <si>
    <t>28/04/2023 20:15</t>
  </si>
  <si>
    <t>28/04/2023 20:30</t>
  </si>
  <si>
    <t>28/04/2023 20:45</t>
  </si>
  <si>
    <t>28/04/2023 21:00</t>
  </si>
  <si>
    <t>28/04/2023 21:15</t>
  </si>
  <si>
    <t>28/04/2023 21:30</t>
  </si>
  <si>
    <t>28/04/2023 21:45</t>
  </si>
  <si>
    <t>28/04/2023 22:00</t>
  </si>
  <si>
    <t>28/04/2023 22:15</t>
  </si>
  <si>
    <t>28/04/2023 22:30</t>
  </si>
  <si>
    <t>28/04/2023 22:45</t>
  </si>
  <si>
    <t>28/04/2023 23:00</t>
  </si>
  <si>
    <t>28/04/2023 23:15</t>
  </si>
  <si>
    <t>28/04/2023 23:30</t>
  </si>
  <si>
    <t>28/04/2023 23:45</t>
  </si>
  <si>
    <t>28/04/2023 24:00</t>
  </si>
  <si>
    <t>29/04/2023 00:15</t>
  </si>
  <si>
    <t>29/04/2023 00:30</t>
  </si>
  <si>
    <t>29/04/2023 00:45</t>
  </si>
  <si>
    <t>29/04/2023 01:00</t>
  </si>
  <si>
    <t>29/04/2023 01:15</t>
  </si>
  <si>
    <t>29/04/2023 01:30</t>
  </si>
  <si>
    <t>29/04/2023 01:45</t>
  </si>
  <si>
    <t>29/04/2023 02:00</t>
  </si>
  <si>
    <t>29/04/2023 02:15</t>
  </si>
  <si>
    <t>29/04/2023 02:30</t>
  </si>
  <si>
    <t>29/04/2023 02:45</t>
  </si>
  <si>
    <t>29/04/2023 03:00</t>
  </si>
  <si>
    <t>29/04/2023 03:15</t>
  </si>
  <si>
    <t>29/04/2023 03:30</t>
  </si>
  <si>
    <t>29/04/2023 03:45</t>
  </si>
  <si>
    <t>29/04/2023 04:00</t>
  </si>
  <si>
    <t>29/04/2023 04:15</t>
  </si>
  <si>
    <t>29/04/2023 04:30</t>
  </si>
  <si>
    <t>29/04/2023 04:45</t>
  </si>
  <si>
    <t>29/04/2023 05:00</t>
  </si>
  <si>
    <t>29/04/2023 05:15</t>
  </si>
  <si>
    <t>29/04/2023 05:30</t>
  </si>
  <si>
    <t>29/04/2023 05:45</t>
  </si>
  <si>
    <t>29/04/2023 06:00</t>
  </si>
  <si>
    <t>29/04/2023 06:15</t>
  </si>
  <si>
    <t>29/04/2023 06:30</t>
  </si>
  <si>
    <t>29/04/2023 06:45</t>
  </si>
  <si>
    <t>29/04/2023 07:00</t>
  </si>
  <si>
    <t>29/04/2023 07:15</t>
  </si>
  <si>
    <t>29/04/2023 07:30</t>
  </si>
  <si>
    <t>29/04/2023 07:45</t>
  </si>
  <si>
    <t>29/04/2023 08:00</t>
  </si>
  <si>
    <t>29/04/2023 08:15</t>
  </si>
  <si>
    <t>29/04/2023 08:30</t>
  </si>
  <si>
    <t>29/04/2023 08:45</t>
  </si>
  <si>
    <t>29/04/2023 09:00</t>
  </si>
  <si>
    <t>29/04/2023 09:15</t>
  </si>
  <si>
    <t>29/04/2023 09:30</t>
  </si>
  <si>
    <t>29/04/2023 09:45</t>
  </si>
  <si>
    <t>29/04/2023 10:00</t>
  </si>
  <si>
    <t>29/04/2023 10:15</t>
  </si>
  <si>
    <t>29/04/2023 10:30</t>
  </si>
  <si>
    <t>29/04/2023 10:45</t>
  </si>
  <si>
    <t>29/04/2023 11:00</t>
  </si>
  <si>
    <t>29/04/2023 11:15</t>
  </si>
  <si>
    <t>29/04/2023 11:30</t>
  </si>
  <si>
    <t>29/04/2023 11:45</t>
  </si>
  <si>
    <t>29/04/2023 12:00</t>
  </si>
  <si>
    <t>29/04/2023 12:15</t>
  </si>
  <si>
    <t>29/04/2023 12:30</t>
  </si>
  <si>
    <t>29/04/2023 12:45</t>
  </si>
  <si>
    <t>29/04/2023 13:00</t>
  </si>
  <si>
    <t>29/04/2023 13:15</t>
  </si>
  <si>
    <t>29/04/2023 13:30</t>
  </si>
  <si>
    <t>29/04/2023 13:45</t>
  </si>
  <si>
    <t>29/04/2023 14:00</t>
  </si>
  <si>
    <t>29/04/2023 14:15</t>
  </si>
  <si>
    <t>29/04/2023 14:30</t>
  </si>
  <si>
    <t>29/04/2023 14:45</t>
  </si>
  <si>
    <t>29/04/2023 15:00</t>
  </si>
  <si>
    <t>29/04/2023 15:15</t>
  </si>
  <si>
    <t>29/04/2023 15:30</t>
  </si>
  <si>
    <t>29/04/2023 15:45</t>
  </si>
  <si>
    <t>29/04/2023 16:00</t>
  </si>
  <si>
    <t>29/04/2023 16:15</t>
  </si>
  <si>
    <t>29/04/2023 16:30</t>
  </si>
  <si>
    <t>29/04/2023 16:45</t>
  </si>
  <si>
    <t>29/04/2023 17:00</t>
  </si>
  <si>
    <t>29/04/2023 17:15</t>
  </si>
  <si>
    <t>29/04/2023 17:30</t>
  </si>
  <si>
    <t>29/04/2023 17:45</t>
  </si>
  <si>
    <t>29/04/2023 18:00</t>
  </si>
  <si>
    <t>29/04/2023 18:15</t>
  </si>
  <si>
    <t>29/04/2023 18:30</t>
  </si>
  <si>
    <t>29/04/2023 18:45</t>
  </si>
  <si>
    <t>29/04/2023 19:00</t>
  </si>
  <si>
    <t>29/04/2023 19:15</t>
  </si>
  <si>
    <t>29/04/2023 19:30</t>
  </si>
  <si>
    <t>29/04/2023 19:45</t>
  </si>
  <si>
    <t>29/04/2023 20:00</t>
  </si>
  <si>
    <t>29/04/2023 20:15</t>
  </si>
  <si>
    <t>29/04/2023 20:30</t>
  </si>
  <si>
    <t>29/04/2023 20:45</t>
  </si>
  <si>
    <t>29/04/2023 21:00</t>
  </si>
  <si>
    <t>29/04/2023 21:15</t>
  </si>
  <si>
    <t>29/04/2023 21:30</t>
  </si>
  <si>
    <t>29/04/2023 21:45</t>
  </si>
  <si>
    <t>29/04/2023 22:00</t>
  </si>
  <si>
    <t>29/04/2023 22:15</t>
  </si>
  <si>
    <t>29/04/2023 22:30</t>
  </si>
  <si>
    <t>29/04/2023 22:45</t>
  </si>
  <si>
    <t>29/04/2023 23:00</t>
  </si>
  <si>
    <t>29/04/2023 23:15</t>
  </si>
  <si>
    <t>29/04/2023 23:30</t>
  </si>
  <si>
    <t>29/04/2023 23:45</t>
  </si>
  <si>
    <t>29/04/2023 24:00</t>
  </si>
  <si>
    <t>30/04/2023 00:15</t>
  </si>
  <si>
    <t>30/04/2023 00:30</t>
  </si>
  <si>
    <t>30/04/2023 00:45</t>
  </si>
  <si>
    <t>30/04/2023 01:00</t>
  </si>
  <si>
    <t>30/04/2023 01:15</t>
  </si>
  <si>
    <t>30/04/2023 01:30</t>
  </si>
  <si>
    <t>30/04/2023 01:45</t>
  </si>
  <si>
    <t>30/04/2023 02:00</t>
  </si>
  <si>
    <t>30/04/2023 02:15</t>
  </si>
  <si>
    <t>30/04/2023 02:30</t>
  </si>
  <si>
    <t>30/04/2023 02:45</t>
  </si>
  <si>
    <t>30/04/2023 03:00</t>
  </si>
  <si>
    <t>30/04/2023 03:15</t>
  </si>
  <si>
    <t>30/04/2023 03:30</t>
  </si>
  <si>
    <t>30/04/2023 03:45</t>
  </si>
  <si>
    <t>30/04/2023 04:00</t>
  </si>
  <si>
    <t>30/04/2023 04:15</t>
  </si>
  <si>
    <t>30/04/2023 04:30</t>
  </si>
  <si>
    <t>30/04/2023 04:45</t>
  </si>
  <si>
    <t>30/04/2023 05:00</t>
  </si>
  <si>
    <t>30/04/2023 05:15</t>
  </si>
  <si>
    <t>30/04/2023 05:30</t>
  </si>
  <si>
    <t>30/04/2023 05:45</t>
  </si>
  <si>
    <t>30/04/2023 06:00</t>
  </si>
  <si>
    <t>30/04/2023 06:15</t>
  </si>
  <si>
    <t>30/04/2023 06:30</t>
  </si>
  <si>
    <t>30/04/2023 06:45</t>
  </si>
  <si>
    <t>30/04/2023 07:00</t>
  </si>
  <si>
    <t>30/04/2023 07:15</t>
  </si>
  <si>
    <t>30/04/2023 07:30</t>
  </si>
  <si>
    <t>30/04/2023 07:45</t>
  </si>
  <si>
    <t>30/04/2023 08:00</t>
  </si>
  <si>
    <t>30/04/2023 08:15</t>
  </si>
  <si>
    <t>30/04/2023 08:30</t>
  </si>
  <si>
    <t>30/04/2023 08:45</t>
  </si>
  <si>
    <t>30/04/2023 09:00</t>
  </si>
  <si>
    <t>30/04/2023 09:15</t>
  </si>
  <si>
    <t>30/04/2023 09:30</t>
  </si>
  <si>
    <t>30/04/2023 09:45</t>
  </si>
  <si>
    <t>30/04/2023 10:00</t>
  </si>
  <si>
    <t>30/04/2023 10:15</t>
  </si>
  <si>
    <t>30/04/2023 10:30</t>
  </si>
  <si>
    <t>30/04/2023 10:45</t>
  </si>
  <si>
    <t>30/04/2023 11:00</t>
  </si>
  <si>
    <t>30/04/2023 11:15</t>
  </si>
  <si>
    <t>30/04/2023 11:30</t>
  </si>
  <si>
    <t>30/04/2023 11:45</t>
  </si>
  <si>
    <t>30/04/2023 12:00</t>
  </si>
  <si>
    <t>30/04/2023 12:15</t>
  </si>
  <si>
    <t>30/04/2023 12:30</t>
  </si>
  <si>
    <t>30/04/2023 12:45</t>
  </si>
  <si>
    <t>30/04/2023 13:00</t>
  </si>
  <si>
    <t>30/04/2023 13:15</t>
  </si>
  <si>
    <t>30/04/2023 13:30</t>
  </si>
  <si>
    <t>30/04/2023 13:45</t>
  </si>
  <si>
    <t>30/04/2023 14:00</t>
  </si>
  <si>
    <t>30/04/2023 14:15</t>
  </si>
  <si>
    <t>30/04/2023 14:30</t>
  </si>
  <si>
    <t>30/04/2023 14:45</t>
  </si>
  <si>
    <t>30/04/2023 15:00</t>
  </si>
  <si>
    <t>30/04/2023 15:15</t>
  </si>
  <si>
    <t>30/04/2023 15:30</t>
  </si>
  <si>
    <t>30/04/2023 15:45</t>
  </si>
  <si>
    <t>30/04/2023 16:00</t>
  </si>
  <si>
    <t>30/04/2023 16:15</t>
  </si>
  <si>
    <t>30/04/2023 16:30</t>
  </si>
  <si>
    <t>30/04/2023 16:45</t>
  </si>
  <si>
    <t>30/04/2023 17:00</t>
  </si>
  <si>
    <t>30/04/2023 17:15</t>
  </si>
  <si>
    <t>30/04/2023 17:30</t>
  </si>
  <si>
    <t>30/04/2023 17:45</t>
  </si>
  <si>
    <t>30/04/2023 18:00</t>
  </si>
  <si>
    <t>30/04/2023 18:15</t>
  </si>
  <si>
    <t>30/04/2023 18:30</t>
  </si>
  <si>
    <t>30/04/2023 18:45</t>
  </si>
  <si>
    <t>30/04/2023 19:00</t>
  </si>
  <si>
    <t>30/04/2023 19:15</t>
  </si>
  <si>
    <t>30/04/2023 19:30</t>
  </si>
  <si>
    <t>30/04/2023 19:45</t>
  </si>
  <si>
    <t>30/04/2023 20:00</t>
  </si>
  <si>
    <t>30/04/2023 20:15</t>
  </si>
  <si>
    <t>30/04/2023 20:30</t>
  </si>
  <si>
    <t>30/04/2023 20:45</t>
  </si>
  <si>
    <t>30/04/2023 21:00</t>
  </si>
  <si>
    <t>30/04/2023 21:15</t>
  </si>
  <si>
    <t>30/04/2023 21:30</t>
  </si>
  <si>
    <t>30/04/2023 21:45</t>
  </si>
  <si>
    <t>30/04/2023 22:00</t>
  </si>
  <si>
    <t>30/04/2023 22:15</t>
  </si>
  <si>
    <t>30/04/2023 22:30</t>
  </si>
  <si>
    <t>30/04/2023 22:45</t>
  </si>
  <si>
    <t>30/04/2023 23:00</t>
  </si>
  <si>
    <t>30/04/2023 23:15</t>
  </si>
  <si>
    <t>30/04/2023 23:30</t>
  </si>
  <si>
    <t>30/04/2023 23:45</t>
  </si>
  <si>
    <t>30/04/2023 24:00</t>
  </si>
  <si>
    <t>IGKV, Raipur</t>
  </si>
  <si>
    <t>24 HRS</t>
  </si>
  <si>
    <t>NO_RAIPUR</t>
  </si>
  <si>
    <t>NO2_RAIPUR</t>
  </si>
  <si>
    <t>NOX_RAIPUR</t>
  </si>
  <si>
    <t>SO2_RAIPUR</t>
  </si>
  <si>
    <t>O3_RAIPUR</t>
  </si>
  <si>
    <t>PM10_RAIPUR</t>
  </si>
  <si>
    <t>PM2_5_RAIPUR</t>
  </si>
  <si>
    <t>BENZ_RAIPUR</t>
  </si>
  <si>
    <t>WS_RAIPUR</t>
  </si>
  <si>
    <t>WD_RAIPUR</t>
  </si>
  <si>
    <t>TEMP_RAIPUR</t>
  </si>
  <si>
    <t>HUM_RAIPUR</t>
  </si>
  <si>
    <t>SR_RAIPUR</t>
  </si>
  <si>
    <t>RG_RAIPUR</t>
  </si>
  <si>
    <t>CO_RAIPUR</t>
  </si>
  <si>
    <t>NH3_RAIPUR</t>
  </si>
  <si>
    <t>Report:</t>
  </si>
  <si>
    <t>Calibration Report Of IGKV, RAIPUR</t>
  </si>
  <si>
    <t>01/04/2023 00:15 - 30/04/2023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</si>
  <si>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</si>
  <si>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</si>
  <si>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</si>
  <si>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</si>
  <si>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</si>
  <si>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</si>
  <si>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</si>
  <si>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</si>
  <si>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</si>
  <si>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</si>
  <si>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</si>
  <si>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</si>
  <si>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</si>
  <si>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</si>
  <si>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</si>
  <si>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</si>
  <si>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</si>
  <si>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</si>
  <si>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</si>
  <si>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</si>
  <si>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</si>
  <si>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</si>
  <si>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</si>
  <si>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PM 2.5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</si>
  <si>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</si>
  <si>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</si>
  <si>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</si>
  <si>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</si>
  <si>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t>NH3</t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</si>
  <si>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</si>
  <si>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t>CO</t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</si>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</sst>
</file>

<file path=xl/styles.xml><?xml version="1.0" encoding="utf-8"?>
<styleSheet xmlns="http://schemas.openxmlformats.org/spreadsheetml/2006/main">
  <numFmts count="8">
    <numFmt numFmtId="176" formatCode="mmm\-yy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177" formatCode="mmmm\-yyyy"/>
    <numFmt numFmtId="178" formatCode="0.0000"/>
    <numFmt numFmtId="179" formatCode="0.000"/>
  </numFmts>
  <fonts count="6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90844447157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90844447157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75585192419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90844447157"/>
      <name val="Arial Black"/>
      <charset val="134"/>
    </font>
    <font>
      <sz val="11"/>
      <color theme="3" tint="0.399975585192419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0"/>
      <color indexed="9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2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2" fontId="45" fillId="0" borderId="0" applyFont="0" applyFill="0" applyBorder="0" applyAlignment="0" applyProtection="0">
      <alignment vertical="center"/>
    </xf>
    <xf numFmtId="44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2" borderId="42" applyNumberFormat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45" fillId="18" borderId="41" applyNumberFormat="0" applyFont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43" applyNumberFormat="0" applyFill="0" applyAlignment="0" applyProtection="0">
      <alignment vertical="center"/>
    </xf>
    <xf numFmtId="0" fontId="55" fillId="0" borderId="4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9" borderId="45" applyNumberFormat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7" fillId="31" borderId="46" applyNumberFormat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58" fillId="31" borderId="45" applyNumberFormat="0" applyAlignment="0" applyProtection="0">
      <alignment vertical="center"/>
    </xf>
    <xf numFmtId="0" fontId="46" fillId="0" borderId="40" applyNumberFormat="0" applyFill="0" applyAlignment="0" applyProtection="0">
      <alignment vertical="center"/>
    </xf>
    <xf numFmtId="0" fontId="59" fillId="0" borderId="47" applyNumberFormat="0" applyFill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</cellStyleXfs>
  <cellXfs count="22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58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8" fillId="3" borderId="13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58" fontId="11" fillId="0" borderId="0" xfId="0" applyNumberFormat="1" applyFont="1" applyAlignment="1">
      <alignment horizontal="center"/>
    </xf>
    <xf numFmtId="0" fontId="12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58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5" fillId="3" borderId="14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wrapText="1"/>
    </xf>
    <xf numFmtId="0" fontId="8" fillId="3" borderId="19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6" fillId="3" borderId="19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5" fillId="3" borderId="29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177" fontId="27" fillId="5" borderId="0" xfId="0" applyNumberFormat="1" applyFont="1" applyFill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0" fontId="33" fillId="3" borderId="36" xfId="0" applyFont="1" applyFill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78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8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78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79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58" fontId="0" fillId="0" borderId="0" xfId="0" applyNumberFormat="1"/>
    <xf numFmtId="58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6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58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58" fontId="28" fillId="0" borderId="7" xfId="0" applyNumberFormat="1" applyFont="1" applyFill="1" applyBorder="1" applyAlignment="1">
      <alignment horizontal="center"/>
    </xf>
    <xf numFmtId="0" fontId="2" fillId="0" borderId="7" xfId="0" applyFont="1" applyBorder="1"/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0" fontId="37" fillId="5" borderId="0" xfId="0" applyFont="1" applyFill="1" applyAlignment="1">
      <alignment horizontal="center"/>
    </xf>
    <xf numFmtId="58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58" fontId="13" fillId="0" borderId="0" xfId="0" applyNumberFormat="1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" fillId="0" borderId="19" xfId="0" applyFont="1" applyBorder="1"/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0" fillId="0" borderId="0" xfId="0" applyNumberFormat="1"/>
    <xf numFmtId="2" fontId="0" fillId="0" borderId="0" xfId="0" applyNumberFormat="1"/>
    <xf numFmtId="0" fontId="0" fillId="0" borderId="7" xfId="0" applyNumberFormat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haredStrings" Target="sharedStrings.xml"/><Relationship Id="rId36" Type="http://schemas.openxmlformats.org/officeDocument/2006/relationships/styles" Target="style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0" zoomScaleNormal="80" workbookViewId="0">
      <pane xSplit="1" ySplit="8" topLeftCell="B103" activePane="bottomRight" state="frozen"/>
      <selection/>
      <selection pane="topRight"/>
      <selection pane="bottomLeft"/>
      <selection pane="bottomRight" activeCell="G110" sqref="G110:H110"/>
    </sheetView>
  </sheetViews>
  <sheetFormatPr defaultColWidth="8.85714285714286" defaultRowHeight="15"/>
  <cols>
    <col min="1" max="1" width="21" style="48" customWidth="1"/>
    <col min="2" max="2" width="16.4285714285714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6.4285714285714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7.1428571428571" style="2" customWidth="1"/>
    <col min="15" max="15" width="9.85714285714286" style="2" customWidth="1"/>
    <col min="16" max="16" width="14.7142857142857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01/04/2023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47</v>
      </c>
      <c r="B9" s="165">
        <v>26.95</v>
      </c>
      <c r="C9" s="165">
        <v>59.83</v>
      </c>
      <c r="D9" s="165">
        <v>53.74</v>
      </c>
      <c r="E9" s="165">
        <v>7.25</v>
      </c>
      <c r="F9" s="165">
        <v>3.2</v>
      </c>
      <c r="G9" s="165">
        <v>29.01</v>
      </c>
      <c r="H9" s="165">
        <v>5.48</v>
      </c>
      <c r="I9" s="165">
        <v>4.79</v>
      </c>
      <c r="J9" s="165">
        <v>0.1</v>
      </c>
      <c r="K9" s="165">
        <v>278.88</v>
      </c>
      <c r="L9" s="165">
        <v>23.46</v>
      </c>
      <c r="M9" s="165">
        <v>75.12</v>
      </c>
      <c r="N9" s="165">
        <v>0</v>
      </c>
      <c r="O9" s="165">
        <v>0</v>
      </c>
      <c r="P9" s="165">
        <v>0.61</v>
      </c>
      <c r="Q9" s="165">
        <v>7.05</v>
      </c>
      <c r="R9" s="13"/>
      <c r="S9" s="13"/>
      <c r="T9" s="213"/>
      <c r="U9" s="13"/>
    </row>
    <row r="10" customFormat="1" spans="1:21">
      <c r="A10" s="142" t="s">
        <v>48</v>
      </c>
      <c r="B10" s="165">
        <v>28.11</v>
      </c>
      <c r="C10" s="165">
        <v>68.72</v>
      </c>
      <c r="D10" s="165">
        <v>59.32</v>
      </c>
      <c r="E10" s="165">
        <v>7.63</v>
      </c>
      <c r="F10" s="165">
        <v>2.62</v>
      </c>
      <c r="G10" s="165">
        <v>28.14</v>
      </c>
      <c r="H10" s="165">
        <v>5.48</v>
      </c>
      <c r="I10" s="165">
        <v>4.76</v>
      </c>
      <c r="J10" s="165">
        <v>0.12</v>
      </c>
      <c r="K10" s="165">
        <v>11.88</v>
      </c>
      <c r="L10" s="165">
        <v>23.54</v>
      </c>
      <c r="M10" s="165">
        <v>73.23</v>
      </c>
      <c r="N10" s="165">
        <v>0</v>
      </c>
      <c r="O10" s="165">
        <v>0</v>
      </c>
      <c r="P10" s="165">
        <v>0.62</v>
      </c>
      <c r="Q10" s="165">
        <v>7.26</v>
      </c>
      <c r="R10" s="13"/>
      <c r="S10" s="13"/>
      <c r="T10" s="213"/>
      <c r="U10" s="13"/>
    </row>
    <row r="11" customFormat="1" spans="1:21">
      <c r="A11" s="142" t="s">
        <v>49</v>
      </c>
      <c r="B11" s="165">
        <v>29.71</v>
      </c>
      <c r="C11" s="165">
        <v>65.98</v>
      </c>
      <c r="D11" s="165">
        <v>59.17</v>
      </c>
      <c r="E11" s="165">
        <v>7.58</v>
      </c>
      <c r="F11" s="165">
        <v>2.95</v>
      </c>
      <c r="G11" s="165">
        <v>28.14</v>
      </c>
      <c r="H11" s="165">
        <v>5.48</v>
      </c>
      <c r="I11" s="165">
        <v>4.73</v>
      </c>
      <c r="J11" s="165">
        <v>0.23</v>
      </c>
      <c r="K11" s="165">
        <v>110.08</v>
      </c>
      <c r="L11" s="165">
        <v>23.39</v>
      </c>
      <c r="M11" s="165">
        <v>75.43</v>
      </c>
      <c r="N11" s="165">
        <v>0</v>
      </c>
      <c r="O11" s="165">
        <v>0</v>
      </c>
      <c r="P11" s="165">
        <v>0.61</v>
      </c>
      <c r="Q11" s="165">
        <v>7.3</v>
      </c>
      <c r="R11" s="13"/>
      <c r="S11" s="13"/>
      <c r="T11" s="213"/>
      <c r="U11" s="13"/>
    </row>
    <row r="12" customFormat="1" spans="1:21">
      <c r="A12" s="101">
        <v>45017.0416666667</v>
      </c>
      <c r="B12" s="165">
        <v>30.78</v>
      </c>
      <c r="C12" s="165">
        <v>65.98</v>
      </c>
      <c r="D12" s="165">
        <v>60.03</v>
      </c>
      <c r="E12" s="165">
        <v>7.62</v>
      </c>
      <c r="F12" s="165">
        <v>2.9</v>
      </c>
      <c r="G12" s="165">
        <v>28.14</v>
      </c>
      <c r="H12" s="165">
        <v>5.48</v>
      </c>
      <c r="I12" s="165">
        <v>4.76</v>
      </c>
      <c r="J12" s="165">
        <v>0.17</v>
      </c>
      <c r="K12" s="165">
        <v>163.23</v>
      </c>
      <c r="L12" s="165">
        <v>23.03</v>
      </c>
      <c r="M12" s="165">
        <v>78.06</v>
      </c>
      <c r="N12" s="165">
        <v>0</v>
      </c>
      <c r="O12" s="165">
        <v>0</v>
      </c>
      <c r="P12" s="165">
        <v>0.61</v>
      </c>
      <c r="Q12" s="165">
        <v>7.34</v>
      </c>
      <c r="R12" s="13"/>
      <c r="S12" s="13"/>
      <c r="T12" s="213"/>
      <c r="U12" s="13"/>
    </row>
    <row r="13" customFormat="1" spans="1:21">
      <c r="A13" s="142" t="s">
        <v>50</v>
      </c>
      <c r="B13" s="165">
        <v>31.57</v>
      </c>
      <c r="C13" s="165">
        <v>68.41</v>
      </c>
      <c r="D13" s="165">
        <v>61.94</v>
      </c>
      <c r="E13" s="165">
        <v>7.89</v>
      </c>
      <c r="F13" s="165">
        <v>2.7</v>
      </c>
      <c r="G13" s="165">
        <v>27.47</v>
      </c>
      <c r="H13" s="165">
        <v>7.59</v>
      </c>
      <c r="I13" s="165">
        <v>4.74</v>
      </c>
      <c r="J13" s="165">
        <v>0.18</v>
      </c>
      <c r="K13" s="165">
        <v>170.93</v>
      </c>
      <c r="L13" s="165">
        <v>22.67</v>
      </c>
      <c r="M13" s="165">
        <v>81.18</v>
      </c>
      <c r="N13" s="165">
        <v>0</v>
      </c>
      <c r="O13" s="165">
        <v>0</v>
      </c>
      <c r="P13" s="165">
        <v>0.62</v>
      </c>
      <c r="Q13" s="165">
        <v>7.43</v>
      </c>
      <c r="R13" s="13"/>
      <c r="S13" s="13"/>
      <c r="T13" s="213"/>
      <c r="U13" s="13"/>
    </row>
    <row r="14" customFormat="1" spans="1:21">
      <c r="A14" s="142" t="s">
        <v>51</v>
      </c>
      <c r="B14" s="165">
        <v>32.56</v>
      </c>
      <c r="C14" s="165">
        <v>67.4</v>
      </c>
      <c r="D14" s="165">
        <v>62.2</v>
      </c>
      <c r="E14" s="165">
        <v>7.88</v>
      </c>
      <c r="F14" s="165">
        <v>2.81</v>
      </c>
      <c r="G14" s="165">
        <v>27.3</v>
      </c>
      <c r="H14" s="165">
        <v>7.59</v>
      </c>
      <c r="I14" s="165">
        <v>4.79</v>
      </c>
      <c r="J14" s="165">
        <v>0.2</v>
      </c>
      <c r="K14" s="165">
        <v>45.52</v>
      </c>
      <c r="L14" s="165">
        <v>22.46</v>
      </c>
      <c r="M14" s="165">
        <v>80.33</v>
      </c>
      <c r="N14" s="165">
        <v>0</v>
      </c>
      <c r="O14" s="165">
        <v>0</v>
      </c>
      <c r="P14" s="165">
        <v>0.62</v>
      </c>
      <c r="Q14" s="165">
        <v>7.51</v>
      </c>
      <c r="R14" s="13"/>
      <c r="S14" s="13"/>
      <c r="T14" s="213"/>
      <c r="U14" s="13"/>
    </row>
    <row r="15" customFormat="1" spans="1:21">
      <c r="A15" s="142" t="s">
        <v>52</v>
      </c>
      <c r="B15" s="165">
        <v>33.84</v>
      </c>
      <c r="C15" s="165">
        <v>64.05</v>
      </c>
      <c r="D15" s="165">
        <v>61.47</v>
      </c>
      <c r="E15" s="165">
        <v>7.76</v>
      </c>
      <c r="F15" s="165">
        <v>3.04</v>
      </c>
      <c r="G15" s="165">
        <v>27.3</v>
      </c>
      <c r="H15" s="165">
        <v>7.59</v>
      </c>
      <c r="I15" s="165">
        <v>4.77</v>
      </c>
      <c r="J15" s="165">
        <v>0.4</v>
      </c>
      <c r="K15" s="165">
        <v>23.39</v>
      </c>
      <c r="L15" s="165">
        <v>22.72</v>
      </c>
      <c r="M15" s="165">
        <v>77.06</v>
      </c>
      <c r="N15" s="165">
        <v>0</v>
      </c>
      <c r="O15" s="165">
        <v>0</v>
      </c>
      <c r="P15" s="165">
        <v>0.6</v>
      </c>
      <c r="Q15" s="165">
        <v>7.5</v>
      </c>
      <c r="R15" s="13"/>
      <c r="S15" s="13"/>
      <c r="T15" s="213"/>
      <c r="U15" s="13"/>
    </row>
    <row r="16" customFormat="1" spans="1:21">
      <c r="A16" s="142" t="s">
        <v>53</v>
      </c>
      <c r="B16" s="165">
        <v>34.75</v>
      </c>
      <c r="C16" s="165">
        <v>67.14</v>
      </c>
      <c r="D16" s="165">
        <v>63.82</v>
      </c>
      <c r="E16" s="165">
        <v>7.11</v>
      </c>
      <c r="F16" s="165">
        <v>2.67</v>
      </c>
      <c r="G16" s="165">
        <v>27.3</v>
      </c>
      <c r="H16" s="165">
        <v>7.59</v>
      </c>
      <c r="I16" s="165">
        <v>4.73</v>
      </c>
      <c r="J16" s="165">
        <v>0.31</v>
      </c>
      <c r="K16" s="165">
        <v>46.43</v>
      </c>
      <c r="L16" s="165">
        <v>22.79</v>
      </c>
      <c r="M16" s="165">
        <v>76.8</v>
      </c>
      <c r="N16" s="165">
        <v>0</v>
      </c>
      <c r="O16" s="165">
        <v>0</v>
      </c>
      <c r="P16" s="165">
        <v>0.62</v>
      </c>
      <c r="Q16" s="165">
        <v>7.58</v>
      </c>
      <c r="R16" s="13"/>
      <c r="S16" s="13"/>
      <c r="T16" s="213"/>
      <c r="U16" s="13"/>
    </row>
    <row r="17" customFormat="1" spans="1:21">
      <c r="A17" s="142" t="s">
        <v>54</v>
      </c>
      <c r="B17" s="165">
        <v>36.19</v>
      </c>
      <c r="C17" s="165">
        <v>63.47</v>
      </c>
      <c r="D17" s="165">
        <v>63.05</v>
      </c>
      <c r="E17" s="165">
        <v>5.07</v>
      </c>
      <c r="F17" s="165">
        <v>3.11</v>
      </c>
      <c r="G17" s="165">
        <v>29.32</v>
      </c>
      <c r="H17" s="165">
        <v>13.53</v>
      </c>
      <c r="I17" s="165">
        <v>4.74</v>
      </c>
      <c r="J17" s="165">
        <v>0.2</v>
      </c>
      <c r="K17" s="165">
        <v>56.35</v>
      </c>
      <c r="L17" s="165">
        <v>22.81</v>
      </c>
      <c r="M17" s="165">
        <v>77.3</v>
      </c>
      <c r="N17" s="165">
        <v>0</v>
      </c>
      <c r="O17" s="165">
        <v>0</v>
      </c>
      <c r="P17" s="165">
        <v>0.6</v>
      </c>
      <c r="Q17" s="165">
        <v>7.53</v>
      </c>
      <c r="R17" s="13"/>
      <c r="S17" s="13"/>
      <c r="T17" s="213"/>
      <c r="U17" s="13"/>
    </row>
    <row r="18" customFormat="1" spans="1:21">
      <c r="A18" s="142" t="s">
        <v>55</v>
      </c>
      <c r="B18" s="165">
        <v>37.05</v>
      </c>
      <c r="C18" s="165">
        <v>66.98</v>
      </c>
      <c r="D18" s="165">
        <v>65.58</v>
      </c>
      <c r="E18" s="165">
        <v>7.65</v>
      </c>
      <c r="F18" s="165">
        <v>2.8</v>
      </c>
      <c r="G18" s="165">
        <v>29.87</v>
      </c>
      <c r="H18" s="165">
        <v>13.53</v>
      </c>
      <c r="I18" s="165">
        <v>4.75</v>
      </c>
      <c r="J18" s="165">
        <v>0.6</v>
      </c>
      <c r="K18" s="165">
        <v>48.4</v>
      </c>
      <c r="L18" s="165">
        <v>22.69</v>
      </c>
      <c r="M18" s="165">
        <v>77.63</v>
      </c>
      <c r="N18" s="165">
        <v>0</v>
      </c>
      <c r="O18" s="165">
        <v>0</v>
      </c>
      <c r="P18" s="165">
        <v>0.61</v>
      </c>
      <c r="Q18" s="165">
        <v>7.7</v>
      </c>
      <c r="R18" s="13"/>
      <c r="S18" s="13"/>
      <c r="T18" s="213"/>
      <c r="U18" s="13"/>
    </row>
    <row r="19" customFormat="1" spans="1:21">
      <c r="A19" s="142" t="s">
        <v>56</v>
      </c>
      <c r="B19" s="165">
        <v>37.76</v>
      </c>
      <c r="C19" s="165">
        <v>64.9</v>
      </c>
      <c r="D19" s="165">
        <v>65.06</v>
      </c>
      <c r="E19" s="165">
        <v>8.14</v>
      </c>
      <c r="F19" s="165">
        <v>2.98</v>
      </c>
      <c r="G19" s="165">
        <v>29.87</v>
      </c>
      <c r="H19" s="165">
        <v>13.53</v>
      </c>
      <c r="I19" s="165">
        <v>4.77</v>
      </c>
      <c r="J19" s="165">
        <v>0.82</v>
      </c>
      <c r="K19" s="165">
        <v>57.56</v>
      </c>
      <c r="L19" s="165">
        <v>22.42</v>
      </c>
      <c r="M19" s="165">
        <v>81.59</v>
      </c>
      <c r="N19" s="165">
        <v>0</v>
      </c>
      <c r="O19" s="165">
        <v>0</v>
      </c>
      <c r="P19" s="165">
        <v>0.6</v>
      </c>
      <c r="Q19" s="165">
        <v>7.67</v>
      </c>
      <c r="R19" s="13"/>
      <c r="S19" s="13"/>
      <c r="T19" s="213"/>
      <c r="U19" s="13"/>
    </row>
    <row r="20" customFormat="1" spans="1:21">
      <c r="A20" s="142" t="s">
        <v>57</v>
      </c>
      <c r="B20" s="165">
        <v>38.39</v>
      </c>
      <c r="C20" s="165">
        <v>65.95</v>
      </c>
      <c r="D20" s="165">
        <v>66.12</v>
      </c>
      <c r="E20" s="165">
        <v>8.32</v>
      </c>
      <c r="F20" s="165">
        <v>2.89</v>
      </c>
      <c r="G20" s="165">
        <v>29.87</v>
      </c>
      <c r="H20" s="165">
        <v>13.53</v>
      </c>
      <c r="I20" s="165">
        <v>4.87</v>
      </c>
      <c r="J20" s="165">
        <v>0.59</v>
      </c>
      <c r="K20" s="165">
        <v>15.42</v>
      </c>
      <c r="L20" s="165">
        <v>22.28</v>
      </c>
      <c r="M20" s="165">
        <v>83.68</v>
      </c>
      <c r="N20" s="165">
        <v>0</v>
      </c>
      <c r="O20" s="165">
        <v>0</v>
      </c>
      <c r="P20" s="165">
        <v>0.61</v>
      </c>
      <c r="Q20" s="165">
        <v>7.75</v>
      </c>
      <c r="R20" s="13"/>
      <c r="S20" s="13"/>
      <c r="T20" s="213"/>
      <c r="U20" s="13"/>
    </row>
    <row r="21" customFormat="1" spans="1:21">
      <c r="A21" s="142" t="s">
        <v>58</v>
      </c>
      <c r="B21" s="165">
        <v>39.07</v>
      </c>
      <c r="C21" s="165">
        <v>65.75</v>
      </c>
      <c r="D21" s="165">
        <v>66.56</v>
      </c>
      <c r="E21" s="165">
        <v>8.72</v>
      </c>
      <c r="F21" s="165">
        <v>2.93</v>
      </c>
      <c r="G21" s="165">
        <v>32.04</v>
      </c>
      <c r="H21" s="165">
        <v>12.61</v>
      </c>
      <c r="I21" s="165">
        <v>4.86</v>
      </c>
      <c r="J21" s="165">
        <v>0.88</v>
      </c>
      <c r="K21" s="165">
        <v>26.99</v>
      </c>
      <c r="L21" s="165">
        <v>22.18</v>
      </c>
      <c r="M21" s="165">
        <v>84.55</v>
      </c>
      <c r="N21" s="165">
        <v>0</v>
      </c>
      <c r="O21" s="165">
        <v>0</v>
      </c>
      <c r="P21" s="165">
        <v>0.61</v>
      </c>
      <c r="Q21" s="165">
        <v>7.83</v>
      </c>
      <c r="R21" s="13"/>
      <c r="S21" s="13"/>
      <c r="T21" s="213"/>
      <c r="U21" s="13"/>
    </row>
    <row r="22" customFormat="1" spans="1:21">
      <c r="A22" s="142" t="s">
        <v>59</v>
      </c>
      <c r="B22" s="165">
        <v>39.75</v>
      </c>
      <c r="C22" s="165">
        <v>65.79</v>
      </c>
      <c r="D22" s="165">
        <v>67.12</v>
      </c>
      <c r="E22" s="165">
        <v>8.21</v>
      </c>
      <c r="F22" s="165">
        <v>2.88</v>
      </c>
      <c r="G22" s="165">
        <v>32.62</v>
      </c>
      <c r="H22" s="165">
        <v>12.61</v>
      </c>
      <c r="I22" s="165">
        <v>4.88</v>
      </c>
      <c r="J22" s="165">
        <v>1.04</v>
      </c>
      <c r="K22" s="165">
        <v>35.18</v>
      </c>
      <c r="L22" s="165">
        <v>22.17</v>
      </c>
      <c r="M22" s="165">
        <v>84.46</v>
      </c>
      <c r="N22" s="165">
        <v>0</v>
      </c>
      <c r="O22" s="165">
        <v>0</v>
      </c>
      <c r="P22" s="165">
        <v>0.6</v>
      </c>
      <c r="Q22" s="165">
        <v>7.87</v>
      </c>
      <c r="R22" s="13"/>
      <c r="S22" s="13"/>
      <c r="T22" s="213"/>
      <c r="U22" s="13"/>
    </row>
    <row r="23" customFormat="1" spans="1:21">
      <c r="A23" s="142" t="s">
        <v>60</v>
      </c>
      <c r="B23" s="165">
        <v>40.3</v>
      </c>
      <c r="C23" s="165">
        <v>63.37</v>
      </c>
      <c r="D23" s="165">
        <v>66.3</v>
      </c>
      <c r="E23" s="165">
        <v>8.3</v>
      </c>
      <c r="F23" s="165">
        <v>3.01</v>
      </c>
      <c r="G23" s="165">
        <v>32.62</v>
      </c>
      <c r="H23" s="165">
        <v>12.61</v>
      </c>
      <c r="I23" s="165">
        <v>4.9</v>
      </c>
      <c r="J23" s="165">
        <v>0.94</v>
      </c>
      <c r="K23" s="165">
        <v>38.02</v>
      </c>
      <c r="L23" s="165">
        <v>22.2</v>
      </c>
      <c r="M23" s="165">
        <v>83.8</v>
      </c>
      <c r="N23" s="165">
        <v>0</v>
      </c>
      <c r="O23" s="165">
        <v>0</v>
      </c>
      <c r="P23" s="165">
        <v>0.58</v>
      </c>
      <c r="Q23" s="165">
        <v>7.81</v>
      </c>
      <c r="R23" s="13"/>
      <c r="S23" s="13"/>
      <c r="T23" s="213"/>
      <c r="U23" s="13"/>
    </row>
    <row r="24" customFormat="1" spans="1:21">
      <c r="A24" s="142" t="s">
        <v>61</v>
      </c>
      <c r="B24" s="165">
        <v>40.42</v>
      </c>
      <c r="C24" s="165">
        <v>66.12</v>
      </c>
      <c r="D24" s="165">
        <v>67.83</v>
      </c>
      <c r="E24" s="165">
        <v>8.57</v>
      </c>
      <c r="F24" s="165">
        <v>2.76</v>
      </c>
      <c r="G24" s="165">
        <v>32.62</v>
      </c>
      <c r="H24" s="165">
        <v>12.61</v>
      </c>
      <c r="I24" s="165">
        <v>4.85</v>
      </c>
      <c r="J24" s="165">
        <v>1.25</v>
      </c>
      <c r="K24" s="165">
        <v>28.38</v>
      </c>
      <c r="L24" s="165">
        <v>22.18</v>
      </c>
      <c r="M24" s="165">
        <v>82.4</v>
      </c>
      <c r="N24" s="165">
        <v>0</v>
      </c>
      <c r="O24" s="165">
        <v>0</v>
      </c>
      <c r="P24" s="165">
        <v>0.59</v>
      </c>
      <c r="Q24" s="165">
        <v>7.96</v>
      </c>
      <c r="R24" s="13"/>
      <c r="S24" s="13"/>
      <c r="T24" s="213"/>
      <c r="U24" s="13"/>
    </row>
    <row r="25" customFormat="1" spans="1:21">
      <c r="A25" s="142" t="s">
        <v>62</v>
      </c>
      <c r="B25" s="165">
        <v>40.03</v>
      </c>
      <c r="C25" s="165">
        <v>65.15</v>
      </c>
      <c r="D25" s="165">
        <v>67.01</v>
      </c>
      <c r="E25" s="165">
        <v>8.37</v>
      </c>
      <c r="F25" s="165">
        <v>2.98</v>
      </c>
      <c r="G25" s="165">
        <v>32</v>
      </c>
      <c r="H25" s="165">
        <v>15.56</v>
      </c>
      <c r="I25" s="165">
        <v>4.77</v>
      </c>
      <c r="J25" s="165">
        <v>1.1</v>
      </c>
      <c r="K25" s="165">
        <v>342.88</v>
      </c>
      <c r="L25" s="165">
        <v>22.3</v>
      </c>
      <c r="M25" s="165">
        <v>80.01</v>
      </c>
      <c r="N25" s="165">
        <v>0</v>
      </c>
      <c r="O25" s="165">
        <v>0</v>
      </c>
      <c r="P25" s="165">
        <v>0.59</v>
      </c>
      <c r="Q25" s="165">
        <v>8.08</v>
      </c>
      <c r="R25" s="13"/>
      <c r="S25" s="13"/>
      <c r="T25" s="213"/>
      <c r="U25" s="13"/>
    </row>
    <row r="26" customFormat="1" spans="1:21">
      <c r="A26" s="142" t="s">
        <v>63</v>
      </c>
      <c r="B26" s="165">
        <v>39.25</v>
      </c>
      <c r="C26" s="165">
        <v>66.27</v>
      </c>
      <c r="D26" s="165">
        <v>66.98</v>
      </c>
      <c r="E26" s="165">
        <v>8.26</v>
      </c>
      <c r="F26" s="165">
        <v>3.09</v>
      </c>
      <c r="G26" s="165">
        <v>31.83</v>
      </c>
      <c r="H26" s="165">
        <v>15.56</v>
      </c>
      <c r="I26" s="165">
        <v>4.75</v>
      </c>
      <c r="J26" s="165">
        <v>1.51</v>
      </c>
      <c r="K26" s="165">
        <v>352.66</v>
      </c>
      <c r="L26" s="165">
        <v>22.42</v>
      </c>
      <c r="M26" s="165">
        <v>77.94</v>
      </c>
      <c r="N26" s="165">
        <v>0</v>
      </c>
      <c r="O26" s="165">
        <v>0</v>
      </c>
      <c r="P26" s="165">
        <v>0.61</v>
      </c>
      <c r="Q26" s="165">
        <v>8.14</v>
      </c>
      <c r="R26" s="13"/>
      <c r="S26" s="13"/>
      <c r="T26" s="213"/>
      <c r="U26" s="13"/>
    </row>
    <row r="27" customFormat="1" spans="1:21">
      <c r="A27" s="142" t="s">
        <v>64</v>
      </c>
      <c r="B27" s="165">
        <v>36.84</v>
      </c>
      <c r="C27" s="165">
        <v>67.91</v>
      </c>
      <c r="D27" s="165">
        <v>65.9</v>
      </c>
      <c r="E27" s="165">
        <v>7.32</v>
      </c>
      <c r="F27" s="165">
        <v>3.92</v>
      </c>
      <c r="G27" s="165">
        <v>31.83</v>
      </c>
      <c r="H27" s="165">
        <v>15.56</v>
      </c>
      <c r="I27" s="165">
        <v>4.75</v>
      </c>
      <c r="J27" s="165">
        <v>1.5</v>
      </c>
      <c r="K27" s="165">
        <v>21.41</v>
      </c>
      <c r="L27" s="165">
        <v>20.77</v>
      </c>
      <c r="M27" s="165">
        <v>85.45</v>
      </c>
      <c r="N27" s="165">
        <v>0</v>
      </c>
      <c r="O27" s="165">
        <v>0</v>
      </c>
      <c r="P27" s="165">
        <v>0.6</v>
      </c>
      <c r="Q27" s="165">
        <v>8.12</v>
      </c>
      <c r="R27" s="13"/>
      <c r="S27" s="13"/>
      <c r="T27" s="213"/>
      <c r="U27" s="13"/>
    </row>
    <row r="28" customFormat="1" spans="1:21">
      <c r="A28" s="142" t="s">
        <v>65</v>
      </c>
      <c r="B28" s="165">
        <v>36</v>
      </c>
      <c r="C28" s="165">
        <v>65.91</v>
      </c>
      <c r="D28" s="165">
        <v>64.18</v>
      </c>
      <c r="E28" s="165">
        <v>7.92</v>
      </c>
      <c r="F28" s="165">
        <v>3.29</v>
      </c>
      <c r="G28" s="165">
        <v>31.83</v>
      </c>
      <c r="H28" s="165">
        <v>15.56</v>
      </c>
      <c r="I28" s="165">
        <v>4.74</v>
      </c>
      <c r="J28" s="165">
        <v>1.47</v>
      </c>
      <c r="K28" s="165">
        <v>68.56</v>
      </c>
      <c r="L28" s="165">
        <v>20.41</v>
      </c>
      <c r="M28" s="165">
        <v>86.4</v>
      </c>
      <c r="N28" s="165">
        <v>0</v>
      </c>
      <c r="O28" s="165">
        <v>0</v>
      </c>
      <c r="P28" s="165">
        <v>0.58</v>
      </c>
      <c r="Q28" s="165">
        <v>8.06</v>
      </c>
      <c r="R28" s="13"/>
      <c r="S28" s="13"/>
      <c r="T28" s="213"/>
      <c r="U28" s="13"/>
    </row>
    <row r="29" customFormat="1" spans="1:21">
      <c r="A29" s="142" t="s">
        <v>66</v>
      </c>
      <c r="B29" s="165">
        <v>32.66</v>
      </c>
      <c r="C29" s="165">
        <v>67.39</v>
      </c>
      <c r="D29" s="165">
        <v>62.28</v>
      </c>
      <c r="E29" s="165">
        <v>7.46</v>
      </c>
      <c r="F29" s="165">
        <v>3.05</v>
      </c>
      <c r="G29" s="165">
        <v>29.56</v>
      </c>
      <c r="H29" s="165">
        <v>12.56</v>
      </c>
      <c r="I29" s="165">
        <v>4.64</v>
      </c>
      <c r="J29" s="165">
        <v>1.19</v>
      </c>
      <c r="K29" s="165">
        <v>70.38</v>
      </c>
      <c r="L29" s="165">
        <v>20.15</v>
      </c>
      <c r="M29" s="165">
        <v>88.19</v>
      </c>
      <c r="N29" s="165">
        <v>0</v>
      </c>
      <c r="O29" s="165">
        <v>0</v>
      </c>
      <c r="P29" s="165">
        <v>0.56</v>
      </c>
      <c r="Q29" s="165">
        <v>7.94</v>
      </c>
      <c r="R29" s="13"/>
      <c r="S29" s="13"/>
      <c r="T29" s="213"/>
      <c r="U29" s="13"/>
    </row>
    <row r="30" customFormat="1" spans="1:21">
      <c r="A30" s="142" t="s">
        <v>67</v>
      </c>
      <c r="B30" s="165">
        <v>30.57</v>
      </c>
      <c r="C30" s="165">
        <v>67.03</v>
      </c>
      <c r="D30" s="165">
        <v>60.41</v>
      </c>
      <c r="E30" s="165">
        <v>7.15</v>
      </c>
      <c r="F30" s="165">
        <v>2.93</v>
      </c>
      <c r="G30" s="165">
        <v>28.96</v>
      </c>
      <c r="H30" s="165">
        <v>12.56</v>
      </c>
      <c r="I30" s="165">
        <v>4.51</v>
      </c>
      <c r="J30" s="165">
        <v>1.52</v>
      </c>
      <c r="K30" s="165">
        <v>59.45</v>
      </c>
      <c r="L30" s="165">
        <v>20.18</v>
      </c>
      <c r="M30" s="165">
        <v>87.23</v>
      </c>
      <c r="N30" s="165">
        <v>0</v>
      </c>
      <c r="O30" s="165">
        <v>0</v>
      </c>
      <c r="P30" s="165">
        <v>0.55</v>
      </c>
      <c r="Q30" s="165">
        <v>7.77</v>
      </c>
      <c r="R30" s="13"/>
      <c r="S30" s="13"/>
      <c r="T30" s="213"/>
      <c r="U30" s="13"/>
    </row>
    <row r="31" customFormat="1" spans="1:21">
      <c r="A31" s="142" t="s">
        <v>68</v>
      </c>
      <c r="B31" s="165">
        <v>29.69</v>
      </c>
      <c r="C31" s="165">
        <v>67</v>
      </c>
      <c r="D31" s="165">
        <v>59.69</v>
      </c>
      <c r="E31" s="165">
        <v>7.08</v>
      </c>
      <c r="F31" s="165">
        <v>2.98</v>
      </c>
      <c r="G31" s="165">
        <v>28.96</v>
      </c>
      <c r="H31" s="165">
        <v>12.56</v>
      </c>
      <c r="I31" s="165">
        <v>4.3</v>
      </c>
      <c r="J31" s="165">
        <v>0.37</v>
      </c>
      <c r="K31" s="165">
        <v>104.19</v>
      </c>
      <c r="L31" s="165">
        <v>20.41</v>
      </c>
      <c r="M31" s="165">
        <v>87.99</v>
      </c>
      <c r="N31" s="165">
        <v>0</v>
      </c>
      <c r="O31" s="165">
        <v>0</v>
      </c>
      <c r="P31" s="165">
        <v>0.55</v>
      </c>
      <c r="Q31" s="165">
        <v>7.69</v>
      </c>
      <c r="R31" s="13"/>
      <c r="S31" s="13"/>
      <c r="T31" s="213"/>
      <c r="U31" s="13"/>
    </row>
    <row r="32" customFormat="1" spans="1:21">
      <c r="A32" s="142" t="s">
        <v>69</v>
      </c>
      <c r="B32" s="165">
        <v>29.11</v>
      </c>
      <c r="C32" s="165">
        <v>67.76</v>
      </c>
      <c r="D32" s="165">
        <v>59.62</v>
      </c>
      <c r="E32" s="165">
        <v>7.19</v>
      </c>
      <c r="F32" s="165">
        <v>2.94</v>
      </c>
      <c r="G32" s="165">
        <v>28.96</v>
      </c>
      <c r="H32" s="165">
        <v>12.56</v>
      </c>
      <c r="I32" s="165">
        <v>4.18</v>
      </c>
      <c r="J32" s="165">
        <v>0.35</v>
      </c>
      <c r="K32" s="165">
        <v>95</v>
      </c>
      <c r="L32" s="165">
        <v>20.51</v>
      </c>
      <c r="M32" s="165">
        <v>88.03</v>
      </c>
      <c r="N32" s="165">
        <v>0</v>
      </c>
      <c r="O32" s="165">
        <v>0</v>
      </c>
      <c r="P32" s="165">
        <v>0.53</v>
      </c>
      <c r="Q32" s="165">
        <v>7.65</v>
      </c>
      <c r="R32" s="13"/>
      <c r="S32" s="13"/>
      <c r="T32" s="213"/>
      <c r="U32" s="13"/>
    </row>
    <row r="33" customFormat="1" spans="1:21">
      <c r="A33" s="142" t="s">
        <v>70</v>
      </c>
      <c r="B33" s="165">
        <v>28.63</v>
      </c>
      <c r="C33" s="165">
        <v>68.51</v>
      </c>
      <c r="D33" s="165">
        <v>59.63</v>
      </c>
      <c r="E33" s="165">
        <v>7.24</v>
      </c>
      <c r="F33" s="165">
        <v>3.11</v>
      </c>
      <c r="G33" s="165">
        <v>27.17</v>
      </c>
      <c r="H33" s="165">
        <v>9.78</v>
      </c>
      <c r="I33" s="165">
        <v>4.12</v>
      </c>
      <c r="J33" s="165">
        <v>0.46</v>
      </c>
      <c r="K33" s="165">
        <v>108.33</v>
      </c>
      <c r="L33" s="165">
        <v>20.66</v>
      </c>
      <c r="M33" s="165">
        <v>86.22</v>
      </c>
      <c r="N33" s="165">
        <v>2.5</v>
      </c>
      <c r="O33" s="165">
        <v>0</v>
      </c>
      <c r="P33" s="165">
        <v>0.53</v>
      </c>
      <c r="Q33" s="165">
        <v>7.67</v>
      </c>
      <c r="R33" s="13"/>
      <c r="S33" s="13"/>
      <c r="T33" s="213"/>
      <c r="U33" s="13"/>
    </row>
    <row r="34" customFormat="1" spans="1:21">
      <c r="A34" s="142" t="s">
        <v>71</v>
      </c>
      <c r="B34" s="165">
        <v>27.97</v>
      </c>
      <c r="C34" s="165">
        <v>68.1</v>
      </c>
      <c r="D34" s="165">
        <v>58.88</v>
      </c>
      <c r="E34" s="165">
        <v>7.23</v>
      </c>
      <c r="F34" s="165">
        <v>2.99</v>
      </c>
      <c r="G34" s="165">
        <v>26.69</v>
      </c>
      <c r="H34" s="165">
        <v>9.78</v>
      </c>
      <c r="I34" s="165">
        <v>4.05</v>
      </c>
      <c r="J34" s="165">
        <v>0.26</v>
      </c>
      <c r="K34" s="165">
        <v>124.76</v>
      </c>
      <c r="L34" s="165">
        <v>21</v>
      </c>
      <c r="M34" s="165">
        <v>85.29</v>
      </c>
      <c r="N34" s="165">
        <v>10.2</v>
      </c>
      <c r="O34" s="165">
        <v>0</v>
      </c>
      <c r="P34" s="165">
        <v>0.52</v>
      </c>
      <c r="Q34" s="165">
        <v>7.59</v>
      </c>
      <c r="R34" s="13"/>
      <c r="S34" s="13"/>
      <c r="T34" s="213"/>
      <c r="U34" s="13"/>
    </row>
    <row r="35" customFormat="1" spans="1:21">
      <c r="A35" s="142" t="s">
        <v>72</v>
      </c>
      <c r="B35" s="165">
        <v>27.58</v>
      </c>
      <c r="C35" s="165">
        <v>68.77</v>
      </c>
      <c r="D35" s="165">
        <v>58.92</v>
      </c>
      <c r="E35" s="165">
        <v>7.18</v>
      </c>
      <c r="F35" s="165">
        <v>2.79</v>
      </c>
      <c r="G35" s="165">
        <v>26.69</v>
      </c>
      <c r="H35" s="165">
        <v>9.78</v>
      </c>
      <c r="I35" s="165">
        <v>3.98</v>
      </c>
      <c r="J35" s="165">
        <v>0.17</v>
      </c>
      <c r="K35" s="165">
        <v>148.46</v>
      </c>
      <c r="L35" s="165">
        <v>21.2</v>
      </c>
      <c r="M35" s="165">
        <v>85.31</v>
      </c>
      <c r="N35" s="165">
        <v>30.7</v>
      </c>
      <c r="O35" s="165">
        <v>0</v>
      </c>
      <c r="P35" s="165">
        <v>0.51</v>
      </c>
      <c r="Q35" s="165">
        <v>7.57</v>
      </c>
      <c r="R35" s="13"/>
      <c r="S35" s="13"/>
      <c r="T35" s="213"/>
      <c r="U35" s="13"/>
    </row>
    <row r="36" customFormat="1" spans="1:21">
      <c r="A36" s="142" t="s">
        <v>73</v>
      </c>
      <c r="B36" s="165">
        <v>27.3</v>
      </c>
      <c r="C36" s="165">
        <v>68.77</v>
      </c>
      <c r="D36" s="165">
        <v>58.7</v>
      </c>
      <c r="E36" s="165">
        <v>7.08</v>
      </c>
      <c r="F36" s="165">
        <v>2.72</v>
      </c>
      <c r="G36" s="165">
        <v>26.69</v>
      </c>
      <c r="H36" s="165">
        <v>9.78</v>
      </c>
      <c r="I36" s="165">
        <v>3.92</v>
      </c>
      <c r="J36" s="165">
        <v>0.33</v>
      </c>
      <c r="K36" s="165">
        <v>98.12</v>
      </c>
      <c r="L36" s="165">
        <v>21.63</v>
      </c>
      <c r="M36" s="165">
        <v>81.82</v>
      </c>
      <c r="N36" s="165">
        <v>51.6</v>
      </c>
      <c r="O36" s="165">
        <v>0</v>
      </c>
      <c r="P36" s="165">
        <v>0.5</v>
      </c>
      <c r="Q36" s="165">
        <v>7.58</v>
      </c>
      <c r="R36" s="13"/>
      <c r="S36" s="13"/>
      <c r="T36" s="213"/>
      <c r="U36" s="13"/>
    </row>
    <row r="37" customFormat="1" spans="1:21">
      <c r="A37" s="142" t="s">
        <v>74</v>
      </c>
      <c r="B37" s="165">
        <v>26.96</v>
      </c>
      <c r="C37" s="165">
        <v>68.48</v>
      </c>
      <c r="D37" s="165">
        <v>58.27</v>
      </c>
      <c r="E37" s="165">
        <v>6.66</v>
      </c>
      <c r="F37" s="165">
        <v>2.86</v>
      </c>
      <c r="G37" s="165">
        <v>22.24</v>
      </c>
      <c r="H37" s="165">
        <v>4.69</v>
      </c>
      <c r="I37" s="165">
        <v>3.87</v>
      </c>
      <c r="J37" s="165">
        <v>0.34</v>
      </c>
      <c r="K37" s="165">
        <v>93.16</v>
      </c>
      <c r="L37" s="165">
        <v>21.95</v>
      </c>
      <c r="M37" s="165">
        <v>78.19</v>
      </c>
      <c r="N37" s="165">
        <v>38</v>
      </c>
      <c r="O37" s="165">
        <v>0</v>
      </c>
      <c r="P37" s="165">
        <v>0.48</v>
      </c>
      <c r="Q37" s="165">
        <v>7.55</v>
      </c>
      <c r="R37" s="13"/>
      <c r="S37" s="13"/>
      <c r="T37" s="213"/>
      <c r="U37" s="13"/>
    </row>
    <row r="38" customFormat="1" spans="1:21">
      <c r="A38" s="142" t="s">
        <v>75</v>
      </c>
      <c r="B38" s="165">
        <v>26.53</v>
      </c>
      <c r="C38" s="165">
        <v>68.5</v>
      </c>
      <c r="D38" s="165">
        <v>57.94</v>
      </c>
      <c r="E38" s="165">
        <v>6.83</v>
      </c>
      <c r="F38" s="165">
        <v>3.02</v>
      </c>
      <c r="G38" s="165">
        <v>21.05</v>
      </c>
      <c r="H38" s="165">
        <v>4.69</v>
      </c>
      <c r="I38" s="165">
        <v>3.8</v>
      </c>
      <c r="J38" s="165">
        <v>0.18</v>
      </c>
      <c r="K38" s="165">
        <v>206.62</v>
      </c>
      <c r="L38" s="165">
        <v>22.03</v>
      </c>
      <c r="M38" s="165">
        <v>78.83</v>
      </c>
      <c r="N38" s="165">
        <v>82.8</v>
      </c>
      <c r="O38" s="165">
        <v>0</v>
      </c>
      <c r="P38" s="165">
        <v>0.48</v>
      </c>
      <c r="Q38" s="165">
        <v>7.5</v>
      </c>
      <c r="R38" s="13"/>
      <c r="S38" s="13"/>
      <c r="T38" s="213"/>
      <c r="U38" s="13"/>
    </row>
    <row r="39" customFormat="1" spans="1:21">
      <c r="A39" s="142" t="s">
        <v>76</v>
      </c>
      <c r="B39" s="165">
        <v>26.22</v>
      </c>
      <c r="C39" s="165">
        <v>68.44</v>
      </c>
      <c r="D39" s="165">
        <v>57.66</v>
      </c>
      <c r="E39" s="165">
        <v>6.75</v>
      </c>
      <c r="F39" s="165">
        <v>3.1</v>
      </c>
      <c r="G39" s="165">
        <v>21.05</v>
      </c>
      <c r="H39" s="165">
        <v>4.69</v>
      </c>
      <c r="I39" s="165">
        <v>3.74</v>
      </c>
      <c r="J39" s="165">
        <v>0.33</v>
      </c>
      <c r="K39" s="165">
        <v>142.78</v>
      </c>
      <c r="L39" s="165">
        <v>22.72</v>
      </c>
      <c r="M39" s="165">
        <v>76.95</v>
      </c>
      <c r="N39" s="165">
        <v>160.8</v>
      </c>
      <c r="O39" s="165">
        <v>0</v>
      </c>
      <c r="P39" s="165">
        <v>0.48</v>
      </c>
      <c r="Q39" s="165">
        <v>7.5</v>
      </c>
      <c r="R39" s="13"/>
      <c r="S39" s="13"/>
      <c r="T39" s="213"/>
      <c r="U39" s="13"/>
    </row>
    <row r="40" customFormat="1" spans="1:21">
      <c r="A40" s="142" t="s">
        <v>77</v>
      </c>
      <c r="B40" s="165">
        <v>25.82</v>
      </c>
      <c r="C40" s="165">
        <v>68.18</v>
      </c>
      <c r="D40" s="165">
        <v>57.2</v>
      </c>
      <c r="E40" s="165">
        <v>6.91</v>
      </c>
      <c r="F40" s="165">
        <v>2.95</v>
      </c>
      <c r="G40" s="165">
        <v>21.05</v>
      </c>
      <c r="H40" s="165">
        <v>4.69</v>
      </c>
      <c r="I40" s="165">
        <v>3.71</v>
      </c>
      <c r="J40" s="165">
        <v>0.05</v>
      </c>
      <c r="K40" s="165">
        <v>145.58</v>
      </c>
      <c r="L40" s="165">
        <v>23.53</v>
      </c>
      <c r="M40" s="165">
        <v>74.59</v>
      </c>
      <c r="N40" s="165">
        <v>179.4</v>
      </c>
      <c r="O40" s="165">
        <v>0</v>
      </c>
      <c r="P40" s="165">
        <v>0.47</v>
      </c>
      <c r="Q40" s="165">
        <v>7.46</v>
      </c>
      <c r="R40" s="13"/>
      <c r="S40" s="13"/>
      <c r="T40" s="213"/>
      <c r="U40" s="13"/>
    </row>
    <row r="41" customFormat="1" spans="1:21">
      <c r="A41" s="142" t="s">
        <v>78</v>
      </c>
      <c r="B41" s="165">
        <v>25.38</v>
      </c>
      <c r="C41" s="165">
        <v>69.28</v>
      </c>
      <c r="D41" s="165">
        <v>57.42</v>
      </c>
      <c r="E41" s="165">
        <v>6.92</v>
      </c>
      <c r="F41" s="165">
        <v>2.96</v>
      </c>
      <c r="G41" s="165">
        <v>19.47</v>
      </c>
      <c r="H41" s="165">
        <v>3.71</v>
      </c>
      <c r="I41" s="165">
        <v>3.71</v>
      </c>
      <c r="J41" s="165">
        <v>0.05</v>
      </c>
      <c r="K41" s="165">
        <v>105.83</v>
      </c>
      <c r="L41" s="165">
        <v>24.2</v>
      </c>
      <c r="M41" s="165">
        <v>72.98</v>
      </c>
      <c r="N41" s="165">
        <v>288.2</v>
      </c>
      <c r="O41" s="165">
        <v>0</v>
      </c>
      <c r="P41" s="165">
        <v>0.46</v>
      </c>
      <c r="Q41" s="165">
        <v>7.44</v>
      </c>
      <c r="R41" s="13"/>
      <c r="S41" s="13"/>
      <c r="T41" s="213"/>
      <c r="U41" s="13"/>
    </row>
    <row r="42" customFormat="1" spans="1:21">
      <c r="A42" s="142" t="s">
        <v>79</v>
      </c>
      <c r="B42" s="165">
        <v>25.08</v>
      </c>
      <c r="C42" s="165">
        <v>68.8</v>
      </c>
      <c r="D42" s="165">
        <v>56.93</v>
      </c>
      <c r="E42" s="165">
        <v>6.71</v>
      </c>
      <c r="F42" s="165">
        <v>3.12</v>
      </c>
      <c r="G42" s="165">
        <v>19.05</v>
      </c>
      <c r="H42" s="165">
        <v>3.71</v>
      </c>
      <c r="I42" s="165">
        <v>3.65</v>
      </c>
      <c r="J42" s="165">
        <v>0.25</v>
      </c>
      <c r="K42" s="165">
        <v>105.87</v>
      </c>
      <c r="L42" s="165">
        <v>25.27</v>
      </c>
      <c r="M42" s="165">
        <v>69.45</v>
      </c>
      <c r="N42" s="165">
        <v>198.4</v>
      </c>
      <c r="O42" s="165">
        <v>0</v>
      </c>
      <c r="P42" s="165">
        <v>0.45</v>
      </c>
      <c r="Q42" s="165">
        <v>7.43</v>
      </c>
      <c r="R42" s="13"/>
      <c r="S42" s="13"/>
      <c r="T42" s="213"/>
      <c r="U42" s="13"/>
    </row>
    <row r="43" customFormat="1" spans="1:21">
      <c r="A43" s="142" t="s">
        <v>80</v>
      </c>
      <c r="B43" s="165">
        <v>24.62</v>
      </c>
      <c r="C43" s="165">
        <v>68.44</v>
      </c>
      <c r="D43" s="165">
        <v>56.38</v>
      </c>
      <c r="E43" s="165">
        <v>7.05</v>
      </c>
      <c r="F43" s="165">
        <v>3.16</v>
      </c>
      <c r="G43" s="165">
        <v>19.05</v>
      </c>
      <c r="H43" s="165">
        <v>3.71</v>
      </c>
      <c r="I43" s="165">
        <v>3.59</v>
      </c>
      <c r="J43" s="165">
        <v>0.41</v>
      </c>
      <c r="K43" s="165">
        <v>75.91</v>
      </c>
      <c r="L43" s="165">
        <v>25.35</v>
      </c>
      <c r="M43" s="165">
        <v>69.01</v>
      </c>
      <c r="N43" s="165">
        <v>185.2</v>
      </c>
      <c r="O43" s="165">
        <v>0</v>
      </c>
      <c r="P43" s="165">
        <v>0.45</v>
      </c>
      <c r="Q43" s="165">
        <v>7.36</v>
      </c>
      <c r="R43" s="13"/>
      <c r="S43" s="13"/>
      <c r="T43" s="213"/>
      <c r="U43" s="13"/>
    </row>
    <row r="44" customFormat="1" spans="1:21">
      <c r="A44" s="142" t="s">
        <v>81</v>
      </c>
      <c r="B44" s="165">
        <v>24.43</v>
      </c>
      <c r="C44" s="165">
        <v>69.24</v>
      </c>
      <c r="D44" s="165">
        <v>56.64</v>
      </c>
      <c r="E44" s="165">
        <v>6.62</v>
      </c>
      <c r="F44" s="165">
        <v>3.18</v>
      </c>
      <c r="G44" s="165">
        <v>19.05</v>
      </c>
      <c r="H44" s="165">
        <v>3.71</v>
      </c>
      <c r="I44" s="165">
        <v>3.54</v>
      </c>
      <c r="J44" s="165">
        <v>0.26</v>
      </c>
      <c r="K44" s="165">
        <v>100.05</v>
      </c>
      <c r="L44" s="165">
        <v>26</v>
      </c>
      <c r="M44" s="165">
        <v>65.23</v>
      </c>
      <c r="N44" s="165">
        <v>269.3</v>
      </c>
      <c r="O44" s="165">
        <v>0</v>
      </c>
      <c r="P44" s="165">
        <v>0.45</v>
      </c>
      <c r="Q44" s="165">
        <v>7.34</v>
      </c>
      <c r="R44" s="13"/>
      <c r="S44" s="13"/>
      <c r="T44" s="213"/>
      <c r="U44" s="13"/>
    </row>
    <row r="45" customFormat="1" spans="1:21">
      <c r="A45" s="142" t="s">
        <v>82</v>
      </c>
      <c r="B45" s="165">
        <v>24.55</v>
      </c>
      <c r="C45" s="165">
        <v>57.2</v>
      </c>
      <c r="D45" s="165">
        <v>50.44</v>
      </c>
      <c r="E45" s="165">
        <v>6.42</v>
      </c>
      <c r="F45" s="165">
        <v>3.94</v>
      </c>
      <c r="G45" s="165">
        <v>14.65</v>
      </c>
      <c r="H45" s="165">
        <v>2.55</v>
      </c>
      <c r="I45" s="165">
        <v>3.52</v>
      </c>
      <c r="J45" s="165">
        <v>0.45</v>
      </c>
      <c r="K45" s="165">
        <v>228.57</v>
      </c>
      <c r="L45" s="165">
        <v>26.07</v>
      </c>
      <c r="M45" s="165">
        <v>64.84</v>
      </c>
      <c r="N45" s="165">
        <v>434.9</v>
      </c>
      <c r="O45" s="165">
        <v>0</v>
      </c>
      <c r="P45" s="165">
        <v>0.4</v>
      </c>
      <c r="Q45" s="165">
        <v>6.89</v>
      </c>
      <c r="R45" s="13"/>
      <c r="S45" s="13"/>
      <c r="T45" s="213"/>
      <c r="U45" s="13"/>
    </row>
    <row r="46" customFormat="1" spans="1:21">
      <c r="A46" s="142" t="s">
        <v>83</v>
      </c>
      <c r="B46" s="165">
        <v>24.03</v>
      </c>
      <c r="C46" s="165">
        <v>56.14</v>
      </c>
      <c r="D46" s="165">
        <v>49.47</v>
      </c>
      <c r="E46" s="165">
        <v>6.74</v>
      </c>
      <c r="F46" s="165">
        <v>3.57</v>
      </c>
      <c r="G46" s="165">
        <v>13.48</v>
      </c>
      <c r="H46" s="165">
        <v>2.55</v>
      </c>
      <c r="I46" s="165">
        <v>3.52</v>
      </c>
      <c r="J46" s="165">
        <v>0.17</v>
      </c>
      <c r="K46" s="165">
        <v>216.13</v>
      </c>
      <c r="L46" s="165">
        <v>26.71</v>
      </c>
      <c r="M46" s="165">
        <v>62.27</v>
      </c>
      <c r="N46" s="165">
        <v>551.6</v>
      </c>
      <c r="O46" s="165">
        <v>0</v>
      </c>
      <c r="P46" s="165">
        <v>0.39</v>
      </c>
      <c r="Q46" s="165">
        <v>6.61</v>
      </c>
      <c r="R46" s="13"/>
      <c r="S46" s="13"/>
      <c r="T46" s="213"/>
      <c r="U46" s="13"/>
    </row>
    <row r="47" customFormat="1" spans="1:21">
      <c r="A47" s="142" t="s">
        <v>84</v>
      </c>
      <c r="B47" s="165">
        <v>23.7</v>
      </c>
      <c r="C47" s="165">
        <v>62.39</v>
      </c>
      <c r="D47" s="165">
        <v>52.47</v>
      </c>
      <c r="E47" s="165">
        <v>6.94</v>
      </c>
      <c r="F47" s="165">
        <v>2.86</v>
      </c>
      <c r="G47" s="165">
        <v>13.48</v>
      </c>
      <c r="H47" s="165">
        <v>2.55</v>
      </c>
      <c r="I47" s="165">
        <v>3.47</v>
      </c>
      <c r="J47" s="165">
        <v>0.22</v>
      </c>
      <c r="K47" s="165">
        <v>197.64</v>
      </c>
      <c r="L47" s="165">
        <v>27.78</v>
      </c>
      <c r="M47" s="165">
        <v>58.71</v>
      </c>
      <c r="N47" s="165">
        <v>621.3</v>
      </c>
      <c r="O47" s="165">
        <v>0</v>
      </c>
      <c r="P47" s="165">
        <v>0.41</v>
      </c>
      <c r="Q47" s="165">
        <v>6.8</v>
      </c>
      <c r="R47" s="13"/>
      <c r="S47" s="13"/>
      <c r="T47" s="213"/>
      <c r="U47" s="13"/>
    </row>
    <row r="48" customFormat="1" spans="1:21">
      <c r="A48" s="142" t="s">
        <v>85</v>
      </c>
      <c r="B48" s="165">
        <v>23.34</v>
      </c>
      <c r="C48" s="165">
        <v>55.46</v>
      </c>
      <c r="D48" s="165">
        <v>48.56</v>
      </c>
      <c r="E48" s="165">
        <v>6.95</v>
      </c>
      <c r="F48" s="165">
        <v>3.63</v>
      </c>
      <c r="G48" s="165">
        <v>13.48</v>
      </c>
      <c r="H48" s="165">
        <v>2.55</v>
      </c>
      <c r="I48" s="165">
        <v>3.49</v>
      </c>
      <c r="J48" s="165">
        <v>0.2</v>
      </c>
      <c r="K48" s="165">
        <v>256.09</v>
      </c>
      <c r="L48" s="165">
        <v>28.06</v>
      </c>
      <c r="M48" s="165">
        <v>56.1</v>
      </c>
      <c r="N48" s="165">
        <v>526.7</v>
      </c>
      <c r="O48" s="165">
        <v>0</v>
      </c>
      <c r="P48" s="165">
        <v>0.39</v>
      </c>
      <c r="Q48" s="165">
        <v>6.62</v>
      </c>
      <c r="R48" s="13"/>
      <c r="S48" s="13"/>
      <c r="T48" s="213"/>
      <c r="U48" s="13"/>
    </row>
    <row r="49" customFormat="1" spans="1:21">
      <c r="A49" s="142" t="s">
        <v>86</v>
      </c>
      <c r="B49" s="165">
        <v>22.41</v>
      </c>
      <c r="C49" s="165">
        <v>56.73</v>
      </c>
      <c r="D49" s="165">
        <v>48.49</v>
      </c>
      <c r="E49" s="165">
        <v>4.51</v>
      </c>
      <c r="F49" s="165">
        <v>4.37</v>
      </c>
      <c r="G49" s="165">
        <v>10.24</v>
      </c>
      <c r="H49" s="165">
        <v>16.73</v>
      </c>
      <c r="I49" s="165">
        <v>3.53</v>
      </c>
      <c r="J49" s="165">
        <v>0.66</v>
      </c>
      <c r="K49" s="165">
        <v>240.6</v>
      </c>
      <c r="L49" s="165">
        <v>28.25</v>
      </c>
      <c r="M49" s="165">
        <v>53.95</v>
      </c>
      <c r="N49" s="165">
        <v>478.8</v>
      </c>
      <c r="O49" s="165">
        <v>0</v>
      </c>
      <c r="P49" s="165">
        <v>0.4</v>
      </c>
      <c r="Q49" s="165">
        <v>6.47</v>
      </c>
      <c r="R49" s="13"/>
      <c r="S49" s="13"/>
      <c r="T49" s="213"/>
      <c r="U49" s="13"/>
    </row>
    <row r="50" customFormat="1" spans="1:21">
      <c r="A50" s="142" t="s">
        <v>87</v>
      </c>
      <c r="B50" s="165">
        <v>21.97</v>
      </c>
      <c r="C50" s="165">
        <v>62.12</v>
      </c>
      <c r="D50" s="165">
        <v>50.95</v>
      </c>
      <c r="E50" s="165">
        <v>6.84</v>
      </c>
      <c r="F50" s="165">
        <v>3.37</v>
      </c>
      <c r="G50" s="165">
        <v>9.43</v>
      </c>
      <c r="H50" s="165">
        <v>16.73</v>
      </c>
      <c r="I50" s="165">
        <v>3.5</v>
      </c>
      <c r="J50" s="165">
        <v>0.68</v>
      </c>
      <c r="K50" s="165">
        <v>298.48</v>
      </c>
      <c r="L50" s="165">
        <v>27.29</v>
      </c>
      <c r="M50" s="165">
        <v>56.96</v>
      </c>
      <c r="N50" s="165">
        <v>155.1</v>
      </c>
      <c r="O50" s="165">
        <v>0</v>
      </c>
      <c r="P50" s="165">
        <v>0.42</v>
      </c>
      <c r="Q50" s="165">
        <v>6.67</v>
      </c>
      <c r="R50" s="13"/>
      <c r="S50" s="13"/>
      <c r="T50" s="213"/>
      <c r="U50" s="13"/>
    </row>
    <row r="51" customFormat="1" spans="1:21">
      <c r="A51" s="142" t="s">
        <v>88</v>
      </c>
      <c r="B51" s="165">
        <v>21.94</v>
      </c>
      <c r="C51" s="165">
        <v>55.05</v>
      </c>
      <c r="D51" s="165">
        <v>47.23</v>
      </c>
      <c r="E51" s="165">
        <v>6.91</v>
      </c>
      <c r="F51" s="165">
        <v>3.67</v>
      </c>
      <c r="G51" s="165">
        <v>9.43</v>
      </c>
      <c r="H51" s="165">
        <v>16.73</v>
      </c>
      <c r="I51" s="165">
        <v>3.56</v>
      </c>
      <c r="J51" s="165">
        <v>0.21</v>
      </c>
      <c r="K51" s="165">
        <v>259.45</v>
      </c>
      <c r="L51" s="165">
        <v>27.32</v>
      </c>
      <c r="M51" s="165">
        <v>55.67</v>
      </c>
      <c r="N51" s="165">
        <v>284.2</v>
      </c>
      <c r="O51" s="165">
        <v>0</v>
      </c>
      <c r="P51" s="165">
        <v>0.41</v>
      </c>
      <c r="Q51" s="165">
        <v>6.45</v>
      </c>
      <c r="R51" s="13"/>
      <c r="S51" s="13"/>
      <c r="T51" s="213"/>
      <c r="U51" s="13"/>
    </row>
    <row r="52" customFormat="1" spans="1:21">
      <c r="A52" s="142" t="s">
        <v>89</v>
      </c>
      <c r="B52" s="165">
        <v>21.43</v>
      </c>
      <c r="C52" s="165">
        <v>61.01</v>
      </c>
      <c r="D52" s="165">
        <v>49.94</v>
      </c>
      <c r="E52" s="165">
        <v>7.05</v>
      </c>
      <c r="F52" s="165">
        <v>3.11</v>
      </c>
      <c r="G52" s="165">
        <v>9.43</v>
      </c>
      <c r="H52" s="165">
        <v>16.73</v>
      </c>
      <c r="I52" s="165">
        <v>3.62</v>
      </c>
      <c r="J52" s="165">
        <v>0.29</v>
      </c>
      <c r="K52" s="165">
        <v>241.35</v>
      </c>
      <c r="L52" s="165">
        <v>28.23</v>
      </c>
      <c r="M52" s="165">
        <v>52.66</v>
      </c>
      <c r="N52" s="165">
        <v>595.7</v>
      </c>
      <c r="O52" s="165">
        <v>0</v>
      </c>
      <c r="P52" s="165">
        <v>0.43</v>
      </c>
      <c r="Q52" s="165">
        <v>6.55</v>
      </c>
      <c r="R52" s="13"/>
      <c r="S52" s="13"/>
      <c r="T52" s="213"/>
      <c r="U52" s="13"/>
    </row>
    <row r="53" customFormat="1" spans="1:21">
      <c r="A53" s="142" t="s">
        <v>90</v>
      </c>
      <c r="B53" s="165">
        <v>20.51</v>
      </c>
      <c r="C53" s="165">
        <v>58.13</v>
      </c>
      <c r="D53" s="165">
        <v>47.69</v>
      </c>
      <c r="E53" s="165">
        <v>7.24</v>
      </c>
      <c r="F53" s="165">
        <v>4.11</v>
      </c>
      <c r="G53" s="165">
        <v>11.87</v>
      </c>
      <c r="H53" s="165">
        <v>21.75</v>
      </c>
      <c r="I53" s="165">
        <v>3.63</v>
      </c>
      <c r="J53" s="165">
        <v>0.66</v>
      </c>
      <c r="K53" s="165">
        <v>228.34</v>
      </c>
      <c r="L53" s="165">
        <v>29.25</v>
      </c>
      <c r="M53" s="165">
        <v>49.36</v>
      </c>
      <c r="N53" s="165">
        <v>765.2</v>
      </c>
      <c r="O53" s="165">
        <v>0</v>
      </c>
      <c r="P53" s="165">
        <v>0.43</v>
      </c>
      <c r="Q53" s="165">
        <v>6.66</v>
      </c>
      <c r="R53" s="13"/>
      <c r="S53" s="13"/>
      <c r="T53" s="213"/>
      <c r="U53" s="13"/>
    </row>
    <row r="54" customFormat="1" spans="1:21">
      <c r="A54" s="142" t="s">
        <v>91</v>
      </c>
      <c r="B54" s="165">
        <v>19.9</v>
      </c>
      <c r="C54" s="165">
        <v>53.82</v>
      </c>
      <c r="D54" s="165">
        <v>44.95</v>
      </c>
      <c r="E54" s="165">
        <v>7.18</v>
      </c>
      <c r="F54" s="165">
        <v>4.99</v>
      </c>
      <c r="G54" s="165">
        <v>12.52</v>
      </c>
      <c r="H54" s="165">
        <v>21.75</v>
      </c>
      <c r="I54" s="165">
        <v>3.67</v>
      </c>
      <c r="J54" s="165">
        <v>0.39</v>
      </c>
      <c r="K54" s="165">
        <v>299.19</v>
      </c>
      <c r="L54" s="165">
        <v>29.88</v>
      </c>
      <c r="M54" s="165">
        <v>46.69</v>
      </c>
      <c r="N54" s="165">
        <v>846.7</v>
      </c>
      <c r="O54" s="165">
        <v>0</v>
      </c>
      <c r="P54" s="165">
        <v>0.41</v>
      </c>
      <c r="Q54" s="165">
        <v>6.38</v>
      </c>
      <c r="R54" s="13"/>
      <c r="S54" s="13"/>
      <c r="T54" s="213"/>
      <c r="U54" s="13"/>
    </row>
    <row r="55" customFormat="1" spans="1:21">
      <c r="A55" s="142" t="s">
        <v>92</v>
      </c>
      <c r="B55" s="165">
        <v>19.01</v>
      </c>
      <c r="C55" s="165">
        <v>63.01</v>
      </c>
      <c r="D55" s="165">
        <v>49.03</v>
      </c>
      <c r="E55" s="165">
        <v>7.41</v>
      </c>
      <c r="F55" s="165">
        <v>4.09</v>
      </c>
      <c r="G55" s="165">
        <v>12.52</v>
      </c>
      <c r="H55" s="165">
        <v>21.75</v>
      </c>
      <c r="I55" s="165">
        <v>3.67</v>
      </c>
      <c r="J55" s="165">
        <v>0.67</v>
      </c>
      <c r="K55" s="165">
        <v>248.16</v>
      </c>
      <c r="L55" s="165">
        <v>30.28</v>
      </c>
      <c r="M55" s="165">
        <v>44.85</v>
      </c>
      <c r="N55" s="165">
        <v>860.2</v>
      </c>
      <c r="O55" s="165">
        <v>0</v>
      </c>
      <c r="P55" s="165">
        <v>0.44</v>
      </c>
      <c r="Q55" s="165">
        <v>6.51</v>
      </c>
      <c r="R55" s="13"/>
      <c r="S55" s="13"/>
      <c r="T55" s="213"/>
      <c r="U55" s="13"/>
    </row>
    <row r="56" customFormat="1" spans="1:21">
      <c r="A56" s="142" t="s">
        <v>93</v>
      </c>
      <c r="B56" s="165">
        <v>12.62</v>
      </c>
      <c r="C56" s="165">
        <v>47.29</v>
      </c>
      <c r="D56" s="165">
        <v>35.7</v>
      </c>
      <c r="E56" s="165">
        <v>8</v>
      </c>
      <c r="F56" s="165">
        <v>22.61</v>
      </c>
      <c r="G56" s="182" t="s">
        <v>12</v>
      </c>
      <c r="H56" s="182" t="s">
        <v>12</v>
      </c>
      <c r="I56" s="165">
        <v>3.69</v>
      </c>
      <c r="J56" s="165">
        <v>0.57</v>
      </c>
      <c r="K56" s="165">
        <v>290.53</v>
      </c>
      <c r="L56" s="165">
        <v>30.65</v>
      </c>
      <c r="M56" s="165">
        <v>42.8</v>
      </c>
      <c r="N56" s="165">
        <v>882.3</v>
      </c>
      <c r="O56" s="165">
        <v>0</v>
      </c>
      <c r="P56" s="165">
        <v>0.44</v>
      </c>
      <c r="Q56" s="165">
        <v>6.4</v>
      </c>
      <c r="R56" s="13"/>
      <c r="S56" s="13"/>
      <c r="T56" s="213"/>
      <c r="U56" s="13"/>
    </row>
    <row r="57" customFormat="1" spans="1:21">
      <c r="A57" s="142" t="s">
        <v>94</v>
      </c>
      <c r="B57" s="165">
        <v>6.92</v>
      </c>
      <c r="C57" s="165">
        <v>40.57</v>
      </c>
      <c r="D57" s="165">
        <v>27.62</v>
      </c>
      <c r="E57" s="165">
        <v>7.1</v>
      </c>
      <c r="F57" s="165">
        <v>22.7</v>
      </c>
      <c r="G57" s="182" t="s">
        <v>12</v>
      </c>
      <c r="H57" s="182" t="s">
        <v>12</v>
      </c>
      <c r="I57" s="165">
        <v>3.68</v>
      </c>
      <c r="J57" s="165">
        <v>0.36</v>
      </c>
      <c r="K57" s="165">
        <v>220.29</v>
      </c>
      <c r="L57" s="165">
        <v>31.08</v>
      </c>
      <c r="M57" s="165">
        <v>41.17</v>
      </c>
      <c r="N57" s="165">
        <v>885.4</v>
      </c>
      <c r="O57" s="165">
        <v>0</v>
      </c>
      <c r="P57" s="165">
        <v>0.41</v>
      </c>
      <c r="Q57" s="165">
        <v>5.81</v>
      </c>
      <c r="R57" s="13"/>
      <c r="S57" s="13"/>
      <c r="T57" s="213"/>
      <c r="U57" s="13"/>
    </row>
    <row r="58" customFormat="1" spans="1:21">
      <c r="A58" s="142" t="s">
        <v>95</v>
      </c>
      <c r="B58" s="165">
        <v>4.53</v>
      </c>
      <c r="C58" s="165">
        <v>45.39</v>
      </c>
      <c r="D58" s="165">
        <v>28.22</v>
      </c>
      <c r="E58" s="165">
        <v>6.96</v>
      </c>
      <c r="F58" s="165">
        <v>16.77</v>
      </c>
      <c r="G58" s="182" t="s">
        <v>12</v>
      </c>
      <c r="H58" s="182" t="s">
        <v>12</v>
      </c>
      <c r="I58" s="165">
        <v>3.48</v>
      </c>
      <c r="J58" s="165">
        <v>0.48</v>
      </c>
      <c r="K58" s="165">
        <v>284.8</v>
      </c>
      <c r="L58" s="165">
        <v>31.38</v>
      </c>
      <c r="M58" s="165">
        <v>38.68</v>
      </c>
      <c r="N58" s="165">
        <v>885.2</v>
      </c>
      <c r="O58" s="165">
        <v>0</v>
      </c>
      <c r="P58" s="165">
        <v>0.42</v>
      </c>
      <c r="Q58" s="165">
        <v>5.56</v>
      </c>
      <c r="R58" s="13"/>
      <c r="S58" s="13"/>
      <c r="T58" s="213"/>
      <c r="U58" s="13"/>
    </row>
    <row r="59" customFormat="1" spans="1:21">
      <c r="A59" s="142" t="s">
        <v>96</v>
      </c>
      <c r="B59" s="165">
        <v>4.26</v>
      </c>
      <c r="C59" s="165">
        <v>43.88</v>
      </c>
      <c r="D59" s="165">
        <v>27.22</v>
      </c>
      <c r="E59" s="165">
        <v>7.26</v>
      </c>
      <c r="F59" s="165">
        <v>24.23</v>
      </c>
      <c r="G59" s="182" t="s">
        <v>12</v>
      </c>
      <c r="H59" s="182" t="s">
        <v>12</v>
      </c>
      <c r="I59" s="165">
        <v>3.3</v>
      </c>
      <c r="J59" s="165">
        <v>0.21</v>
      </c>
      <c r="K59" s="165">
        <v>335.78</v>
      </c>
      <c r="L59" s="165">
        <v>31.82</v>
      </c>
      <c r="M59" s="165">
        <v>35.63</v>
      </c>
      <c r="N59" s="165">
        <v>873.7</v>
      </c>
      <c r="O59" s="165">
        <v>0</v>
      </c>
      <c r="P59" s="165">
        <v>0.43</v>
      </c>
      <c r="Q59" s="165">
        <v>5.66</v>
      </c>
      <c r="R59" s="13"/>
      <c r="S59" s="13"/>
      <c r="T59" s="213"/>
      <c r="U59" s="13"/>
    </row>
    <row r="60" customFormat="1" spans="1:21">
      <c r="A60" s="142" t="s">
        <v>97</v>
      </c>
      <c r="B60" s="165">
        <v>4.4</v>
      </c>
      <c r="C60" s="165">
        <v>37.02</v>
      </c>
      <c r="D60" s="165">
        <v>23.75</v>
      </c>
      <c r="E60" s="165">
        <v>7.48</v>
      </c>
      <c r="F60" s="165">
        <v>33.56</v>
      </c>
      <c r="G60" s="182" t="s">
        <v>12</v>
      </c>
      <c r="H60" s="182" t="s">
        <v>12</v>
      </c>
      <c r="I60" s="165">
        <v>3.26</v>
      </c>
      <c r="J60" s="165">
        <v>0.82</v>
      </c>
      <c r="K60" s="165">
        <v>305.86</v>
      </c>
      <c r="L60" s="165">
        <v>32.3</v>
      </c>
      <c r="M60" s="165">
        <v>34.63</v>
      </c>
      <c r="N60" s="165">
        <v>888.2</v>
      </c>
      <c r="O60" s="165">
        <v>0</v>
      </c>
      <c r="P60" s="165">
        <v>0.42</v>
      </c>
      <c r="Q60" s="165">
        <v>5.38</v>
      </c>
      <c r="R60" s="13"/>
      <c r="S60" s="13"/>
      <c r="T60" s="213"/>
      <c r="U60" s="13"/>
    </row>
    <row r="61" customFormat="1" spans="1:21">
      <c r="A61" s="142" t="s">
        <v>98</v>
      </c>
      <c r="B61" s="165">
        <v>4.03</v>
      </c>
      <c r="C61" s="165">
        <v>35.79</v>
      </c>
      <c r="D61" s="165">
        <v>22.8</v>
      </c>
      <c r="E61" s="165">
        <v>7.31</v>
      </c>
      <c r="F61" s="165">
        <v>26.17</v>
      </c>
      <c r="G61" s="182" t="s">
        <v>12</v>
      </c>
      <c r="H61" s="182" t="s">
        <v>12</v>
      </c>
      <c r="I61" s="165">
        <v>3.17</v>
      </c>
      <c r="J61" s="165">
        <v>0.45</v>
      </c>
      <c r="K61" s="165">
        <v>276.48</v>
      </c>
      <c r="L61" s="165">
        <v>32.68</v>
      </c>
      <c r="M61" s="165">
        <v>32.28</v>
      </c>
      <c r="N61" s="165">
        <v>869.8</v>
      </c>
      <c r="O61" s="165">
        <v>0</v>
      </c>
      <c r="P61" s="165">
        <v>0.41</v>
      </c>
      <c r="Q61" s="165">
        <v>5.15</v>
      </c>
      <c r="R61" s="13"/>
      <c r="S61" s="13"/>
      <c r="T61" s="213"/>
      <c r="U61" s="13"/>
    </row>
    <row r="62" customFormat="1" spans="1:21">
      <c r="A62" s="142" t="s">
        <v>99</v>
      </c>
      <c r="B62" s="165">
        <v>3.73</v>
      </c>
      <c r="C62" s="165">
        <v>33.7</v>
      </c>
      <c r="D62" s="165">
        <v>21.47</v>
      </c>
      <c r="E62" s="165">
        <v>7.21</v>
      </c>
      <c r="F62" s="165">
        <v>34.7</v>
      </c>
      <c r="G62" s="182" t="s">
        <v>12</v>
      </c>
      <c r="H62" s="182" t="s">
        <v>12</v>
      </c>
      <c r="I62" s="165">
        <v>3.01</v>
      </c>
      <c r="J62" s="165">
        <v>0.36</v>
      </c>
      <c r="K62" s="165">
        <v>248.47</v>
      </c>
      <c r="L62" s="165">
        <v>32.96</v>
      </c>
      <c r="M62" s="165">
        <v>31.4</v>
      </c>
      <c r="N62" s="165">
        <v>833.1</v>
      </c>
      <c r="O62" s="165">
        <v>0</v>
      </c>
      <c r="P62" s="165">
        <v>0.39</v>
      </c>
      <c r="Q62" s="165">
        <v>4.99</v>
      </c>
      <c r="R62" s="13"/>
      <c r="S62" s="13"/>
      <c r="T62" s="213"/>
      <c r="U62" s="13"/>
    </row>
    <row r="63" customFormat="1" spans="1:21">
      <c r="A63" s="142" t="s">
        <v>100</v>
      </c>
      <c r="B63" s="165">
        <v>3.18</v>
      </c>
      <c r="C63" s="165">
        <v>33.37</v>
      </c>
      <c r="D63" s="165">
        <v>20.86</v>
      </c>
      <c r="E63" s="165">
        <v>6.34</v>
      </c>
      <c r="F63" s="165">
        <v>20.65</v>
      </c>
      <c r="G63" s="182" t="s">
        <v>12</v>
      </c>
      <c r="H63" s="182" t="s">
        <v>12</v>
      </c>
      <c r="I63" s="165">
        <v>2.91</v>
      </c>
      <c r="J63" s="165">
        <v>0.55</v>
      </c>
      <c r="K63" s="165">
        <v>212.94</v>
      </c>
      <c r="L63" s="165">
        <v>33.42</v>
      </c>
      <c r="M63" s="165">
        <v>31.29</v>
      </c>
      <c r="N63" s="165">
        <v>784.3</v>
      </c>
      <c r="O63" s="165">
        <v>0</v>
      </c>
      <c r="P63" s="165">
        <v>0.39</v>
      </c>
      <c r="Q63" s="165">
        <v>4.92</v>
      </c>
      <c r="R63" s="13"/>
      <c r="S63" s="13"/>
      <c r="T63" s="213"/>
      <c r="U63" s="13"/>
    </row>
    <row r="64" customFormat="1" spans="1:21">
      <c r="A64" s="142" t="s">
        <v>101</v>
      </c>
      <c r="B64" s="165">
        <v>3.21</v>
      </c>
      <c r="C64" s="165">
        <v>33.27</v>
      </c>
      <c r="D64" s="165">
        <v>20.83</v>
      </c>
      <c r="E64" s="165">
        <v>6.78</v>
      </c>
      <c r="F64" s="165">
        <v>27.93</v>
      </c>
      <c r="G64" s="182" t="s">
        <v>12</v>
      </c>
      <c r="H64" s="182" t="s">
        <v>12</v>
      </c>
      <c r="I64" s="165">
        <v>2.76</v>
      </c>
      <c r="J64" s="165">
        <v>0.58</v>
      </c>
      <c r="K64" s="165">
        <v>211.49</v>
      </c>
      <c r="L64" s="165">
        <v>34.19</v>
      </c>
      <c r="M64" s="165">
        <v>28.12</v>
      </c>
      <c r="N64" s="165">
        <v>792.4</v>
      </c>
      <c r="O64" s="165">
        <v>0</v>
      </c>
      <c r="P64" s="165">
        <v>0.38</v>
      </c>
      <c r="Q64" s="165">
        <v>5</v>
      </c>
      <c r="R64" s="13"/>
      <c r="S64" s="13"/>
      <c r="T64" s="213"/>
      <c r="U64" s="13"/>
    </row>
    <row r="65" customFormat="1" spans="1:21">
      <c r="A65" s="142" t="s">
        <v>102</v>
      </c>
      <c r="B65" s="165">
        <v>3.2</v>
      </c>
      <c r="C65" s="165">
        <v>34.74</v>
      </c>
      <c r="D65" s="165">
        <v>21.59</v>
      </c>
      <c r="E65" s="165">
        <v>6.8</v>
      </c>
      <c r="F65" s="165">
        <v>32.1</v>
      </c>
      <c r="G65" s="182" t="s">
        <v>12</v>
      </c>
      <c r="H65" s="182" t="s">
        <v>12</v>
      </c>
      <c r="I65" s="165">
        <v>2.71</v>
      </c>
      <c r="J65" s="165">
        <v>0.74</v>
      </c>
      <c r="K65" s="165">
        <v>257.8</v>
      </c>
      <c r="L65" s="165">
        <v>33.66</v>
      </c>
      <c r="M65" s="165">
        <v>29.51</v>
      </c>
      <c r="N65" s="165">
        <v>776.7</v>
      </c>
      <c r="O65" s="165">
        <v>0</v>
      </c>
      <c r="P65" s="165">
        <v>0.36</v>
      </c>
      <c r="Q65" s="165">
        <v>4.97</v>
      </c>
      <c r="R65" s="13"/>
      <c r="S65" s="13"/>
      <c r="T65" s="213"/>
      <c r="U65" s="13"/>
    </row>
    <row r="66" customFormat="1" spans="1:21">
      <c r="A66" s="142" t="s">
        <v>103</v>
      </c>
      <c r="B66" s="165">
        <v>3.28</v>
      </c>
      <c r="C66" s="165">
        <v>33.48</v>
      </c>
      <c r="D66" s="165">
        <v>21</v>
      </c>
      <c r="E66" s="165">
        <v>7.2</v>
      </c>
      <c r="F66" s="165">
        <v>31.1</v>
      </c>
      <c r="G66" s="182" t="s">
        <v>12</v>
      </c>
      <c r="H66" s="182" t="s">
        <v>12</v>
      </c>
      <c r="I66" s="165">
        <v>2.59</v>
      </c>
      <c r="J66" s="165">
        <v>1.07</v>
      </c>
      <c r="K66" s="165">
        <v>275.55</v>
      </c>
      <c r="L66" s="165">
        <v>33.18</v>
      </c>
      <c r="M66" s="165">
        <v>30.69</v>
      </c>
      <c r="N66" s="165">
        <v>699.7</v>
      </c>
      <c r="O66" s="165">
        <v>0</v>
      </c>
      <c r="P66" s="165">
        <v>0.39</v>
      </c>
      <c r="Q66" s="165">
        <v>4.99</v>
      </c>
      <c r="R66" s="13"/>
      <c r="S66" s="13"/>
      <c r="T66" s="213"/>
      <c r="U66" s="13"/>
    </row>
    <row r="67" customFormat="1" spans="1:21">
      <c r="A67" s="142" t="s">
        <v>104</v>
      </c>
      <c r="B67" s="165">
        <v>3.3</v>
      </c>
      <c r="C67" s="165">
        <v>36.02</v>
      </c>
      <c r="D67" s="165">
        <v>22.34</v>
      </c>
      <c r="E67" s="165">
        <v>6.72</v>
      </c>
      <c r="F67" s="165">
        <v>14.38</v>
      </c>
      <c r="G67" s="165">
        <v>17.49</v>
      </c>
      <c r="H67" s="182" t="s">
        <v>12</v>
      </c>
      <c r="I67" s="165">
        <v>2.5</v>
      </c>
      <c r="J67" s="165">
        <v>0.8</v>
      </c>
      <c r="K67" s="165">
        <v>269.8</v>
      </c>
      <c r="L67" s="165">
        <v>33.25</v>
      </c>
      <c r="M67" s="165">
        <v>31.52</v>
      </c>
      <c r="N67" s="165">
        <v>660.4</v>
      </c>
      <c r="O67" s="165">
        <v>0</v>
      </c>
      <c r="P67" s="165">
        <v>0.4</v>
      </c>
      <c r="Q67" s="165">
        <v>5.03</v>
      </c>
      <c r="R67" s="13"/>
      <c r="S67" s="13"/>
      <c r="T67" s="213"/>
      <c r="U67" s="13"/>
    </row>
    <row r="68" customFormat="1" spans="1:21">
      <c r="A68" s="142" t="s">
        <v>105</v>
      </c>
      <c r="B68" s="165">
        <v>3.61</v>
      </c>
      <c r="C68" s="165">
        <v>42.36</v>
      </c>
      <c r="D68" s="165">
        <v>25.9</v>
      </c>
      <c r="E68" s="165">
        <v>6.5</v>
      </c>
      <c r="F68" s="165">
        <v>9.99</v>
      </c>
      <c r="G68" s="165">
        <v>17.49</v>
      </c>
      <c r="H68" s="182" t="s">
        <v>12</v>
      </c>
      <c r="I68" s="165">
        <v>2.49</v>
      </c>
      <c r="J68" s="165">
        <v>0.56</v>
      </c>
      <c r="K68" s="165">
        <v>297.15</v>
      </c>
      <c r="L68" s="165">
        <v>34.15</v>
      </c>
      <c r="M68" s="165">
        <v>29.89</v>
      </c>
      <c r="N68" s="165">
        <v>631.2</v>
      </c>
      <c r="O68" s="165">
        <v>0</v>
      </c>
      <c r="P68" s="165">
        <v>0.42</v>
      </c>
      <c r="Q68" s="165">
        <v>5.16</v>
      </c>
      <c r="R68" s="13"/>
      <c r="S68" s="13"/>
      <c r="T68" s="213"/>
      <c r="U68" s="13"/>
    </row>
    <row r="69" customFormat="1" spans="1:21">
      <c r="A69" s="142" t="s">
        <v>106</v>
      </c>
      <c r="B69" s="165">
        <v>4.05</v>
      </c>
      <c r="C69" s="165">
        <v>43.93</v>
      </c>
      <c r="D69" s="165">
        <v>27.07</v>
      </c>
      <c r="E69" s="165">
        <v>5.92</v>
      </c>
      <c r="F69" s="165">
        <v>8.58</v>
      </c>
      <c r="G69" s="165">
        <v>17.49</v>
      </c>
      <c r="H69" s="182" t="s">
        <v>12</v>
      </c>
      <c r="I69" s="165">
        <v>2.7</v>
      </c>
      <c r="J69" s="165">
        <v>0.5</v>
      </c>
      <c r="K69" s="165">
        <v>232.42</v>
      </c>
      <c r="L69" s="165">
        <v>33.88</v>
      </c>
      <c r="M69" s="165">
        <v>31.06</v>
      </c>
      <c r="N69" s="165">
        <v>572.9</v>
      </c>
      <c r="O69" s="165">
        <v>0</v>
      </c>
      <c r="P69" s="165">
        <v>0.43</v>
      </c>
      <c r="Q69" s="165">
        <v>5.24</v>
      </c>
      <c r="R69" s="13"/>
      <c r="S69" s="13"/>
      <c r="T69" s="213"/>
      <c r="U69" s="13"/>
    </row>
    <row r="70" customFormat="1" spans="1:21">
      <c r="A70" s="142" t="s">
        <v>107</v>
      </c>
      <c r="B70" s="165">
        <v>4.45</v>
      </c>
      <c r="C70" s="165">
        <v>48.14</v>
      </c>
      <c r="D70" s="165">
        <v>29.59</v>
      </c>
      <c r="E70" s="165">
        <v>6.21</v>
      </c>
      <c r="F70" s="165">
        <v>8.18</v>
      </c>
      <c r="G70" s="165">
        <v>17.55</v>
      </c>
      <c r="H70" s="182" t="s">
        <v>12</v>
      </c>
      <c r="I70" s="165">
        <v>2.87</v>
      </c>
      <c r="J70" s="165">
        <v>0.54</v>
      </c>
      <c r="K70" s="165">
        <v>249.17</v>
      </c>
      <c r="L70" s="165">
        <v>33.84</v>
      </c>
      <c r="M70" s="165">
        <v>31.61</v>
      </c>
      <c r="N70" s="165">
        <v>525.1</v>
      </c>
      <c r="O70" s="165">
        <v>0</v>
      </c>
      <c r="P70" s="165">
        <v>0.44</v>
      </c>
      <c r="Q70" s="165">
        <v>5.35</v>
      </c>
      <c r="R70" s="13"/>
      <c r="S70" s="13"/>
      <c r="T70" s="213"/>
      <c r="U70" s="13"/>
    </row>
    <row r="71" customFormat="1" spans="1:21">
      <c r="A71" s="142" t="s">
        <v>108</v>
      </c>
      <c r="B71" s="165">
        <v>4.8</v>
      </c>
      <c r="C71" s="165">
        <v>50.72</v>
      </c>
      <c r="D71" s="165">
        <v>31.22</v>
      </c>
      <c r="E71" s="165">
        <v>6.05</v>
      </c>
      <c r="F71" s="165">
        <v>7.44</v>
      </c>
      <c r="G71" s="165">
        <v>20.05</v>
      </c>
      <c r="H71" s="182" t="s">
        <v>12</v>
      </c>
      <c r="I71" s="165">
        <v>3.05</v>
      </c>
      <c r="J71" s="165">
        <v>0.71</v>
      </c>
      <c r="K71" s="165">
        <v>250.6</v>
      </c>
      <c r="L71" s="165">
        <v>33.52</v>
      </c>
      <c r="M71" s="165">
        <v>32.25</v>
      </c>
      <c r="N71" s="165">
        <v>473.8</v>
      </c>
      <c r="O71" s="165">
        <v>0</v>
      </c>
      <c r="P71" s="165">
        <v>0.47</v>
      </c>
      <c r="Q71" s="165">
        <v>5.5</v>
      </c>
      <c r="R71" s="13"/>
      <c r="S71" s="13"/>
      <c r="T71" s="213"/>
      <c r="U71" s="13"/>
    </row>
    <row r="72" customFormat="1" spans="1:21">
      <c r="A72" s="142" t="s">
        <v>109</v>
      </c>
      <c r="B72" s="165">
        <v>4.95</v>
      </c>
      <c r="C72" s="165">
        <v>51.06</v>
      </c>
      <c r="D72" s="165">
        <v>31.52</v>
      </c>
      <c r="E72" s="165">
        <v>6.38</v>
      </c>
      <c r="F72" s="165">
        <v>8.65</v>
      </c>
      <c r="G72" s="165">
        <v>20.05</v>
      </c>
      <c r="H72" s="182" t="s">
        <v>12</v>
      </c>
      <c r="I72" s="165">
        <v>3.27</v>
      </c>
      <c r="J72" s="165">
        <v>0.63</v>
      </c>
      <c r="K72" s="165">
        <v>244.84</v>
      </c>
      <c r="L72" s="165">
        <v>33.21</v>
      </c>
      <c r="M72" s="165">
        <v>32.69</v>
      </c>
      <c r="N72" s="165">
        <v>408.1</v>
      </c>
      <c r="O72" s="165">
        <v>0</v>
      </c>
      <c r="P72" s="165">
        <v>0.49</v>
      </c>
      <c r="Q72" s="165">
        <v>5.54</v>
      </c>
      <c r="R72" s="13"/>
      <c r="S72" s="13"/>
      <c r="T72" s="213"/>
      <c r="U72" s="13"/>
    </row>
    <row r="73" customFormat="1" spans="1:21">
      <c r="A73" s="142" t="s">
        <v>110</v>
      </c>
      <c r="B73" s="165">
        <v>5.04</v>
      </c>
      <c r="C73" s="165">
        <v>51.17</v>
      </c>
      <c r="D73" s="165">
        <v>31.65</v>
      </c>
      <c r="E73" s="165">
        <v>6.36</v>
      </c>
      <c r="F73" s="165">
        <v>8.77</v>
      </c>
      <c r="G73" s="165">
        <v>20.05</v>
      </c>
      <c r="H73" s="182" t="s">
        <v>12</v>
      </c>
      <c r="I73" s="165">
        <v>3.5</v>
      </c>
      <c r="J73" s="165">
        <v>0.58</v>
      </c>
      <c r="K73" s="165">
        <v>226.78</v>
      </c>
      <c r="L73" s="165">
        <v>33.38</v>
      </c>
      <c r="M73" s="165">
        <v>32.05</v>
      </c>
      <c r="N73" s="165">
        <v>344.9</v>
      </c>
      <c r="O73" s="165">
        <v>0</v>
      </c>
      <c r="P73" s="165">
        <v>0.51</v>
      </c>
      <c r="Q73" s="165">
        <v>5.58</v>
      </c>
      <c r="R73" s="13"/>
      <c r="S73" s="13"/>
      <c r="T73" s="213"/>
      <c r="U73" s="13"/>
    </row>
    <row r="74" customFormat="1" spans="1:21">
      <c r="A74" s="142" t="s">
        <v>111</v>
      </c>
      <c r="B74" s="165">
        <v>5.11</v>
      </c>
      <c r="C74" s="165">
        <v>53.14</v>
      </c>
      <c r="D74" s="165">
        <v>32.73</v>
      </c>
      <c r="E74" s="165">
        <v>6.55</v>
      </c>
      <c r="F74" s="165">
        <v>9.28</v>
      </c>
      <c r="G74" s="165">
        <v>20.21</v>
      </c>
      <c r="H74" s="182" t="s">
        <v>12</v>
      </c>
      <c r="I74" s="165">
        <v>3.7</v>
      </c>
      <c r="J74" s="165">
        <v>0.5</v>
      </c>
      <c r="K74" s="165">
        <v>241.27</v>
      </c>
      <c r="L74" s="165">
        <v>33.16</v>
      </c>
      <c r="M74" s="165">
        <v>32.32</v>
      </c>
      <c r="N74" s="165">
        <v>205.3</v>
      </c>
      <c r="O74" s="165">
        <v>0</v>
      </c>
      <c r="P74" s="165">
        <v>0.54</v>
      </c>
      <c r="Q74" s="165">
        <v>5.58</v>
      </c>
      <c r="R74" s="13"/>
      <c r="S74" s="13"/>
      <c r="T74" s="213"/>
      <c r="U74" s="13"/>
    </row>
    <row r="75" customFormat="1" spans="1:21">
      <c r="A75" s="142" t="s">
        <v>112</v>
      </c>
      <c r="B75" s="165">
        <v>5.13</v>
      </c>
      <c r="C75" s="165">
        <v>54.91</v>
      </c>
      <c r="D75" s="165">
        <v>33.68</v>
      </c>
      <c r="E75" s="165">
        <v>6.86</v>
      </c>
      <c r="F75" s="165">
        <v>10.12</v>
      </c>
      <c r="G75" s="165">
        <v>27.19</v>
      </c>
      <c r="H75" s="182" t="s">
        <v>12</v>
      </c>
      <c r="I75" s="165">
        <v>4.05</v>
      </c>
      <c r="J75" s="165">
        <v>0.48</v>
      </c>
      <c r="K75" s="165">
        <v>221.78</v>
      </c>
      <c r="L75" s="165">
        <v>32.67</v>
      </c>
      <c r="M75" s="165">
        <v>32.62</v>
      </c>
      <c r="N75" s="165">
        <v>98.9</v>
      </c>
      <c r="O75" s="165">
        <v>0</v>
      </c>
      <c r="P75" s="165">
        <v>0.56</v>
      </c>
      <c r="Q75" s="165">
        <v>5.68</v>
      </c>
      <c r="R75" s="13"/>
      <c r="S75" s="13"/>
      <c r="T75" s="213"/>
      <c r="U75" s="13"/>
    </row>
    <row r="76" customFormat="1" spans="1:21">
      <c r="A76" s="142" t="s">
        <v>113</v>
      </c>
      <c r="B76" s="165">
        <v>5.22</v>
      </c>
      <c r="C76" s="165">
        <v>55.53</v>
      </c>
      <c r="D76" s="165">
        <v>34.07</v>
      </c>
      <c r="E76" s="165">
        <v>6.42</v>
      </c>
      <c r="F76" s="165">
        <v>8.82</v>
      </c>
      <c r="G76" s="165">
        <v>27.19</v>
      </c>
      <c r="H76" s="182" t="s">
        <v>12</v>
      </c>
      <c r="I76" s="165">
        <v>4.41</v>
      </c>
      <c r="J76" s="165">
        <v>0.39</v>
      </c>
      <c r="K76" s="165">
        <v>235.7</v>
      </c>
      <c r="L76" s="165">
        <v>31.8</v>
      </c>
      <c r="M76" s="165">
        <v>33.5</v>
      </c>
      <c r="N76" s="165">
        <v>40.5</v>
      </c>
      <c r="O76" s="165">
        <v>0</v>
      </c>
      <c r="P76" s="165">
        <v>0.58</v>
      </c>
      <c r="Q76" s="165">
        <v>5.71</v>
      </c>
      <c r="R76" s="13"/>
      <c r="S76" s="13"/>
      <c r="T76" s="213"/>
      <c r="U76" s="13"/>
    </row>
    <row r="77" customFormat="1" spans="1:21">
      <c r="A77" s="142" t="s">
        <v>114</v>
      </c>
      <c r="B77" s="165">
        <v>5.19</v>
      </c>
      <c r="C77" s="165">
        <v>56.56</v>
      </c>
      <c r="D77" s="165">
        <v>34.59</v>
      </c>
      <c r="E77" s="165">
        <v>6.81</v>
      </c>
      <c r="F77" s="165">
        <v>8.67</v>
      </c>
      <c r="G77" s="165">
        <v>27.19</v>
      </c>
      <c r="H77" s="182" t="s">
        <v>12</v>
      </c>
      <c r="I77" s="165">
        <v>4.75</v>
      </c>
      <c r="J77" s="165">
        <v>0.47</v>
      </c>
      <c r="K77" s="165">
        <v>206.92</v>
      </c>
      <c r="L77" s="165">
        <v>31.85</v>
      </c>
      <c r="M77" s="165">
        <v>32.5</v>
      </c>
      <c r="N77" s="165">
        <v>91.2</v>
      </c>
      <c r="O77" s="165">
        <v>0</v>
      </c>
      <c r="P77" s="165">
        <v>0.58</v>
      </c>
      <c r="Q77" s="165">
        <v>5.8</v>
      </c>
      <c r="R77" s="13"/>
      <c r="S77" s="13"/>
      <c r="T77" s="213"/>
      <c r="U77" s="13"/>
    </row>
    <row r="78" customFormat="1" spans="1:21">
      <c r="A78" s="142" t="s">
        <v>115</v>
      </c>
      <c r="B78" s="165">
        <v>5.47</v>
      </c>
      <c r="C78" s="165">
        <v>56.46</v>
      </c>
      <c r="D78" s="165">
        <v>34.76</v>
      </c>
      <c r="E78" s="165">
        <v>6.74</v>
      </c>
      <c r="F78" s="165">
        <v>10.73</v>
      </c>
      <c r="G78" s="165">
        <v>27.23</v>
      </c>
      <c r="H78" s="165">
        <v>5.15</v>
      </c>
      <c r="I78" s="165">
        <v>5.1</v>
      </c>
      <c r="J78" s="165">
        <v>0.36</v>
      </c>
      <c r="K78" s="165">
        <v>198.45</v>
      </c>
      <c r="L78" s="165">
        <v>31.51</v>
      </c>
      <c r="M78" s="165">
        <v>31.84</v>
      </c>
      <c r="N78" s="165">
        <v>28.8</v>
      </c>
      <c r="O78" s="165">
        <v>0</v>
      </c>
      <c r="P78" s="165">
        <v>0.58</v>
      </c>
      <c r="Q78" s="165">
        <v>5.86</v>
      </c>
      <c r="R78" s="13"/>
      <c r="S78" s="13"/>
      <c r="T78" s="213"/>
      <c r="U78" s="13"/>
    </row>
    <row r="79" customFormat="1" spans="1:21">
      <c r="A79" s="142" t="s">
        <v>116</v>
      </c>
      <c r="B79" s="165">
        <v>5.96</v>
      </c>
      <c r="C79" s="165">
        <v>54.81</v>
      </c>
      <c r="D79" s="165">
        <v>34.29</v>
      </c>
      <c r="E79" s="165">
        <v>6.79</v>
      </c>
      <c r="F79" s="165">
        <v>8.63</v>
      </c>
      <c r="G79" s="165">
        <v>29.01</v>
      </c>
      <c r="H79" s="165">
        <v>5.15</v>
      </c>
      <c r="I79" s="165">
        <v>5.33</v>
      </c>
      <c r="J79" s="165">
        <v>0.19</v>
      </c>
      <c r="K79" s="165">
        <v>173.88</v>
      </c>
      <c r="L79" s="165">
        <v>30.9</v>
      </c>
      <c r="M79" s="165">
        <v>34.42</v>
      </c>
      <c r="N79" s="165">
        <v>15.6</v>
      </c>
      <c r="O79" s="165">
        <v>0</v>
      </c>
      <c r="P79" s="165">
        <v>0.57</v>
      </c>
      <c r="Q79" s="165">
        <v>5.87</v>
      </c>
      <c r="R79" s="13"/>
      <c r="S79" s="13"/>
      <c r="T79" s="213"/>
      <c r="U79" s="13"/>
    </row>
    <row r="80" customFormat="1" spans="1:21">
      <c r="A80" s="142" t="s">
        <v>117</v>
      </c>
      <c r="B80" s="165">
        <v>6.45</v>
      </c>
      <c r="C80" s="165">
        <v>58.22</v>
      </c>
      <c r="D80" s="165">
        <v>36.46</v>
      </c>
      <c r="E80" s="165">
        <v>6.38</v>
      </c>
      <c r="F80" s="165">
        <v>6.87</v>
      </c>
      <c r="G80" s="165">
        <v>29.01</v>
      </c>
      <c r="H80" s="165">
        <v>5.15</v>
      </c>
      <c r="I80" s="165">
        <v>5.27</v>
      </c>
      <c r="J80" s="165">
        <v>0.27</v>
      </c>
      <c r="K80" s="165">
        <v>199.98</v>
      </c>
      <c r="L80" s="165">
        <v>30.42</v>
      </c>
      <c r="M80" s="165">
        <v>35.13</v>
      </c>
      <c r="N80" s="165">
        <v>16.9</v>
      </c>
      <c r="O80" s="165">
        <v>0</v>
      </c>
      <c r="P80" s="165">
        <v>0.56</v>
      </c>
      <c r="Q80" s="165">
        <v>5.91</v>
      </c>
      <c r="R80" s="13"/>
      <c r="S80" s="13"/>
      <c r="T80" s="213"/>
      <c r="U80" s="13"/>
    </row>
    <row r="81" customFormat="1" spans="1:21">
      <c r="A81" s="142" t="s">
        <v>118</v>
      </c>
      <c r="B81" s="165">
        <v>6.97</v>
      </c>
      <c r="C81" s="165">
        <v>58.42</v>
      </c>
      <c r="D81" s="165">
        <v>36.98</v>
      </c>
      <c r="E81" s="165">
        <v>5.05</v>
      </c>
      <c r="F81" s="165">
        <v>7.16</v>
      </c>
      <c r="G81" s="165">
        <v>29.01</v>
      </c>
      <c r="H81" s="165">
        <v>5.15</v>
      </c>
      <c r="I81" s="165">
        <v>5.19</v>
      </c>
      <c r="J81" s="165">
        <v>0.19</v>
      </c>
      <c r="K81" s="165">
        <v>169.76</v>
      </c>
      <c r="L81" s="165">
        <v>29.91</v>
      </c>
      <c r="M81" s="165">
        <v>36.96</v>
      </c>
      <c r="N81" s="165">
        <v>0</v>
      </c>
      <c r="O81" s="165">
        <v>0</v>
      </c>
      <c r="P81" s="165">
        <v>0.55</v>
      </c>
      <c r="Q81" s="165">
        <v>5.9</v>
      </c>
      <c r="R81" s="13"/>
      <c r="S81" s="13"/>
      <c r="T81" s="213"/>
      <c r="U81" s="13"/>
    </row>
    <row r="82" customFormat="1" spans="1:21">
      <c r="A82" s="142" t="s">
        <v>119</v>
      </c>
      <c r="B82" s="165">
        <v>7.45</v>
      </c>
      <c r="C82" s="165">
        <v>58.81</v>
      </c>
      <c r="D82" s="165">
        <v>37.57</v>
      </c>
      <c r="E82" s="165">
        <v>7.26</v>
      </c>
      <c r="F82" s="165">
        <v>6.4</v>
      </c>
      <c r="G82" s="165">
        <v>28.98</v>
      </c>
      <c r="H82" s="165">
        <v>5.31</v>
      </c>
      <c r="I82" s="165">
        <v>5.14</v>
      </c>
      <c r="J82" s="165">
        <v>0.17</v>
      </c>
      <c r="K82" s="165">
        <v>160.85</v>
      </c>
      <c r="L82" s="165">
        <v>29.13</v>
      </c>
      <c r="M82" s="165">
        <v>39.69</v>
      </c>
      <c r="N82" s="165">
        <v>0</v>
      </c>
      <c r="O82" s="165">
        <v>0</v>
      </c>
      <c r="P82" s="165">
        <v>0.53</v>
      </c>
      <c r="Q82" s="165">
        <v>5.97</v>
      </c>
      <c r="R82" s="13"/>
      <c r="S82" s="13"/>
      <c r="T82" s="213"/>
      <c r="U82" s="13"/>
    </row>
    <row r="83" customFormat="1" spans="1:21">
      <c r="A83" s="142" t="s">
        <v>120</v>
      </c>
      <c r="B83" s="165">
        <v>7.89</v>
      </c>
      <c r="C83" s="165">
        <v>59.59</v>
      </c>
      <c r="D83" s="165">
        <v>38.33</v>
      </c>
      <c r="E83" s="165">
        <v>7.69</v>
      </c>
      <c r="F83" s="165">
        <v>10.24</v>
      </c>
      <c r="G83" s="165">
        <v>27.39</v>
      </c>
      <c r="H83" s="165">
        <v>10.35</v>
      </c>
      <c r="I83" s="165">
        <v>5.04</v>
      </c>
      <c r="J83" s="165">
        <v>0.14</v>
      </c>
      <c r="K83" s="165">
        <v>192.91</v>
      </c>
      <c r="L83" s="165">
        <v>28.49</v>
      </c>
      <c r="M83" s="165">
        <v>41.68</v>
      </c>
      <c r="N83" s="165">
        <v>0</v>
      </c>
      <c r="O83" s="165">
        <v>0</v>
      </c>
      <c r="P83" s="165">
        <v>0.52</v>
      </c>
      <c r="Q83" s="165">
        <v>6.06</v>
      </c>
      <c r="R83" s="13"/>
      <c r="S83" s="13"/>
      <c r="T83" s="213"/>
      <c r="U83" s="13"/>
    </row>
    <row r="84" customFormat="1" spans="1:21">
      <c r="A84" s="142" t="s">
        <v>121</v>
      </c>
      <c r="B84" s="165">
        <v>9</v>
      </c>
      <c r="C84" s="165">
        <v>55.67</v>
      </c>
      <c r="D84" s="165">
        <v>37.18</v>
      </c>
      <c r="E84" s="165">
        <v>7.01</v>
      </c>
      <c r="F84" s="165">
        <v>6.81</v>
      </c>
      <c r="G84" s="165">
        <v>27.39</v>
      </c>
      <c r="H84" s="165">
        <v>10.35</v>
      </c>
      <c r="I84" s="165">
        <v>5</v>
      </c>
      <c r="J84" s="165">
        <v>0.13</v>
      </c>
      <c r="K84" s="165">
        <v>152.42</v>
      </c>
      <c r="L84" s="165">
        <v>27.95</v>
      </c>
      <c r="M84" s="165">
        <v>46.06</v>
      </c>
      <c r="N84" s="165">
        <v>0</v>
      </c>
      <c r="O84" s="165">
        <v>0</v>
      </c>
      <c r="P84" s="165">
        <v>0.51</v>
      </c>
      <c r="Q84" s="165">
        <v>5.84</v>
      </c>
      <c r="R84" s="13"/>
      <c r="S84" s="13"/>
      <c r="T84" s="213"/>
      <c r="U84" s="13"/>
    </row>
    <row r="85" customFormat="1" spans="1:21">
      <c r="A85" s="142" t="s">
        <v>122</v>
      </c>
      <c r="B85" s="165">
        <v>10.28</v>
      </c>
      <c r="C85" s="165">
        <v>66.76</v>
      </c>
      <c r="D85" s="165">
        <v>44</v>
      </c>
      <c r="E85" s="165">
        <v>7.54</v>
      </c>
      <c r="F85" s="165">
        <v>4.57</v>
      </c>
      <c r="G85" s="165">
        <v>27.39</v>
      </c>
      <c r="H85" s="165">
        <v>10.35</v>
      </c>
      <c r="I85" s="165">
        <v>4.97</v>
      </c>
      <c r="J85" s="165">
        <v>0.12</v>
      </c>
      <c r="K85" s="165">
        <v>160.68</v>
      </c>
      <c r="L85" s="165">
        <v>27.61</v>
      </c>
      <c r="M85" s="165">
        <v>46.54</v>
      </c>
      <c r="N85" s="165">
        <v>0</v>
      </c>
      <c r="O85" s="165">
        <v>0</v>
      </c>
      <c r="P85" s="165">
        <v>0.52</v>
      </c>
      <c r="Q85" s="165">
        <v>6.08</v>
      </c>
      <c r="R85" s="13"/>
      <c r="S85" s="13"/>
      <c r="T85" s="213"/>
      <c r="U85" s="13"/>
    </row>
    <row r="86" customFormat="1" spans="1:21">
      <c r="A86" s="142" t="s">
        <v>123</v>
      </c>
      <c r="B86" s="165">
        <v>11.18</v>
      </c>
      <c r="C86" s="165">
        <v>64.45</v>
      </c>
      <c r="D86" s="165">
        <v>43.51</v>
      </c>
      <c r="E86" s="165">
        <v>7.68</v>
      </c>
      <c r="F86" s="165">
        <v>4.82</v>
      </c>
      <c r="G86" s="165">
        <v>27.51</v>
      </c>
      <c r="H86" s="165">
        <v>10.7</v>
      </c>
      <c r="I86" s="165">
        <v>5.15</v>
      </c>
      <c r="J86" s="165">
        <v>0.22</v>
      </c>
      <c r="K86" s="165">
        <v>152.48</v>
      </c>
      <c r="L86" s="165">
        <v>27.49</v>
      </c>
      <c r="M86" s="165">
        <v>47.3</v>
      </c>
      <c r="N86" s="165">
        <v>0</v>
      </c>
      <c r="O86" s="165">
        <v>0</v>
      </c>
      <c r="P86" s="165">
        <v>0.51</v>
      </c>
      <c r="Q86" s="165">
        <v>6.13</v>
      </c>
      <c r="R86" s="13"/>
      <c r="S86" s="13"/>
      <c r="T86" s="213"/>
      <c r="U86" s="13"/>
    </row>
    <row r="87" customFormat="1" spans="1:21">
      <c r="A87" s="142" t="s">
        <v>124</v>
      </c>
      <c r="B87" s="165">
        <v>12.12</v>
      </c>
      <c r="C87" s="165">
        <v>62.86</v>
      </c>
      <c r="D87" s="165">
        <v>43.43</v>
      </c>
      <c r="E87" s="165">
        <v>7.78</v>
      </c>
      <c r="F87" s="165">
        <v>5.09</v>
      </c>
      <c r="G87" s="165">
        <v>32.65</v>
      </c>
      <c r="H87" s="165">
        <v>22.34</v>
      </c>
      <c r="I87" s="165">
        <v>5.31</v>
      </c>
      <c r="J87" s="165">
        <v>0.15</v>
      </c>
      <c r="K87" s="165">
        <v>162.49</v>
      </c>
      <c r="L87" s="165">
        <v>27.03</v>
      </c>
      <c r="M87" s="165">
        <v>51.43</v>
      </c>
      <c r="N87" s="165">
        <v>0</v>
      </c>
      <c r="O87" s="165">
        <v>0</v>
      </c>
      <c r="P87" s="165">
        <v>0.5</v>
      </c>
      <c r="Q87" s="165">
        <v>6.21</v>
      </c>
      <c r="R87" s="13"/>
      <c r="S87" s="13"/>
      <c r="T87" s="213"/>
      <c r="U87" s="13"/>
    </row>
    <row r="88" customFormat="1" spans="1:21">
      <c r="A88" s="142" t="s">
        <v>125</v>
      </c>
      <c r="B88" s="165">
        <v>13.14</v>
      </c>
      <c r="C88" s="165">
        <v>67.9</v>
      </c>
      <c r="D88" s="165">
        <v>46.88</v>
      </c>
      <c r="E88" s="165">
        <v>7.69</v>
      </c>
      <c r="F88" s="165">
        <v>3.83</v>
      </c>
      <c r="G88" s="165">
        <v>32.65</v>
      </c>
      <c r="H88" s="165">
        <v>22.34</v>
      </c>
      <c r="I88" s="165">
        <v>5.38</v>
      </c>
      <c r="J88" s="165">
        <v>0.18</v>
      </c>
      <c r="K88" s="165">
        <v>149.54</v>
      </c>
      <c r="L88" s="165">
        <v>26.71</v>
      </c>
      <c r="M88" s="165">
        <v>54.81</v>
      </c>
      <c r="N88" s="165">
        <v>0</v>
      </c>
      <c r="O88" s="165">
        <v>0</v>
      </c>
      <c r="P88" s="165">
        <v>0.52</v>
      </c>
      <c r="Q88" s="165">
        <v>6.32</v>
      </c>
      <c r="R88" s="13"/>
      <c r="S88" s="13"/>
      <c r="T88" s="213"/>
      <c r="U88" s="13"/>
    </row>
    <row r="89" customFormat="1" spans="1:21">
      <c r="A89" s="142" t="s">
        <v>126</v>
      </c>
      <c r="B89" s="165">
        <v>14.02</v>
      </c>
      <c r="C89" s="165">
        <v>63.06</v>
      </c>
      <c r="D89" s="165">
        <v>45.06</v>
      </c>
      <c r="E89" s="165">
        <v>8.03</v>
      </c>
      <c r="F89" s="165">
        <v>4.43</v>
      </c>
      <c r="G89" s="165">
        <v>32.65</v>
      </c>
      <c r="H89" s="165">
        <v>22.34</v>
      </c>
      <c r="I89" s="165">
        <v>5.43</v>
      </c>
      <c r="J89" s="165">
        <v>0.17</v>
      </c>
      <c r="K89" s="165">
        <v>169.23</v>
      </c>
      <c r="L89" s="165">
        <v>26.64</v>
      </c>
      <c r="M89" s="165">
        <v>50.96</v>
      </c>
      <c r="N89" s="165">
        <v>0</v>
      </c>
      <c r="O89" s="165">
        <v>0</v>
      </c>
      <c r="P89" s="165">
        <v>0.51</v>
      </c>
      <c r="Q89" s="165">
        <v>6.33</v>
      </c>
      <c r="R89" s="13"/>
      <c r="S89" s="13"/>
      <c r="T89" s="213"/>
      <c r="U89" s="13"/>
    </row>
    <row r="90" customFormat="1" spans="1:21">
      <c r="A90" s="142" t="s">
        <v>127</v>
      </c>
      <c r="B90" s="165">
        <v>15.07</v>
      </c>
      <c r="C90" s="165">
        <v>67.04</v>
      </c>
      <c r="D90" s="165">
        <v>47.98</v>
      </c>
      <c r="E90" s="165">
        <v>7.9</v>
      </c>
      <c r="F90" s="165">
        <v>3.97</v>
      </c>
      <c r="G90" s="165">
        <v>32.54</v>
      </c>
      <c r="H90" s="165">
        <v>22.12</v>
      </c>
      <c r="I90" s="165">
        <v>5.42</v>
      </c>
      <c r="J90" s="165">
        <v>0.23</v>
      </c>
      <c r="K90" s="165">
        <v>156.96</v>
      </c>
      <c r="L90" s="165">
        <v>26.17</v>
      </c>
      <c r="M90" s="165">
        <v>57.93</v>
      </c>
      <c r="N90" s="165">
        <v>0</v>
      </c>
      <c r="O90" s="165">
        <v>0</v>
      </c>
      <c r="P90" s="165">
        <v>0.52</v>
      </c>
      <c r="Q90" s="165">
        <v>6.53</v>
      </c>
      <c r="R90" s="13"/>
      <c r="S90" s="13"/>
      <c r="T90" s="213"/>
      <c r="U90" s="13"/>
    </row>
    <row r="91" customFormat="1" spans="1:21">
      <c r="A91" s="142" t="s">
        <v>128</v>
      </c>
      <c r="B91" s="165">
        <v>15.79</v>
      </c>
      <c r="C91" s="165">
        <v>61.8</v>
      </c>
      <c r="D91" s="165">
        <v>45.83</v>
      </c>
      <c r="E91" s="165">
        <v>8.13</v>
      </c>
      <c r="F91" s="165">
        <v>4.71</v>
      </c>
      <c r="G91" s="165">
        <v>27.88</v>
      </c>
      <c r="H91" s="165">
        <v>15.11</v>
      </c>
      <c r="I91" s="165">
        <v>5.46</v>
      </c>
      <c r="J91" s="165">
        <v>0.14</v>
      </c>
      <c r="K91" s="165">
        <v>164.85</v>
      </c>
      <c r="L91" s="165">
        <v>26.01</v>
      </c>
      <c r="M91" s="165">
        <v>56.5</v>
      </c>
      <c r="N91" s="165">
        <v>0</v>
      </c>
      <c r="O91" s="165">
        <v>0</v>
      </c>
      <c r="P91" s="165">
        <v>0.52</v>
      </c>
      <c r="Q91" s="165">
        <v>6.46</v>
      </c>
      <c r="R91" s="13"/>
      <c r="S91" s="13"/>
      <c r="T91" s="213"/>
      <c r="U91" s="13"/>
    </row>
    <row r="92" customFormat="1" spans="1:21">
      <c r="A92" s="142" t="s">
        <v>129</v>
      </c>
      <c r="B92" s="165">
        <v>20.85</v>
      </c>
      <c r="C92" s="165">
        <v>65.5</v>
      </c>
      <c r="D92" s="165">
        <v>51.81</v>
      </c>
      <c r="E92" s="165">
        <v>7.83</v>
      </c>
      <c r="F92" s="165">
        <v>3.76</v>
      </c>
      <c r="G92" s="165">
        <v>27.88</v>
      </c>
      <c r="H92" s="165">
        <v>15.11</v>
      </c>
      <c r="I92" s="165">
        <v>5.53</v>
      </c>
      <c r="J92" s="165">
        <v>0.13</v>
      </c>
      <c r="K92" s="165">
        <v>148.58</v>
      </c>
      <c r="L92" s="165">
        <v>26.13</v>
      </c>
      <c r="M92" s="165">
        <v>52.76</v>
      </c>
      <c r="N92" s="165">
        <v>0</v>
      </c>
      <c r="O92" s="165">
        <v>0</v>
      </c>
      <c r="P92" s="165">
        <v>0.55</v>
      </c>
      <c r="Q92" s="165">
        <v>6.65</v>
      </c>
      <c r="R92" s="13"/>
      <c r="S92" s="13"/>
      <c r="T92" s="213"/>
      <c r="U92" s="13"/>
    </row>
    <row r="93" customFormat="1" spans="1:21">
      <c r="A93" s="142" t="s">
        <v>130</v>
      </c>
      <c r="B93" s="165">
        <v>20.85</v>
      </c>
      <c r="C93" s="165">
        <v>65.31</v>
      </c>
      <c r="D93" s="165">
        <v>51.72</v>
      </c>
      <c r="E93" s="165">
        <v>8.34</v>
      </c>
      <c r="F93" s="165">
        <v>3.77</v>
      </c>
      <c r="G93" s="165">
        <v>27.88</v>
      </c>
      <c r="H93" s="165">
        <v>15.11</v>
      </c>
      <c r="I93" s="165">
        <v>5.56</v>
      </c>
      <c r="J93" s="165">
        <v>0.25</v>
      </c>
      <c r="K93" s="165">
        <v>163.3</v>
      </c>
      <c r="L93" s="165">
        <v>25.58</v>
      </c>
      <c r="M93" s="165">
        <v>60.52</v>
      </c>
      <c r="N93" s="165">
        <v>0</v>
      </c>
      <c r="O93" s="165">
        <v>0</v>
      </c>
      <c r="P93" s="165">
        <v>0.56</v>
      </c>
      <c r="Q93" s="165">
        <v>6.84</v>
      </c>
      <c r="R93" s="13"/>
      <c r="S93" s="13"/>
      <c r="T93" s="213"/>
      <c r="U93" s="13"/>
    </row>
    <row r="94" customFormat="1" spans="1:21">
      <c r="A94" s="142" t="s">
        <v>131</v>
      </c>
      <c r="B94" s="165">
        <v>22.55</v>
      </c>
      <c r="C94" s="165">
        <v>66.02</v>
      </c>
      <c r="D94" s="165">
        <v>53.45</v>
      </c>
      <c r="E94" s="165">
        <v>8.14</v>
      </c>
      <c r="F94" s="165">
        <v>3.75</v>
      </c>
      <c r="G94" s="165">
        <v>28.17</v>
      </c>
      <c r="H94" s="165">
        <v>15.28</v>
      </c>
      <c r="I94" s="165">
        <v>5.69</v>
      </c>
      <c r="J94" s="165">
        <v>0.13</v>
      </c>
      <c r="K94" s="165">
        <v>109.19</v>
      </c>
      <c r="L94" s="165">
        <v>25.6</v>
      </c>
      <c r="M94" s="165">
        <v>55.81</v>
      </c>
      <c r="N94" s="165">
        <v>0</v>
      </c>
      <c r="O94" s="165">
        <v>0</v>
      </c>
      <c r="P94" s="165">
        <v>0.57</v>
      </c>
      <c r="Q94" s="165">
        <v>6.88</v>
      </c>
      <c r="R94" s="13"/>
      <c r="S94" s="13"/>
      <c r="T94" s="213"/>
      <c r="U94" s="13"/>
    </row>
    <row r="95" customFormat="1" spans="1:21">
      <c r="A95" s="142" t="s">
        <v>132</v>
      </c>
      <c r="B95" s="165">
        <v>26.01</v>
      </c>
      <c r="C95" s="165">
        <v>67.08</v>
      </c>
      <c r="D95" s="165">
        <v>56.77</v>
      </c>
      <c r="E95" s="165">
        <v>7.95</v>
      </c>
      <c r="F95" s="165">
        <v>3.51</v>
      </c>
      <c r="G95" s="165">
        <v>40.69</v>
      </c>
      <c r="H95" s="165">
        <v>20.83</v>
      </c>
      <c r="I95" s="165">
        <v>5.79</v>
      </c>
      <c r="J95" s="165">
        <v>0.19</v>
      </c>
      <c r="K95" s="165">
        <v>141.16</v>
      </c>
      <c r="L95" s="165">
        <v>25.67</v>
      </c>
      <c r="M95" s="165">
        <v>56.08</v>
      </c>
      <c r="N95" s="165">
        <v>0</v>
      </c>
      <c r="O95" s="165">
        <v>0</v>
      </c>
      <c r="P95" s="165">
        <v>0.6</v>
      </c>
      <c r="Q95" s="165">
        <v>7.13</v>
      </c>
      <c r="R95" s="13"/>
      <c r="S95" s="13"/>
      <c r="T95" s="213"/>
      <c r="U95" s="13"/>
    </row>
    <row r="96" customFormat="1" spans="1:26">
      <c r="A96" s="142" t="s">
        <v>133</v>
      </c>
      <c r="B96" s="165">
        <v>28</v>
      </c>
      <c r="C96" s="165">
        <v>66.78</v>
      </c>
      <c r="D96" s="165">
        <v>58.22</v>
      </c>
      <c r="E96" s="165">
        <v>8.13</v>
      </c>
      <c r="F96" s="165">
        <v>3.56</v>
      </c>
      <c r="G96" s="165">
        <v>40.69</v>
      </c>
      <c r="H96" s="165">
        <v>20.83</v>
      </c>
      <c r="I96" s="165">
        <v>5.87</v>
      </c>
      <c r="J96" s="165">
        <v>0.22</v>
      </c>
      <c r="K96" s="165">
        <v>168.93</v>
      </c>
      <c r="L96" s="165">
        <v>25.32</v>
      </c>
      <c r="M96" s="165">
        <v>61.66</v>
      </c>
      <c r="N96" s="165">
        <v>0</v>
      </c>
      <c r="O96" s="165">
        <v>0</v>
      </c>
      <c r="P96" s="165">
        <v>0.61</v>
      </c>
      <c r="Q96" s="165">
        <v>7.29</v>
      </c>
      <c r="R96" s="13"/>
      <c r="S96" s="13"/>
      <c r="T96" s="213"/>
      <c r="U96" s="13"/>
      <c r="Z96" s="222"/>
    </row>
    <row r="97" customFormat="1" spans="1:21">
      <c r="A97" s="142" t="s">
        <v>134</v>
      </c>
      <c r="B97" s="165">
        <v>29.02</v>
      </c>
      <c r="C97" s="165">
        <v>68.72</v>
      </c>
      <c r="D97" s="165">
        <v>60.05</v>
      </c>
      <c r="E97" s="165">
        <v>8.32</v>
      </c>
      <c r="F97" s="165">
        <v>3.4</v>
      </c>
      <c r="G97" s="165">
        <v>40.69</v>
      </c>
      <c r="H97" s="165">
        <v>20.83</v>
      </c>
      <c r="I97" s="165">
        <v>6.03</v>
      </c>
      <c r="J97" s="165">
        <v>0.19</v>
      </c>
      <c r="K97" s="165">
        <v>153.06</v>
      </c>
      <c r="L97" s="165">
        <v>24.82</v>
      </c>
      <c r="M97" s="165">
        <v>64.16</v>
      </c>
      <c r="N97" s="165">
        <v>0</v>
      </c>
      <c r="O97" s="165">
        <v>0</v>
      </c>
      <c r="P97" s="165">
        <v>0.63</v>
      </c>
      <c r="Q97" s="165">
        <v>7.45</v>
      </c>
      <c r="R97" s="13"/>
      <c r="S97" s="13"/>
      <c r="T97" s="213"/>
      <c r="U97" s="13"/>
    </row>
    <row r="98" customFormat="1" spans="1:21">
      <c r="A98" s="142" t="s">
        <v>135</v>
      </c>
      <c r="B98" s="165">
        <v>30.02</v>
      </c>
      <c r="C98" s="165">
        <v>66.22</v>
      </c>
      <c r="D98" s="165">
        <v>59.54</v>
      </c>
      <c r="E98" s="165">
        <v>8.15</v>
      </c>
      <c r="F98" s="165">
        <v>3.76</v>
      </c>
      <c r="G98" s="165">
        <v>40.88</v>
      </c>
      <c r="H98" s="165">
        <v>20.77</v>
      </c>
      <c r="I98" s="165">
        <v>6.14</v>
      </c>
      <c r="J98" s="165">
        <v>0.09</v>
      </c>
      <c r="K98" s="165">
        <v>167.66</v>
      </c>
      <c r="L98" s="165">
        <v>24.74</v>
      </c>
      <c r="M98" s="165">
        <v>61.11</v>
      </c>
      <c r="N98" s="165">
        <v>0</v>
      </c>
      <c r="O98" s="165">
        <v>0</v>
      </c>
      <c r="P98" s="165">
        <v>0.64</v>
      </c>
      <c r="Q98" s="165">
        <v>7.47</v>
      </c>
      <c r="R98" s="13"/>
      <c r="S98" s="13"/>
      <c r="T98" s="213"/>
      <c r="U98" s="13"/>
    </row>
    <row r="99" customFormat="1" spans="1:21">
      <c r="A99" s="142" t="s">
        <v>136</v>
      </c>
      <c r="B99" s="165">
        <v>32.32</v>
      </c>
      <c r="C99" s="165">
        <v>65.62</v>
      </c>
      <c r="D99" s="165">
        <v>61.08</v>
      </c>
      <c r="E99" s="165">
        <v>8</v>
      </c>
      <c r="F99" s="165">
        <v>3.75</v>
      </c>
      <c r="G99" s="165">
        <v>49.45</v>
      </c>
      <c r="H99" s="165">
        <v>18.89</v>
      </c>
      <c r="I99" s="165">
        <v>6.21</v>
      </c>
      <c r="J99" s="165">
        <v>0.19</v>
      </c>
      <c r="K99" s="165">
        <v>80.95</v>
      </c>
      <c r="L99" s="165">
        <v>25.03</v>
      </c>
      <c r="M99" s="165">
        <v>58.12</v>
      </c>
      <c r="N99" s="165">
        <v>0</v>
      </c>
      <c r="O99" s="165">
        <v>0</v>
      </c>
      <c r="P99" s="165">
        <v>0.66</v>
      </c>
      <c r="Q99" s="165">
        <v>7.55</v>
      </c>
      <c r="R99" s="13"/>
      <c r="S99" s="13"/>
      <c r="T99" s="213"/>
      <c r="U99" s="13"/>
    </row>
    <row r="100" customFormat="1" spans="1:33">
      <c r="A100" s="142" t="s">
        <v>137</v>
      </c>
      <c r="B100" s="165">
        <v>38</v>
      </c>
      <c r="C100" s="165">
        <v>68.36</v>
      </c>
      <c r="D100" s="165">
        <v>67.06</v>
      </c>
      <c r="E100" s="165">
        <v>8.41</v>
      </c>
      <c r="F100" s="165">
        <v>3.62</v>
      </c>
      <c r="G100" s="165">
        <v>49.45</v>
      </c>
      <c r="H100" s="165">
        <v>18.89</v>
      </c>
      <c r="I100" s="165">
        <v>6.27</v>
      </c>
      <c r="J100" s="165">
        <v>0.23</v>
      </c>
      <c r="K100" s="165">
        <v>146.99</v>
      </c>
      <c r="L100" s="165">
        <v>25.09</v>
      </c>
      <c r="M100" s="165">
        <v>62.11</v>
      </c>
      <c r="N100" s="165">
        <v>0</v>
      </c>
      <c r="O100" s="165">
        <v>0</v>
      </c>
      <c r="P100" s="165">
        <v>0.67</v>
      </c>
      <c r="Q100" s="165">
        <v>7.8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138</v>
      </c>
      <c r="B101" s="165">
        <v>39.1</v>
      </c>
      <c r="C101" s="165">
        <v>68.15</v>
      </c>
      <c r="D101" s="165">
        <v>67.83</v>
      </c>
      <c r="E101" s="165">
        <v>8.04</v>
      </c>
      <c r="F101" s="165">
        <v>3.63</v>
      </c>
      <c r="G101" s="165">
        <v>49.45</v>
      </c>
      <c r="H101" s="165">
        <v>18.89</v>
      </c>
      <c r="I101" s="165">
        <v>6.38</v>
      </c>
      <c r="J101" s="165">
        <v>0.24</v>
      </c>
      <c r="K101" s="165">
        <v>180.15</v>
      </c>
      <c r="L101" s="165">
        <v>23.97</v>
      </c>
      <c r="M101" s="165">
        <v>69.19</v>
      </c>
      <c r="N101" s="165">
        <v>0</v>
      </c>
      <c r="O101" s="165">
        <v>0</v>
      </c>
      <c r="P101" s="165">
        <v>0.68</v>
      </c>
      <c r="Q101" s="165">
        <v>8.03</v>
      </c>
      <c r="R101" s="13"/>
      <c r="S101" s="13"/>
      <c r="T101" s="213"/>
      <c r="U101" s="13"/>
    </row>
    <row r="102" customFormat="1" spans="1:21">
      <c r="A102" s="142" t="s">
        <v>139</v>
      </c>
      <c r="B102" s="165">
        <v>39.79</v>
      </c>
      <c r="C102" s="165">
        <v>66.37</v>
      </c>
      <c r="D102" s="165">
        <v>67.45</v>
      </c>
      <c r="E102" s="165">
        <v>8.04</v>
      </c>
      <c r="F102" s="165">
        <v>3.56</v>
      </c>
      <c r="G102" s="165">
        <v>49.57</v>
      </c>
      <c r="H102" s="165">
        <v>19.18</v>
      </c>
      <c r="I102" s="165">
        <v>6.49</v>
      </c>
      <c r="J102" s="165">
        <v>0.19</v>
      </c>
      <c r="K102" s="165">
        <v>189.7</v>
      </c>
      <c r="L102" s="165">
        <v>23.18</v>
      </c>
      <c r="M102" s="165">
        <v>72.97</v>
      </c>
      <c r="N102" s="165">
        <v>0</v>
      </c>
      <c r="O102" s="165">
        <v>0</v>
      </c>
      <c r="P102" s="165">
        <v>0.7</v>
      </c>
      <c r="Q102" s="165">
        <v>8.07</v>
      </c>
      <c r="R102" s="13"/>
      <c r="S102" s="13"/>
      <c r="T102" s="213"/>
      <c r="U102" s="13"/>
    </row>
    <row r="103" customFormat="1" spans="1:21">
      <c r="A103" s="142" t="s">
        <v>140</v>
      </c>
      <c r="B103" s="165">
        <v>39.95</v>
      </c>
      <c r="C103" s="165">
        <v>69.89</v>
      </c>
      <c r="D103" s="165">
        <v>69.43</v>
      </c>
      <c r="E103" s="165">
        <v>8.05</v>
      </c>
      <c r="F103" s="165">
        <v>3.2</v>
      </c>
      <c r="G103" s="165">
        <v>54.59</v>
      </c>
      <c r="H103" s="165">
        <v>28.69</v>
      </c>
      <c r="I103" s="165">
        <v>6.58</v>
      </c>
      <c r="J103" s="165">
        <v>0.17</v>
      </c>
      <c r="K103" s="165">
        <v>151.76</v>
      </c>
      <c r="L103" s="165">
        <v>23.39</v>
      </c>
      <c r="M103" s="165">
        <v>70.62</v>
      </c>
      <c r="N103" s="165">
        <v>0</v>
      </c>
      <c r="O103" s="165">
        <v>0</v>
      </c>
      <c r="P103" s="165">
        <v>0.72</v>
      </c>
      <c r="Q103" s="165">
        <v>8.33</v>
      </c>
      <c r="R103" s="13"/>
      <c r="S103" s="13"/>
      <c r="T103" s="213"/>
      <c r="U103" s="13"/>
    </row>
    <row r="104" customFormat="1" spans="1:21">
      <c r="A104" s="142" t="s">
        <v>141</v>
      </c>
      <c r="B104" s="165">
        <v>40</v>
      </c>
      <c r="C104" s="165">
        <v>69.72</v>
      </c>
      <c r="D104" s="165">
        <v>69.37</v>
      </c>
      <c r="E104" s="165">
        <v>8.13</v>
      </c>
      <c r="F104" s="165">
        <v>3.51</v>
      </c>
      <c r="G104" s="165">
        <v>54.59</v>
      </c>
      <c r="H104" s="165">
        <v>28.69</v>
      </c>
      <c r="I104" s="165">
        <v>6.65</v>
      </c>
      <c r="J104" s="165">
        <v>0.21</v>
      </c>
      <c r="K104" s="165">
        <v>160.21</v>
      </c>
      <c r="L104" s="165">
        <v>23.59</v>
      </c>
      <c r="M104" s="165">
        <v>71.65</v>
      </c>
      <c r="N104" s="165">
        <v>0</v>
      </c>
      <c r="O104" s="165">
        <v>0</v>
      </c>
      <c r="P104" s="165">
        <v>0.73</v>
      </c>
      <c r="Q104" s="165">
        <v>8.4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3.18</v>
      </c>
      <c r="C106" s="215">
        <f>MIN(C9:C104)</f>
        <v>33.27</v>
      </c>
      <c r="D106" s="215">
        <f t="shared" ref="D106:Q106" si="0">MIN(D9:D104)</f>
        <v>20.83</v>
      </c>
      <c r="E106" s="215">
        <f t="shared" si="0"/>
        <v>4.51</v>
      </c>
      <c r="F106" s="215">
        <f t="shared" si="0"/>
        <v>2.62</v>
      </c>
      <c r="G106" s="215">
        <f t="shared" si="0"/>
        <v>9.43</v>
      </c>
      <c r="H106" s="215">
        <f t="shared" si="0"/>
        <v>2.55</v>
      </c>
      <c r="I106" s="215">
        <f t="shared" si="0"/>
        <v>2.49</v>
      </c>
      <c r="J106" s="215">
        <f t="shared" si="0"/>
        <v>0.05</v>
      </c>
      <c r="K106" s="215">
        <f t="shared" si="0"/>
        <v>11.88</v>
      </c>
      <c r="L106" s="215">
        <f t="shared" si="0"/>
        <v>20.15</v>
      </c>
      <c r="M106" s="215">
        <f t="shared" si="0"/>
        <v>28.12</v>
      </c>
      <c r="N106" s="215">
        <f t="shared" si="0"/>
        <v>0</v>
      </c>
      <c r="O106" s="215">
        <f t="shared" si="0"/>
        <v>0</v>
      </c>
      <c r="P106" s="215">
        <f t="shared" si="0"/>
        <v>0.36</v>
      </c>
      <c r="Q106" s="215">
        <f t="shared" si="0"/>
        <v>4.92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40.42</v>
      </c>
      <c r="C107" s="216">
        <f t="shared" ref="C107:Q107" si="1">MAX(C9:C104)</f>
        <v>69.89</v>
      </c>
      <c r="D107" s="216">
        <f t="shared" si="1"/>
        <v>69.43</v>
      </c>
      <c r="E107" s="216">
        <f t="shared" si="1"/>
        <v>8.72</v>
      </c>
      <c r="F107" s="216">
        <f t="shared" si="1"/>
        <v>34.7</v>
      </c>
      <c r="G107" s="216">
        <f t="shared" si="1"/>
        <v>54.59</v>
      </c>
      <c r="H107" s="216">
        <f t="shared" si="1"/>
        <v>28.69</v>
      </c>
      <c r="I107" s="216">
        <f t="shared" si="1"/>
        <v>6.65</v>
      </c>
      <c r="J107" s="216">
        <f t="shared" si="1"/>
        <v>1.52</v>
      </c>
      <c r="K107" s="216">
        <f t="shared" si="1"/>
        <v>352.66</v>
      </c>
      <c r="L107" s="216">
        <f t="shared" si="1"/>
        <v>34.19</v>
      </c>
      <c r="M107" s="216">
        <f t="shared" si="1"/>
        <v>88.19</v>
      </c>
      <c r="N107" s="216">
        <f t="shared" si="1"/>
        <v>888.2</v>
      </c>
      <c r="O107" s="216">
        <f t="shared" si="1"/>
        <v>0</v>
      </c>
      <c r="P107" s="216">
        <f t="shared" si="1"/>
        <v>0.73</v>
      </c>
      <c r="Q107" s="216">
        <f t="shared" si="1"/>
        <v>8.4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21.2720833333333</v>
      </c>
      <c r="C108" s="215">
        <f t="shared" ref="C108:Q108" si="2">AVERAGE(C9:C104)</f>
        <v>59.7964583333334</v>
      </c>
      <c r="D108" s="215">
        <f t="shared" si="2"/>
        <v>49.1732291666667</v>
      </c>
      <c r="E108" s="215">
        <f t="shared" si="2"/>
        <v>7.27333333333333</v>
      </c>
      <c r="F108" s="215">
        <f t="shared" si="2"/>
        <v>7.07854166666667</v>
      </c>
      <c r="G108" s="215">
        <f t="shared" si="2"/>
        <v>27.2065882352941</v>
      </c>
      <c r="H108" s="215">
        <f t="shared" si="2"/>
        <v>12.4095945945946</v>
      </c>
      <c r="I108" s="215">
        <f t="shared" si="2"/>
        <v>4.40020833333333</v>
      </c>
      <c r="J108" s="215">
        <f t="shared" si="2"/>
        <v>0.439270833333333</v>
      </c>
      <c r="K108" s="215">
        <f t="shared" si="2"/>
        <v>170.449791666667</v>
      </c>
      <c r="L108" s="215">
        <f t="shared" si="2"/>
        <v>26.6136458333334</v>
      </c>
      <c r="M108" s="215">
        <f t="shared" si="2"/>
        <v>58.9167708333334</v>
      </c>
      <c r="N108" s="215">
        <f t="shared" si="2"/>
        <v>217.728125</v>
      </c>
      <c r="O108" s="215">
        <f t="shared" si="2"/>
        <v>0</v>
      </c>
      <c r="P108" s="215">
        <f t="shared" si="2"/>
        <v>0.5228125</v>
      </c>
      <c r="Q108" s="215">
        <f t="shared" si="2"/>
        <v>6.765625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12.5991419019974</v>
      </c>
      <c r="C109" s="215">
        <f t="shared" ref="C109:Q109" si="3">STDEV(C9:C104)</f>
        <v>10.3469738244842</v>
      </c>
      <c r="D109" s="215">
        <f t="shared" si="3"/>
        <v>14.6577155895734</v>
      </c>
      <c r="E109" s="215">
        <f t="shared" si="3"/>
        <v>0.774180268231694</v>
      </c>
      <c r="F109" s="215">
        <f t="shared" si="3"/>
        <v>7.66041828996256</v>
      </c>
      <c r="G109" s="215">
        <f t="shared" si="3"/>
        <v>9.87855102553738</v>
      </c>
      <c r="H109" s="215">
        <f t="shared" si="3"/>
        <v>6.72920794443317</v>
      </c>
      <c r="I109" s="215">
        <f t="shared" si="3"/>
        <v>1.02812550858517</v>
      </c>
      <c r="J109" s="215">
        <f t="shared" si="3"/>
        <v>0.348993273322798</v>
      </c>
      <c r="K109" s="215">
        <f t="shared" si="3"/>
        <v>84.4120595771801</v>
      </c>
      <c r="L109" s="215">
        <f t="shared" si="3"/>
        <v>4.30691906484674</v>
      </c>
      <c r="M109" s="215">
        <f t="shared" si="3"/>
        <v>19.7178640614781</v>
      </c>
      <c r="N109" s="215">
        <f t="shared" si="3"/>
        <v>313.434547755945</v>
      </c>
      <c r="O109" s="215">
        <f t="shared" si="3"/>
        <v>0</v>
      </c>
      <c r="P109" s="215">
        <f t="shared" si="3"/>
        <v>0.0889672101039715</v>
      </c>
      <c r="Q109" s="215">
        <f t="shared" si="3"/>
        <v>0.979717265874513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v>96</v>
      </c>
      <c r="H110" s="216"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62" activePane="bottomRight" state="frozen"/>
      <selection/>
      <selection pane="topRight"/>
      <selection pane="bottomLeft"/>
      <selection pane="bottomRight" activeCell="H112" sqref="H112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02/04/2023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152</v>
      </c>
      <c r="B9" s="165">
        <v>39.23</v>
      </c>
      <c r="C9" s="165">
        <v>70.25</v>
      </c>
      <c r="D9" s="165">
        <v>69.03</v>
      </c>
      <c r="E9" s="165">
        <v>7.95</v>
      </c>
      <c r="F9" s="165">
        <v>3.74</v>
      </c>
      <c r="G9" s="165">
        <v>54.59</v>
      </c>
      <c r="H9" s="165">
        <v>28.69</v>
      </c>
      <c r="I9" s="165">
        <v>6.76</v>
      </c>
      <c r="J9" s="165">
        <v>0.3</v>
      </c>
      <c r="K9" s="165">
        <v>188.08</v>
      </c>
      <c r="L9" s="165">
        <v>23.38</v>
      </c>
      <c r="M9" s="165">
        <v>72.3</v>
      </c>
      <c r="N9" s="165">
        <v>0</v>
      </c>
      <c r="O9" s="165">
        <v>0</v>
      </c>
      <c r="P9" s="165">
        <v>0.74</v>
      </c>
      <c r="Q9" s="165">
        <v>8.35</v>
      </c>
      <c r="R9" s="13"/>
      <c r="S9" s="13"/>
      <c r="T9" s="213"/>
      <c r="U9" s="13"/>
    </row>
    <row r="10" customFormat="1" spans="1:21">
      <c r="A10" s="142" t="s">
        <v>153</v>
      </c>
      <c r="B10" s="165">
        <v>39.35</v>
      </c>
      <c r="C10" s="165">
        <v>68.99</v>
      </c>
      <c r="D10" s="165">
        <v>68.48</v>
      </c>
      <c r="E10" s="165">
        <v>8.12</v>
      </c>
      <c r="F10" s="165">
        <v>3.76</v>
      </c>
      <c r="G10" s="165">
        <v>54.58</v>
      </c>
      <c r="H10" s="165">
        <v>28.39</v>
      </c>
      <c r="I10" s="165">
        <v>6.82</v>
      </c>
      <c r="J10" s="165">
        <v>0.15</v>
      </c>
      <c r="K10" s="165">
        <v>149.93</v>
      </c>
      <c r="L10" s="165">
        <v>22.8</v>
      </c>
      <c r="M10" s="165">
        <v>73.1</v>
      </c>
      <c r="N10" s="165">
        <v>0</v>
      </c>
      <c r="O10" s="165">
        <v>0</v>
      </c>
      <c r="P10" s="165">
        <v>0.74</v>
      </c>
      <c r="Q10" s="165">
        <v>8.33</v>
      </c>
      <c r="R10" s="13"/>
      <c r="S10" s="13"/>
      <c r="T10" s="213"/>
      <c r="U10" s="13"/>
    </row>
    <row r="11" customFormat="1" spans="1:21">
      <c r="A11" s="142" t="s">
        <v>154</v>
      </c>
      <c r="B11" s="165">
        <v>39.45</v>
      </c>
      <c r="C11" s="165">
        <v>69.21</v>
      </c>
      <c r="D11" s="165">
        <v>68.67</v>
      </c>
      <c r="E11" s="165">
        <v>7.78</v>
      </c>
      <c r="F11" s="165">
        <v>3.64</v>
      </c>
      <c r="G11" s="165">
        <v>53.98</v>
      </c>
      <c r="H11" s="165">
        <v>18.82</v>
      </c>
      <c r="I11" s="165">
        <v>6.86</v>
      </c>
      <c r="J11" s="165">
        <v>0.13</v>
      </c>
      <c r="K11" s="165">
        <v>190.64</v>
      </c>
      <c r="L11" s="165">
        <v>22.84</v>
      </c>
      <c r="M11" s="165">
        <v>72.08</v>
      </c>
      <c r="N11" s="165">
        <v>0</v>
      </c>
      <c r="O11" s="165">
        <v>0</v>
      </c>
      <c r="P11" s="165">
        <v>0.74</v>
      </c>
      <c r="Q11" s="165">
        <v>8.33</v>
      </c>
      <c r="R11" s="13"/>
      <c r="S11" s="13"/>
      <c r="T11" s="213"/>
      <c r="U11" s="13"/>
    </row>
    <row r="12" customFormat="1" spans="1:21">
      <c r="A12" s="142" t="s">
        <v>155</v>
      </c>
      <c r="B12" s="165">
        <v>39.36</v>
      </c>
      <c r="C12" s="165">
        <v>68.54</v>
      </c>
      <c r="D12" s="165">
        <v>68.24</v>
      </c>
      <c r="E12" s="165">
        <v>7.78</v>
      </c>
      <c r="F12" s="165">
        <v>3.75</v>
      </c>
      <c r="G12" s="165">
        <v>53.98</v>
      </c>
      <c r="H12" s="165">
        <v>18.82</v>
      </c>
      <c r="I12" s="165">
        <v>6.88</v>
      </c>
      <c r="J12" s="165">
        <v>0.12</v>
      </c>
      <c r="K12" s="165">
        <v>206.64</v>
      </c>
      <c r="L12" s="165">
        <v>22.76</v>
      </c>
      <c r="M12" s="165">
        <v>71.64</v>
      </c>
      <c r="N12" s="165">
        <v>0</v>
      </c>
      <c r="O12" s="165">
        <v>0</v>
      </c>
      <c r="P12" s="165">
        <v>0.74</v>
      </c>
      <c r="Q12" s="165">
        <v>8.33</v>
      </c>
      <c r="R12" s="13"/>
      <c r="S12" s="13"/>
      <c r="T12" s="213"/>
      <c r="U12" s="13"/>
    </row>
    <row r="13" customFormat="1" spans="1:21">
      <c r="A13" s="142" t="s">
        <v>156</v>
      </c>
      <c r="B13" s="165">
        <v>39.19</v>
      </c>
      <c r="C13" s="165">
        <v>68.23</v>
      </c>
      <c r="D13" s="165">
        <v>67.95</v>
      </c>
      <c r="E13" s="165">
        <v>7.82</v>
      </c>
      <c r="F13" s="165">
        <v>3.7</v>
      </c>
      <c r="G13" s="165">
        <v>53.98</v>
      </c>
      <c r="H13" s="165">
        <v>18.82</v>
      </c>
      <c r="I13" s="165">
        <v>6.94</v>
      </c>
      <c r="J13" s="165">
        <v>0.23</v>
      </c>
      <c r="K13" s="165">
        <v>168.29</v>
      </c>
      <c r="L13" s="165">
        <v>22.88</v>
      </c>
      <c r="M13" s="165">
        <v>74.99</v>
      </c>
      <c r="N13" s="165">
        <v>0</v>
      </c>
      <c r="O13" s="165">
        <v>0</v>
      </c>
      <c r="P13" s="165">
        <v>0.74</v>
      </c>
      <c r="Q13" s="165">
        <v>8.32</v>
      </c>
      <c r="R13" s="13"/>
      <c r="S13" s="13"/>
      <c r="T13" s="213"/>
      <c r="U13" s="13"/>
    </row>
    <row r="14" customFormat="1" spans="1:21">
      <c r="A14" s="142" t="s">
        <v>157</v>
      </c>
      <c r="B14" s="165">
        <v>38.89</v>
      </c>
      <c r="C14" s="165">
        <v>67.26</v>
      </c>
      <c r="D14" s="165">
        <v>67.2</v>
      </c>
      <c r="E14" s="165">
        <v>7.82</v>
      </c>
      <c r="F14" s="165">
        <v>3.73</v>
      </c>
      <c r="G14" s="165">
        <v>53.85</v>
      </c>
      <c r="H14" s="165">
        <v>18.74</v>
      </c>
      <c r="I14" s="165">
        <v>7.02</v>
      </c>
      <c r="J14" s="165">
        <v>0.17</v>
      </c>
      <c r="K14" s="165">
        <v>125.96</v>
      </c>
      <c r="L14" s="165">
        <v>22.66</v>
      </c>
      <c r="M14" s="165">
        <v>73.28</v>
      </c>
      <c r="N14" s="165">
        <v>0</v>
      </c>
      <c r="O14" s="165">
        <v>0</v>
      </c>
      <c r="P14" s="165">
        <v>0.74</v>
      </c>
      <c r="Q14" s="165">
        <v>8.3</v>
      </c>
      <c r="R14" s="13"/>
      <c r="S14" s="13"/>
      <c r="T14" s="213"/>
      <c r="U14" s="13"/>
    </row>
    <row r="15" customFormat="1" spans="1:21">
      <c r="A15" s="142" t="s">
        <v>158</v>
      </c>
      <c r="B15" s="165">
        <v>39.65</v>
      </c>
      <c r="C15" s="165">
        <v>68.24</v>
      </c>
      <c r="D15" s="165">
        <v>68.32</v>
      </c>
      <c r="E15" s="165">
        <v>7.74</v>
      </c>
      <c r="F15" s="165">
        <v>3.63</v>
      </c>
      <c r="G15" s="165">
        <v>48.25</v>
      </c>
      <c r="H15" s="165">
        <v>13.13</v>
      </c>
      <c r="I15" s="165">
        <v>7.01</v>
      </c>
      <c r="J15" s="165">
        <v>0.2</v>
      </c>
      <c r="K15" s="165">
        <v>81.63</v>
      </c>
      <c r="L15" s="165">
        <v>23.03</v>
      </c>
      <c r="M15" s="165">
        <v>70.58</v>
      </c>
      <c r="N15" s="165">
        <v>0</v>
      </c>
      <c r="O15" s="165">
        <v>0</v>
      </c>
      <c r="P15" s="165">
        <v>0.74</v>
      </c>
      <c r="Q15" s="165">
        <v>8.32</v>
      </c>
      <c r="R15" s="13"/>
      <c r="S15" s="13"/>
      <c r="T15" s="213"/>
      <c r="U15" s="13"/>
    </row>
    <row r="16" customFormat="1" spans="1:21">
      <c r="A16" s="142" t="s">
        <v>159</v>
      </c>
      <c r="B16" s="165">
        <v>42.96</v>
      </c>
      <c r="C16" s="165">
        <v>67.94</v>
      </c>
      <c r="D16" s="165">
        <v>70.83</v>
      </c>
      <c r="E16" s="165">
        <v>7.79</v>
      </c>
      <c r="F16" s="165">
        <v>3.72</v>
      </c>
      <c r="G16" s="165">
        <v>48.25</v>
      </c>
      <c r="H16" s="165">
        <v>13.13</v>
      </c>
      <c r="I16" s="165">
        <v>7.03</v>
      </c>
      <c r="J16" s="165">
        <v>0.21</v>
      </c>
      <c r="K16" s="165">
        <v>165.75</v>
      </c>
      <c r="L16" s="165">
        <v>23.02</v>
      </c>
      <c r="M16" s="165">
        <v>72</v>
      </c>
      <c r="N16" s="165">
        <v>0</v>
      </c>
      <c r="O16" s="165">
        <v>0</v>
      </c>
      <c r="P16" s="165">
        <v>0.74</v>
      </c>
      <c r="Q16" s="165">
        <v>8.49</v>
      </c>
      <c r="R16" s="13"/>
      <c r="S16" s="13"/>
      <c r="T16" s="213"/>
      <c r="U16" s="13"/>
    </row>
    <row r="17" customFormat="1" spans="1:21">
      <c r="A17" s="142" t="s">
        <v>160</v>
      </c>
      <c r="B17" s="165">
        <v>45.13</v>
      </c>
      <c r="C17" s="165">
        <v>68.56</v>
      </c>
      <c r="D17" s="165">
        <v>72.89</v>
      </c>
      <c r="E17" s="165">
        <v>5.51</v>
      </c>
      <c r="F17" s="165">
        <v>3.67</v>
      </c>
      <c r="G17" s="165">
        <v>48.25</v>
      </c>
      <c r="H17" s="165">
        <v>13.13</v>
      </c>
      <c r="I17" s="165">
        <v>7.06</v>
      </c>
      <c r="J17" s="165">
        <v>0.19</v>
      </c>
      <c r="K17" s="165">
        <v>211.01</v>
      </c>
      <c r="L17" s="165">
        <v>22.56</v>
      </c>
      <c r="M17" s="165">
        <v>75.71</v>
      </c>
      <c r="N17" s="165">
        <v>0</v>
      </c>
      <c r="O17" s="165">
        <v>0</v>
      </c>
      <c r="P17" s="165">
        <v>0.73</v>
      </c>
      <c r="Q17" s="165">
        <v>8.66</v>
      </c>
      <c r="R17" s="13"/>
      <c r="S17" s="13"/>
      <c r="T17" s="213"/>
      <c r="U17" s="13"/>
    </row>
    <row r="18" customFormat="1" spans="1:21">
      <c r="A18" s="142" t="s">
        <v>161</v>
      </c>
      <c r="B18" s="165">
        <v>45.88</v>
      </c>
      <c r="C18" s="165">
        <v>68.2</v>
      </c>
      <c r="D18" s="165">
        <v>73.3</v>
      </c>
      <c r="E18" s="165">
        <v>7.85</v>
      </c>
      <c r="F18" s="165">
        <v>3.8</v>
      </c>
      <c r="G18" s="165">
        <v>48.24</v>
      </c>
      <c r="H18" s="165">
        <v>13.21</v>
      </c>
      <c r="I18" s="165">
        <v>7.07</v>
      </c>
      <c r="J18" s="165">
        <v>0.19</v>
      </c>
      <c r="K18" s="165">
        <v>168.06</v>
      </c>
      <c r="L18" s="165">
        <v>22.49</v>
      </c>
      <c r="M18" s="165">
        <v>75.56</v>
      </c>
      <c r="N18" s="165">
        <v>0</v>
      </c>
      <c r="O18" s="165">
        <v>0</v>
      </c>
      <c r="P18" s="165">
        <v>0.73</v>
      </c>
      <c r="Q18" s="165">
        <v>8.73</v>
      </c>
      <c r="R18" s="13"/>
      <c r="S18" s="13"/>
      <c r="T18" s="213"/>
      <c r="U18" s="13"/>
    </row>
    <row r="19" customFormat="1" spans="1:21">
      <c r="A19" s="142" t="s">
        <v>162</v>
      </c>
      <c r="B19" s="165">
        <v>46.13</v>
      </c>
      <c r="C19" s="165">
        <v>68.67</v>
      </c>
      <c r="D19" s="165">
        <v>73.75</v>
      </c>
      <c r="E19" s="165">
        <v>8.35</v>
      </c>
      <c r="F19" s="165">
        <v>3.47</v>
      </c>
      <c r="G19" s="165">
        <v>48.03</v>
      </c>
      <c r="H19" s="165">
        <v>18.15</v>
      </c>
      <c r="I19" s="165">
        <v>7.06</v>
      </c>
      <c r="J19" s="165">
        <v>0.28</v>
      </c>
      <c r="K19" s="165">
        <v>182.22</v>
      </c>
      <c r="L19" s="165">
        <v>22.33</v>
      </c>
      <c r="M19" s="165">
        <v>77.22</v>
      </c>
      <c r="N19" s="165">
        <v>0</v>
      </c>
      <c r="O19" s="165">
        <v>0</v>
      </c>
      <c r="P19" s="165">
        <v>0.73</v>
      </c>
      <c r="Q19" s="165">
        <v>8.75</v>
      </c>
      <c r="R19" s="13"/>
      <c r="S19" s="13"/>
      <c r="T19" s="213"/>
      <c r="U19" s="13"/>
    </row>
    <row r="20" customFormat="1" spans="1:21">
      <c r="A20" s="142" t="s">
        <v>163</v>
      </c>
      <c r="B20" s="165">
        <v>45.85</v>
      </c>
      <c r="C20" s="165">
        <v>68.53</v>
      </c>
      <c r="D20" s="165">
        <v>73.45</v>
      </c>
      <c r="E20" s="165">
        <v>8.22</v>
      </c>
      <c r="F20" s="165">
        <v>3.48</v>
      </c>
      <c r="G20" s="165">
        <v>48.03</v>
      </c>
      <c r="H20" s="165">
        <v>18.15</v>
      </c>
      <c r="I20" s="165">
        <v>7.04</v>
      </c>
      <c r="J20" s="165">
        <v>0.15</v>
      </c>
      <c r="K20" s="165">
        <v>179.81</v>
      </c>
      <c r="L20" s="165">
        <v>21.85</v>
      </c>
      <c r="M20" s="165">
        <v>78.69</v>
      </c>
      <c r="N20" s="165">
        <v>0</v>
      </c>
      <c r="O20" s="165">
        <v>0</v>
      </c>
      <c r="P20" s="165">
        <v>0.73</v>
      </c>
      <c r="Q20" s="165">
        <v>8.75</v>
      </c>
      <c r="R20" s="13"/>
      <c r="S20" s="13"/>
      <c r="T20" s="213"/>
      <c r="U20" s="13"/>
    </row>
    <row r="21" customFormat="1" spans="1:21">
      <c r="A21" s="142" t="s">
        <v>164</v>
      </c>
      <c r="B21" s="165">
        <v>45.41</v>
      </c>
      <c r="C21" s="165">
        <v>67.74</v>
      </c>
      <c r="D21" s="165">
        <v>72.68</v>
      </c>
      <c r="E21" s="165">
        <v>8.38</v>
      </c>
      <c r="F21" s="165">
        <v>3.66</v>
      </c>
      <c r="G21" s="165">
        <v>48.03</v>
      </c>
      <c r="H21" s="165">
        <v>18.15</v>
      </c>
      <c r="I21" s="165">
        <v>7.04</v>
      </c>
      <c r="J21" s="165">
        <v>0.17</v>
      </c>
      <c r="K21" s="165">
        <v>171.62</v>
      </c>
      <c r="L21" s="165">
        <v>21.92</v>
      </c>
      <c r="M21" s="165">
        <v>78.59</v>
      </c>
      <c r="N21" s="165">
        <v>0</v>
      </c>
      <c r="O21" s="165">
        <v>0</v>
      </c>
      <c r="P21" s="165">
        <v>0.72</v>
      </c>
      <c r="Q21" s="165">
        <v>8.7</v>
      </c>
      <c r="R21" s="13"/>
      <c r="S21" s="13"/>
      <c r="T21" s="213"/>
      <c r="U21" s="13"/>
    </row>
    <row r="22" customFormat="1" spans="1:21">
      <c r="A22" s="142" t="s">
        <v>165</v>
      </c>
      <c r="B22" s="165">
        <v>44.75</v>
      </c>
      <c r="C22" s="165">
        <v>67.76</v>
      </c>
      <c r="D22" s="165">
        <v>72.16</v>
      </c>
      <c r="E22" s="165">
        <v>8.31</v>
      </c>
      <c r="F22" s="165">
        <v>3.73</v>
      </c>
      <c r="G22" s="165">
        <v>47.86</v>
      </c>
      <c r="H22" s="165">
        <v>18.09</v>
      </c>
      <c r="I22" s="165">
        <v>7.02</v>
      </c>
      <c r="J22" s="165">
        <v>0.22</v>
      </c>
      <c r="K22" s="165">
        <v>186.38</v>
      </c>
      <c r="L22" s="165">
        <v>21.91</v>
      </c>
      <c r="M22" s="165">
        <v>79.32</v>
      </c>
      <c r="N22" s="165">
        <v>0</v>
      </c>
      <c r="O22" s="165">
        <v>0</v>
      </c>
      <c r="P22" s="165">
        <v>0.72</v>
      </c>
      <c r="Q22" s="165">
        <v>8.67</v>
      </c>
      <c r="R22" s="13"/>
      <c r="S22" s="13"/>
      <c r="T22" s="213"/>
      <c r="U22" s="13"/>
    </row>
    <row r="23" customFormat="1" spans="1:21">
      <c r="A23" s="142" t="s">
        <v>166</v>
      </c>
      <c r="B23" s="165">
        <v>44.18</v>
      </c>
      <c r="C23" s="165">
        <v>67.23</v>
      </c>
      <c r="D23" s="165">
        <v>71.42</v>
      </c>
      <c r="E23" s="165">
        <v>8.25</v>
      </c>
      <c r="F23" s="165">
        <v>3.63</v>
      </c>
      <c r="G23" s="165">
        <v>40.39</v>
      </c>
      <c r="H23" s="165">
        <v>14.06</v>
      </c>
      <c r="I23" s="165">
        <v>6.99</v>
      </c>
      <c r="J23" s="165">
        <v>0.22</v>
      </c>
      <c r="K23" s="165">
        <v>161.52</v>
      </c>
      <c r="L23" s="165">
        <v>21.68</v>
      </c>
      <c r="M23" s="165">
        <v>80.01</v>
      </c>
      <c r="N23" s="165">
        <v>0</v>
      </c>
      <c r="O23" s="165">
        <v>0</v>
      </c>
      <c r="P23" s="165">
        <v>0.71</v>
      </c>
      <c r="Q23" s="165">
        <v>8.64</v>
      </c>
      <c r="R23" s="13"/>
      <c r="S23" s="13"/>
      <c r="T23" s="213"/>
      <c r="U23" s="13"/>
    </row>
    <row r="24" customFormat="1" spans="1:21">
      <c r="A24" s="142" t="s">
        <v>167</v>
      </c>
      <c r="B24" s="165">
        <v>43.67</v>
      </c>
      <c r="C24" s="165">
        <v>67.02</v>
      </c>
      <c r="D24" s="165">
        <v>70.91</v>
      </c>
      <c r="E24" s="165">
        <v>8.33</v>
      </c>
      <c r="F24" s="165">
        <v>3.74</v>
      </c>
      <c r="G24" s="165">
        <v>40.39</v>
      </c>
      <c r="H24" s="165">
        <v>14.06</v>
      </c>
      <c r="I24" s="165">
        <v>6.97</v>
      </c>
      <c r="J24" s="165">
        <v>0.12</v>
      </c>
      <c r="K24" s="165">
        <v>174.1</v>
      </c>
      <c r="L24" s="165">
        <v>21.51</v>
      </c>
      <c r="M24" s="165">
        <v>79.2</v>
      </c>
      <c r="N24" s="165">
        <v>0</v>
      </c>
      <c r="O24" s="165">
        <v>0</v>
      </c>
      <c r="P24" s="165">
        <v>0.71</v>
      </c>
      <c r="Q24" s="165">
        <v>8.6</v>
      </c>
      <c r="R24" s="13"/>
      <c r="S24" s="13"/>
      <c r="T24" s="213"/>
      <c r="U24" s="13"/>
    </row>
    <row r="25" customFormat="1" spans="1:21">
      <c r="A25" s="142" t="s">
        <v>168</v>
      </c>
      <c r="B25" s="165">
        <v>42.98</v>
      </c>
      <c r="C25" s="165">
        <v>66</v>
      </c>
      <c r="D25" s="165">
        <v>69.83</v>
      </c>
      <c r="E25" s="165">
        <v>8.03</v>
      </c>
      <c r="F25" s="165">
        <v>3.63</v>
      </c>
      <c r="G25" s="165">
        <v>40.39</v>
      </c>
      <c r="H25" s="165">
        <v>14.06</v>
      </c>
      <c r="I25" s="165">
        <v>6.94</v>
      </c>
      <c r="J25" s="165">
        <v>0.24</v>
      </c>
      <c r="K25" s="165">
        <v>153.32</v>
      </c>
      <c r="L25" s="165">
        <v>21.61</v>
      </c>
      <c r="M25" s="165">
        <v>79.65</v>
      </c>
      <c r="N25" s="165">
        <v>0</v>
      </c>
      <c r="O25" s="165">
        <v>0</v>
      </c>
      <c r="P25" s="165">
        <v>0.7</v>
      </c>
      <c r="Q25" s="165">
        <v>8.53</v>
      </c>
      <c r="R25" s="13"/>
      <c r="S25" s="13"/>
      <c r="T25" s="213"/>
      <c r="U25" s="13"/>
    </row>
    <row r="26" customFormat="1" spans="1:21">
      <c r="A26" s="142" t="s">
        <v>169</v>
      </c>
      <c r="B26" s="165">
        <v>42.58</v>
      </c>
      <c r="C26" s="165">
        <v>65.55</v>
      </c>
      <c r="D26" s="165">
        <v>69.27</v>
      </c>
      <c r="E26" s="165">
        <v>8.03</v>
      </c>
      <c r="F26" s="165">
        <v>3.55</v>
      </c>
      <c r="G26" s="165">
        <v>40.47</v>
      </c>
      <c r="H26" s="165">
        <v>14.25</v>
      </c>
      <c r="I26" s="165">
        <v>6.9</v>
      </c>
      <c r="J26" s="165">
        <v>0.17</v>
      </c>
      <c r="K26" s="165">
        <v>162.48</v>
      </c>
      <c r="L26" s="165">
        <v>21.47</v>
      </c>
      <c r="M26" s="165">
        <v>80.83</v>
      </c>
      <c r="N26" s="165">
        <v>0</v>
      </c>
      <c r="O26" s="165">
        <v>0</v>
      </c>
      <c r="P26" s="165">
        <v>0.68</v>
      </c>
      <c r="Q26" s="165">
        <v>8.45</v>
      </c>
      <c r="R26" s="13"/>
      <c r="S26" s="13"/>
      <c r="T26" s="213"/>
      <c r="U26" s="13"/>
    </row>
    <row r="27" customFormat="1" spans="1:21">
      <c r="A27" s="142" t="s">
        <v>170</v>
      </c>
      <c r="B27" s="165">
        <v>42.58</v>
      </c>
      <c r="C27" s="165">
        <v>61.52</v>
      </c>
      <c r="D27" s="165">
        <v>67.16</v>
      </c>
      <c r="E27" s="165">
        <v>7.96</v>
      </c>
      <c r="F27" s="165">
        <v>3.97</v>
      </c>
      <c r="G27" s="165">
        <v>44.15</v>
      </c>
      <c r="H27" s="165">
        <v>20.42</v>
      </c>
      <c r="I27" s="165">
        <v>6.85</v>
      </c>
      <c r="J27" s="165">
        <v>0.09</v>
      </c>
      <c r="K27" s="165">
        <v>143.37</v>
      </c>
      <c r="L27" s="165">
        <v>21.27</v>
      </c>
      <c r="M27" s="165">
        <v>81.75</v>
      </c>
      <c r="N27" s="165">
        <v>0</v>
      </c>
      <c r="O27" s="165">
        <v>0</v>
      </c>
      <c r="P27" s="165">
        <v>0.67</v>
      </c>
      <c r="Q27" s="165">
        <v>8.16</v>
      </c>
      <c r="R27" s="13"/>
      <c r="S27" s="13"/>
      <c r="T27" s="213"/>
      <c r="U27" s="13"/>
    </row>
    <row r="28" customFormat="1" spans="1:21">
      <c r="A28" s="142" t="s">
        <v>171</v>
      </c>
      <c r="B28" s="165">
        <v>42.45</v>
      </c>
      <c r="C28" s="165">
        <v>59.11</v>
      </c>
      <c r="D28" s="165">
        <v>65.8</v>
      </c>
      <c r="E28" s="165">
        <v>8.11</v>
      </c>
      <c r="F28" s="165">
        <v>3.85</v>
      </c>
      <c r="G28" s="165">
        <v>44.15</v>
      </c>
      <c r="H28" s="165">
        <v>20.42</v>
      </c>
      <c r="I28" s="165">
        <v>6.76</v>
      </c>
      <c r="J28" s="165">
        <v>0.11</v>
      </c>
      <c r="K28" s="165">
        <v>163.71</v>
      </c>
      <c r="L28" s="165">
        <v>21.17</v>
      </c>
      <c r="M28" s="165">
        <v>82.71</v>
      </c>
      <c r="N28" s="165">
        <v>0</v>
      </c>
      <c r="O28" s="165">
        <v>0</v>
      </c>
      <c r="P28" s="165">
        <v>0.65</v>
      </c>
      <c r="Q28" s="165">
        <v>7.99</v>
      </c>
      <c r="R28" s="13"/>
      <c r="S28" s="13"/>
      <c r="T28" s="213"/>
      <c r="U28" s="13"/>
    </row>
    <row r="29" customFormat="1" spans="1:21">
      <c r="A29" s="142" t="s">
        <v>172</v>
      </c>
      <c r="B29" s="165">
        <v>42.16</v>
      </c>
      <c r="C29" s="165">
        <v>60.59</v>
      </c>
      <c r="D29" s="165">
        <v>66.34</v>
      </c>
      <c r="E29" s="165">
        <v>8.4</v>
      </c>
      <c r="F29" s="165">
        <v>3.56</v>
      </c>
      <c r="G29" s="165">
        <v>44.15</v>
      </c>
      <c r="H29" s="165">
        <v>20.42</v>
      </c>
      <c r="I29" s="165">
        <v>6.69</v>
      </c>
      <c r="J29" s="165">
        <v>0.17</v>
      </c>
      <c r="K29" s="165">
        <v>127.14</v>
      </c>
      <c r="L29" s="165">
        <v>21.11</v>
      </c>
      <c r="M29" s="165">
        <v>83.86</v>
      </c>
      <c r="N29" s="165">
        <v>0</v>
      </c>
      <c r="O29" s="165">
        <v>0</v>
      </c>
      <c r="P29" s="165">
        <v>0.64</v>
      </c>
      <c r="Q29" s="165">
        <v>8</v>
      </c>
      <c r="R29" s="13"/>
      <c r="S29" s="13"/>
      <c r="T29" s="213"/>
      <c r="U29" s="13"/>
    </row>
    <row r="30" customFormat="1" spans="1:21">
      <c r="A30" s="142" t="s">
        <v>173</v>
      </c>
      <c r="B30" s="165">
        <v>42.11</v>
      </c>
      <c r="C30" s="165">
        <v>62.33</v>
      </c>
      <c r="D30" s="165">
        <v>67.2</v>
      </c>
      <c r="E30" s="165">
        <v>8.28</v>
      </c>
      <c r="F30" s="165">
        <v>3.55</v>
      </c>
      <c r="G30" s="165">
        <v>44.02</v>
      </c>
      <c r="H30" s="165">
        <v>20.3</v>
      </c>
      <c r="I30" s="165">
        <v>6.66</v>
      </c>
      <c r="J30" s="165">
        <v>0.2</v>
      </c>
      <c r="K30" s="165">
        <v>144.04</v>
      </c>
      <c r="L30" s="165">
        <v>21.21</v>
      </c>
      <c r="M30" s="165">
        <v>82.83</v>
      </c>
      <c r="N30" s="165">
        <v>0</v>
      </c>
      <c r="O30" s="165">
        <v>0</v>
      </c>
      <c r="P30" s="165">
        <v>0.65</v>
      </c>
      <c r="Q30" s="165">
        <v>8.06</v>
      </c>
      <c r="R30" s="13"/>
      <c r="S30" s="13"/>
      <c r="T30" s="213"/>
      <c r="U30" s="13"/>
    </row>
    <row r="31" customFormat="1" spans="1:21">
      <c r="A31" s="142" t="s">
        <v>174</v>
      </c>
      <c r="B31" s="165">
        <v>42.26</v>
      </c>
      <c r="C31" s="165">
        <v>63.02</v>
      </c>
      <c r="D31" s="165">
        <v>67.69</v>
      </c>
      <c r="E31" s="165">
        <v>8.79</v>
      </c>
      <c r="F31" s="165">
        <v>3.68</v>
      </c>
      <c r="G31" s="165">
        <v>38.23</v>
      </c>
      <c r="H31" s="165">
        <v>12.9</v>
      </c>
      <c r="I31" s="165">
        <v>6.67</v>
      </c>
      <c r="J31" s="165">
        <v>0.15</v>
      </c>
      <c r="K31" s="165">
        <v>114.55</v>
      </c>
      <c r="L31" s="165">
        <v>20.96</v>
      </c>
      <c r="M31" s="165">
        <v>84.25</v>
      </c>
      <c r="N31" s="165">
        <v>0</v>
      </c>
      <c r="O31" s="165">
        <v>0</v>
      </c>
      <c r="P31" s="165">
        <v>0.65</v>
      </c>
      <c r="Q31" s="165">
        <v>8.14</v>
      </c>
      <c r="R31" s="13"/>
      <c r="S31" s="13"/>
      <c r="T31" s="213"/>
      <c r="U31" s="13"/>
    </row>
    <row r="32" customFormat="1" spans="1:21">
      <c r="A32" s="142" t="s">
        <v>175</v>
      </c>
      <c r="B32" s="165">
        <v>43.83</v>
      </c>
      <c r="C32" s="165">
        <v>63.28</v>
      </c>
      <c r="D32" s="165">
        <v>69.09</v>
      </c>
      <c r="E32" s="165">
        <v>8.44</v>
      </c>
      <c r="F32" s="165">
        <v>3.48</v>
      </c>
      <c r="G32" s="165">
        <v>38.23</v>
      </c>
      <c r="H32" s="165">
        <v>12.9</v>
      </c>
      <c r="I32" s="165">
        <v>6.67</v>
      </c>
      <c r="J32" s="165">
        <v>0.25</v>
      </c>
      <c r="K32" s="165">
        <v>45.79</v>
      </c>
      <c r="L32" s="165">
        <v>21.32</v>
      </c>
      <c r="M32" s="165">
        <v>80.57</v>
      </c>
      <c r="N32" s="165">
        <v>0</v>
      </c>
      <c r="O32" s="165">
        <v>0</v>
      </c>
      <c r="P32" s="165">
        <v>0.65</v>
      </c>
      <c r="Q32" s="165">
        <v>8.17</v>
      </c>
      <c r="R32" s="13"/>
      <c r="S32" s="13"/>
      <c r="T32" s="213"/>
      <c r="U32" s="13"/>
    </row>
    <row r="33" customFormat="1" spans="1:21">
      <c r="A33" s="142" t="s">
        <v>176</v>
      </c>
      <c r="B33" s="165">
        <v>47.43</v>
      </c>
      <c r="C33" s="165">
        <v>62.58</v>
      </c>
      <c r="D33" s="165">
        <v>71.61</v>
      </c>
      <c r="E33" s="165">
        <v>8.56</v>
      </c>
      <c r="F33" s="165">
        <v>3.66</v>
      </c>
      <c r="G33" s="165">
        <v>38.23</v>
      </c>
      <c r="H33" s="165">
        <v>12.9</v>
      </c>
      <c r="I33" s="165">
        <v>6.62</v>
      </c>
      <c r="J33" s="165">
        <v>0.35</v>
      </c>
      <c r="K33" s="165">
        <v>56.9</v>
      </c>
      <c r="L33" s="165">
        <v>21.98</v>
      </c>
      <c r="M33" s="165">
        <v>75.94</v>
      </c>
      <c r="N33" s="165">
        <v>5.5</v>
      </c>
      <c r="O33" s="165">
        <v>0</v>
      </c>
      <c r="P33" s="165">
        <v>0.66</v>
      </c>
      <c r="Q33" s="165">
        <v>8.32</v>
      </c>
      <c r="R33" s="13"/>
      <c r="S33" s="13"/>
      <c r="T33" s="213"/>
      <c r="U33" s="13"/>
    </row>
    <row r="34" customFormat="1" spans="1:21">
      <c r="A34" s="142" t="s">
        <v>177</v>
      </c>
      <c r="B34" s="165">
        <v>50.33</v>
      </c>
      <c r="C34" s="165">
        <v>62.97</v>
      </c>
      <c r="D34" s="165">
        <v>74.14</v>
      </c>
      <c r="E34" s="165">
        <v>8.63</v>
      </c>
      <c r="F34" s="165">
        <v>3.87</v>
      </c>
      <c r="G34" s="165">
        <v>38.46</v>
      </c>
      <c r="H34" s="165">
        <v>13.22</v>
      </c>
      <c r="I34" s="165">
        <v>6.63</v>
      </c>
      <c r="J34" s="165">
        <v>0.28</v>
      </c>
      <c r="K34" s="165">
        <v>61.76</v>
      </c>
      <c r="L34" s="165">
        <v>22.24</v>
      </c>
      <c r="M34" s="165">
        <v>74.58</v>
      </c>
      <c r="N34" s="165">
        <v>17.7</v>
      </c>
      <c r="O34" s="165">
        <v>0</v>
      </c>
      <c r="P34" s="165">
        <v>0.67</v>
      </c>
      <c r="Q34" s="165">
        <v>8.5</v>
      </c>
      <c r="R34" s="13"/>
      <c r="S34" s="13"/>
      <c r="T34" s="213"/>
      <c r="U34" s="13"/>
    </row>
    <row r="35" customFormat="1" spans="1:21">
      <c r="A35" s="142" t="s">
        <v>178</v>
      </c>
      <c r="B35" s="165">
        <v>52.43</v>
      </c>
      <c r="C35" s="165">
        <v>64.43</v>
      </c>
      <c r="D35" s="165">
        <v>76.58</v>
      </c>
      <c r="E35" s="165">
        <v>8.7</v>
      </c>
      <c r="F35" s="165">
        <v>3.76</v>
      </c>
      <c r="G35" s="165">
        <v>48.66</v>
      </c>
      <c r="H35" s="165">
        <v>23.52</v>
      </c>
      <c r="I35" s="165">
        <v>6.72</v>
      </c>
      <c r="J35" s="165">
        <v>0.53</v>
      </c>
      <c r="K35" s="165">
        <v>66.27</v>
      </c>
      <c r="L35" s="165">
        <v>22.7</v>
      </c>
      <c r="M35" s="165">
        <v>72.07</v>
      </c>
      <c r="N35" s="165">
        <v>28.7</v>
      </c>
      <c r="O35" s="165">
        <v>0</v>
      </c>
      <c r="P35" s="165">
        <v>0.69</v>
      </c>
      <c r="Q35" s="165">
        <v>8.71</v>
      </c>
      <c r="R35" s="13"/>
      <c r="S35" s="13"/>
      <c r="T35" s="213"/>
      <c r="U35" s="13"/>
    </row>
    <row r="36" customFormat="1" spans="1:21">
      <c r="A36" s="142" t="s">
        <v>179</v>
      </c>
      <c r="B36" s="165">
        <v>54.04</v>
      </c>
      <c r="C36" s="165">
        <v>65.11</v>
      </c>
      <c r="D36" s="165">
        <v>78.23</v>
      </c>
      <c r="E36" s="165">
        <v>8.81</v>
      </c>
      <c r="F36" s="165">
        <v>3.61</v>
      </c>
      <c r="G36" s="165">
        <v>48.66</v>
      </c>
      <c r="H36" s="165">
        <v>23.52</v>
      </c>
      <c r="I36" s="165">
        <v>6.91</v>
      </c>
      <c r="J36" s="165">
        <v>0.32</v>
      </c>
      <c r="K36" s="165">
        <v>154.64</v>
      </c>
      <c r="L36" s="165">
        <v>23.03</v>
      </c>
      <c r="M36" s="165">
        <v>76.55</v>
      </c>
      <c r="N36" s="165">
        <v>40.8</v>
      </c>
      <c r="O36" s="165">
        <v>0</v>
      </c>
      <c r="P36" s="165">
        <v>0.7</v>
      </c>
      <c r="Q36" s="165">
        <v>8.82</v>
      </c>
      <c r="R36" s="13"/>
      <c r="S36" s="13"/>
      <c r="T36" s="213"/>
      <c r="U36" s="13"/>
    </row>
    <row r="37" customFormat="1" spans="1:21">
      <c r="A37" s="142" t="s">
        <v>180</v>
      </c>
      <c r="B37" s="165">
        <v>54.57</v>
      </c>
      <c r="C37" s="165">
        <v>63.82</v>
      </c>
      <c r="D37" s="165">
        <v>77.98</v>
      </c>
      <c r="E37" s="165">
        <v>8.6</v>
      </c>
      <c r="F37" s="165">
        <v>3.78</v>
      </c>
      <c r="G37" s="165">
        <v>48.66</v>
      </c>
      <c r="H37" s="165">
        <v>23.52</v>
      </c>
      <c r="I37" s="165">
        <v>7.24</v>
      </c>
      <c r="J37" s="165">
        <v>0.27</v>
      </c>
      <c r="K37" s="165">
        <v>147.32</v>
      </c>
      <c r="L37" s="165">
        <v>23.17</v>
      </c>
      <c r="M37" s="165">
        <v>76.5</v>
      </c>
      <c r="N37" s="165">
        <v>52.5</v>
      </c>
      <c r="O37" s="165">
        <v>0</v>
      </c>
      <c r="P37" s="165">
        <v>0.71</v>
      </c>
      <c r="Q37" s="165">
        <v>8.84</v>
      </c>
      <c r="R37" s="13"/>
      <c r="S37" s="13"/>
      <c r="T37" s="213"/>
      <c r="U37" s="13"/>
    </row>
    <row r="38" customFormat="1" spans="1:21">
      <c r="A38" s="142" t="s">
        <v>181</v>
      </c>
      <c r="B38" s="165">
        <v>54.33</v>
      </c>
      <c r="C38" s="165">
        <v>63.75</v>
      </c>
      <c r="D38" s="165">
        <v>77.75</v>
      </c>
      <c r="E38" s="165">
        <v>8.75</v>
      </c>
      <c r="F38" s="165">
        <v>3.83</v>
      </c>
      <c r="G38" s="165">
        <v>48.87</v>
      </c>
      <c r="H38" s="165">
        <v>23.77</v>
      </c>
      <c r="I38" s="165">
        <v>7.64</v>
      </c>
      <c r="J38" s="165">
        <v>0.36</v>
      </c>
      <c r="K38" s="165">
        <v>129.77</v>
      </c>
      <c r="L38" s="165">
        <v>23.84</v>
      </c>
      <c r="M38" s="165">
        <v>71.7</v>
      </c>
      <c r="N38" s="165">
        <v>93</v>
      </c>
      <c r="O38" s="165">
        <v>0</v>
      </c>
      <c r="P38" s="165">
        <v>0.72</v>
      </c>
      <c r="Q38" s="165">
        <v>8.86</v>
      </c>
      <c r="R38" s="13"/>
      <c r="S38" s="13"/>
      <c r="T38" s="213"/>
      <c r="U38" s="13"/>
    </row>
    <row r="39" customFormat="1" spans="1:21">
      <c r="A39" s="142" t="s">
        <v>182</v>
      </c>
      <c r="B39" s="165">
        <v>53.89</v>
      </c>
      <c r="C39" s="165">
        <v>64.21</v>
      </c>
      <c r="D39" s="165">
        <v>77.63</v>
      </c>
      <c r="E39" s="165">
        <v>8.18</v>
      </c>
      <c r="F39" s="165">
        <v>3.69</v>
      </c>
      <c r="G39" s="165">
        <v>58.16</v>
      </c>
      <c r="H39" s="165">
        <v>31.71</v>
      </c>
      <c r="I39" s="165">
        <v>7.93</v>
      </c>
      <c r="J39" s="165">
        <v>0.07</v>
      </c>
      <c r="K39" s="165">
        <v>120.84</v>
      </c>
      <c r="L39" s="165">
        <v>24.99</v>
      </c>
      <c r="M39" s="165">
        <v>65.09</v>
      </c>
      <c r="N39" s="165">
        <v>190</v>
      </c>
      <c r="O39" s="165">
        <v>0</v>
      </c>
      <c r="P39" s="165">
        <v>0.73</v>
      </c>
      <c r="Q39" s="165">
        <v>8.86</v>
      </c>
      <c r="R39" s="13"/>
      <c r="S39" s="13"/>
      <c r="T39" s="213"/>
      <c r="U39" s="13"/>
    </row>
    <row r="40" customFormat="1" spans="1:21">
      <c r="A40" s="142" t="s">
        <v>183</v>
      </c>
      <c r="B40" s="165">
        <v>53.17</v>
      </c>
      <c r="C40" s="165">
        <v>65.55</v>
      </c>
      <c r="D40" s="165">
        <v>77.76</v>
      </c>
      <c r="E40" s="165">
        <v>8.71</v>
      </c>
      <c r="F40" s="165">
        <v>3.64</v>
      </c>
      <c r="G40" s="165">
        <v>58.16</v>
      </c>
      <c r="H40" s="165">
        <v>31.71</v>
      </c>
      <c r="I40" s="165">
        <v>8.14</v>
      </c>
      <c r="J40" s="165">
        <v>0.14</v>
      </c>
      <c r="K40" s="165">
        <v>149.19</v>
      </c>
      <c r="L40" s="165">
        <v>26.32</v>
      </c>
      <c r="M40" s="165">
        <v>59.42</v>
      </c>
      <c r="N40" s="165">
        <v>239.9</v>
      </c>
      <c r="O40" s="165">
        <v>0</v>
      </c>
      <c r="P40" s="165">
        <v>0.75</v>
      </c>
      <c r="Q40" s="165">
        <v>8.88</v>
      </c>
      <c r="R40" s="13"/>
      <c r="S40" s="13"/>
      <c r="T40" s="213"/>
      <c r="U40" s="13"/>
    </row>
    <row r="41" customFormat="1" spans="1:21">
      <c r="A41" s="142" t="s">
        <v>184</v>
      </c>
      <c r="B41" s="165">
        <v>52.21</v>
      </c>
      <c r="C41" s="165">
        <v>64.69</v>
      </c>
      <c r="D41" s="165">
        <v>76.54</v>
      </c>
      <c r="E41" s="165">
        <v>8.42</v>
      </c>
      <c r="F41" s="165">
        <v>3.77</v>
      </c>
      <c r="G41" s="165">
        <v>58.16</v>
      </c>
      <c r="H41" s="165">
        <v>31.71</v>
      </c>
      <c r="I41" s="165">
        <v>8.36</v>
      </c>
      <c r="J41" s="165">
        <v>0.18</v>
      </c>
      <c r="K41" s="165">
        <v>219.7</v>
      </c>
      <c r="L41" s="165">
        <v>26.93</v>
      </c>
      <c r="M41" s="165">
        <v>52.72</v>
      </c>
      <c r="N41" s="165">
        <v>264.2</v>
      </c>
      <c r="O41" s="165">
        <v>0</v>
      </c>
      <c r="P41" s="165">
        <v>0.74</v>
      </c>
      <c r="Q41" s="165">
        <v>8.81</v>
      </c>
      <c r="R41" s="13"/>
      <c r="S41" s="13"/>
      <c r="T41" s="213"/>
      <c r="U41" s="13"/>
    </row>
    <row r="42" customFormat="1" spans="1:21">
      <c r="A42" s="142" t="s">
        <v>185</v>
      </c>
      <c r="B42" s="165">
        <v>51.13</v>
      </c>
      <c r="C42" s="165">
        <v>62.8</v>
      </c>
      <c r="D42" s="165">
        <v>74.69</v>
      </c>
      <c r="E42" s="165">
        <v>8.96</v>
      </c>
      <c r="F42" s="165">
        <v>4.08</v>
      </c>
      <c r="G42" s="165">
        <v>58.6</v>
      </c>
      <c r="H42" s="165">
        <v>31.71</v>
      </c>
      <c r="I42" s="165">
        <v>8.52</v>
      </c>
      <c r="J42" s="165">
        <v>0.39</v>
      </c>
      <c r="K42" s="165">
        <v>242.12</v>
      </c>
      <c r="L42" s="165">
        <v>27.86</v>
      </c>
      <c r="M42" s="165">
        <v>51.1</v>
      </c>
      <c r="N42" s="165">
        <v>159.9</v>
      </c>
      <c r="O42" s="165">
        <v>0</v>
      </c>
      <c r="P42" s="165">
        <v>0.75</v>
      </c>
      <c r="Q42" s="165">
        <v>8.7</v>
      </c>
      <c r="R42" s="13"/>
      <c r="S42" s="13"/>
      <c r="T42" s="213"/>
      <c r="U42" s="13"/>
    </row>
    <row r="43" customFormat="1" spans="1:21">
      <c r="A43" s="142" t="s">
        <v>186</v>
      </c>
      <c r="B43" s="165">
        <v>49.36</v>
      </c>
      <c r="C43" s="165">
        <v>65.25</v>
      </c>
      <c r="D43" s="165">
        <v>74.55</v>
      </c>
      <c r="E43" s="165">
        <v>8.98</v>
      </c>
      <c r="F43" s="165">
        <v>4.21</v>
      </c>
      <c r="G43" s="165">
        <v>78.08</v>
      </c>
      <c r="H43" s="165">
        <v>31.64</v>
      </c>
      <c r="I43" s="165">
        <v>8.61</v>
      </c>
      <c r="J43" s="165">
        <v>0.3</v>
      </c>
      <c r="K43" s="165">
        <v>249.75</v>
      </c>
      <c r="L43" s="165">
        <v>28.54</v>
      </c>
      <c r="M43" s="165">
        <v>46.46</v>
      </c>
      <c r="N43" s="165">
        <v>158</v>
      </c>
      <c r="O43" s="165">
        <v>0</v>
      </c>
      <c r="P43" s="165">
        <v>0.75</v>
      </c>
      <c r="Q43" s="165">
        <v>8.71</v>
      </c>
      <c r="R43" s="13"/>
      <c r="S43" s="13"/>
      <c r="T43" s="213"/>
      <c r="U43" s="13"/>
    </row>
    <row r="44" customFormat="1" spans="1:21">
      <c r="A44" s="142" t="s">
        <v>187</v>
      </c>
      <c r="B44" s="165">
        <v>47.5</v>
      </c>
      <c r="C44" s="165">
        <v>66.48</v>
      </c>
      <c r="D44" s="165">
        <v>73.7</v>
      </c>
      <c r="E44" s="165">
        <v>9.13</v>
      </c>
      <c r="F44" s="165">
        <v>4.13</v>
      </c>
      <c r="G44" s="165">
        <v>78.08</v>
      </c>
      <c r="H44" s="165">
        <v>31.64</v>
      </c>
      <c r="I44" s="165">
        <v>8.66</v>
      </c>
      <c r="J44" s="165">
        <v>0.44</v>
      </c>
      <c r="K44" s="165">
        <v>233.52</v>
      </c>
      <c r="L44" s="165">
        <v>29.15</v>
      </c>
      <c r="M44" s="165">
        <v>41.4</v>
      </c>
      <c r="N44" s="165">
        <v>247.6</v>
      </c>
      <c r="O44" s="165">
        <v>0</v>
      </c>
      <c r="P44" s="165">
        <v>0.75</v>
      </c>
      <c r="Q44" s="165">
        <v>8.62</v>
      </c>
      <c r="R44" s="13"/>
      <c r="S44" s="13"/>
      <c r="T44" s="213"/>
      <c r="U44" s="13"/>
    </row>
    <row r="45" customFormat="1" spans="1:21">
      <c r="A45" s="142" t="s">
        <v>188</v>
      </c>
      <c r="B45" s="165">
        <v>45.19</v>
      </c>
      <c r="C45" s="165">
        <v>59.03</v>
      </c>
      <c r="D45" s="165">
        <v>67.95</v>
      </c>
      <c r="E45" s="165">
        <v>9.06</v>
      </c>
      <c r="F45" s="165">
        <v>4.91</v>
      </c>
      <c r="G45" s="165">
        <v>78.08</v>
      </c>
      <c r="H45" s="165">
        <v>31.64</v>
      </c>
      <c r="I45" s="165">
        <v>8.67</v>
      </c>
      <c r="J45" s="165">
        <v>0.63</v>
      </c>
      <c r="K45" s="165">
        <v>249.46</v>
      </c>
      <c r="L45" s="165">
        <v>29.78</v>
      </c>
      <c r="M45" s="165">
        <v>37.37</v>
      </c>
      <c r="N45" s="165">
        <v>481.5</v>
      </c>
      <c r="O45" s="165">
        <v>0</v>
      </c>
      <c r="P45" s="165">
        <v>0.73</v>
      </c>
      <c r="Q45" s="165">
        <v>8.41</v>
      </c>
      <c r="R45" s="13"/>
      <c r="S45" s="13"/>
      <c r="T45" s="213"/>
      <c r="U45" s="13"/>
    </row>
    <row r="46" customFormat="1" spans="1:21">
      <c r="A46" s="142" t="s">
        <v>189</v>
      </c>
      <c r="B46" s="165">
        <v>40.74</v>
      </c>
      <c r="C46" s="165">
        <v>57.28</v>
      </c>
      <c r="D46" s="165">
        <v>63.47</v>
      </c>
      <c r="E46" s="165">
        <v>8.95</v>
      </c>
      <c r="F46" s="165">
        <v>5.63</v>
      </c>
      <c r="G46" s="165">
        <v>77.59</v>
      </c>
      <c r="H46" s="165">
        <v>31.55</v>
      </c>
      <c r="I46" s="165">
        <v>8.57</v>
      </c>
      <c r="J46" s="165">
        <v>0.46</v>
      </c>
      <c r="K46" s="165">
        <v>241.49</v>
      </c>
      <c r="L46" s="165">
        <v>30.44</v>
      </c>
      <c r="M46" s="165">
        <v>36.25</v>
      </c>
      <c r="N46" s="165">
        <v>566.6</v>
      </c>
      <c r="O46" s="165">
        <v>0</v>
      </c>
      <c r="P46" s="165">
        <v>0.73</v>
      </c>
      <c r="Q46" s="165">
        <v>8.23</v>
      </c>
      <c r="R46" s="13"/>
      <c r="S46" s="13"/>
      <c r="T46" s="213"/>
      <c r="U46" s="13"/>
    </row>
    <row r="47" customFormat="1" spans="1:21">
      <c r="A47" s="142" t="s">
        <v>190</v>
      </c>
      <c r="B47" s="165">
        <v>38.47</v>
      </c>
      <c r="C47" s="165">
        <v>61.57</v>
      </c>
      <c r="D47" s="165">
        <v>63.89</v>
      </c>
      <c r="E47" s="165">
        <v>8.5</v>
      </c>
      <c r="F47" s="165">
        <v>5</v>
      </c>
      <c r="G47" s="165">
        <v>55.86</v>
      </c>
      <c r="H47" s="165">
        <v>28.76</v>
      </c>
      <c r="I47" s="165">
        <v>8.41</v>
      </c>
      <c r="J47" s="165">
        <v>0.73</v>
      </c>
      <c r="K47" s="165">
        <v>263.48</v>
      </c>
      <c r="L47" s="165">
        <v>30.88</v>
      </c>
      <c r="M47" s="165">
        <v>38.32</v>
      </c>
      <c r="N47" s="165">
        <v>605.7</v>
      </c>
      <c r="O47" s="165">
        <v>0</v>
      </c>
      <c r="P47" s="165">
        <v>0.73</v>
      </c>
      <c r="Q47" s="165">
        <v>8.14</v>
      </c>
      <c r="R47" s="13"/>
      <c r="S47" s="13"/>
      <c r="T47" s="213"/>
      <c r="U47" s="13"/>
    </row>
    <row r="48" customFormat="1" spans="1:21">
      <c r="A48" s="142" t="s">
        <v>191</v>
      </c>
      <c r="B48" s="165">
        <v>35.14</v>
      </c>
      <c r="C48" s="165">
        <v>63.04</v>
      </c>
      <c r="D48" s="165">
        <v>61.99</v>
      </c>
      <c r="E48" s="165">
        <v>7.81</v>
      </c>
      <c r="F48" s="165">
        <v>4.93</v>
      </c>
      <c r="G48" s="165">
        <v>55.86</v>
      </c>
      <c r="H48" s="165">
        <v>28.76</v>
      </c>
      <c r="I48" s="165">
        <v>8.23</v>
      </c>
      <c r="J48" s="165">
        <v>0.66</v>
      </c>
      <c r="K48" s="165">
        <v>236.18</v>
      </c>
      <c r="L48" s="165">
        <v>31.58</v>
      </c>
      <c r="M48" s="165">
        <v>37.74</v>
      </c>
      <c r="N48" s="165">
        <v>480.7</v>
      </c>
      <c r="O48" s="165">
        <v>0</v>
      </c>
      <c r="P48" s="165">
        <v>0.72</v>
      </c>
      <c r="Q48" s="165">
        <v>8.01</v>
      </c>
      <c r="R48" s="13"/>
      <c r="S48" s="13"/>
      <c r="T48" s="213"/>
      <c r="U48" s="13"/>
    </row>
    <row r="49" customFormat="1" spans="1:21">
      <c r="A49" s="142" t="s">
        <v>192</v>
      </c>
      <c r="B49" s="165">
        <v>30.97</v>
      </c>
      <c r="C49" s="165">
        <v>63.23</v>
      </c>
      <c r="D49" s="165">
        <v>58.74</v>
      </c>
      <c r="E49" s="165">
        <v>5.94</v>
      </c>
      <c r="F49" s="165">
        <v>5.51</v>
      </c>
      <c r="G49" s="165">
        <v>55.86</v>
      </c>
      <c r="H49" s="165">
        <v>28.76</v>
      </c>
      <c r="I49" s="165">
        <v>8.12</v>
      </c>
      <c r="J49" s="165">
        <v>0.67</v>
      </c>
      <c r="K49" s="165">
        <v>241.06</v>
      </c>
      <c r="L49" s="165">
        <v>31.96</v>
      </c>
      <c r="M49" s="165">
        <v>34.95</v>
      </c>
      <c r="N49" s="165">
        <v>606.4</v>
      </c>
      <c r="O49" s="165">
        <v>0</v>
      </c>
      <c r="P49" s="165">
        <v>0.7</v>
      </c>
      <c r="Q49" s="165">
        <v>7.78</v>
      </c>
      <c r="R49" s="13"/>
      <c r="S49" s="13"/>
      <c r="T49" s="213"/>
      <c r="U49" s="13"/>
    </row>
    <row r="50" customFormat="1" spans="1:21">
      <c r="A50" s="142" t="s">
        <v>193</v>
      </c>
      <c r="B50" s="165">
        <v>26.6</v>
      </c>
      <c r="C50" s="165">
        <v>62.43</v>
      </c>
      <c r="D50" s="165">
        <v>54.82</v>
      </c>
      <c r="E50" s="165">
        <v>10.13</v>
      </c>
      <c r="F50" s="165">
        <v>7.33</v>
      </c>
      <c r="G50" s="165">
        <v>55.68</v>
      </c>
      <c r="H50" s="165">
        <v>28.67</v>
      </c>
      <c r="I50" s="165">
        <v>8</v>
      </c>
      <c r="J50" s="165">
        <v>0.76</v>
      </c>
      <c r="K50" s="165">
        <v>270.89</v>
      </c>
      <c r="L50" s="165">
        <v>32.5</v>
      </c>
      <c r="M50" s="165">
        <v>33.55</v>
      </c>
      <c r="N50" s="165">
        <v>446.3</v>
      </c>
      <c r="O50" s="165">
        <v>0</v>
      </c>
      <c r="P50" s="165">
        <v>0.69</v>
      </c>
      <c r="Q50" s="165">
        <v>7.62</v>
      </c>
      <c r="R50" s="13"/>
      <c r="S50" s="13"/>
      <c r="T50" s="213"/>
      <c r="U50" s="13"/>
    </row>
    <row r="51" customFormat="1" spans="1:21">
      <c r="A51" s="142" t="s">
        <v>194</v>
      </c>
      <c r="B51" s="165">
        <v>23.15</v>
      </c>
      <c r="C51" s="165">
        <v>63.27</v>
      </c>
      <c r="D51" s="165">
        <v>52.49</v>
      </c>
      <c r="E51" s="165">
        <v>10.25</v>
      </c>
      <c r="F51" s="165">
        <v>6.77</v>
      </c>
      <c r="G51" s="165">
        <v>47.68</v>
      </c>
      <c r="H51" s="165">
        <v>25.82</v>
      </c>
      <c r="I51" s="165">
        <v>7.85</v>
      </c>
      <c r="J51" s="165">
        <v>0.42</v>
      </c>
      <c r="K51" s="165">
        <v>243.71</v>
      </c>
      <c r="L51" s="165">
        <v>33.02</v>
      </c>
      <c r="M51" s="165">
        <v>29.55</v>
      </c>
      <c r="N51" s="165">
        <v>755</v>
      </c>
      <c r="O51" s="165">
        <v>0</v>
      </c>
      <c r="P51" s="165">
        <v>0.69</v>
      </c>
      <c r="Q51" s="165">
        <v>7.51</v>
      </c>
      <c r="R51" s="13"/>
      <c r="S51" s="13"/>
      <c r="T51" s="213"/>
      <c r="U51" s="13"/>
    </row>
    <row r="52" customFormat="1" spans="1:21">
      <c r="A52" s="142" t="s">
        <v>195</v>
      </c>
      <c r="B52" s="165">
        <v>21.74</v>
      </c>
      <c r="C52" s="165">
        <v>64.29</v>
      </c>
      <c r="D52" s="165">
        <v>51.9</v>
      </c>
      <c r="E52" s="165">
        <v>10.02</v>
      </c>
      <c r="F52" s="165">
        <v>6.04</v>
      </c>
      <c r="G52" s="165">
        <v>47.68</v>
      </c>
      <c r="H52" s="165">
        <v>25.82</v>
      </c>
      <c r="I52" s="165">
        <v>7.7</v>
      </c>
      <c r="J52" s="165">
        <v>0.76</v>
      </c>
      <c r="K52" s="165">
        <v>239.05</v>
      </c>
      <c r="L52" s="165">
        <v>33.44</v>
      </c>
      <c r="M52" s="165">
        <v>27.19</v>
      </c>
      <c r="N52" s="165">
        <v>801</v>
      </c>
      <c r="O52" s="165">
        <v>0</v>
      </c>
      <c r="P52" s="165">
        <v>0.66</v>
      </c>
      <c r="Q52" s="165">
        <v>7.3</v>
      </c>
      <c r="R52" s="13"/>
      <c r="S52" s="13"/>
      <c r="T52" s="213"/>
      <c r="U52" s="13"/>
    </row>
    <row r="53" customFormat="1" spans="1:21">
      <c r="A53" s="142" t="s">
        <v>196</v>
      </c>
      <c r="B53" s="165">
        <v>19.47</v>
      </c>
      <c r="C53" s="165">
        <v>65.75</v>
      </c>
      <c r="D53" s="165">
        <v>50.84</v>
      </c>
      <c r="E53" s="165">
        <v>9.64</v>
      </c>
      <c r="F53" s="165">
        <v>6.26</v>
      </c>
      <c r="G53" s="165">
        <v>47.68</v>
      </c>
      <c r="H53" s="165">
        <v>25.82</v>
      </c>
      <c r="I53" s="165">
        <v>7.59</v>
      </c>
      <c r="J53" s="165">
        <v>0.32</v>
      </c>
      <c r="K53" s="165">
        <v>246.39</v>
      </c>
      <c r="L53" s="165">
        <v>33.63</v>
      </c>
      <c r="M53" s="165">
        <v>25.03</v>
      </c>
      <c r="N53" s="165">
        <v>753.6</v>
      </c>
      <c r="O53" s="165">
        <v>0</v>
      </c>
      <c r="P53" s="165">
        <v>0.64</v>
      </c>
      <c r="Q53" s="165">
        <v>7.23</v>
      </c>
      <c r="R53" s="13"/>
      <c r="S53" s="13"/>
      <c r="T53" s="213"/>
      <c r="U53" s="13"/>
    </row>
    <row r="54" customFormat="1" spans="1:21">
      <c r="A54" s="142" t="s">
        <v>197</v>
      </c>
      <c r="B54" s="165">
        <v>17.28</v>
      </c>
      <c r="C54" s="165">
        <v>66.45</v>
      </c>
      <c r="D54" s="165">
        <v>49.45</v>
      </c>
      <c r="E54" s="165">
        <v>9.5</v>
      </c>
      <c r="F54" s="165">
        <v>7.38</v>
      </c>
      <c r="G54" s="165">
        <v>47.52</v>
      </c>
      <c r="H54" s="165">
        <v>25.57</v>
      </c>
      <c r="I54" s="165">
        <v>7.51</v>
      </c>
      <c r="J54" s="165">
        <v>1.02</v>
      </c>
      <c r="K54" s="165">
        <v>281.5</v>
      </c>
      <c r="L54" s="165">
        <v>33.75</v>
      </c>
      <c r="M54" s="165">
        <v>25.24</v>
      </c>
      <c r="N54" s="165">
        <v>835.9</v>
      </c>
      <c r="O54" s="165">
        <v>0</v>
      </c>
      <c r="P54" s="165">
        <v>0.63</v>
      </c>
      <c r="Q54" s="165">
        <v>7.07</v>
      </c>
      <c r="R54" s="13"/>
      <c r="S54" s="13"/>
      <c r="T54" s="213"/>
      <c r="U54" s="13"/>
    </row>
    <row r="55" customFormat="1" spans="1:21">
      <c r="A55" s="142" t="s">
        <v>198</v>
      </c>
      <c r="B55" s="165">
        <v>15.18</v>
      </c>
      <c r="C55" s="165">
        <v>64.18</v>
      </c>
      <c r="D55" s="165">
        <v>46.58</v>
      </c>
      <c r="E55" s="165">
        <v>9.21</v>
      </c>
      <c r="F55" s="165">
        <v>9.08</v>
      </c>
      <c r="G55" s="165">
        <v>40.16</v>
      </c>
      <c r="H55" s="165">
        <v>17.51</v>
      </c>
      <c r="I55" s="165">
        <v>7.3</v>
      </c>
      <c r="J55" s="165">
        <v>0.66</v>
      </c>
      <c r="K55" s="165">
        <v>287.27</v>
      </c>
      <c r="L55" s="165">
        <v>34.08</v>
      </c>
      <c r="M55" s="165">
        <v>25.5</v>
      </c>
      <c r="N55" s="165">
        <v>841.2</v>
      </c>
      <c r="O55" s="165">
        <v>0</v>
      </c>
      <c r="P55" s="165">
        <v>0.62</v>
      </c>
      <c r="Q55" s="165">
        <v>6.98</v>
      </c>
      <c r="R55" s="13"/>
      <c r="S55" s="13"/>
      <c r="T55" s="213"/>
      <c r="U55" s="13"/>
    </row>
    <row r="56" customFormat="1" spans="1:21">
      <c r="A56" s="142" t="s">
        <v>199</v>
      </c>
      <c r="B56" s="165">
        <v>13.32</v>
      </c>
      <c r="C56" s="165">
        <v>63.19</v>
      </c>
      <c r="D56" s="165">
        <v>44.57</v>
      </c>
      <c r="E56" s="165">
        <v>9.5</v>
      </c>
      <c r="F56" s="165">
        <v>9.98</v>
      </c>
      <c r="G56" s="165">
        <v>40.16</v>
      </c>
      <c r="H56" s="165">
        <v>17.51</v>
      </c>
      <c r="I56" s="165">
        <v>7.06</v>
      </c>
      <c r="J56" s="165">
        <v>0.97</v>
      </c>
      <c r="K56" s="165">
        <v>286.89</v>
      </c>
      <c r="L56" s="165">
        <v>34.03</v>
      </c>
      <c r="M56" s="165">
        <v>25.07</v>
      </c>
      <c r="N56" s="165">
        <v>854.5</v>
      </c>
      <c r="O56" s="165">
        <v>0</v>
      </c>
      <c r="P56" s="165">
        <v>0.61</v>
      </c>
      <c r="Q56" s="165">
        <v>6.89</v>
      </c>
      <c r="R56" s="13"/>
      <c r="S56" s="13"/>
      <c r="T56" s="213"/>
      <c r="U56" s="13"/>
    </row>
    <row r="57" customFormat="1" spans="1:21">
      <c r="A57" s="142" t="s">
        <v>200</v>
      </c>
      <c r="B57" s="165">
        <v>11.99</v>
      </c>
      <c r="C57" s="165">
        <v>63.64</v>
      </c>
      <c r="D57" s="165">
        <v>43.74</v>
      </c>
      <c r="E57" s="165">
        <v>9.46</v>
      </c>
      <c r="F57" s="165">
        <v>12.55</v>
      </c>
      <c r="G57" s="165">
        <v>40.16</v>
      </c>
      <c r="H57" s="165">
        <v>17.51</v>
      </c>
      <c r="I57" s="165">
        <v>6.83</v>
      </c>
      <c r="J57" s="165">
        <v>1.18</v>
      </c>
      <c r="K57" s="165">
        <v>304</v>
      </c>
      <c r="L57" s="165">
        <v>34.41</v>
      </c>
      <c r="M57" s="165">
        <v>22.78</v>
      </c>
      <c r="N57" s="165">
        <v>884.6</v>
      </c>
      <c r="O57" s="165">
        <v>0</v>
      </c>
      <c r="P57" s="165">
        <v>0.6</v>
      </c>
      <c r="Q57" s="165">
        <v>6.76</v>
      </c>
      <c r="R57" s="13"/>
      <c r="S57" s="13"/>
      <c r="T57" s="213"/>
      <c r="U57" s="13"/>
    </row>
    <row r="58" customFormat="1" spans="1:21">
      <c r="A58" s="142" t="s">
        <v>201</v>
      </c>
      <c r="B58" s="165">
        <v>11.23</v>
      </c>
      <c r="C58" s="165">
        <v>61.55</v>
      </c>
      <c r="D58" s="165">
        <v>42.04</v>
      </c>
      <c r="E58" s="165">
        <v>9.31</v>
      </c>
      <c r="F58" s="165">
        <v>11.38</v>
      </c>
      <c r="G58" s="165">
        <v>40.15</v>
      </c>
      <c r="H58" s="165">
        <v>17.28</v>
      </c>
      <c r="I58" s="165">
        <v>6.67</v>
      </c>
      <c r="J58" s="205" t="s">
        <v>15</v>
      </c>
      <c r="K58" s="165">
        <v>0.49</v>
      </c>
      <c r="L58" s="165">
        <v>34.55</v>
      </c>
      <c r="M58" s="165">
        <v>22.47</v>
      </c>
      <c r="N58" s="165">
        <v>876.2</v>
      </c>
      <c r="O58" s="165">
        <v>0</v>
      </c>
      <c r="P58" s="165">
        <v>0.58</v>
      </c>
      <c r="Q58" s="165">
        <v>6.67</v>
      </c>
      <c r="R58" s="13"/>
      <c r="S58" s="13"/>
      <c r="T58" s="213"/>
      <c r="U58" s="13"/>
    </row>
    <row r="59" customFormat="1" spans="1:21">
      <c r="A59" s="142" t="s">
        <v>202</v>
      </c>
      <c r="B59" s="180" t="s">
        <v>4</v>
      </c>
      <c r="C59" s="180" t="s">
        <v>4</v>
      </c>
      <c r="D59" s="180" t="s">
        <v>4</v>
      </c>
      <c r="E59" s="180" t="s">
        <v>4</v>
      </c>
      <c r="F59" s="180" t="s">
        <v>4</v>
      </c>
      <c r="G59" s="180" t="s">
        <v>4</v>
      </c>
      <c r="H59" s="180" t="s">
        <v>4</v>
      </c>
      <c r="I59" s="180" t="s">
        <v>4</v>
      </c>
      <c r="J59" s="180" t="s">
        <v>4</v>
      </c>
      <c r="K59" s="180" t="s">
        <v>4</v>
      </c>
      <c r="L59" s="180" t="s">
        <v>4</v>
      </c>
      <c r="M59" s="180" t="s">
        <v>4</v>
      </c>
      <c r="N59" s="180" t="s">
        <v>4</v>
      </c>
      <c r="O59" s="180" t="s">
        <v>4</v>
      </c>
      <c r="P59" s="180" t="s">
        <v>4</v>
      </c>
      <c r="Q59" s="180" t="s">
        <v>4</v>
      </c>
      <c r="R59" s="13"/>
      <c r="S59" s="13"/>
      <c r="T59" s="213"/>
      <c r="U59" s="13"/>
    </row>
    <row r="60" customFormat="1" spans="1:21">
      <c r="A60" s="142" t="s">
        <v>203</v>
      </c>
      <c r="B60" s="180" t="s">
        <v>4</v>
      </c>
      <c r="C60" s="180" t="s">
        <v>4</v>
      </c>
      <c r="D60" s="180" t="s">
        <v>4</v>
      </c>
      <c r="E60" s="180" t="s">
        <v>4</v>
      </c>
      <c r="F60" s="180" t="s">
        <v>4</v>
      </c>
      <c r="G60" s="180" t="s">
        <v>4</v>
      </c>
      <c r="H60" s="180" t="s">
        <v>4</v>
      </c>
      <c r="I60" s="180" t="s">
        <v>4</v>
      </c>
      <c r="J60" s="180" t="s">
        <v>4</v>
      </c>
      <c r="K60" s="180" t="s">
        <v>4</v>
      </c>
      <c r="L60" s="180" t="s">
        <v>4</v>
      </c>
      <c r="M60" s="180" t="s">
        <v>4</v>
      </c>
      <c r="N60" s="180" t="s">
        <v>4</v>
      </c>
      <c r="O60" s="180" t="s">
        <v>4</v>
      </c>
      <c r="P60" s="180" t="s">
        <v>4</v>
      </c>
      <c r="Q60" s="180" t="s">
        <v>4</v>
      </c>
      <c r="R60" s="13"/>
      <c r="S60" s="13"/>
      <c r="T60" s="213"/>
      <c r="U60" s="13"/>
    </row>
    <row r="61" customFormat="1" spans="1:21">
      <c r="A61" s="142" t="s">
        <v>204</v>
      </c>
      <c r="B61" s="180" t="s">
        <v>4</v>
      </c>
      <c r="C61" s="180" t="s">
        <v>4</v>
      </c>
      <c r="D61" s="180" t="s">
        <v>4</v>
      </c>
      <c r="E61" s="180" t="s">
        <v>4</v>
      </c>
      <c r="F61" s="180" t="s">
        <v>4</v>
      </c>
      <c r="G61" s="180" t="s">
        <v>4</v>
      </c>
      <c r="H61" s="180" t="s">
        <v>4</v>
      </c>
      <c r="I61" s="180" t="s">
        <v>4</v>
      </c>
      <c r="J61" s="180" t="s">
        <v>4</v>
      </c>
      <c r="K61" s="180" t="s">
        <v>4</v>
      </c>
      <c r="L61" s="180" t="s">
        <v>4</v>
      </c>
      <c r="M61" s="180" t="s">
        <v>4</v>
      </c>
      <c r="N61" s="180" t="s">
        <v>4</v>
      </c>
      <c r="O61" s="180" t="s">
        <v>4</v>
      </c>
      <c r="P61" s="180" t="s">
        <v>4</v>
      </c>
      <c r="Q61" s="180" t="s">
        <v>4</v>
      </c>
      <c r="R61" s="13"/>
      <c r="S61" s="13"/>
      <c r="T61" s="213"/>
      <c r="U61" s="13"/>
    </row>
    <row r="62" customFormat="1" spans="1:21">
      <c r="A62" s="142" t="s">
        <v>205</v>
      </c>
      <c r="B62" s="180" t="s">
        <v>4</v>
      </c>
      <c r="C62" s="180" t="s">
        <v>4</v>
      </c>
      <c r="D62" s="180" t="s">
        <v>4</v>
      </c>
      <c r="E62" s="180" t="s">
        <v>4</v>
      </c>
      <c r="F62" s="180" t="s">
        <v>4</v>
      </c>
      <c r="G62" s="180" t="s">
        <v>4</v>
      </c>
      <c r="H62" s="180" t="s">
        <v>4</v>
      </c>
      <c r="I62" s="180" t="s">
        <v>4</v>
      </c>
      <c r="J62" s="180" t="s">
        <v>4</v>
      </c>
      <c r="K62" s="180" t="s">
        <v>4</v>
      </c>
      <c r="L62" s="180" t="s">
        <v>4</v>
      </c>
      <c r="M62" s="180" t="s">
        <v>4</v>
      </c>
      <c r="N62" s="180" t="s">
        <v>4</v>
      </c>
      <c r="O62" s="180" t="s">
        <v>4</v>
      </c>
      <c r="P62" s="180" t="s">
        <v>4</v>
      </c>
      <c r="Q62" s="180" t="s">
        <v>4</v>
      </c>
      <c r="R62" s="13"/>
      <c r="S62" s="13"/>
      <c r="T62" s="213"/>
      <c r="U62" s="13"/>
    </row>
    <row r="63" customFormat="1" spans="1:21">
      <c r="A63" s="142" t="s">
        <v>206</v>
      </c>
      <c r="B63" s="202" t="s">
        <v>21</v>
      </c>
      <c r="C63" s="202" t="s">
        <v>21</v>
      </c>
      <c r="D63" s="202" t="s">
        <v>21</v>
      </c>
      <c r="E63" s="204" t="s">
        <v>8</v>
      </c>
      <c r="F63" s="202" t="s">
        <v>21</v>
      </c>
      <c r="G63" s="204" t="s">
        <v>8</v>
      </c>
      <c r="H63" s="204" t="s">
        <v>8</v>
      </c>
      <c r="I63" s="202" t="s">
        <v>21</v>
      </c>
      <c r="J63" s="165">
        <v>1.8</v>
      </c>
      <c r="K63" s="165">
        <v>286.99</v>
      </c>
      <c r="L63" s="165">
        <v>34.92</v>
      </c>
      <c r="M63" s="165">
        <v>19.25</v>
      </c>
      <c r="N63" s="165">
        <v>764.6</v>
      </c>
      <c r="O63" s="165">
        <v>0</v>
      </c>
      <c r="P63" s="165">
        <v>0.62</v>
      </c>
      <c r="Q63" s="202" t="s">
        <v>21</v>
      </c>
      <c r="R63" s="13"/>
      <c r="S63" s="13"/>
      <c r="T63" s="213"/>
      <c r="U63" s="13"/>
    </row>
    <row r="64" customFormat="1" spans="1:21">
      <c r="A64" s="142" t="s">
        <v>207</v>
      </c>
      <c r="B64" s="165">
        <v>12.38</v>
      </c>
      <c r="C64" s="165">
        <v>49.76</v>
      </c>
      <c r="D64" s="165">
        <v>36.8</v>
      </c>
      <c r="E64" s="204" t="s">
        <v>8</v>
      </c>
      <c r="F64" s="165">
        <v>9.52</v>
      </c>
      <c r="G64" s="204" t="s">
        <v>8</v>
      </c>
      <c r="H64" s="204" t="s">
        <v>8</v>
      </c>
      <c r="I64" s="202" t="s">
        <v>21</v>
      </c>
      <c r="J64" s="165">
        <v>1.7</v>
      </c>
      <c r="K64" s="165">
        <v>300.24</v>
      </c>
      <c r="L64" s="165">
        <v>35.08</v>
      </c>
      <c r="M64" s="165">
        <v>19.43</v>
      </c>
      <c r="N64" s="165">
        <v>767.8</v>
      </c>
      <c r="O64" s="165">
        <v>0</v>
      </c>
      <c r="P64" s="165">
        <v>0.59</v>
      </c>
      <c r="Q64" s="202" t="s">
        <v>21</v>
      </c>
      <c r="R64" s="13"/>
      <c r="S64" s="13"/>
      <c r="T64" s="213"/>
      <c r="U64" s="13"/>
    </row>
    <row r="65" customFormat="1" spans="1:21">
      <c r="A65" s="142" t="s">
        <v>208</v>
      </c>
      <c r="B65" s="165">
        <v>10.93</v>
      </c>
      <c r="C65" s="165">
        <v>49.73</v>
      </c>
      <c r="D65" s="165">
        <v>35.62</v>
      </c>
      <c r="E65" s="204" t="s">
        <v>8</v>
      </c>
      <c r="F65" s="165">
        <v>9.81</v>
      </c>
      <c r="G65" s="204" t="s">
        <v>8</v>
      </c>
      <c r="H65" s="204" t="s">
        <v>8</v>
      </c>
      <c r="I65" s="165">
        <v>5.79</v>
      </c>
      <c r="J65" s="165">
        <v>1.59</v>
      </c>
      <c r="K65" s="165">
        <v>297.68</v>
      </c>
      <c r="L65" s="165">
        <v>34.91</v>
      </c>
      <c r="M65" s="165">
        <v>19.6</v>
      </c>
      <c r="N65" s="165">
        <v>658.9</v>
      </c>
      <c r="O65" s="165">
        <v>0</v>
      </c>
      <c r="P65" s="165">
        <v>0.56</v>
      </c>
      <c r="Q65" s="165">
        <v>5.24</v>
      </c>
      <c r="R65" s="13"/>
      <c r="S65" s="13"/>
      <c r="T65" s="213"/>
      <c r="U65" s="13"/>
    </row>
    <row r="66" customFormat="1" spans="1:21">
      <c r="A66" s="142" t="s">
        <v>209</v>
      </c>
      <c r="B66" s="165">
        <v>9.63</v>
      </c>
      <c r="C66" s="165">
        <v>50.68</v>
      </c>
      <c r="D66" s="165">
        <v>35.07</v>
      </c>
      <c r="E66" s="204" t="s">
        <v>8</v>
      </c>
      <c r="F66" s="165">
        <v>10.75</v>
      </c>
      <c r="G66" s="165">
        <v>15.98</v>
      </c>
      <c r="H66" s="165">
        <v>14.58</v>
      </c>
      <c r="I66" s="165">
        <v>5.86</v>
      </c>
      <c r="J66" s="165">
        <v>1</v>
      </c>
      <c r="K66" s="165">
        <v>264.08</v>
      </c>
      <c r="L66" s="165">
        <v>34.83</v>
      </c>
      <c r="M66" s="165">
        <v>19.78</v>
      </c>
      <c r="N66" s="165">
        <v>401.6</v>
      </c>
      <c r="O66" s="165">
        <v>0</v>
      </c>
      <c r="P66" s="165">
        <v>0.56</v>
      </c>
      <c r="Q66" s="165">
        <v>4.79</v>
      </c>
      <c r="R66" s="13"/>
      <c r="S66" s="13"/>
      <c r="T66" s="213"/>
      <c r="U66" s="13"/>
    </row>
    <row r="67" customFormat="1" spans="1:21">
      <c r="A67" s="142" t="s">
        <v>210</v>
      </c>
      <c r="B67" s="165">
        <v>8.92</v>
      </c>
      <c r="C67" s="165">
        <v>53.03</v>
      </c>
      <c r="D67" s="165">
        <v>35.74</v>
      </c>
      <c r="E67" s="204" t="s">
        <v>8</v>
      </c>
      <c r="F67" s="165">
        <v>10.04</v>
      </c>
      <c r="G67" s="165">
        <v>15.98</v>
      </c>
      <c r="H67" s="165">
        <v>14.58</v>
      </c>
      <c r="I67" s="165">
        <v>5.63</v>
      </c>
      <c r="J67" s="165">
        <v>1.31</v>
      </c>
      <c r="K67" s="165">
        <v>267.49</v>
      </c>
      <c r="L67" s="165">
        <v>34.72</v>
      </c>
      <c r="M67" s="165">
        <v>20.1</v>
      </c>
      <c r="N67" s="165">
        <v>445.7</v>
      </c>
      <c r="O67" s="165">
        <v>0</v>
      </c>
      <c r="P67" s="165">
        <v>0.53</v>
      </c>
      <c r="Q67" s="165">
        <v>4.15</v>
      </c>
      <c r="R67" s="13"/>
      <c r="S67" s="13"/>
      <c r="T67" s="213"/>
      <c r="U67" s="13"/>
    </row>
    <row r="68" customFormat="1" spans="1:21">
      <c r="A68" s="142" t="s">
        <v>211</v>
      </c>
      <c r="B68" s="165">
        <v>7.99</v>
      </c>
      <c r="C68" s="165">
        <v>54.43</v>
      </c>
      <c r="D68" s="165">
        <v>35.72</v>
      </c>
      <c r="E68" s="204" t="s">
        <v>8</v>
      </c>
      <c r="F68" s="165">
        <v>11.53</v>
      </c>
      <c r="G68" s="165">
        <v>15.98</v>
      </c>
      <c r="H68" s="165">
        <v>14.58</v>
      </c>
      <c r="I68" s="165">
        <v>5.54</v>
      </c>
      <c r="J68" s="165">
        <v>0.78</v>
      </c>
      <c r="K68" s="165">
        <v>235.64</v>
      </c>
      <c r="L68" s="165">
        <v>33.77</v>
      </c>
      <c r="M68" s="165">
        <v>22.29</v>
      </c>
      <c r="N68" s="165">
        <v>159</v>
      </c>
      <c r="O68" s="165">
        <v>0</v>
      </c>
      <c r="P68" s="165">
        <v>0.5</v>
      </c>
      <c r="Q68" s="165">
        <v>4.22</v>
      </c>
      <c r="R68" s="13"/>
      <c r="S68" s="13"/>
      <c r="T68" s="213"/>
      <c r="U68" s="13"/>
    </row>
    <row r="69" customFormat="1" spans="1:21">
      <c r="A69" s="142" t="s">
        <v>212</v>
      </c>
      <c r="B69" s="165">
        <v>7.37</v>
      </c>
      <c r="C69" s="165">
        <v>56.1</v>
      </c>
      <c r="D69" s="165">
        <v>36.09</v>
      </c>
      <c r="E69" s="204" t="s">
        <v>8</v>
      </c>
      <c r="F69" s="165">
        <v>12.67</v>
      </c>
      <c r="G69" s="165">
        <v>15.98</v>
      </c>
      <c r="H69" s="165">
        <v>14.58</v>
      </c>
      <c r="I69" s="165">
        <v>5.44</v>
      </c>
      <c r="J69" s="165">
        <v>0.81</v>
      </c>
      <c r="K69" s="165">
        <v>249.27</v>
      </c>
      <c r="L69" s="165">
        <v>34.19</v>
      </c>
      <c r="M69" s="165">
        <v>22.73</v>
      </c>
      <c r="N69" s="165">
        <v>462.6</v>
      </c>
      <c r="O69" s="165">
        <v>0</v>
      </c>
      <c r="P69" s="165">
        <v>0.49</v>
      </c>
      <c r="Q69" s="165">
        <v>4.86</v>
      </c>
      <c r="R69" s="13"/>
      <c r="S69" s="13"/>
      <c r="T69" s="213"/>
      <c r="U69" s="13"/>
    </row>
    <row r="70" customFormat="1" spans="1:21">
      <c r="A70" s="142" t="s">
        <v>213</v>
      </c>
      <c r="B70" s="165">
        <v>6.3</v>
      </c>
      <c r="C70" s="165">
        <v>52.88</v>
      </c>
      <c r="D70" s="165">
        <v>33.55</v>
      </c>
      <c r="E70" s="204" t="s">
        <v>8</v>
      </c>
      <c r="F70" s="165">
        <v>16.07</v>
      </c>
      <c r="G70" s="165">
        <v>16.54</v>
      </c>
      <c r="H70" s="165">
        <v>14.2</v>
      </c>
      <c r="I70" s="165">
        <v>5.26</v>
      </c>
      <c r="J70" s="165">
        <v>0.62</v>
      </c>
      <c r="K70" s="165">
        <v>235.7</v>
      </c>
      <c r="L70" s="165">
        <v>35.24</v>
      </c>
      <c r="M70" s="165">
        <v>21.81</v>
      </c>
      <c r="N70" s="165">
        <v>521.4</v>
      </c>
      <c r="O70" s="165">
        <v>0</v>
      </c>
      <c r="P70" s="165">
        <v>0.47</v>
      </c>
      <c r="Q70" s="165">
        <v>5</v>
      </c>
      <c r="R70" s="13"/>
      <c r="S70" s="13"/>
      <c r="T70" s="213"/>
      <c r="U70" s="13"/>
    </row>
    <row r="71" customFormat="1" spans="1:21">
      <c r="A71" s="142" t="s">
        <v>214</v>
      </c>
      <c r="B71" s="165">
        <v>6.37</v>
      </c>
      <c r="C71" s="165">
        <v>71.04</v>
      </c>
      <c r="D71" s="165">
        <v>45.09</v>
      </c>
      <c r="E71" s="204" t="s">
        <v>8</v>
      </c>
      <c r="F71" s="165">
        <v>10.78</v>
      </c>
      <c r="G71" s="165">
        <v>40.99</v>
      </c>
      <c r="H71" s="165">
        <v>1.93</v>
      </c>
      <c r="I71" s="165">
        <v>5.09</v>
      </c>
      <c r="J71" s="165">
        <v>0.72</v>
      </c>
      <c r="K71" s="165">
        <v>246.68</v>
      </c>
      <c r="L71" s="165">
        <v>35.34</v>
      </c>
      <c r="M71" s="165">
        <v>21.19</v>
      </c>
      <c r="N71" s="165">
        <v>392.5</v>
      </c>
      <c r="O71" s="165">
        <v>0</v>
      </c>
      <c r="P71" s="165">
        <v>0.47</v>
      </c>
      <c r="Q71" s="165">
        <v>4.9</v>
      </c>
      <c r="R71" s="13"/>
      <c r="S71" s="13"/>
      <c r="T71" s="213"/>
      <c r="U71" s="13"/>
    </row>
    <row r="72" customFormat="1" spans="1:21">
      <c r="A72" s="142" t="s">
        <v>215</v>
      </c>
      <c r="B72" s="165">
        <v>5.86</v>
      </c>
      <c r="C72" s="165">
        <v>62.99</v>
      </c>
      <c r="D72" s="165">
        <v>38.49</v>
      </c>
      <c r="E72" s="204" t="s">
        <v>8</v>
      </c>
      <c r="F72" s="165">
        <v>16</v>
      </c>
      <c r="G72" s="165">
        <v>40.99</v>
      </c>
      <c r="H72" s="165">
        <v>1.93</v>
      </c>
      <c r="I72" s="165">
        <v>4.97</v>
      </c>
      <c r="J72" s="165">
        <v>0.65</v>
      </c>
      <c r="K72" s="165">
        <v>264.5</v>
      </c>
      <c r="L72" s="165">
        <v>35.21</v>
      </c>
      <c r="M72" s="165">
        <v>21.11</v>
      </c>
      <c r="N72" s="165">
        <v>368.4</v>
      </c>
      <c r="O72" s="165">
        <v>0</v>
      </c>
      <c r="P72" s="165">
        <v>0.47</v>
      </c>
      <c r="Q72" s="165">
        <v>5</v>
      </c>
      <c r="R72" s="13"/>
      <c r="S72" s="13"/>
      <c r="T72" s="213"/>
      <c r="U72" s="13"/>
    </row>
    <row r="73" customFormat="1" spans="1:21">
      <c r="A73" s="142" t="s">
        <v>216</v>
      </c>
      <c r="B73" s="165">
        <v>5.84</v>
      </c>
      <c r="C73" s="165">
        <v>59.36</v>
      </c>
      <c r="D73" s="165">
        <v>36.57</v>
      </c>
      <c r="E73" s="204" t="s">
        <v>8</v>
      </c>
      <c r="F73" s="165">
        <v>14.62</v>
      </c>
      <c r="G73" s="165">
        <v>40.99</v>
      </c>
      <c r="H73" s="165">
        <v>1.93</v>
      </c>
      <c r="I73" s="165">
        <v>4.84</v>
      </c>
      <c r="J73" s="165">
        <v>0.72</v>
      </c>
      <c r="K73" s="165">
        <v>242.24</v>
      </c>
      <c r="L73" s="165">
        <v>35.28</v>
      </c>
      <c r="M73" s="165">
        <v>21.67</v>
      </c>
      <c r="N73" s="165">
        <v>371</v>
      </c>
      <c r="O73" s="165">
        <v>0</v>
      </c>
      <c r="P73" s="165">
        <v>0.46</v>
      </c>
      <c r="Q73" s="165">
        <v>5</v>
      </c>
      <c r="R73" s="13"/>
      <c r="S73" s="13"/>
      <c r="T73" s="213"/>
      <c r="U73" s="13"/>
    </row>
    <row r="74" customFormat="1" spans="1:21">
      <c r="A74" s="142" t="s">
        <v>217</v>
      </c>
      <c r="B74" s="165">
        <v>5.89</v>
      </c>
      <c r="C74" s="165">
        <v>58.56</v>
      </c>
      <c r="D74" s="165">
        <v>36.2</v>
      </c>
      <c r="E74" s="204" t="s">
        <v>8</v>
      </c>
      <c r="F74" s="165">
        <v>15.76</v>
      </c>
      <c r="G74" s="165">
        <v>40.67</v>
      </c>
      <c r="H74" s="165">
        <v>2.18</v>
      </c>
      <c r="I74" s="165">
        <v>4.81</v>
      </c>
      <c r="J74" s="165">
        <v>0.85</v>
      </c>
      <c r="K74" s="165">
        <v>246.96</v>
      </c>
      <c r="L74" s="165">
        <v>35.14</v>
      </c>
      <c r="M74" s="165">
        <v>20.81</v>
      </c>
      <c r="N74" s="165">
        <v>256.1</v>
      </c>
      <c r="O74" s="165">
        <v>0</v>
      </c>
      <c r="P74" s="165">
        <v>0.44</v>
      </c>
      <c r="Q74" s="165">
        <v>5</v>
      </c>
      <c r="R74" s="13"/>
      <c r="S74" s="13"/>
      <c r="T74" s="213"/>
      <c r="U74" s="13"/>
    </row>
    <row r="75" customFormat="1" spans="1:21">
      <c r="A75" s="142" t="s">
        <v>218</v>
      </c>
      <c r="B75" s="165">
        <v>5.54</v>
      </c>
      <c r="C75" s="165">
        <v>62.43</v>
      </c>
      <c r="D75" s="165">
        <v>37.93</v>
      </c>
      <c r="E75" s="204" t="s">
        <v>8</v>
      </c>
      <c r="F75" s="165">
        <v>18.54</v>
      </c>
      <c r="G75" s="165">
        <v>26.5</v>
      </c>
      <c r="H75" s="165">
        <v>10.18</v>
      </c>
      <c r="I75" s="165">
        <v>4.81</v>
      </c>
      <c r="J75" s="165">
        <v>0.52</v>
      </c>
      <c r="K75" s="165">
        <v>263.37</v>
      </c>
      <c r="L75" s="165">
        <v>34.59</v>
      </c>
      <c r="M75" s="165">
        <v>22.08</v>
      </c>
      <c r="N75" s="165">
        <v>132.4</v>
      </c>
      <c r="O75" s="165">
        <v>0</v>
      </c>
      <c r="P75" s="165">
        <v>0.43</v>
      </c>
      <c r="Q75" s="165">
        <v>5</v>
      </c>
      <c r="R75" s="13"/>
      <c r="S75" s="13"/>
      <c r="T75" s="213"/>
      <c r="U75" s="13"/>
    </row>
    <row r="76" customFormat="1" spans="1:21">
      <c r="A76" s="142" t="s">
        <v>219</v>
      </c>
      <c r="B76" s="165">
        <v>4.98</v>
      </c>
      <c r="C76" s="165">
        <v>59.43</v>
      </c>
      <c r="D76" s="165">
        <v>35.92</v>
      </c>
      <c r="E76" s="204" t="s">
        <v>8</v>
      </c>
      <c r="F76" s="165">
        <v>23.77</v>
      </c>
      <c r="G76" s="165">
        <v>26.5</v>
      </c>
      <c r="H76" s="165">
        <v>10.18</v>
      </c>
      <c r="I76" s="165">
        <v>4.69</v>
      </c>
      <c r="J76" s="165">
        <v>1</v>
      </c>
      <c r="K76" s="165">
        <v>61.01</v>
      </c>
      <c r="L76" s="165">
        <v>34.58</v>
      </c>
      <c r="M76" s="165">
        <v>21.92</v>
      </c>
      <c r="N76" s="165">
        <v>136.5</v>
      </c>
      <c r="O76" s="165">
        <v>0</v>
      </c>
      <c r="P76" s="165">
        <v>0.42</v>
      </c>
      <c r="Q76" s="165">
        <v>5</v>
      </c>
      <c r="R76" s="13"/>
      <c r="S76" s="13"/>
      <c r="T76" s="213"/>
      <c r="U76" s="13"/>
    </row>
    <row r="77" customFormat="1" spans="1:21">
      <c r="A77" s="142" t="s">
        <v>220</v>
      </c>
      <c r="B77" s="165">
        <v>5.98</v>
      </c>
      <c r="C77" s="165">
        <v>58.37</v>
      </c>
      <c r="D77" s="165">
        <v>36.16</v>
      </c>
      <c r="E77" s="204" t="s">
        <v>8</v>
      </c>
      <c r="F77" s="165">
        <v>18.14</v>
      </c>
      <c r="G77" s="165">
        <v>26.5</v>
      </c>
      <c r="H77" s="165">
        <v>10.18</v>
      </c>
      <c r="I77" s="165">
        <v>4.36</v>
      </c>
      <c r="J77" s="165">
        <v>0.8</v>
      </c>
      <c r="K77" s="165">
        <v>23.16</v>
      </c>
      <c r="L77" s="165">
        <v>34.03</v>
      </c>
      <c r="M77" s="165">
        <v>20.89</v>
      </c>
      <c r="N77" s="165">
        <v>90.3</v>
      </c>
      <c r="O77" s="165">
        <v>0</v>
      </c>
      <c r="P77" s="165">
        <v>0.42</v>
      </c>
      <c r="Q77" s="165">
        <v>5</v>
      </c>
      <c r="R77" s="13"/>
      <c r="S77" s="13"/>
      <c r="T77" s="213"/>
      <c r="U77" s="13"/>
    </row>
    <row r="78" customFormat="1" spans="1:21">
      <c r="A78" s="142" t="s">
        <v>221</v>
      </c>
      <c r="B78" s="165">
        <v>6.87</v>
      </c>
      <c r="C78" s="165">
        <v>68.02</v>
      </c>
      <c r="D78" s="165">
        <v>41.92</v>
      </c>
      <c r="E78" s="204" t="s">
        <v>8</v>
      </c>
      <c r="F78" s="165">
        <v>18.55</v>
      </c>
      <c r="G78" s="165">
        <v>26.53</v>
      </c>
      <c r="H78" s="165">
        <v>10.45</v>
      </c>
      <c r="I78" s="165">
        <v>4.31</v>
      </c>
      <c r="J78" s="165">
        <v>0.69</v>
      </c>
      <c r="K78" s="165">
        <v>33.39</v>
      </c>
      <c r="L78" s="165">
        <v>33.61</v>
      </c>
      <c r="M78" s="165">
        <v>21.58</v>
      </c>
      <c r="N78" s="165">
        <v>54.6</v>
      </c>
      <c r="O78" s="165">
        <v>0</v>
      </c>
      <c r="P78" s="165">
        <v>0.44</v>
      </c>
      <c r="Q78" s="165">
        <v>5</v>
      </c>
      <c r="R78" s="13"/>
      <c r="S78" s="13"/>
      <c r="T78" s="213"/>
      <c r="U78" s="13"/>
    </row>
    <row r="79" customFormat="1" spans="1:21">
      <c r="A79" s="142" t="s">
        <v>222</v>
      </c>
      <c r="B79" s="165">
        <v>7.9</v>
      </c>
      <c r="C79" s="165">
        <v>63.43</v>
      </c>
      <c r="D79" s="165">
        <v>40.35</v>
      </c>
      <c r="E79" s="204" t="s">
        <v>8</v>
      </c>
      <c r="F79" s="165">
        <v>15.43</v>
      </c>
      <c r="G79" s="165">
        <v>28.07</v>
      </c>
      <c r="H79" s="165">
        <v>19.4</v>
      </c>
      <c r="I79" s="165">
        <v>4.39</v>
      </c>
      <c r="J79" s="165">
        <v>0.64</v>
      </c>
      <c r="K79" s="165">
        <v>54.63</v>
      </c>
      <c r="L79" s="165">
        <v>33.16</v>
      </c>
      <c r="M79" s="165">
        <v>22.66</v>
      </c>
      <c r="N79" s="165">
        <v>29.2</v>
      </c>
      <c r="O79" s="165">
        <v>0</v>
      </c>
      <c r="P79" s="165">
        <v>0.47</v>
      </c>
      <c r="Q79" s="165">
        <v>5</v>
      </c>
      <c r="R79" s="13"/>
      <c r="S79" s="13"/>
      <c r="T79" s="213"/>
      <c r="U79" s="13"/>
    </row>
    <row r="80" customFormat="1" spans="1:21">
      <c r="A80" s="142" t="s">
        <v>223</v>
      </c>
      <c r="B80" s="165">
        <v>12.4</v>
      </c>
      <c r="C80" s="165">
        <v>64.91</v>
      </c>
      <c r="D80" s="165">
        <v>44.73</v>
      </c>
      <c r="E80" s="204" t="s">
        <v>8</v>
      </c>
      <c r="F80" s="165">
        <v>14.61</v>
      </c>
      <c r="G80" s="165">
        <v>28.07</v>
      </c>
      <c r="H80" s="165">
        <v>19.4</v>
      </c>
      <c r="I80" s="165">
        <v>4.18</v>
      </c>
      <c r="J80" s="165">
        <v>0.54</v>
      </c>
      <c r="K80" s="165">
        <v>44.05</v>
      </c>
      <c r="L80" s="165">
        <v>32.69</v>
      </c>
      <c r="M80" s="165">
        <v>23.66</v>
      </c>
      <c r="N80" s="165">
        <v>9.7</v>
      </c>
      <c r="O80" s="165">
        <v>0</v>
      </c>
      <c r="P80" s="165">
        <v>0.49</v>
      </c>
      <c r="Q80" s="165">
        <v>5</v>
      </c>
      <c r="R80" s="13"/>
      <c r="S80" s="13"/>
      <c r="T80" s="213"/>
      <c r="U80" s="13"/>
    </row>
    <row r="81" customFormat="1" spans="1:21">
      <c r="A81" s="142" t="s">
        <v>224</v>
      </c>
      <c r="B81" s="165">
        <v>12.23</v>
      </c>
      <c r="C81" s="165">
        <v>66.8</v>
      </c>
      <c r="D81" s="165">
        <v>45.66</v>
      </c>
      <c r="E81" s="165">
        <v>7.19</v>
      </c>
      <c r="F81" s="165">
        <v>13.91</v>
      </c>
      <c r="G81" s="165">
        <v>28.07</v>
      </c>
      <c r="H81" s="165">
        <v>19.4</v>
      </c>
      <c r="I81" s="165">
        <v>4.17</v>
      </c>
      <c r="J81" s="165">
        <v>0.56</v>
      </c>
      <c r="K81" s="165">
        <v>52.69</v>
      </c>
      <c r="L81" s="165">
        <v>32.1</v>
      </c>
      <c r="M81" s="165">
        <v>25.34</v>
      </c>
      <c r="N81" s="165">
        <v>0</v>
      </c>
      <c r="O81" s="165">
        <v>0</v>
      </c>
      <c r="P81" s="165">
        <v>0.52</v>
      </c>
      <c r="Q81" s="165">
        <v>5</v>
      </c>
      <c r="R81" s="13"/>
      <c r="S81" s="13"/>
      <c r="T81" s="213"/>
      <c r="U81" s="13"/>
    </row>
    <row r="82" customFormat="1" spans="1:21">
      <c r="A82" s="142" t="s">
        <v>225</v>
      </c>
      <c r="B82" s="165">
        <v>15.55</v>
      </c>
      <c r="C82" s="165">
        <v>69.04</v>
      </c>
      <c r="D82" s="165">
        <v>49.42</v>
      </c>
      <c r="E82" s="165">
        <v>12.7</v>
      </c>
      <c r="F82" s="165">
        <v>8.18</v>
      </c>
      <c r="G82" s="165">
        <v>29.19</v>
      </c>
      <c r="H82" s="165">
        <v>19.28</v>
      </c>
      <c r="I82" s="165">
        <v>4.36</v>
      </c>
      <c r="J82" s="165">
        <v>0.44</v>
      </c>
      <c r="K82" s="165">
        <v>68.17</v>
      </c>
      <c r="L82" s="165">
        <v>31.38</v>
      </c>
      <c r="M82" s="165">
        <v>28.66</v>
      </c>
      <c r="N82" s="165">
        <v>0</v>
      </c>
      <c r="O82" s="165">
        <v>0</v>
      </c>
      <c r="P82" s="165">
        <v>0.55</v>
      </c>
      <c r="Q82" s="165">
        <v>5</v>
      </c>
      <c r="R82" s="13"/>
      <c r="S82" s="13"/>
      <c r="T82" s="213"/>
      <c r="U82" s="13"/>
    </row>
    <row r="83" customFormat="1" spans="1:21">
      <c r="A83" s="142" t="s">
        <v>226</v>
      </c>
      <c r="B83" s="165">
        <v>13.56</v>
      </c>
      <c r="C83" s="165">
        <v>71.12</v>
      </c>
      <c r="D83" s="165">
        <v>48.9</v>
      </c>
      <c r="E83" s="165">
        <v>11.85</v>
      </c>
      <c r="F83" s="165">
        <v>6.58</v>
      </c>
      <c r="G83" s="165">
        <v>78.32</v>
      </c>
      <c r="H83" s="165">
        <v>15.44</v>
      </c>
      <c r="I83" s="165">
        <v>4.42</v>
      </c>
      <c r="J83" s="165">
        <v>0.26</v>
      </c>
      <c r="K83" s="165">
        <v>161.89</v>
      </c>
      <c r="L83" s="165">
        <v>30.59</v>
      </c>
      <c r="M83" s="165">
        <v>32.83</v>
      </c>
      <c r="N83" s="165">
        <v>0</v>
      </c>
      <c r="O83" s="165">
        <v>0</v>
      </c>
      <c r="P83" s="165">
        <v>0.54</v>
      </c>
      <c r="Q83" s="165">
        <v>5</v>
      </c>
      <c r="R83" s="13"/>
      <c r="S83" s="13"/>
      <c r="T83" s="213"/>
      <c r="U83" s="13"/>
    </row>
    <row r="84" customFormat="1" spans="1:21">
      <c r="A84" s="142" t="s">
        <v>227</v>
      </c>
      <c r="B84" s="165">
        <v>13.34</v>
      </c>
      <c r="C84" s="165">
        <v>71</v>
      </c>
      <c r="D84" s="165">
        <v>48.67</v>
      </c>
      <c r="E84" s="165">
        <v>9.52</v>
      </c>
      <c r="F84" s="165">
        <v>5.64</v>
      </c>
      <c r="G84" s="165">
        <v>78.32</v>
      </c>
      <c r="H84" s="165">
        <v>15.44</v>
      </c>
      <c r="I84" s="165">
        <v>4.62</v>
      </c>
      <c r="J84" s="165">
        <v>0.2</v>
      </c>
      <c r="K84" s="165">
        <v>179.29</v>
      </c>
      <c r="L84" s="165">
        <v>29.45</v>
      </c>
      <c r="M84" s="165">
        <v>37.85</v>
      </c>
      <c r="N84" s="165">
        <v>0</v>
      </c>
      <c r="O84" s="165">
        <v>0</v>
      </c>
      <c r="P84" s="165">
        <v>0.55</v>
      </c>
      <c r="Q84" s="165">
        <v>5</v>
      </c>
      <c r="R84" s="13"/>
      <c r="S84" s="13"/>
      <c r="T84" s="213"/>
      <c r="U84" s="13"/>
    </row>
    <row r="85" customFormat="1" spans="1:21">
      <c r="A85" s="142" t="s">
        <v>228</v>
      </c>
      <c r="B85" s="165">
        <v>13.64</v>
      </c>
      <c r="C85" s="165">
        <v>69.57</v>
      </c>
      <c r="D85" s="165">
        <v>48.16</v>
      </c>
      <c r="E85" s="165">
        <v>8.81</v>
      </c>
      <c r="F85" s="165">
        <v>5.75</v>
      </c>
      <c r="G85" s="165">
        <v>78.32</v>
      </c>
      <c r="H85" s="165">
        <v>15.44</v>
      </c>
      <c r="I85" s="165">
        <v>4.84</v>
      </c>
      <c r="J85" s="165">
        <v>0.23</v>
      </c>
      <c r="K85" s="165">
        <v>171.68</v>
      </c>
      <c r="L85" s="165">
        <v>29.07</v>
      </c>
      <c r="M85" s="165">
        <v>39.14</v>
      </c>
      <c r="N85" s="165">
        <v>0</v>
      </c>
      <c r="O85" s="165">
        <v>0</v>
      </c>
      <c r="P85" s="165">
        <v>0.57</v>
      </c>
      <c r="Q85" s="165">
        <v>5</v>
      </c>
      <c r="R85" s="13"/>
      <c r="S85" s="13"/>
      <c r="T85" s="213"/>
      <c r="U85" s="13"/>
    </row>
    <row r="86" customFormat="1" spans="1:21">
      <c r="A86" s="142" t="s">
        <v>229</v>
      </c>
      <c r="B86" s="165">
        <v>14.04</v>
      </c>
      <c r="C86" s="165">
        <v>68.55</v>
      </c>
      <c r="D86" s="165">
        <v>47.95</v>
      </c>
      <c r="E86" s="165">
        <v>8.23</v>
      </c>
      <c r="F86" s="165">
        <v>5.5</v>
      </c>
      <c r="G86" s="165">
        <v>77.98</v>
      </c>
      <c r="H86" s="165">
        <v>15.31</v>
      </c>
      <c r="I86" s="165">
        <v>4.93</v>
      </c>
      <c r="J86" s="165">
        <v>0.23</v>
      </c>
      <c r="K86" s="165">
        <v>172.96</v>
      </c>
      <c r="L86" s="165">
        <v>28.58</v>
      </c>
      <c r="M86" s="165">
        <v>41.22</v>
      </c>
      <c r="N86" s="165">
        <v>0</v>
      </c>
      <c r="O86" s="165">
        <v>0</v>
      </c>
      <c r="P86" s="165">
        <v>0.57</v>
      </c>
      <c r="Q86" s="165">
        <v>5</v>
      </c>
      <c r="R86" s="13"/>
      <c r="S86" s="13"/>
      <c r="T86" s="213"/>
      <c r="U86" s="13"/>
    </row>
    <row r="87" customFormat="1" spans="1:21">
      <c r="A87" s="142" t="s">
        <v>230</v>
      </c>
      <c r="B87" s="165">
        <v>14.39</v>
      </c>
      <c r="C87" s="165">
        <v>68.07</v>
      </c>
      <c r="D87" s="165">
        <v>47.98</v>
      </c>
      <c r="E87" s="165">
        <v>7.94</v>
      </c>
      <c r="F87" s="165">
        <v>5.85</v>
      </c>
      <c r="G87" s="165">
        <v>62.74</v>
      </c>
      <c r="H87" s="165">
        <v>11.06</v>
      </c>
      <c r="I87" s="165">
        <v>4.98</v>
      </c>
      <c r="J87" s="165">
        <v>0.18</v>
      </c>
      <c r="K87" s="165">
        <v>190.61</v>
      </c>
      <c r="L87" s="165">
        <v>27.87</v>
      </c>
      <c r="M87" s="165">
        <v>42.62</v>
      </c>
      <c r="N87" s="165">
        <v>0</v>
      </c>
      <c r="O87" s="165">
        <v>0</v>
      </c>
      <c r="P87" s="165">
        <v>0.58</v>
      </c>
      <c r="Q87" s="165">
        <v>5</v>
      </c>
      <c r="R87" s="13"/>
      <c r="S87" s="13"/>
      <c r="T87" s="213"/>
      <c r="U87" s="13"/>
    </row>
    <row r="88" customFormat="1" spans="1:21">
      <c r="A88" s="142" t="s">
        <v>231</v>
      </c>
      <c r="B88" s="165">
        <v>15.22</v>
      </c>
      <c r="C88" s="165">
        <v>70.15</v>
      </c>
      <c r="D88" s="165">
        <v>49.73</v>
      </c>
      <c r="E88" s="165">
        <v>7.73</v>
      </c>
      <c r="F88" s="165">
        <v>4.57</v>
      </c>
      <c r="G88" s="165">
        <v>62.74</v>
      </c>
      <c r="H88" s="165">
        <v>11.06</v>
      </c>
      <c r="I88" s="165">
        <v>5</v>
      </c>
      <c r="J88" s="165">
        <v>0.21</v>
      </c>
      <c r="K88" s="165">
        <v>150.53</v>
      </c>
      <c r="L88" s="165">
        <v>27.64</v>
      </c>
      <c r="M88" s="165">
        <v>43.87</v>
      </c>
      <c r="N88" s="165">
        <v>0</v>
      </c>
      <c r="O88" s="165">
        <v>0</v>
      </c>
      <c r="P88" s="165">
        <v>0.58</v>
      </c>
      <c r="Q88" s="165">
        <v>5</v>
      </c>
      <c r="R88" s="13"/>
      <c r="S88" s="13"/>
      <c r="T88" s="213"/>
      <c r="U88" s="13"/>
    </row>
    <row r="89" customFormat="1" spans="1:21">
      <c r="A89" s="142" t="s">
        <v>232</v>
      </c>
      <c r="B89" s="165">
        <v>15.49</v>
      </c>
      <c r="C89" s="165">
        <v>70.11</v>
      </c>
      <c r="D89" s="165">
        <v>49.93</v>
      </c>
      <c r="E89" s="165">
        <v>7.63</v>
      </c>
      <c r="F89" s="165">
        <v>4.41</v>
      </c>
      <c r="G89" s="165">
        <v>62.74</v>
      </c>
      <c r="H89" s="165">
        <v>11.06</v>
      </c>
      <c r="I89" s="165">
        <v>5.03</v>
      </c>
      <c r="J89" s="165">
        <v>0.13</v>
      </c>
      <c r="K89" s="165">
        <v>159.98</v>
      </c>
      <c r="L89" s="165">
        <v>27.33</v>
      </c>
      <c r="M89" s="165">
        <v>43.24</v>
      </c>
      <c r="N89" s="165">
        <v>0</v>
      </c>
      <c r="O89" s="165">
        <v>0</v>
      </c>
      <c r="P89" s="165">
        <v>0.58</v>
      </c>
      <c r="Q89" s="165">
        <v>5</v>
      </c>
      <c r="R89" s="13"/>
      <c r="S89" s="13"/>
      <c r="T89" s="213"/>
      <c r="U89" s="13"/>
    </row>
    <row r="90" customFormat="1" spans="1:21">
      <c r="A90" s="142" t="s">
        <v>233</v>
      </c>
      <c r="B90" s="165">
        <v>15.89</v>
      </c>
      <c r="C90" s="165">
        <v>69.87</v>
      </c>
      <c r="D90" s="165">
        <v>50.12</v>
      </c>
      <c r="E90" s="165">
        <v>6.7</v>
      </c>
      <c r="F90" s="165">
        <v>4.2</v>
      </c>
      <c r="G90" s="165">
        <v>62.56</v>
      </c>
      <c r="H90" s="165">
        <v>11.29</v>
      </c>
      <c r="I90" s="165">
        <v>5.04</v>
      </c>
      <c r="J90" s="165">
        <v>0.23</v>
      </c>
      <c r="K90" s="165">
        <v>162.11</v>
      </c>
      <c r="L90" s="165">
        <v>27.32</v>
      </c>
      <c r="M90" s="165">
        <v>47.64</v>
      </c>
      <c r="N90" s="165">
        <v>0</v>
      </c>
      <c r="O90" s="165">
        <v>0</v>
      </c>
      <c r="P90" s="165">
        <v>0.6</v>
      </c>
      <c r="Q90" s="165">
        <v>5</v>
      </c>
      <c r="R90" s="13"/>
      <c r="S90" s="13"/>
      <c r="T90" s="213"/>
      <c r="U90" s="13"/>
    </row>
    <row r="91" customFormat="1" spans="1:21">
      <c r="A91" s="142" t="s">
        <v>234</v>
      </c>
      <c r="B91" s="165">
        <v>16.5</v>
      </c>
      <c r="C91" s="165">
        <v>70.63</v>
      </c>
      <c r="D91" s="165">
        <v>51.01</v>
      </c>
      <c r="E91" s="165">
        <v>6.6</v>
      </c>
      <c r="F91" s="165">
        <v>4.11</v>
      </c>
      <c r="G91" s="165">
        <v>54.82</v>
      </c>
      <c r="H91" s="165">
        <v>18.64</v>
      </c>
      <c r="I91" s="165">
        <v>5.12</v>
      </c>
      <c r="J91" s="165">
        <v>0.23</v>
      </c>
      <c r="K91" s="165">
        <v>135.34</v>
      </c>
      <c r="L91" s="165">
        <v>27.18</v>
      </c>
      <c r="M91" s="165">
        <v>47.99</v>
      </c>
      <c r="N91" s="165">
        <v>0</v>
      </c>
      <c r="O91" s="165">
        <v>0</v>
      </c>
      <c r="P91" s="165">
        <v>0.6</v>
      </c>
      <c r="Q91" s="165">
        <v>5</v>
      </c>
      <c r="R91" s="13"/>
      <c r="S91" s="13"/>
      <c r="T91" s="213"/>
      <c r="U91" s="13"/>
    </row>
    <row r="92" customFormat="1" spans="1:21">
      <c r="A92" s="142" t="s">
        <v>235</v>
      </c>
      <c r="B92" s="165">
        <v>17.23</v>
      </c>
      <c r="C92" s="165">
        <v>70.53</v>
      </c>
      <c r="D92" s="165">
        <v>51.54</v>
      </c>
      <c r="E92" s="165">
        <v>7.13</v>
      </c>
      <c r="F92" s="165">
        <v>3.92</v>
      </c>
      <c r="G92" s="165">
        <v>54.82</v>
      </c>
      <c r="H92" s="165">
        <v>18.64</v>
      </c>
      <c r="I92" s="165">
        <v>5.27</v>
      </c>
      <c r="J92" s="165">
        <v>0.22</v>
      </c>
      <c r="K92" s="165">
        <v>156.08</v>
      </c>
      <c r="L92" s="165">
        <v>26.92</v>
      </c>
      <c r="M92" s="165">
        <v>48.44</v>
      </c>
      <c r="N92" s="165">
        <v>0</v>
      </c>
      <c r="O92" s="165">
        <v>0</v>
      </c>
      <c r="P92" s="165">
        <v>0.62</v>
      </c>
      <c r="Q92" s="165">
        <v>5</v>
      </c>
      <c r="R92" s="13"/>
      <c r="S92" s="13"/>
      <c r="T92" s="213"/>
      <c r="U92" s="13"/>
    </row>
    <row r="93" customFormat="1" spans="1:21">
      <c r="A93" s="142" t="s">
        <v>236</v>
      </c>
      <c r="B93" s="165">
        <v>18.02</v>
      </c>
      <c r="C93" s="165">
        <v>70.76</v>
      </c>
      <c r="D93" s="165">
        <v>52.29</v>
      </c>
      <c r="E93" s="165">
        <v>6.4</v>
      </c>
      <c r="F93" s="165">
        <v>3.79</v>
      </c>
      <c r="G93" s="165">
        <v>54.82</v>
      </c>
      <c r="H93" s="165">
        <v>18.64</v>
      </c>
      <c r="I93" s="165">
        <v>5.44</v>
      </c>
      <c r="J93" s="165">
        <v>0.27</v>
      </c>
      <c r="K93" s="165">
        <v>153.59</v>
      </c>
      <c r="L93" s="165">
        <v>26.77</v>
      </c>
      <c r="M93" s="165">
        <v>49.9</v>
      </c>
      <c r="N93" s="165">
        <v>0</v>
      </c>
      <c r="O93" s="165">
        <v>0</v>
      </c>
      <c r="P93" s="165">
        <v>0.64</v>
      </c>
      <c r="Q93" s="165">
        <v>5</v>
      </c>
      <c r="R93" s="13"/>
      <c r="S93" s="13"/>
      <c r="T93" s="213"/>
      <c r="U93" s="13"/>
    </row>
    <row r="94" customFormat="1" spans="1:21">
      <c r="A94" s="142" t="s">
        <v>237</v>
      </c>
      <c r="B94" s="165">
        <v>19.37</v>
      </c>
      <c r="C94" s="165">
        <v>70.84</v>
      </c>
      <c r="D94" s="165">
        <v>53.42</v>
      </c>
      <c r="E94" s="165">
        <v>6.5</v>
      </c>
      <c r="F94" s="165">
        <v>3.71</v>
      </c>
      <c r="G94" s="165">
        <v>55.14</v>
      </c>
      <c r="H94" s="165">
        <v>18.77</v>
      </c>
      <c r="I94" s="165">
        <v>5.58</v>
      </c>
      <c r="J94" s="165">
        <v>0.13</v>
      </c>
      <c r="K94" s="165">
        <v>158.56</v>
      </c>
      <c r="L94" s="165">
        <v>26.39</v>
      </c>
      <c r="M94" s="165">
        <v>47.54</v>
      </c>
      <c r="N94" s="165">
        <v>0</v>
      </c>
      <c r="O94" s="165">
        <v>0</v>
      </c>
      <c r="P94" s="165">
        <v>0.66</v>
      </c>
      <c r="Q94" s="165">
        <v>5</v>
      </c>
      <c r="R94" s="13"/>
      <c r="S94" s="13"/>
      <c r="T94" s="213"/>
      <c r="U94" s="13"/>
    </row>
    <row r="95" customFormat="1" spans="1:21">
      <c r="A95" s="142" t="s">
        <v>238</v>
      </c>
      <c r="B95" s="165">
        <v>23.38</v>
      </c>
      <c r="C95" s="165">
        <v>72.88</v>
      </c>
      <c r="D95" s="165">
        <v>57.7</v>
      </c>
      <c r="E95" s="165">
        <v>6.44</v>
      </c>
      <c r="F95" s="165">
        <v>3.67</v>
      </c>
      <c r="G95" s="165">
        <v>69.32</v>
      </c>
      <c r="H95" s="165">
        <v>26.8</v>
      </c>
      <c r="I95" s="165">
        <v>5.72</v>
      </c>
      <c r="J95" s="165">
        <v>0.2</v>
      </c>
      <c r="K95" s="165">
        <v>171.49</v>
      </c>
      <c r="L95" s="165">
        <v>26.15</v>
      </c>
      <c r="M95" s="165">
        <v>50.7</v>
      </c>
      <c r="N95" s="165">
        <v>0</v>
      </c>
      <c r="O95" s="165">
        <v>0</v>
      </c>
      <c r="P95" s="165">
        <v>0.69</v>
      </c>
      <c r="Q95" s="165">
        <v>5</v>
      </c>
      <c r="R95" s="13"/>
      <c r="S95" s="13"/>
      <c r="T95" s="213"/>
      <c r="U95" s="13"/>
    </row>
    <row r="96" customFormat="1" spans="1:26">
      <c r="A96" s="142" t="s">
        <v>239</v>
      </c>
      <c r="B96" s="165">
        <v>25.79</v>
      </c>
      <c r="C96" s="165">
        <v>72.06</v>
      </c>
      <c r="D96" s="165">
        <v>59.21</v>
      </c>
      <c r="E96" s="165">
        <v>6.66</v>
      </c>
      <c r="F96" s="165">
        <v>3.84</v>
      </c>
      <c r="G96" s="165">
        <v>69.32</v>
      </c>
      <c r="H96" s="165">
        <v>26.8</v>
      </c>
      <c r="I96" s="165">
        <v>5.95</v>
      </c>
      <c r="J96" s="165">
        <v>0.25</v>
      </c>
      <c r="K96" s="165">
        <v>150.79</v>
      </c>
      <c r="L96" s="165">
        <v>25.71</v>
      </c>
      <c r="M96" s="165">
        <v>55.89</v>
      </c>
      <c r="N96" s="165">
        <v>0</v>
      </c>
      <c r="O96" s="165">
        <v>0</v>
      </c>
      <c r="P96" s="165">
        <v>0.73</v>
      </c>
      <c r="Q96" s="165">
        <v>4.91</v>
      </c>
      <c r="R96" s="13"/>
      <c r="S96" s="13"/>
      <c r="T96" s="213"/>
      <c r="U96" s="13"/>
      <c r="Z96" s="222"/>
    </row>
    <row r="97" customFormat="1" spans="1:21">
      <c r="A97" s="142" t="s">
        <v>240</v>
      </c>
      <c r="B97" s="165">
        <v>28.15</v>
      </c>
      <c r="C97" s="165">
        <v>72.13</v>
      </c>
      <c r="D97" s="165">
        <v>61.14</v>
      </c>
      <c r="E97" s="165">
        <v>6.53</v>
      </c>
      <c r="F97" s="165">
        <v>3.75</v>
      </c>
      <c r="G97" s="165">
        <v>69.32</v>
      </c>
      <c r="H97" s="165">
        <v>26.8</v>
      </c>
      <c r="I97" s="165">
        <v>6.2</v>
      </c>
      <c r="J97" s="165">
        <v>0.3</v>
      </c>
      <c r="K97" s="165">
        <v>157.64</v>
      </c>
      <c r="L97" s="165">
        <v>25.51</v>
      </c>
      <c r="M97" s="165">
        <v>55.85</v>
      </c>
      <c r="N97" s="165">
        <v>0</v>
      </c>
      <c r="O97" s="165">
        <v>0</v>
      </c>
      <c r="P97" s="165">
        <v>0.75</v>
      </c>
      <c r="Q97" s="165">
        <v>4.73</v>
      </c>
      <c r="R97" s="13"/>
      <c r="S97" s="13"/>
      <c r="T97" s="213"/>
      <c r="U97" s="13"/>
    </row>
    <row r="98" customFormat="1" spans="1:21">
      <c r="A98" s="142" t="s">
        <v>241</v>
      </c>
      <c r="B98" s="165">
        <v>29.65</v>
      </c>
      <c r="C98" s="165">
        <v>72.13</v>
      </c>
      <c r="D98" s="165">
        <v>62.33</v>
      </c>
      <c r="E98" s="165">
        <v>6.73</v>
      </c>
      <c r="F98" s="165">
        <v>3.84</v>
      </c>
      <c r="G98" s="165">
        <v>69.5</v>
      </c>
      <c r="H98" s="165">
        <v>26.97</v>
      </c>
      <c r="I98" s="165">
        <v>6.44</v>
      </c>
      <c r="J98" s="165">
        <v>0.26</v>
      </c>
      <c r="K98" s="165">
        <v>153.82</v>
      </c>
      <c r="L98" s="165">
        <v>25.09</v>
      </c>
      <c r="M98" s="165">
        <v>55.93</v>
      </c>
      <c r="N98" s="165">
        <v>0</v>
      </c>
      <c r="O98" s="165">
        <v>0</v>
      </c>
      <c r="P98" s="165">
        <v>0.77</v>
      </c>
      <c r="Q98" s="165">
        <v>4.61</v>
      </c>
      <c r="R98" s="13"/>
      <c r="S98" s="13"/>
      <c r="T98" s="213"/>
      <c r="U98" s="13"/>
    </row>
    <row r="99" customFormat="1" spans="1:21">
      <c r="A99" s="142" t="s">
        <v>242</v>
      </c>
      <c r="B99" s="165">
        <v>30.16</v>
      </c>
      <c r="C99" s="165">
        <v>72.19</v>
      </c>
      <c r="D99" s="165">
        <v>62.77</v>
      </c>
      <c r="E99" s="165">
        <v>6.53</v>
      </c>
      <c r="F99" s="165">
        <v>3.96</v>
      </c>
      <c r="G99" s="165">
        <v>77.29</v>
      </c>
      <c r="H99" s="165">
        <v>32.76</v>
      </c>
      <c r="I99" s="165">
        <v>6.66</v>
      </c>
      <c r="J99" s="165">
        <v>0.25</v>
      </c>
      <c r="K99" s="165">
        <v>142.09</v>
      </c>
      <c r="L99" s="165">
        <v>25.03</v>
      </c>
      <c r="M99" s="165">
        <v>54.76</v>
      </c>
      <c r="N99" s="165">
        <v>0</v>
      </c>
      <c r="O99" s="165">
        <v>0</v>
      </c>
      <c r="P99" s="165">
        <v>0.78</v>
      </c>
      <c r="Q99" s="165">
        <v>4.59</v>
      </c>
      <c r="R99" s="13"/>
      <c r="S99" s="13"/>
      <c r="T99" s="213"/>
      <c r="U99" s="13"/>
    </row>
    <row r="100" customFormat="1" spans="1:33">
      <c r="A100" s="142" t="s">
        <v>243</v>
      </c>
      <c r="B100" s="165">
        <v>31.76</v>
      </c>
      <c r="C100" s="165">
        <v>72.21</v>
      </c>
      <c r="D100" s="165">
        <v>64.07</v>
      </c>
      <c r="E100" s="165">
        <v>6.67</v>
      </c>
      <c r="F100" s="165">
        <v>3.83</v>
      </c>
      <c r="G100" s="165">
        <v>77.29</v>
      </c>
      <c r="H100" s="165">
        <v>32.76</v>
      </c>
      <c r="I100" s="165">
        <v>6.82</v>
      </c>
      <c r="J100" s="165">
        <v>0.17</v>
      </c>
      <c r="K100" s="165">
        <v>137.12</v>
      </c>
      <c r="L100" s="165">
        <v>25.05</v>
      </c>
      <c r="M100" s="165">
        <v>55.28</v>
      </c>
      <c r="N100" s="165">
        <v>0</v>
      </c>
      <c r="O100" s="165">
        <v>0</v>
      </c>
      <c r="P100" s="165">
        <v>0.81</v>
      </c>
      <c r="Q100" s="165">
        <v>4.51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244</v>
      </c>
      <c r="B101" s="165">
        <v>35.53</v>
      </c>
      <c r="C101" s="165">
        <v>72.91</v>
      </c>
      <c r="D101" s="165">
        <v>67.46</v>
      </c>
      <c r="E101" s="165">
        <v>6.48</v>
      </c>
      <c r="F101" s="165">
        <v>3.88</v>
      </c>
      <c r="G101" s="165">
        <v>77.29</v>
      </c>
      <c r="H101" s="165">
        <v>32.76</v>
      </c>
      <c r="I101" s="165">
        <v>6.99</v>
      </c>
      <c r="J101" s="165">
        <v>0.47</v>
      </c>
      <c r="K101" s="165">
        <v>69.67</v>
      </c>
      <c r="L101" s="165">
        <v>25.25</v>
      </c>
      <c r="M101" s="165">
        <v>51.78</v>
      </c>
      <c r="N101" s="165">
        <v>0</v>
      </c>
      <c r="O101" s="165">
        <v>0</v>
      </c>
      <c r="P101" s="165">
        <v>0.85</v>
      </c>
      <c r="Q101" s="165">
        <v>4.27</v>
      </c>
      <c r="R101" s="13"/>
      <c r="S101" s="13"/>
      <c r="T101" s="213"/>
      <c r="U101" s="13"/>
    </row>
    <row r="102" customFormat="1" spans="1:21">
      <c r="A102" s="142" t="s">
        <v>245</v>
      </c>
      <c r="B102" s="165">
        <v>40.56</v>
      </c>
      <c r="C102" s="165">
        <v>73.42</v>
      </c>
      <c r="D102" s="165">
        <v>71.75</v>
      </c>
      <c r="E102" s="165">
        <v>6.65</v>
      </c>
      <c r="F102" s="165">
        <v>3.92</v>
      </c>
      <c r="G102" s="165">
        <v>78.12</v>
      </c>
      <c r="H102" s="165">
        <v>32.89</v>
      </c>
      <c r="I102" s="165">
        <v>7.16</v>
      </c>
      <c r="J102" s="165">
        <v>0.76</v>
      </c>
      <c r="K102" s="165">
        <v>56.51</v>
      </c>
      <c r="L102" s="165">
        <v>26.14</v>
      </c>
      <c r="M102" s="165">
        <v>46.35</v>
      </c>
      <c r="N102" s="165">
        <v>0</v>
      </c>
      <c r="O102" s="165">
        <v>0</v>
      </c>
      <c r="P102" s="165">
        <v>0.89</v>
      </c>
      <c r="Q102" s="165">
        <v>4.22</v>
      </c>
      <c r="R102" s="13"/>
      <c r="S102" s="13"/>
      <c r="T102" s="213"/>
      <c r="U102" s="13"/>
    </row>
    <row r="103" customFormat="1" spans="1:21">
      <c r="A103" s="142" t="s">
        <v>246</v>
      </c>
      <c r="B103" s="165">
        <v>44.81</v>
      </c>
      <c r="C103" s="165">
        <v>69.24</v>
      </c>
      <c r="D103" s="165">
        <v>72.98</v>
      </c>
      <c r="E103" s="165">
        <v>6.86</v>
      </c>
      <c r="F103" s="165">
        <v>4.17</v>
      </c>
      <c r="G103" s="165">
        <v>114.59</v>
      </c>
      <c r="H103" s="165">
        <v>37.12</v>
      </c>
      <c r="I103" s="165">
        <v>7.43</v>
      </c>
      <c r="J103" s="165">
        <v>0.5</v>
      </c>
      <c r="K103" s="165">
        <v>61.02</v>
      </c>
      <c r="L103" s="165">
        <v>26.06</v>
      </c>
      <c r="M103" s="165">
        <v>46</v>
      </c>
      <c r="N103" s="165">
        <v>0</v>
      </c>
      <c r="O103" s="165">
        <v>0</v>
      </c>
      <c r="P103" s="165">
        <v>0.9</v>
      </c>
      <c r="Q103" s="165">
        <v>4.31</v>
      </c>
      <c r="R103" s="13"/>
      <c r="S103" s="13"/>
      <c r="T103" s="213"/>
      <c r="U103" s="13"/>
    </row>
    <row r="104" customFormat="1" spans="1:21">
      <c r="A104" s="142" t="s">
        <v>247</v>
      </c>
      <c r="B104" s="165">
        <v>48.16</v>
      </c>
      <c r="C104" s="165">
        <v>72.03</v>
      </c>
      <c r="D104" s="165">
        <v>77.12</v>
      </c>
      <c r="E104" s="165">
        <v>7.11</v>
      </c>
      <c r="F104" s="165">
        <v>3.89</v>
      </c>
      <c r="G104" s="165">
        <v>114.59</v>
      </c>
      <c r="H104" s="165">
        <v>37.12</v>
      </c>
      <c r="I104" s="165">
        <v>7.83</v>
      </c>
      <c r="J104" s="165">
        <v>0.17</v>
      </c>
      <c r="K104" s="165">
        <v>72.68</v>
      </c>
      <c r="L104" s="165">
        <v>25.49</v>
      </c>
      <c r="M104" s="165">
        <v>49.54</v>
      </c>
      <c r="N104" s="165">
        <v>0</v>
      </c>
      <c r="O104" s="165">
        <v>0</v>
      </c>
      <c r="P104" s="165">
        <v>0.9</v>
      </c>
      <c r="Q104" s="165">
        <v>4.44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4.98</v>
      </c>
      <c r="C106" s="215">
        <f>MIN(C9:C104)</f>
        <v>49.73</v>
      </c>
      <c r="D106" s="215">
        <f t="shared" ref="D106:Q106" si="0">MIN(D9:D104)</f>
        <v>33.55</v>
      </c>
      <c r="E106" s="215">
        <f t="shared" si="0"/>
        <v>5.51</v>
      </c>
      <c r="F106" s="215">
        <f t="shared" si="0"/>
        <v>3.47</v>
      </c>
      <c r="G106" s="215">
        <f t="shared" si="0"/>
        <v>15.98</v>
      </c>
      <c r="H106" s="215">
        <f t="shared" si="0"/>
        <v>1.93</v>
      </c>
      <c r="I106" s="215">
        <f t="shared" si="0"/>
        <v>4.17</v>
      </c>
      <c r="J106" s="215">
        <f t="shared" si="0"/>
        <v>0.07</v>
      </c>
      <c r="K106" s="215">
        <f t="shared" si="0"/>
        <v>0.49</v>
      </c>
      <c r="L106" s="215">
        <f t="shared" si="0"/>
        <v>20.96</v>
      </c>
      <c r="M106" s="215">
        <f t="shared" si="0"/>
        <v>19.25</v>
      </c>
      <c r="N106" s="215">
        <f t="shared" si="0"/>
        <v>0</v>
      </c>
      <c r="O106" s="215">
        <f t="shared" si="0"/>
        <v>0</v>
      </c>
      <c r="P106" s="215">
        <f t="shared" si="0"/>
        <v>0.42</v>
      </c>
      <c r="Q106" s="215">
        <f t="shared" si="0"/>
        <v>4.15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54.57</v>
      </c>
      <c r="C107" s="216">
        <f t="shared" ref="C107:Q107" si="1">MAX(C9:C104)</f>
        <v>73.42</v>
      </c>
      <c r="D107" s="216">
        <f t="shared" si="1"/>
        <v>78.23</v>
      </c>
      <c r="E107" s="216">
        <f t="shared" si="1"/>
        <v>12.7</v>
      </c>
      <c r="F107" s="216">
        <f t="shared" si="1"/>
        <v>23.77</v>
      </c>
      <c r="G107" s="216">
        <f t="shared" si="1"/>
        <v>114.59</v>
      </c>
      <c r="H107" s="216">
        <f t="shared" si="1"/>
        <v>37.12</v>
      </c>
      <c r="I107" s="216">
        <f t="shared" si="1"/>
        <v>8.67</v>
      </c>
      <c r="J107" s="216">
        <f t="shared" si="1"/>
        <v>1.8</v>
      </c>
      <c r="K107" s="216">
        <f t="shared" si="1"/>
        <v>304</v>
      </c>
      <c r="L107" s="216">
        <f t="shared" si="1"/>
        <v>35.34</v>
      </c>
      <c r="M107" s="216">
        <f t="shared" si="1"/>
        <v>84.25</v>
      </c>
      <c r="N107" s="216">
        <f t="shared" si="1"/>
        <v>884.6</v>
      </c>
      <c r="O107" s="216">
        <f t="shared" si="1"/>
        <v>0</v>
      </c>
      <c r="P107" s="216">
        <f t="shared" si="1"/>
        <v>0.9</v>
      </c>
      <c r="Q107" s="216">
        <f t="shared" si="1"/>
        <v>8.88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29.3896703296703</v>
      </c>
      <c r="C108" s="215">
        <f t="shared" ref="C108:Q108" si="2">AVERAGE(C9:C104)</f>
        <v>65.2494505494505</v>
      </c>
      <c r="D108" s="215">
        <f t="shared" si="2"/>
        <v>58.5554945054945</v>
      </c>
      <c r="E108" s="215">
        <f t="shared" si="2"/>
        <v>8.18027027027027</v>
      </c>
      <c r="F108" s="215">
        <f t="shared" si="2"/>
        <v>6.61934065934066</v>
      </c>
      <c r="G108" s="215">
        <f t="shared" si="2"/>
        <v>51.4477528089888</v>
      </c>
      <c r="H108" s="215">
        <f t="shared" si="2"/>
        <v>19.9470786516854</v>
      </c>
      <c r="I108" s="215">
        <f t="shared" si="2"/>
        <v>6.46855555555556</v>
      </c>
      <c r="J108" s="215">
        <f t="shared" si="2"/>
        <v>0.449340659340659</v>
      </c>
      <c r="K108" s="215">
        <f t="shared" si="2"/>
        <v>172.31597826087</v>
      </c>
      <c r="L108" s="215">
        <f t="shared" si="2"/>
        <v>27.8684782608696</v>
      </c>
      <c r="M108" s="215">
        <f t="shared" si="2"/>
        <v>49.1976086956522</v>
      </c>
      <c r="N108" s="215">
        <f t="shared" si="2"/>
        <v>188.144565217391</v>
      </c>
      <c r="O108" s="215">
        <f t="shared" si="2"/>
        <v>0</v>
      </c>
      <c r="P108" s="215">
        <f t="shared" si="2"/>
        <v>0.652173913043478</v>
      </c>
      <c r="Q108" s="215">
        <f t="shared" si="2"/>
        <v>6.71944444444445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16.3139501620579</v>
      </c>
      <c r="C109" s="215">
        <f t="shared" ref="C109:Q109" si="3">STDEV(C9:C104)</f>
        <v>5.41782559143372</v>
      </c>
      <c r="D109" s="215">
        <f t="shared" si="3"/>
        <v>13.9670691480382</v>
      </c>
      <c r="E109" s="215">
        <f t="shared" si="3"/>
        <v>1.24595781824966</v>
      </c>
      <c r="F109" s="215">
        <f t="shared" si="3"/>
        <v>4.56108461813338</v>
      </c>
      <c r="G109" s="215">
        <f t="shared" si="3"/>
        <v>19.0439261823344</v>
      </c>
      <c r="H109" s="215">
        <f t="shared" si="3"/>
        <v>8.22902170290767</v>
      </c>
      <c r="I109" s="215">
        <f t="shared" si="3"/>
        <v>1.24140601793824</v>
      </c>
      <c r="J109" s="215">
        <f t="shared" si="3"/>
        <v>0.362674638998778</v>
      </c>
      <c r="K109" s="215">
        <f t="shared" si="3"/>
        <v>74.658034846655</v>
      </c>
      <c r="L109" s="215">
        <f t="shared" si="3"/>
        <v>4.98012355528413</v>
      </c>
      <c r="M109" s="215">
        <f t="shared" si="3"/>
        <v>22.3796904774659</v>
      </c>
      <c r="N109" s="215">
        <f t="shared" si="3"/>
        <v>282.015885050271</v>
      </c>
      <c r="O109" s="215">
        <f t="shared" si="3"/>
        <v>0</v>
      </c>
      <c r="P109" s="215">
        <f t="shared" si="3"/>
        <v>0.110730105369178</v>
      </c>
      <c r="Q109" s="215">
        <f t="shared" si="3"/>
        <v>1.75467552691205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91</v>
      </c>
      <c r="C110" s="216">
        <f t="shared" si="4"/>
        <v>91</v>
      </c>
      <c r="D110" s="216">
        <f t="shared" si="4"/>
        <v>91</v>
      </c>
      <c r="E110" s="216">
        <v>92</v>
      </c>
      <c r="F110" s="216">
        <f>COUNT(F9:F104)</f>
        <v>91</v>
      </c>
      <c r="G110" s="216">
        <v>92</v>
      </c>
      <c r="H110" s="216">
        <v>92</v>
      </c>
      <c r="I110" s="216">
        <f t="shared" si="4"/>
        <v>90</v>
      </c>
      <c r="J110" s="216">
        <f t="shared" si="4"/>
        <v>91</v>
      </c>
      <c r="K110" s="216">
        <f t="shared" si="4"/>
        <v>92</v>
      </c>
      <c r="L110" s="216">
        <f t="shared" si="4"/>
        <v>92</v>
      </c>
      <c r="M110" s="216">
        <f t="shared" si="4"/>
        <v>92</v>
      </c>
      <c r="N110" s="216">
        <f t="shared" si="4"/>
        <v>92</v>
      </c>
      <c r="O110" s="216">
        <f t="shared" si="4"/>
        <v>92</v>
      </c>
      <c r="P110" s="216">
        <f t="shared" si="4"/>
        <v>92</v>
      </c>
      <c r="Q110" s="216">
        <f t="shared" si="4"/>
        <v>90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03/04/2023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248</v>
      </c>
      <c r="B9" s="165">
        <v>53.25</v>
      </c>
      <c r="C9" s="165">
        <v>70.41</v>
      </c>
      <c r="D9" s="165">
        <v>80.36</v>
      </c>
      <c r="E9" s="165">
        <v>7.08</v>
      </c>
      <c r="F9" s="165">
        <v>3.87</v>
      </c>
      <c r="G9" s="165">
        <v>114.59</v>
      </c>
      <c r="H9" s="165">
        <v>37.12</v>
      </c>
      <c r="I9" s="165">
        <v>8.08</v>
      </c>
      <c r="J9" s="165">
        <v>0.25</v>
      </c>
      <c r="K9" s="165">
        <v>76.51</v>
      </c>
      <c r="L9" s="165">
        <v>25.24</v>
      </c>
      <c r="M9" s="165">
        <v>50.46</v>
      </c>
      <c r="N9" s="165">
        <v>0</v>
      </c>
      <c r="O9" s="165">
        <v>0</v>
      </c>
      <c r="P9" s="165">
        <v>0.91</v>
      </c>
      <c r="Q9" s="165">
        <v>4.55</v>
      </c>
      <c r="R9" s="13"/>
      <c r="S9" s="13"/>
      <c r="T9" s="213"/>
      <c r="U9" s="13"/>
    </row>
    <row r="10" customFormat="1" spans="1:21">
      <c r="A10" s="142" t="s">
        <v>249</v>
      </c>
      <c r="B10" s="165">
        <v>54.49</v>
      </c>
      <c r="C10" s="165">
        <v>72.14</v>
      </c>
      <c r="D10" s="165">
        <v>82.27</v>
      </c>
      <c r="E10" s="165">
        <v>7.09</v>
      </c>
      <c r="F10" s="165">
        <v>3.86</v>
      </c>
      <c r="G10" s="165">
        <v>114.82</v>
      </c>
      <c r="H10" s="165">
        <v>37.16</v>
      </c>
      <c r="I10" s="165">
        <v>8.21</v>
      </c>
      <c r="J10" s="165">
        <v>0.24</v>
      </c>
      <c r="K10" s="165">
        <v>137.54</v>
      </c>
      <c r="L10" s="165">
        <v>24.43</v>
      </c>
      <c r="M10" s="165">
        <v>59.7</v>
      </c>
      <c r="N10" s="165">
        <v>0</v>
      </c>
      <c r="O10" s="165">
        <v>0</v>
      </c>
      <c r="P10" s="165">
        <v>0.93</v>
      </c>
      <c r="Q10" s="165">
        <v>4.74</v>
      </c>
      <c r="R10" s="13"/>
      <c r="S10" s="13"/>
      <c r="T10" s="213"/>
      <c r="U10" s="13"/>
    </row>
    <row r="11" customFormat="1" spans="1:21">
      <c r="A11" s="142" t="s">
        <v>250</v>
      </c>
      <c r="B11" s="165">
        <v>55.72</v>
      </c>
      <c r="C11" s="165">
        <v>72.45</v>
      </c>
      <c r="D11" s="165">
        <v>83.41</v>
      </c>
      <c r="E11" s="165">
        <v>7.32</v>
      </c>
      <c r="F11" s="165">
        <v>3.62</v>
      </c>
      <c r="G11" s="165">
        <v>125</v>
      </c>
      <c r="H11" s="165">
        <v>38.58</v>
      </c>
      <c r="I11" s="165">
        <v>8.37</v>
      </c>
      <c r="J11" s="165">
        <v>0.2</v>
      </c>
      <c r="K11" s="165">
        <v>95.45</v>
      </c>
      <c r="L11" s="165">
        <v>23.93</v>
      </c>
      <c r="M11" s="165">
        <v>59.08</v>
      </c>
      <c r="N11" s="165">
        <v>0</v>
      </c>
      <c r="O11" s="165">
        <v>0</v>
      </c>
      <c r="P11" s="165">
        <v>0.94</v>
      </c>
      <c r="Q11" s="165">
        <v>4.9</v>
      </c>
      <c r="R11" s="13"/>
      <c r="S11" s="13"/>
      <c r="T11" s="213"/>
      <c r="U11" s="13"/>
    </row>
    <row r="12" customFormat="1" spans="1:21">
      <c r="A12" s="142" t="s">
        <v>251</v>
      </c>
      <c r="B12" s="165">
        <v>56.9</v>
      </c>
      <c r="C12" s="165">
        <v>71.54</v>
      </c>
      <c r="D12" s="165">
        <v>83.88</v>
      </c>
      <c r="E12" s="165">
        <v>7.04</v>
      </c>
      <c r="F12" s="165">
        <v>3.7</v>
      </c>
      <c r="G12" s="165">
        <v>125</v>
      </c>
      <c r="H12" s="165">
        <v>38.58</v>
      </c>
      <c r="I12" s="165">
        <v>8.51</v>
      </c>
      <c r="J12" s="165">
        <v>0.25</v>
      </c>
      <c r="K12" s="165">
        <v>152.02</v>
      </c>
      <c r="L12" s="165">
        <v>23.76</v>
      </c>
      <c r="M12" s="165">
        <v>62.05</v>
      </c>
      <c r="N12" s="165">
        <v>0</v>
      </c>
      <c r="O12" s="165">
        <v>0</v>
      </c>
      <c r="P12" s="165">
        <v>0.95</v>
      </c>
      <c r="Q12" s="165">
        <v>4.94</v>
      </c>
      <c r="R12" s="13"/>
      <c r="S12" s="13"/>
      <c r="T12" s="213"/>
      <c r="U12" s="13"/>
    </row>
    <row r="13" customFormat="1" spans="1:21">
      <c r="A13" s="142" t="s">
        <v>252</v>
      </c>
      <c r="B13" s="165">
        <v>57.54</v>
      </c>
      <c r="C13" s="165">
        <v>72.09</v>
      </c>
      <c r="D13" s="165">
        <v>84.68</v>
      </c>
      <c r="E13" s="165">
        <v>7.41</v>
      </c>
      <c r="F13" s="165">
        <v>3.85</v>
      </c>
      <c r="G13" s="165">
        <v>125</v>
      </c>
      <c r="H13" s="165">
        <v>38.58</v>
      </c>
      <c r="I13" s="165">
        <v>8.6</v>
      </c>
      <c r="J13" s="165">
        <v>0.21</v>
      </c>
      <c r="K13" s="165">
        <v>152.17</v>
      </c>
      <c r="L13" s="165">
        <v>22.95</v>
      </c>
      <c r="M13" s="165">
        <v>64.95</v>
      </c>
      <c r="N13" s="165">
        <v>0</v>
      </c>
      <c r="O13" s="165">
        <v>0</v>
      </c>
      <c r="P13" s="165">
        <v>0.96</v>
      </c>
      <c r="Q13" s="165">
        <v>4.94</v>
      </c>
      <c r="R13" s="13"/>
      <c r="S13" s="13"/>
      <c r="T13" s="213"/>
      <c r="U13" s="13"/>
    </row>
    <row r="14" customFormat="1" spans="1:21">
      <c r="A14" s="142" t="s">
        <v>253</v>
      </c>
      <c r="B14" s="165">
        <v>58.33</v>
      </c>
      <c r="C14" s="165">
        <v>70.55</v>
      </c>
      <c r="D14" s="165">
        <v>84.51</v>
      </c>
      <c r="E14" s="165">
        <v>7.2</v>
      </c>
      <c r="F14" s="165">
        <v>3.76</v>
      </c>
      <c r="G14" s="165">
        <v>124.38</v>
      </c>
      <c r="H14" s="165">
        <v>38.39</v>
      </c>
      <c r="I14" s="165">
        <v>8.68</v>
      </c>
      <c r="J14" s="165">
        <v>0.1</v>
      </c>
      <c r="K14" s="165">
        <v>129.03</v>
      </c>
      <c r="L14" s="165">
        <v>22.97</v>
      </c>
      <c r="M14" s="165">
        <v>62.15</v>
      </c>
      <c r="N14" s="165">
        <v>0</v>
      </c>
      <c r="O14" s="165">
        <v>0</v>
      </c>
      <c r="P14" s="165">
        <v>0.96</v>
      </c>
      <c r="Q14" s="165">
        <v>4.94</v>
      </c>
      <c r="R14" s="13"/>
      <c r="S14" s="13"/>
      <c r="T14" s="213"/>
      <c r="U14" s="13"/>
    </row>
    <row r="15" customFormat="1" spans="1:21">
      <c r="A15" s="142" t="s">
        <v>254</v>
      </c>
      <c r="B15" s="165">
        <v>60.12</v>
      </c>
      <c r="C15" s="165">
        <v>70.68</v>
      </c>
      <c r="D15" s="165">
        <v>86.01</v>
      </c>
      <c r="E15" s="165">
        <v>7.39</v>
      </c>
      <c r="F15" s="165">
        <v>3.66</v>
      </c>
      <c r="G15" s="165">
        <v>97.13</v>
      </c>
      <c r="H15" s="165">
        <v>26.22</v>
      </c>
      <c r="I15" s="165">
        <v>8.75</v>
      </c>
      <c r="J15" s="165">
        <v>0.19</v>
      </c>
      <c r="K15" s="165">
        <v>168.56</v>
      </c>
      <c r="L15" s="165">
        <v>22.73</v>
      </c>
      <c r="M15" s="165">
        <v>67.47</v>
      </c>
      <c r="N15" s="165">
        <v>0</v>
      </c>
      <c r="O15" s="165">
        <v>0</v>
      </c>
      <c r="P15" s="165">
        <v>0.96</v>
      </c>
      <c r="Q15" s="165">
        <v>5.04</v>
      </c>
      <c r="R15" s="13"/>
      <c r="S15" s="13"/>
      <c r="T15" s="213"/>
      <c r="U15" s="13"/>
    </row>
    <row r="16" customFormat="1" spans="1:21">
      <c r="A16" s="142" t="s">
        <v>255</v>
      </c>
      <c r="B16" s="165">
        <v>61.49</v>
      </c>
      <c r="C16" s="165">
        <v>70.94</v>
      </c>
      <c r="D16" s="165">
        <v>87.25</v>
      </c>
      <c r="E16" s="165">
        <v>7.95</v>
      </c>
      <c r="F16" s="165">
        <v>3.71</v>
      </c>
      <c r="G16" s="165">
        <v>97.13</v>
      </c>
      <c r="H16" s="165">
        <v>26.22</v>
      </c>
      <c r="I16" s="165">
        <v>8.78</v>
      </c>
      <c r="J16" s="165">
        <v>0.18</v>
      </c>
      <c r="K16" s="165">
        <v>143.48</v>
      </c>
      <c r="L16" s="165">
        <v>22.5</v>
      </c>
      <c r="M16" s="165">
        <v>64.91</v>
      </c>
      <c r="N16" s="165">
        <v>0</v>
      </c>
      <c r="O16" s="165">
        <v>0</v>
      </c>
      <c r="P16" s="165">
        <v>0.97</v>
      </c>
      <c r="Q16" s="165">
        <v>5.13</v>
      </c>
      <c r="R16" s="13"/>
      <c r="S16" s="13"/>
      <c r="T16" s="213"/>
      <c r="U16" s="13"/>
    </row>
    <row r="17" customFormat="1" spans="1:21">
      <c r="A17" s="142" t="s">
        <v>256</v>
      </c>
      <c r="B17" s="165">
        <v>63.02</v>
      </c>
      <c r="C17" s="165">
        <v>70.43</v>
      </c>
      <c r="D17" s="165">
        <v>88.21</v>
      </c>
      <c r="E17" s="165">
        <v>4.51</v>
      </c>
      <c r="F17" s="165">
        <v>3.73</v>
      </c>
      <c r="G17" s="165">
        <v>97.13</v>
      </c>
      <c r="H17" s="165">
        <v>26.22</v>
      </c>
      <c r="I17" s="165">
        <v>8.81</v>
      </c>
      <c r="J17" s="165">
        <v>0.26</v>
      </c>
      <c r="K17" s="165">
        <v>162.16</v>
      </c>
      <c r="L17" s="165">
        <v>22.1</v>
      </c>
      <c r="M17" s="165">
        <v>70.28</v>
      </c>
      <c r="N17" s="165">
        <v>0</v>
      </c>
      <c r="O17" s="165">
        <v>0</v>
      </c>
      <c r="P17" s="165">
        <v>0.98</v>
      </c>
      <c r="Q17" s="165">
        <v>5.2</v>
      </c>
      <c r="R17" s="13"/>
      <c r="S17" s="13"/>
      <c r="T17" s="213"/>
      <c r="U17" s="13"/>
    </row>
    <row r="18" customFormat="1" spans="1:21">
      <c r="A18" s="142" t="s">
        <v>257</v>
      </c>
      <c r="B18" s="165">
        <v>63.38</v>
      </c>
      <c r="C18" s="165">
        <v>69.97</v>
      </c>
      <c r="D18" s="165">
        <v>88.26</v>
      </c>
      <c r="E18" s="165">
        <v>8.36</v>
      </c>
      <c r="F18" s="165">
        <v>3.68</v>
      </c>
      <c r="G18" s="165">
        <v>96.79</v>
      </c>
      <c r="H18" s="165">
        <v>26.4</v>
      </c>
      <c r="I18" s="165">
        <v>8.86</v>
      </c>
      <c r="J18" s="165">
        <v>0.31</v>
      </c>
      <c r="K18" s="165">
        <v>187.82</v>
      </c>
      <c r="L18" s="165">
        <v>21.4</v>
      </c>
      <c r="M18" s="165">
        <v>73.09</v>
      </c>
      <c r="N18" s="165">
        <v>0</v>
      </c>
      <c r="O18" s="165">
        <v>0</v>
      </c>
      <c r="P18" s="165">
        <v>0.98</v>
      </c>
      <c r="Q18" s="165">
        <v>5.25</v>
      </c>
      <c r="R18" s="13"/>
      <c r="S18" s="13"/>
      <c r="T18" s="213"/>
      <c r="U18" s="13"/>
    </row>
    <row r="19" customFormat="1" spans="1:21">
      <c r="A19" s="142" t="s">
        <v>258</v>
      </c>
      <c r="B19" s="165">
        <v>63.12</v>
      </c>
      <c r="C19" s="165">
        <v>69.7</v>
      </c>
      <c r="D19" s="165">
        <v>87.9</v>
      </c>
      <c r="E19" s="165">
        <v>8.85</v>
      </c>
      <c r="F19" s="165">
        <v>3.8</v>
      </c>
      <c r="G19" s="165">
        <v>81.69</v>
      </c>
      <c r="H19" s="165">
        <v>32.13</v>
      </c>
      <c r="I19" s="165">
        <v>8.91</v>
      </c>
      <c r="J19" s="165">
        <v>0.15</v>
      </c>
      <c r="K19" s="165">
        <v>183.6</v>
      </c>
      <c r="L19" s="165">
        <v>21.18</v>
      </c>
      <c r="M19" s="165">
        <v>71.35</v>
      </c>
      <c r="N19" s="165">
        <v>0</v>
      </c>
      <c r="O19" s="165">
        <v>0</v>
      </c>
      <c r="P19" s="165">
        <v>0.98</v>
      </c>
      <c r="Q19" s="165">
        <v>5.2</v>
      </c>
      <c r="R19" s="13"/>
      <c r="S19" s="13"/>
      <c r="T19" s="213"/>
      <c r="U19" s="13"/>
    </row>
    <row r="20" customFormat="1" spans="1:21">
      <c r="A20" s="142" t="s">
        <v>259</v>
      </c>
      <c r="B20" s="165">
        <v>62.4</v>
      </c>
      <c r="C20" s="165">
        <v>69.39</v>
      </c>
      <c r="D20" s="165">
        <v>87.17</v>
      </c>
      <c r="E20" s="165">
        <v>8.72</v>
      </c>
      <c r="F20" s="165">
        <v>3.59</v>
      </c>
      <c r="G20" s="165">
        <v>81.69</v>
      </c>
      <c r="H20" s="165">
        <v>32.13</v>
      </c>
      <c r="I20" s="165">
        <v>8.95</v>
      </c>
      <c r="J20" s="165">
        <v>0.15</v>
      </c>
      <c r="K20" s="165">
        <v>126.99</v>
      </c>
      <c r="L20" s="165">
        <v>21.27</v>
      </c>
      <c r="M20" s="165">
        <v>70.92</v>
      </c>
      <c r="N20" s="165">
        <v>0</v>
      </c>
      <c r="O20" s="165">
        <v>0</v>
      </c>
      <c r="P20" s="165">
        <v>0.98</v>
      </c>
      <c r="Q20" s="165">
        <v>5.14</v>
      </c>
      <c r="R20" s="13"/>
      <c r="S20" s="13"/>
      <c r="T20" s="213"/>
      <c r="U20" s="13"/>
    </row>
    <row r="21" customFormat="1" spans="1:21">
      <c r="A21" s="142" t="s">
        <v>260</v>
      </c>
      <c r="B21" s="165">
        <v>61.73</v>
      </c>
      <c r="C21" s="165">
        <v>69.32</v>
      </c>
      <c r="D21" s="165">
        <v>86.59</v>
      </c>
      <c r="E21" s="165">
        <v>8.7</v>
      </c>
      <c r="F21" s="165">
        <v>3.68</v>
      </c>
      <c r="G21" s="165">
        <v>81.69</v>
      </c>
      <c r="H21" s="165">
        <v>32.13</v>
      </c>
      <c r="I21" s="165">
        <v>8.99</v>
      </c>
      <c r="J21" s="165">
        <v>0.08</v>
      </c>
      <c r="K21" s="165">
        <v>167.14</v>
      </c>
      <c r="L21" s="165">
        <v>21.62</v>
      </c>
      <c r="M21" s="165">
        <v>66.8</v>
      </c>
      <c r="N21" s="165">
        <v>0</v>
      </c>
      <c r="O21" s="165">
        <v>0</v>
      </c>
      <c r="P21" s="165">
        <v>0.97</v>
      </c>
      <c r="Q21" s="165">
        <v>5.13</v>
      </c>
      <c r="R21" s="13"/>
      <c r="S21" s="13"/>
      <c r="T21" s="213"/>
      <c r="U21" s="13"/>
    </row>
    <row r="22" customFormat="1" spans="1:21">
      <c r="A22" s="142" t="s">
        <v>261</v>
      </c>
      <c r="B22" s="165">
        <v>61.49</v>
      </c>
      <c r="C22" s="165">
        <v>68.74</v>
      </c>
      <c r="D22" s="165">
        <v>86.09</v>
      </c>
      <c r="E22" s="165">
        <v>7.91</v>
      </c>
      <c r="F22" s="165">
        <v>3.8</v>
      </c>
      <c r="G22" s="165">
        <v>81.48</v>
      </c>
      <c r="H22" s="165">
        <v>31.98</v>
      </c>
      <c r="I22" s="165">
        <v>9.01</v>
      </c>
      <c r="J22" s="165">
        <v>0.17</v>
      </c>
      <c r="K22" s="165">
        <v>142.55</v>
      </c>
      <c r="L22" s="165">
        <v>21.77</v>
      </c>
      <c r="M22" s="165">
        <v>68.27</v>
      </c>
      <c r="N22" s="165">
        <v>0</v>
      </c>
      <c r="O22" s="165">
        <v>0</v>
      </c>
      <c r="P22" s="165">
        <v>0.96</v>
      </c>
      <c r="Q22" s="165">
        <v>5.07</v>
      </c>
      <c r="R22" s="13"/>
      <c r="S22" s="13"/>
      <c r="T22" s="213"/>
      <c r="U22" s="13"/>
    </row>
    <row r="23" customFormat="1" spans="1:21">
      <c r="A23" s="142" t="s">
        <v>262</v>
      </c>
      <c r="B23" s="165">
        <v>60.93</v>
      </c>
      <c r="C23" s="165">
        <v>69.21</v>
      </c>
      <c r="D23" s="165">
        <v>85.9</v>
      </c>
      <c r="E23" s="165">
        <v>8.39</v>
      </c>
      <c r="F23" s="165">
        <v>3.66</v>
      </c>
      <c r="G23" s="165">
        <v>72.37</v>
      </c>
      <c r="H23" s="165">
        <v>27.19</v>
      </c>
      <c r="I23" s="165">
        <v>9.02</v>
      </c>
      <c r="J23" s="165">
        <v>0.18</v>
      </c>
      <c r="K23" s="165">
        <v>105.35</v>
      </c>
      <c r="L23" s="165">
        <v>21.77</v>
      </c>
      <c r="M23" s="165">
        <v>66.65</v>
      </c>
      <c r="N23" s="165">
        <v>0</v>
      </c>
      <c r="O23" s="165">
        <v>0</v>
      </c>
      <c r="P23" s="165">
        <v>0.96</v>
      </c>
      <c r="Q23" s="165">
        <v>5.04</v>
      </c>
      <c r="R23" s="13"/>
      <c r="S23" s="13"/>
      <c r="T23" s="213"/>
      <c r="U23" s="13"/>
    </row>
    <row r="24" customFormat="1" spans="1:21">
      <c r="A24" s="142" t="s">
        <v>263</v>
      </c>
      <c r="B24" s="165">
        <v>61.62</v>
      </c>
      <c r="C24" s="165">
        <v>69.15</v>
      </c>
      <c r="D24" s="165">
        <v>86.42</v>
      </c>
      <c r="E24" s="165">
        <v>8.65</v>
      </c>
      <c r="F24" s="165">
        <v>3.69</v>
      </c>
      <c r="G24" s="165">
        <v>72.37</v>
      </c>
      <c r="H24" s="165">
        <v>27.19</v>
      </c>
      <c r="I24" s="165">
        <v>9</v>
      </c>
      <c r="J24" s="165">
        <v>0.2</v>
      </c>
      <c r="K24" s="165">
        <v>98.92</v>
      </c>
      <c r="L24" s="165">
        <v>22.1</v>
      </c>
      <c r="M24" s="165">
        <v>64.75</v>
      </c>
      <c r="N24" s="165">
        <v>0</v>
      </c>
      <c r="O24" s="165">
        <v>0</v>
      </c>
      <c r="P24" s="165">
        <v>0.97</v>
      </c>
      <c r="Q24" s="165">
        <v>5.07</v>
      </c>
      <c r="R24" s="13"/>
      <c r="S24" s="13"/>
      <c r="T24" s="213"/>
      <c r="U24" s="13"/>
    </row>
    <row r="25" customFormat="1" spans="1:21">
      <c r="A25" s="142" t="s">
        <v>264</v>
      </c>
      <c r="B25" s="165">
        <v>62.84</v>
      </c>
      <c r="C25" s="165">
        <v>69.45</v>
      </c>
      <c r="D25" s="165">
        <v>87.55</v>
      </c>
      <c r="E25" s="165">
        <v>8.27</v>
      </c>
      <c r="F25" s="165">
        <v>3.63</v>
      </c>
      <c r="G25" s="165">
        <v>72.37</v>
      </c>
      <c r="H25" s="165">
        <v>27.19</v>
      </c>
      <c r="I25" s="165">
        <v>8.99</v>
      </c>
      <c r="J25" s="165">
        <v>0.18</v>
      </c>
      <c r="K25" s="165">
        <v>157.02</v>
      </c>
      <c r="L25" s="165">
        <v>22.24</v>
      </c>
      <c r="M25" s="165">
        <v>67.77</v>
      </c>
      <c r="N25" s="165">
        <v>0</v>
      </c>
      <c r="O25" s="165">
        <v>0</v>
      </c>
      <c r="P25" s="165">
        <v>0.96</v>
      </c>
      <c r="Q25" s="165">
        <v>5.09</v>
      </c>
      <c r="R25" s="13"/>
      <c r="S25" s="13"/>
      <c r="T25" s="213"/>
      <c r="U25" s="13"/>
    </row>
    <row r="26" customFormat="1" spans="1:21">
      <c r="A26" s="142" t="s">
        <v>265</v>
      </c>
      <c r="B26" s="165">
        <v>63.16</v>
      </c>
      <c r="C26" s="165">
        <v>66.83</v>
      </c>
      <c r="D26" s="165">
        <v>86.44</v>
      </c>
      <c r="E26" s="165">
        <v>8.08</v>
      </c>
      <c r="F26" s="165">
        <v>3.7</v>
      </c>
      <c r="G26" s="165">
        <v>72.72</v>
      </c>
      <c r="H26" s="165">
        <v>27.28</v>
      </c>
      <c r="I26" s="165">
        <v>8.97</v>
      </c>
      <c r="J26" s="165">
        <v>0.22</v>
      </c>
      <c r="K26" s="165">
        <v>193.1</v>
      </c>
      <c r="L26" s="165">
        <v>21.29</v>
      </c>
      <c r="M26" s="165">
        <v>72.84</v>
      </c>
      <c r="N26" s="165">
        <v>0</v>
      </c>
      <c r="O26" s="165">
        <v>0</v>
      </c>
      <c r="P26" s="165">
        <v>0.96</v>
      </c>
      <c r="Q26" s="165">
        <v>5.17</v>
      </c>
      <c r="R26" s="13"/>
      <c r="S26" s="13"/>
      <c r="T26" s="213"/>
      <c r="U26" s="13"/>
    </row>
    <row r="27" customFormat="1" spans="1:21">
      <c r="A27" s="142" t="s">
        <v>266</v>
      </c>
      <c r="B27" s="165">
        <v>62.03</v>
      </c>
      <c r="C27" s="165">
        <v>67.59</v>
      </c>
      <c r="D27" s="165">
        <v>85.93</v>
      </c>
      <c r="E27" s="165">
        <v>7.96</v>
      </c>
      <c r="F27" s="165">
        <v>3.88</v>
      </c>
      <c r="G27" s="165">
        <v>88.44</v>
      </c>
      <c r="H27" s="165">
        <v>30.17</v>
      </c>
      <c r="I27" s="165">
        <v>8.96</v>
      </c>
      <c r="J27" s="165">
        <v>0.14</v>
      </c>
      <c r="K27" s="165">
        <v>203.36</v>
      </c>
      <c r="L27" s="165">
        <v>21.44</v>
      </c>
      <c r="M27" s="165">
        <v>69.92</v>
      </c>
      <c r="N27" s="165">
        <v>0</v>
      </c>
      <c r="O27" s="165">
        <v>0</v>
      </c>
      <c r="P27" s="165">
        <v>0.96</v>
      </c>
      <c r="Q27" s="165">
        <v>5.25</v>
      </c>
      <c r="R27" s="13"/>
      <c r="S27" s="13"/>
      <c r="T27" s="213"/>
      <c r="U27" s="13"/>
    </row>
    <row r="28" customFormat="1" spans="1:21">
      <c r="A28" s="142" t="s">
        <v>267</v>
      </c>
      <c r="B28" s="165">
        <v>60.94</v>
      </c>
      <c r="C28" s="165">
        <v>69.5</v>
      </c>
      <c r="D28" s="165">
        <v>86.05</v>
      </c>
      <c r="E28" s="165">
        <v>7.78</v>
      </c>
      <c r="F28" s="165">
        <v>3.86</v>
      </c>
      <c r="G28" s="165">
        <v>88.44</v>
      </c>
      <c r="H28" s="165">
        <v>30.17</v>
      </c>
      <c r="I28" s="165">
        <v>8.94</v>
      </c>
      <c r="J28" s="165">
        <v>0.33</v>
      </c>
      <c r="K28" s="165">
        <v>218.73</v>
      </c>
      <c r="L28" s="165">
        <v>21.54</v>
      </c>
      <c r="M28" s="165">
        <v>69.94</v>
      </c>
      <c r="N28" s="165">
        <v>0</v>
      </c>
      <c r="O28" s="165">
        <v>0</v>
      </c>
      <c r="P28" s="165">
        <v>0.95</v>
      </c>
      <c r="Q28" s="165">
        <v>5.23</v>
      </c>
      <c r="R28" s="13"/>
      <c r="S28" s="13"/>
      <c r="T28" s="213"/>
      <c r="U28" s="13"/>
    </row>
    <row r="29" customFormat="1" spans="1:21">
      <c r="A29" s="142" t="s">
        <v>268</v>
      </c>
      <c r="B29" s="165">
        <v>60.15</v>
      </c>
      <c r="C29" s="165">
        <v>70.81</v>
      </c>
      <c r="D29" s="165">
        <v>86.11</v>
      </c>
      <c r="E29" s="165">
        <v>7.98</v>
      </c>
      <c r="F29" s="165">
        <v>3.87</v>
      </c>
      <c r="G29" s="165">
        <v>88.44</v>
      </c>
      <c r="H29" s="165">
        <v>30.17</v>
      </c>
      <c r="I29" s="165">
        <v>8.93</v>
      </c>
      <c r="J29" s="165">
        <v>0.45</v>
      </c>
      <c r="K29" s="165">
        <v>77.04</v>
      </c>
      <c r="L29" s="165">
        <v>21.62</v>
      </c>
      <c r="M29" s="165">
        <v>69.5</v>
      </c>
      <c r="N29" s="165">
        <v>0</v>
      </c>
      <c r="O29" s="165">
        <v>0</v>
      </c>
      <c r="P29" s="165">
        <v>0.95</v>
      </c>
      <c r="Q29" s="165">
        <v>5.25</v>
      </c>
      <c r="R29" s="13"/>
      <c r="S29" s="13"/>
      <c r="T29" s="213"/>
      <c r="U29" s="13"/>
    </row>
    <row r="30" customFormat="1" spans="1:21">
      <c r="A30" s="142" t="s">
        <v>269</v>
      </c>
      <c r="B30" s="165">
        <v>62.26</v>
      </c>
      <c r="C30" s="165">
        <v>71.46</v>
      </c>
      <c r="D30" s="165">
        <v>88.14</v>
      </c>
      <c r="E30" s="165">
        <v>8.28</v>
      </c>
      <c r="F30" s="165">
        <v>3.92</v>
      </c>
      <c r="G30" s="165">
        <v>88.33</v>
      </c>
      <c r="H30" s="165">
        <v>30.09</v>
      </c>
      <c r="I30" s="165">
        <v>8.9</v>
      </c>
      <c r="J30" s="165">
        <v>0.35</v>
      </c>
      <c r="K30" s="165">
        <v>38.75</v>
      </c>
      <c r="L30" s="165">
        <v>22.04</v>
      </c>
      <c r="M30" s="165">
        <v>66.05</v>
      </c>
      <c r="N30" s="165">
        <v>0</v>
      </c>
      <c r="O30" s="165">
        <v>0</v>
      </c>
      <c r="P30" s="165">
        <v>0.95</v>
      </c>
      <c r="Q30" s="165">
        <v>5.32</v>
      </c>
      <c r="R30" s="13"/>
      <c r="S30" s="13"/>
      <c r="T30" s="213"/>
      <c r="U30" s="13"/>
    </row>
    <row r="31" customFormat="1" spans="1:21">
      <c r="A31" s="142" t="s">
        <v>270</v>
      </c>
      <c r="B31" s="165">
        <v>64.71</v>
      </c>
      <c r="C31" s="165">
        <v>71.89</v>
      </c>
      <c r="D31" s="165">
        <v>90.33</v>
      </c>
      <c r="E31" s="165">
        <v>8.11</v>
      </c>
      <c r="F31" s="165">
        <v>3.82</v>
      </c>
      <c r="G31" s="165">
        <v>83.72</v>
      </c>
      <c r="H31" s="165">
        <v>25.04</v>
      </c>
      <c r="I31" s="165">
        <v>8.91</v>
      </c>
      <c r="J31" s="165">
        <v>0.35</v>
      </c>
      <c r="K31" s="165">
        <v>52.78</v>
      </c>
      <c r="L31" s="165">
        <v>22.13</v>
      </c>
      <c r="M31" s="165">
        <v>65.43</v>
      </c>
      <c r="N31" s="165">
        <v>0</v>
      </c>
      <c r="O31" s="165">
        <v>0</v>
      </c>
      <c r="P31" s="165">
        <v>0.95</v>
      </c>
      <c r="Q31" s="165">
        <v>5.47</v>
      </c>
      <c r="R31" s="13"/>
      <c r="S31" s="13"/>
      <c r="T31" s="213"/>
      <c r="U31" s="13"/>
    </row>
    <row r="32" customFormat="1" spans="1:21">
      <c r="A32" s="142" t="s">
        <v>271</v>
      </c>
      <c r="B32" s="165">
        <v>66.12</v>
      </c>
      <c r="C32" s="165">
        <v>71.91</v>
      </c>
      <c r="D32" s="165">
        <v>91.47</v>
      </c>
      <c r="E32" s="165">
        <v>7.74</v>
      </c>
      <c r="F32" s="165">
        <v>3.81</v>
      </c>
      <c r="G32" s="165">
        <v>83.72</v>
      </c>
      <c r="H32" s="165">
        <v>25.04</v>
      </c>
      <c r="I32" s="165">
        <v>8.92</v>
      </c>
      <c r="J32" s="165">
        <v>0.4</v>
      </c>
      <c r="K32" s="165">
        <v>50.49</v>
      </c>
      <c r="L32" s="165">
        <v>22.3</v>
      </c>
      <c r="M32" s="165">
        <v>64.27</v>
      </c>
      <c r="N32" s="165">
        <v>0.1</v>
      </c>
      <c r="O32" s="165">
        <v>0</v>
      </c>
      <c r="P32" s="165">
        <v>0.95</v>
      </c>
      <c r="Q32" s="165">
        <v>5.54</v>
      </c>
      <c r="R32" s="13"/>
      <c r="S32" s="13"/>
      <c r="T32" s="213"/>
      <c r="U32" s="13"/>
    </row>
    <row r="33" customFormat="1" spans="1:21">
      <c r="A33" s="142" t="s">
        <v>272</v>
      </c>
      <c r="B33" s="165">
        <v>67.18</v>
      </c>
      <c r="C33" s="165">
        <v>71.99</v>
      </c>
      <c r="D33" s="165">
        <v>92.36</v>
      </c>
      <c r="E33" s="165">
        <v>7.52</v>
      </c>
      <c r="F33" s="165">
        <v>3.79</v>
      </c>
      <c r="G33" s="165">
        <v>83.72</v>
      </c>
      <c r="H33" s="165">
        <v>25.04</v>
      </c>
      <c r="I33" s="165">
        <v>8.95</v>
      </c>
      <c r="J33" s="165">
        <v>0.66</v>
      </c>
      <c r="K33" s="165">
        <v>47.4</v>
      </c>
      <c r="L33" s="165">
        <v>22.51</v>
      </c>
      <c r="M33" s="165">
        <v>63.12</v>
      </c>
      <c r="N33" s="165">
        <v>10.3</v>
      </c>
      <c r="O33" s="165">
        <v>0</v>
      </c>
      <c r="P33" s="165">
        <v>0.96</v>
      </c>
      <c r="Q33" s="165">
        <v>5.65</v>
      </c>
      <c r="R33" s="13"/>
      <c r="S33" s="13"/>
      <c r="T33" s="213"/>
      <c r="U33" s="13"/>
    </row>
    <row r="34" customFormat="1" spans="1:21">
      <c r="A34" s="142" t="s">
        <v>273</v>
      </c>
      <c r="B34" s="165">
        <v>67.57</v>
      </c>
      <c r="C34" s="165">
        <v>72.37</v>
      </c>
      <c r="D34" s="165">
        <v>92.87</v>
      </c>
      <c r="E34" s="165">
        <v>8.23</v>
      </c>
      <c r="F34" s="165">
        <v>3.83</v>
      </c>
      <c r="G34" s="165">
        <v>84.18</v>
      </c>
      <c r="H34" s="165">
        <v>25.29</v>
      </c>
      <c r="I34" s="165">
        <v>9.07</v>
      </c>
      <c r="J34" s="165">
        <v>0.72</v>
      </c>
      <c r="K34" s="165">
        <v>42.47</v>
      </c>
      <c r="L34" s="165">
        <v>22.41</v>
      </c>
      <c r="M34" s="165">
        <v>63.23</v>
      </c>
      <c r="N34" s="165">
        <v>22.1</v>
      </c>
      <c r="O34" s="165">
        <v>0</v>
      </c>
      <c r="P34" s="165">
        <v>0.97</v>
      </c>
      <c r="Q34" s="165">
        <v>5.7</v>
      </c>
      <c r="R34" s="13"/>
      <c r="S34" s="13"/>
      <c r="T34" s="213"/>
      <c r="U34" s="13"/>
    </row>
    <row r="35" customFormat="1" spans="1:21">
      <c r="A35" s="142" t="s">
        <v>274</v>
      </c>
      <c r="B35" s="165">
        <v>67.64</v>
      </c>
      <c r="C35" s="165">
        <v>72.5</v>
      </c>
      <c r="D35" s="165">
        <v>93</v>
      </c>
      <c r="E35" s="165">
        <v>8.11</v>
      </c>
      <c r="F35" s="165">
        <v>3.76</v>
      </c>
      <c r="G35" s="165">
        <v>104.4</v>
      </c>
      <c r="H35" s="165">
        <v>41.62</v>
      </c>
      <c r="I35" s="165">
        <v>9.27</v>
      </c>
      <c r="J35" s="165">
        <v>0.45</v>
      </c>
      <c r="K35" s="165">
        <v>36.46</v>
      </c>
      <c r="L35" s="165">
        <v>22.42</v>
      </c>
      <c r="M35" s="165">
        <v>63.85</v>
      </c>
      <c r="N35" s="165">
        <v>30.8</v>
      </c>
      <c r="O35" s="165">
        <v>0</v>
      </c>
      <c r="P35" s="165">
        <v>1.01</v>
      </c>
      <c r="Q35" s="165">
        <v>5.73</v>
      </c>
      <c r="R35" s="13"/>
      <c r="S35" s="13"/>
      <c r="T35" s="213"/>
      <c r="U35" s="13"/>
    </row>
    <row r="36" customFormat="1" spans="1:21">
      <c r="A36" s="142" t="s">
        <v>275</v>
      </c>
      <c r="B36" s="165">
        <v>67.68</v>
      </c>
      <c r="C36" s="165">
        <v>72.48</v>
      </c>
      <c r="D36" s="165">
        <v>93.02</v>
      </c>
      <c r="E36" s="165">
        <v>7.96</v>
      </c>
      <c r="F36" s="165">
        <v>3.84</v>
      </c>
      <c r="G36" s="165">
        <v>104.4</v>
      </c>
      <c r="H36" s="165">
        <v>41.62</v>
      </c>
      <c r="I36" s="165">
        <v>9.48</v>
      </c>
      <c r="J36" s="165">
        <v>0.43</v>
      </c>
      <c r="K36" s="165">
        <v>67.64</v>
      </c>
      <c r="L36" s="165">
        <v>22.83</v>
      </c>
      <c r="M36" s="165">
        <v>64.49</v>
      </c>
      <c r="N36" s="165">
        <v>45.2</v>
      </c>
      <c r="O36" s="165">
        <v>0</v>
      </c>
      <c r="P36" s="165">
        <v>1.05</v>
      </c>
      <c r="Q36" s="165">
        <v>5.8</v>
      </c>
      <c r="R36" s="13"/>
      <c r="S36" s="13"/>
      <c r="T36" s="213"/>
      <c r="U36" s="13"/>
    </row>
    <row r="37" customFormat="1" spans="1:21">
      <c r="A37" s="142" t="s">
        <v>276</v>
      </c>
      <c r="B37" s="165">
        <v>67.01</v>
      </c>
      <c r="C37" s="165">
        <v>72.44</v>
      </c>
      <c r="D37" s="165">
        <v>92.46</v>
      </c>
      <c r="E37" s="165">
        <v>7.96</v>
      </c>
      <c r="F37" s="165">
        <v>3.94</v>
      </c>
      <c r="G37" s="165">
        <v>104.4</v>
      </c>
      <c r="H37" s="165">
        <v>41.62</v>
      </c>
      <c r="I37" s="165">
        <v>9.65</v>
      </c>
      <c r="J37" s="165">
        <v>0.17</v>
      </c>
      <c r="K37" s="165">
        <v>58.74</v>
      </c>
      <c r="L37" s="165">
        <v>23.32</v>
      </c>
      <c r="M37" s="165">
        <v>62.78</v>
      </c>
      <c r="N37" s="165">
        <v>57.7</v>
      </c>
      <c r="O37" s="165">
        <v>0</v>
      </c>
      <c r="P37" s="165">
        <v>1.07</v>
      </c>
      <c r="Q37" s="165">
        <v>5.74</v>
      </c>
      <c r="R37" s="13"/>
      <c r="S37" s="13"/>
      <c r="T37" s="213"/>
      <c r="U37" s="13"/>
    </row>
    <row r="38" customFormat="1" spans="1:21">
      <c r="A38" s="142" t="s">
        <v>277</v>
      </c>
      <c r="B38" s="165">
        <v>65.64</v>
      </c>
      <c r="C38" s="165">
        <v>72.46</v>
      </c>
      <c r="D38" s="165">
        <v>91.37</v>
      </c>
      <c r="E38" s="165">
        <v>8.09</v>
      </c>
      <c r="F38" s="165">
        <v>3.89</v>
      </c>
      <c r="G38" s="165">
        <v>104.65</v>
      </c>
      <c r="H38" s="165">
        <v>41.63</v>
      </c>
      <c r="I38" s="165">
        <v>9.76</v>
      </c>
      <c r="J38" s="165">
        <v>0.36</v>
      </c>
      <c r="K38" s="165">
        <v>29.44</v>
      </c>
      <c r="L38" s="165">
        <v>23.91</v>
      </c>
      <c r="M38" s="165">
        <v>60.88</v>
      </c>
      <c r="N38" s="165">
        <v>89.8</v>
      </c>
      <c r="O38" s="165">
        <v>0</v>
      </c>
      <c r="P38" s="165">
        <v>1.08</v>
      </c>
      <c r="Q38" s="165">
        <v>5.69</v>
      </c>
      <c r="R38" s="13"/>
      <c r="S38" s="13"/>
      <c r="T38" s="213"/>
      <c r="U38" s="13"/>
    </row>
    <row r="39" customFormat="1" spans="1:21">
      <c r="A39" s="142" t="s">
        <v>278</v>
      </c>
      <c r="B39" s="165">
        <v>64.37</v>
      </c>
      <c r="C39" s="165">
        <v>73.02</v>
      </c>
      <c r="D39" s="165">
        <v>90.65</v>
      </c>
      <c r="E39" s="165">
        <v>7.99</v>
      </c>
      <c r="F39" s="165">
        <v>3.8</v>
      </c>
      <c r="G39" s="165">
        <v>115.87</v>
      </c>
      <c r="H39" s="165">
        <v>42.07</v>
      </c>
      <c r="I39" s="165">
        <v>9.74</v>
      </c>
      <c r="J39" s="165">
        <v>0.22</v>
      </c>
      <c r="K39" s="165">
        <v>96.25</v>
      </c>
      <c r="L39" s="165">
        <v>24.96</v>
      </c>
      <c r="M39" s="165">
        <v>56.53</v>
      </c>
      <c r="N39" s="165">
        <v>191.5</v>
      </c>
      <c r="O39" s="165">
        <v>0</v>
      </c>
      <c r="P39" s="165">
        <v>1.09</v>
      </c>
      <c r="Q39" s="165">
        <v>5.63</v>
      </c>
      <c r="R39" s="13"/>
      <c r="S39" s="13"/>
      <c r="T39" s="213"/>
      <c r="U39" s="13"/>
    </row>
    <row r="40" customFormat="1" spans="1:21">
      <c r="A40" s="142" t="s">
        <v>279</v>
      </c>
      <c r="B40" s="165">
        <v>62.34</v>
      </c>
      <c r="C40" s="165">
        <v>73.11</v>
      </c>
      <c r="D40" s="165">
        <v>89.06</v>
      </c>
      <c r="E40" s="165">
        <v>7.93</v>
      </c>
      <c r="F40" s="165">
        <v>3.88</v>
      </c>
      <c r="G40" s="165">
        <v>115.87</v>
      </c>
      <c r="H40" s="165">
        <v>42.07</v>
      </c>
      <c r="I40" s="165">
        <v>9.75</v>
      </c>
      <c r="J40" s="165">
        <v>0.2</v>
      </c>
      <c r="K40" s="165">
        <v>44.13</v>
      </c>
      <c r="L40" s="165">
        <v>26.3</v>
      </c>
      <c r="M40" s="165">
        <v>52.75</v>
      </c>
      <c r="N40" s="165">
        <v>262.6</v>
      </c>
      <c r="O40" s="165">
        <v>0</v>
      </c>
      <c r="P40" s="165">
        <v>1.08</v>
      </c>
      <c r="Q40" s="165">
        <v>5.55</v>
      </c>
      <c r="R40" s="13"/>
      <c r="S40" s="13"/>
      <c r="T40" s="213"/>
      <c r="U40" s="13"/>
    </row>
    <row r="41" customFormat="1" spans="1:21">
      <c r="A41" s="142" t="s">
        <v>280</v>
      </c>
      <c r="B41" s="165">
        <v>60.1</v>
      </c>
      <c r="C41" s="165">
        <v>73.41</v>
      </c>
      <c r="D41" s="165">
        <v>87.42</v>
      </c>
      <c r="E41" s="165">
        <v>7.93</v>
      </c>
      <c r="F41" s="165">
        <v>3.83</v>
      </c>
      <c r="G41" s="165">
        <v>115.87</v>
      </c>
      <c r="H41" s="165">
        <v>42.07</v>
      </c>
      <c r="I41" s="165">
        <v>9.73</v>
      </c>
      <c r="J41" s="165">
        <v>0.59</v>
      </c>
      <c r="K41" s="165">
        <v>69.49</v>
      </c>
      <c r="L41" s="165">
        <v>27.37</v>
      </c>
      <c r="M41" s="165">
        <v>47.45</v>
      </c>
      <c r="N41" s="165">
        <v>288.3</v>
      </c>
      <c r="O41" s="165">
        <v>0</v>
      </c>
      <c r="P41" s="165">
        <v>1.06</v>
      </c>
      <c r="Q41" s="165">
        <v>5.4</v>
      </c>
      <c r="R41" s="13"/>
      <c r="S41" s="13"/>
      <c r="T41" s="213"/>
      <c r="U41" s="13"/>
    </row>
    <row r="42" customFormat="1" spans="1:21">
      <c r="A42" s="142" t="s">
        <v>281</v>
      </c>
      <c r="B42" s="165">
        <v>57.51</v>
      </c>
      <c r="C42" s="165">
        <v>74.04</v>
      </c>
      <c r="D42" s="165">
        <v>85.67</v>
      </c>
      <c r="E42" s="165">
        <v>8.04</v>
      </c>
      <c r="F42" s="165">
        <v>3.82</v>
      </c>
      <c r="G42" s="165">
        <v>115.28</v>
      </c>
      <c r="H42" s="165">
        <v>41.89</v>
      </c>
      <c r="I42" s="165">
        <v>9.67</v>
      </c>
      <c r="J42" s="165">
        <v>0.08</v>
      </c>
      <c r="K42" s="165">
        <v>82.42</v>
      </c>
      <c r="L42" s="165">
        <v>27.94</v>
      </c>
      <c r="M42" s="165">
        <v>46.13</v>
      </c>
      <c r="N42" s="165">
        <v>194.2</v>
      </c>
      <c r="O42" s="165">
        <v>0</v>
      </c>
      <c r="P42" s="165">
        <v>1.05</v>
      </c>
      <c r="Q42" s="165">
        <v>5.29</v>
      </c>
      <c r="R42" s="13"/>
      <c r="S42" s="13"/>
      <c r="T42" s="213"/>
      <c r="U42" s="13"/>
    </row>
    <row r="43" customFormat="1" spans="1:21">
      <c r="A43" s="142" t="s">
        <v>282</v>
      </c>
      <c r="B43" s="165">
        <v>54.4</v>
      </c>
      <c r="C43" s="165">
        <v>74.7</v>
      </c>
      <c r="D43" s="165">
        <v>83.53</v>
      </c>
      <c r="E43" s="165">
        <v>7.96</v>
      </c>
      <c r="F43" s="165">
        <v>4.02</v>
      </c>
      <c r="G43" s="165">
        <v>89.13</v>
      </c>
      <c r="H43" s="165">
        <v>36.15</v>
      </c>
      <c r="I43" s="165">
        <v>9.59</v>
      </c>
      <c r="J43" s="165">
        <v>0.2</v>
      </c>
      <c r="K43" s="165">
        <v>175.48</v>
      </c>
      <c r="L43" s="165">
        <v>29.21</v>
      </c>
      <c r="M43" s="165">
        <v>42.61</v>
      </c>
      <c r="N43" s="165">
        <v>189.3</v>
      </c>
      <c r="O43" s="165">
        <v>0</v>
      </c>
      <c r="P43" s="165">
        <v>1.03</v>
      </c>
      <c r="Q43" s="165">
        <v>5.17</v>
      </c>
      <c r="R43" s="13"/>
      <c r="S43" s="13"/>
      <c r="T43" s="213"/>
      <c r="U43" s="13"/>
    </row>
    <row r="44" customFormat="1" spans="1:21">
      <c r="A44" s="142" t="s">
        <v>283</v>
      </c>
      <c r="B44" s="165">
        <v>51.55</v>
      </c>
      <c r="C44" s="165">
        <v>75</v>
      </c>
      <c r="D44" s="165">
        <v>81.4</v>
      </c>
      <c r="E44" s="165">
        <v>7.83</v>
      </c>
      <c r="F44" s="165">
        <v>3.86</v>
      </c>
      <c r="G44" s="165">
        <v>89.13</v>
      </c>
      <c r="H44" s="165">
        <v>36.15</v>
      </c>
      <c r="I44" s="165">
        <v>9.41</v>
      </c>
      <c r="J44" s="165">
        <v>0.47</v>
      </c>
      <c r="K44" s="165">
        <v>54.55</v>
      </c>
      <c r="L44" s="165">
        <v>29.32</v>
      </c>
      <c r="M44" s="165">
        <v>42.39</v>
      </c>
      <c r="N44" s="165">
        <v>240.7</v>
      </c>
      <c r="O44" s="165">
        <v>0</v>
      </c>
      <c r="P44" s="165">
        <v>1.01</v>
      </c>
      <c r="Q44" s="165">
        <v>5.02</v>
      </c>
      <c r="R44" s="13"/>
      <c r="S44" s="13"/>
      <c r="T44" s="213"/>
      <c r="U44" s="13"/>
    </row>
    <row r="45" customFormat="1" spans="1:21">
      <c r="A45" s="142" t="s">
        <v>284</v>
      </c>
      <c r="B45" s="165">
        <v>48.68</v>
      </c>
      <c r="C45" s="165">
        <v>74.99</v>
      </c>
      <c r="D45" s="165">
        <v>79.09</v>
      </c>
      <c r="E45" s="165">
        <v>7.44</v>
      </c>
      <c r="F45" s="165">
        <v>4.08</v>
      </c>
      <c r="G45" s="165">
        <v>89.13</v>
      </c>
      <c r="H45" s="165">
        <v>36.15</v>
      </c>
      <c r="I45" s="165">
        <v>9.21</v>
      </c>
      <c r="J45" s="165">
        <v>0.52</v>
      </c>
      <c r="K45" s="165">
        <v>272.32</v>
      </c>
      <c r="L45" s="165">
        <v>29.82</v>
      </c>
      <c r="M45" s="165">
        <v>41.42</v>
      </c>
      <c r="N45" s="165">
        <v>404.1</v>
      </c>
      <c r="O45" s="165">
        <v>0</v>
      </c>
      <c r="P45" s="165">
        <v>0.99</v>
      </c>
      <c r="Q45" s="165">
        <v>4.85</v>
      </c>
      <c r="R45" s="13"/>
      <c r="S45" s="13"/>
      <c r="T45" s="213"/>
      <c r="U45" s="13"/>
    </row>
    <row r="46" customFormat="1" spans="1:21">
      <c r="A46" s="142" t="s">
        <v>285</v>
      </c>
      <c r="B46" s="165">
        <v>45.83</v>
      </c>
      <c r="C46" s="165">
        <v>72.99</v>
      </c>
      <c r="D46" s="165">
        <v>75.76</v>
      </c>
      <c r="E46" s="165">
        <v>7.73</v>
      </c>
      <c r="F46" s="165">
        <v>4.39</v>
      </c>
      <c r="G46" s="165">
        <v>88.92</v>
      </c>
      <c r="H46" s="165">
        <v>35.89</v>
      </c>
      <c r="I46" s="165">
        <v>9.04</v>
      </c>
      <c r="J46" s="165">
        <v>0.72</v>
      </c>
      <c r="K46" s="165">
        <v>243.65</v>
      </c>
      <c r="L46" s="165">
        <v>30.15</v>
      </c>
      <c r="M46" s="165">
        <v>38.77</v>
      </c>
      <c r="N46" s="165">
        <v>527.8</v>
      </c>
      <c r="O46" s="165">
        <v>0</v>
      </c>
      <c r="P46" s="165">
        <v>0.96</v>
      </c>
      <c r="Q46" s="165">
        <v>4.57</v>
      </c>
      <c r="R46" s="13"/>
      <c r="S46" s="13"/>
      <c r="T46" s="213"/>
      <c r="U46" s="13"/>
    </row>
    <row r="47" customFormat="1" spans="1:21">
      <c r="A47" s="142" t="s">
        <v>286</v>
      </c>
      <c r="B47" s="165">
        <v>42.58</v>
      </c>
      <c r="C47" s="165">
        <v>69.31</v>
      </c>
      <c r="D47" s="165">
        <v>71.23</v>
      </c>
      <c r="E47" s="165">
        <v>7.63</v>
      </c>
      <c r="F47" s="165">
        <v>4.84</v>
      </c>
      <c r="G47" s="165">
        <v>79.9</v>
      </c>
      <c r="H47" s="165">
        <v>27.72</v>
      </c>
      <c r="I47" s="165">
        <v>8.89</v>
      </c>
      <c r="J47" s="165">
        <v>0.73</v>
      </c>
      <c r="K47" s="165">
        <v>220.58</v>
      </c>
      <c r="L47" s="165">
        <v>31.22</v>
      </c>
      <c r="M47" s="165">
        <v>34.31</v>
      </c>
      <c r="N47" s="165">
        <v>579.6</v>
      </c>
      <c r="O47" s="165">
        <v>0</v>
      </c>
      <c r="P47" s="165">
        <v>0.94</v>
      </c>
      <c r="Q47" s="165">
        <v>4.58</v>
      </c>
      <c r="R47" s="13"/>
      <c r="S47" s="13"/>
      <c r="T47" s="213"/>
      <c r="U47" s="13"/>
    </row>
    <row r="48" customFormat="1" spans="1:21">
      <c r="A48" s="142" t="s">
        <v>287</v>
      </c>
      <c r="B48" s="165">
        <v>38.92</v>
      </c>
      <c r="C48" s="165">
        <v>66.73</v>
      </c>
      <c r="D48" s="165">
        <v>66.95</v>
      </c>
      <c r="E48" s="165">
        <v>7.5</v>
      </c>
      <c r="F48" s="165">
        <v>5.06</v>
      </c>
      <c r="G48" s="165">
        <v>79.9</v>
      </c>
      <c r="H48" s="165">
        <v>27.72</v>
      </c>
      <c r="I48" s="165">
        <v>8.77</v>
      </c>
      <c r="J48" s="165">
        <v>0.89</v>
      </c>
      <c r="K48" s="165">
        <v>230.99</v>
      </c>
      <c r="L48" s="165">
        <v>31.76</v>
      </c>
      <c r="M48" s="165">
        <v>31.45</v>
      </c>
      <c r="N48" s="165">
        <v>472.6</v>
      </c>
      <c r="O48" s="165">
        <v>0</v>
      </c>
      <c r="P48" s="165">
        <v>0.91</v>
      </c>
      <c r="Q48" s="165">
        <v>4.98</v>
      </c>
      <c r="R48" s="13"/>
      <c r="S48" s="13"/>
      <c r="T48" s="213"/>
      <c r="U48" s="13"/>
    </row>
    <row r="49" customFormat="1" spans="1:21">
      <c r="A49" s="142" t="s">
        <v>288</v>
      </c>
      <c r="B49" s="165">
        <v>34.97</v>
      </c>
      <c r="C49" s="165">
        <v>72.19</v>
      </c>
      <c r="D49" s="165">
        <v>66.63</v>
      </c>
      <c r="E49" s="165">
        <v>5.46</v>
      </c>
      <c r="F49" s="165">
        <v>5.77</v>
      </c>
      <c r="G49" s="165">
        <v>79.9</v>
      </c>
      <c r="H49" s="165">
        <v>27.72</v>
      </c>
      <c r="I49" s="165">
        <v>8.67</v>
      </c>
      <c r="J49" s="165">
        <v>0.86</v>
      </c>
      <c r="K49" s="165">
        <v>239.47</v>
      </c>
      <c r="L49" s="165">
        <v>32.13</v>
      </c>
      <c r="M49" s="165">
        <v>31.38</v>
      </c>
      <c r="N49" s="165">
        <v>584.8</v>
      </c>
      <c r="O49" s="165">
        <v>0</v>
      </c>
      <c r="P49" s="165">
        <v>0.89</v>
      </c>
      <c r="Q49" s="165">
        <v>5</v>
      </c>
      <c r="R49" s="13"/>
      <c r="S49" s="13"/>
      <c r="T49" s="213"/>
      <c r="U49" s="13"/>
    </row>
    <row r="50" customFormat="1" spans="1:21">
      <c r="A50" s="142" t="s">
        <v>289</v>
      </c>
      <c r="B50" s="165">
        <v>31</v>
      </c>
      <c r="C50" s="165">
        <v>74.16</v>
      </c>
      <c r="D50" s="165">
        <v>64.47</v>
      </c>
      <c r="E50" s="165">
        <v>8.6</v>
      </c>
      <c r="F50" s="165">
        <v>7.13</v>
      </c>
      <c r="G50" s="165">
        <v>79.75</v>
      </c>
      <c r="H50" s="165">
        <v>27.82</v>
      </c>
      <c r="I50" s="165">
        <v>8.53</v>
      </c>
      <c r="J50" s="165">
        <v>0.75</v>
      </c>
      <c r="K50" s="165">
        <v>254.81</v>
      </c>
      <c r="L50" s="165">
        <v>32.35</v>
      </c>
      <c r="M50" s="165">
        <v>33.06</v>
      </c>
      <c r="N50" s="165">
        <v>434.4</v>
      </c>
      <c r="O50" s="165">
        <v>0</v>
      </c>
      <c r="P50" s="165">
        <v>0.89</v>
      </c>
      <c r="Q50" s="165">
        <v>5</v>
      </c>
      <c r="R50" s="13"/>
      <c r="S50" s="13"/>
      <c r="T50" s="213"/>
      <c r="U50" s="13"/>
    </row>
    <row r="51" customFormat="1" spans="1:21">
      <c r="A51" s="142" t="s">
        <v>290</v>
      </c>
      <c r="B51" s="165">
        <v>27.21</v>
      </c>
      <c r="C51" s="165">
        <v>71.09</v>
      </c>
      <c r="D51" s="165">
        <v>59.84</v>
      </c>
      <c r="E51" s="165">
        <v>10.2</v>
      </c>
      <c r="F51" s="165">
        <v>8.69</v>
      </c>
      <c r="G51" s="165">
        <v>73.42</v>
      </c>
      <c r="H51" s="165">
        <v>30.95</v>
      </c>
      <c r="I51" s="165">
        <v>8.41</v>
      </c>
      <c r="J51" s="165">
        <v>0.6</v>
      </c>
      <c r="K51" s="165">
        <v>250.86</v>
      </c>
      <c r="L51" s="165">
        <v>32.92</v>
      </c>
      <c r="M51" s="165">
        <v>32.1</v>
      </c>
      <c r="N51" s="165">
        <v>715.3</v>
      </c>
      <c r="O51" s="165">
        <v>0</v>
      </c>
      <c r="P51" s="165">
        <v>0.87</v>
      </c>
      <c r="Q51" s="165">
        <v>5</v>
      </c>
      <c r="R51" s="13"/>
      <c r="S51" s="13"/>
      <c r="T51" s="213"/>
      <c r="U51" s="13"/>
    </row>
    <row r="52" customFormat="1" spans="1:21">
      <c r="A52" s="142" t="s">
        <v>291</v>
      </c>
      <c r="B52" s="165">
        <v>25.02</v>
      </c>
      <c r="C52" s="165">
        <v>69.67</v>
      </c>
      <c r="D52" s="165">
        <v>57.33</v>
      </c>
      <c r="E52" s="165">
        <v>9.4</v>
      </c>
      <c r="F52" s="165">
        <v>8.03</v>
      </c>
      <c r="G52" s="165">
        <v>73.42</v>
      </c>
      <c r="H52" s="165">
        <v>30.95</v>
      </c>
      <c r="I52" s="165">
        <v>8.26</v>
      </c>
      <c r="J52" s="165">
        <v>0.83</v>
      </c>
      <c r="K52" s="165">
        <v>244.28</v>
      </c>
      <c r="L52" s="165">
        <v>33.15</v>
      </c>
      <c r="M52" s="165">
        <v>30.33</v>
      </c>
      <c r="N52" s="165">
        <v>779.3</v>
      </c>
      <c r="O52" s="165">
        <v>0</v>
      </c>
      <c r="P52" s="165">
        <v>0.84</v>
      </c>
      <c r="Q52" s="165">
        <v>5</v>
      </c>
      <c r="R52" s="13"/>
      <c r="S52" s="13"/>
      <c r="T52" s="213"/>
      <c r="U52" s="13"/>
    </row>
    <row r="53" customFormat="1" spans="1:21">
      <c r="A53" s="142" t="s">
        <v>292</v>
      </c>
      <c r="B53" s="165">
        <v>22.47</v>
      </c>
      <c r="C53" s="165">
        <v>72.21</v>
      </c>
      <c r="D53" s="165">
        <v>56.62</v>
      </c>
      <c r="E53" s="165">
        <v>9.12</v>
      </c>
      <c r="F53" s="165">
        <v>8.35</v>
      </c>
      <c r="G53" s="165">
        <v>73.42</v>
      </c>
      <c r="H53" s="165">
        <v>30.95</v>
      </c>
      <c r="I53" s="165">
        <v>8.13</v>
      </c>
      <c r="J53" s="165">
        <v>0.82</v>
      </c>
      <c r="K53" s="165">
        <v>269.37</v>
      </c>
      <c r="L53" s="165">
        <v>33.75</v>
      </c>
      <c r="M53" s="165">
        <v>28.44</v>
      </c>
      <c r="N53" s="165">
        <v>728.3</v>
      </c>
      <c r="O53" s="165">
        <v>0</v>
      </c>
      <c r="P53" s="165">
        <v>0.83</v>
      </c>
      <c r="Q53" s="165">
        <v>5</v>
      </c>
      <c r="R53" s="13"/>
      <c r="S53" s="13"/>
      <c r="T53" s="213"/>
      <c r="U53" s="13"/>
    </row>
    <row r="54" customFormat="1" spans="1:21">
      <c r="A54" s="142" t="s">
        <v>293</v>
      </c>
      <c r="B54" s="165">
        <v>19.36</v>
      </c>
      <c r="C54" s="165">
        <v>71.07</v>
      </c>
      <c r="D54" s="165">
        <v>53.53</v>
      </c>
      <c r="E54" s="165">
        <v>9.53</v>
      </c>
      <c r="F54" s="165">
        <v>12.39</v>
      </c>
      <c r="G54" s="165">
        <v>73.2</v>
      </c>
      <c r="H54" s="165">
        <v>30.67</v>
      </c>
      <c r="I54" s="165">
        <v>8.05</v>
      </c>
      <c r="J54" s="165">
        <v>1.01</v>
      </c>
      <c r="K54" s="165">
        <v>283.13</v>
      </c>
      <c r="L54" s="165">
        <v>33.88</v>
      </c>
      <c r="M54" s="165">
        <v>28.2</v>
      </c>
      <c r="N54" s="165">
        <v>782.1</v>
      </c>
      <c r="O54" s="165">
        <v>0</v>
      </c>
      <c r="P54" s="165">
        <v>0.82</v>
      </c>
      <c r="Q54" s="165">
        <v>5</v>
      </c>
      <c r="R54" s="13"/>
      <c r="S54" s="13"/>
      <c r="T54" s="213"/>
      <c r="U54" s="13"/>
    </row>
    <row r="55" customFormat="1" spans="1:21">
      <c r="A55" s="142" t="s">
        <v>294</v>
      </c>
      <c r="B55" s="165">
        <v>17.25</v>
      </c>
      <c r="C55" s="165">
        <v>68.09</v>
      </c>
      <c r="D55" s="165">
        <v>50.28</v>
      </c>
      <c r="E55" s="165">
        <v>9.56</v>
      </c>
      <c r="F55" s="165">
        <v>11.45</v>
      </c>
      <c r="G55" s="165">
        <v>63.6</v>
      </c>
      <c r="H55" s="165">
        <v>21.43</v>
      </c>
      <c r="I55" s="165">
        <v>7.88</v>
      </c>
      <c r="J55" s="165">
        <v>0.77</v>
      </c>
      <c r="K55" s="165">
        <v>251.84</v>
      </c>
      <c r="L55" s="165">
        <v>34.31</v>
      </c>
      <c r="M55" s="165">
        <v>27.32</v>
      </c>
      <c r="N55" s="165">
        <v>770.6</v>
      </c>
      <c r="O55" s="165">
        <v>0</v>
      </c>
      <c r="P55" s="165">
        <v>0.8</v>
      </c>
      <c r="Q55" s="165">
        <v>5</v>
      </c>
      <c r="R55" s="13"/>
      <c r="S55" s="13"/>
      <c r="T55" s="213"/>
      <c r="U55" s="13"/>
    </row>
    <row r="56" customFormat="1" spans="1:21">
      <c r="A56" s="142" t="s">
        <v>295</v>
      </c>
      <c r="B56" s="165">
        <v>15.98</v>
      </c>
      <c r="C56" s="165">
        <v>70.19</v>
      </c>
      <c r="D56" s="165">
        <v>50.35</v>
      </c>
      <c r="E56" s="165">
        <v>9</v>
      </c>
      <c r="F56" s="165">
        <v>8.33</v>
      </c>
      <c r="G56" s="165">
        <v>63.6</v>
      </c>
      <c r="H56" s="165">
        <v>21.43</v>
      </c>
      <c r="I56" s="165">
        <v>7.68</v>
      </c>
      <c r="J56" s="165">
        <v>0.96</v>
      </c>
      <c r="K56" s="165">
        <v>242.46</v>
      </c>
      <c r="L56" s="165">
        <v>34.44</v>
      </c>
      <c r="M56" s="165">
        <v>27.12</v>
      </c>
      <c r="N56" s="165">
        <v>832.1</v>
      </c>
      <c r="O56" s="165">
        <v>0</v>
      </c>
      <c r="P56" s="165">
        <v>0.79</v>
      </c>
      <c r="Q56" s="165">
        <v>5</v>
      </c>
      <c r="R56" s="13"/>
      <c r="S56" s="13"/>
      <c r="T56" s="213"/>
      <c r="U56" s="13"/>
    </row>
    <row r="57" customFormat="1" spans="1:21">
      <c r="A57" s="142" t="s">
        <v>296</v>
      </c>
      <c r="B57" s="165">
        <v>12.11</v>
      </c>
      <c r="C57" s="165">
        <v>65.38</v>
      </c>
      <c r="D57" s="165">
        <v>44.75</v>
      </c>
      <c r="E57" s="165">
        <v>9.99</v>
      </c>
      <c r="F57" s="165">
        <v>17.64</v>
      </c>
      <c r="G57" s="165">
        <v>63.6</v>
      </c>
      <c r="H57" s="165">
        <v>21.43</v>
      </c>
      <c r="I57" s="165">
        <v>7.63</v>
      </c>
      <c r="J57" s="165">
        <v>0.95</v>
      </c>
      <c r="K57" s="165">
        <v>288.49</v>
      </c>
      <c r="L57" s="165">
        <v>34.95</v>
      </c>
      <c r="M57" s="165">
        <v>26.2</v>
      </c>
      <c r="N57" s="165">
        <v>814.4</v>
      </c>
      <c r="O57" s="165">
        <v>0</v>
      </c>
      <c r="P57" s="165">
        <v>0.75</v>
      </c>
      <c r="Q57" s="165">
        <v>5</v>
      </c>
      <c r="R57" s="13"/>
      <c r="S57" s="13"/>
      <c r="T57" s="213"/>
      <c r="U57" s="13"/>
    </row>
    <row r="58" customFormat="1" spans="1:21">
      <c r="A58" s="142" t="s">
        <v>297</v>
      </c>
      <c r="B58" s="165">
        <v>11.29</v>
      </c>
      <c r="C58" s="165">
        <v>67.64</v>
      </c>
      <c r="D58" s="165">
        <v>45.27</v>
      </c>
      <c r="E58" s="165">
        <v>9.48</v>
      </c>
      <c r="F58" s="165">
        <v>12.12</v>
      </c>
      <c r="G58" s="165">
        <v>63.38</v>
      </c>
      <c r="H58" s="165">
        <v>21.52</v>
      </c>
      <c r="I58" s="165">
        <v>7.48</v>
      </c>
      <c r="J58" s="165">
        <v>0.73</v>
      </c>
      <c r="K58" s="165">
        <v>231.98</v>
      </c>
      <c r="L58" s="165">
        <v>35.69</v>
      </c>
      <c r="M58" s="165">
        <v>24.7</v>
      </c>
      <c r="N58" s="165">
        <v>847.4</v>
      </c>
      <c r="O58" s="165">
        <v>0</v>
      </c>
      <c r="P58" s="165">
        <v>0.77</v>
      </c>
      <c r="Q58" s="165">
        <v>5</v>
      </c>
      <c r="R58" s="13"/>
      <c r="S58" s="13"/>
      <c r="T58" s="213"/>
      <c r="U58" s="13"/>
    </row>
    <row r="59" customFormat="1" spans="1:21">
      <c r="A59" s="142" t="s">
        <v>298</v>
      </c>
      <c r="B59" s="165">
        <v>10.06</v>
      </c>
      <c r="C59" s="165">
        <v>64.32</v>
      </c>
      <c r="D59" s="165">
        <v>42.55</v>
      </c>
      <c r="E59" s="165">
        <v>9.86</v>
      </c>
      <c r="F59" s="165">
        <v>14.34</v>
      </c>
      <c r="G59" s="165">
        <v>53.74</v>
      </c>
      <c r="H59" s="165">
        <v>24.46</v>
      </c>
      <c r="I59" s="165">
        <v>7.33</v>
      </c>
      <c r="J59" s="165">
        <v>0.71</v>
      </c>
      <c r="K59" s="165">
        <v>241.8</v>
      </c>
      <c r="L59" s="165">
        <v>35.98</v>
      </c>
      <c r="M59" s="165">
        <v>23.49</v>
      </c>
      <c r="N59" s="165">
        <v>778.4</v>
      </c>
      <c r="O59" s="165">
        <v>0</v>
      </c>
      <c r="P59" s="165">
        <v>0.73</v>
      </c>
      <c r="Q59" s="165">
        <v>5</v>
      </c>
      <c r="R59" s="13"/>
      <c r="S59" s="13"/>
      <c r="T59" s="213"/>
      <c r="U59" s="13"/>
    </row>
    <row r="60" customFormat="1" spans="1:21">
      <c r="A60" s="142" t="s">
        <v>299</v>
      </c>
      <c r="B60" s="165">
        <v>9.6</v>
      </c>
      <c r="C60" s="165">
        <v>66.62</v>
      </c>
      <c r="D60" s="165">
        <v>43.38</v>
      </c>
      <c r="E60" s="165">
        <v>9.16</v>
      </c>
      <c r="F60" s="165">
        <v>10.1</v>
      </c>
      <c r="G60" s="165">
        <v>53.74</v>
      </c>
      <c r="H60" s="165">
        <v>24.46</v>
      </c>
      <c r="I60" s="165">
        <v>7.2</v>
      </c>
      <c r="J60" s="165">
        <v>1.02</v>
      </c>
      <c r="K60" s="165">
        <v>254.63</v>
      </c>
      <c r="L60" s="165">
        <v>35.69</v>
      </c>
      <c r="M60" s="165">
        <v>24.07</v>
      </c>
      <c r="N60" s="165">
        <v>820.7</v>
      </c>
      <c r="O60" s="165">
        <v>0</v>
      </c>
      <c r="P60" s="165">
        <v>0.71</v>
      </c>
      <c r="Q60" s="165">
        <v>5</v>
      </c>
      <c r="R60" s="13"/>
      <c r="S60" s="13"/>
      <c r="T60" s="213"/>
      <c r="U60" s="13"/>
    </row>
    <row r="61" customFormat="1" spans="1:21">
      <c r="A61" s="142" t="s">
        <v>300</v>
      </c>
      <c r="B61" s="165">
        <v>8.86</v>
      </c>
      <c r="C61" s="165">
        <v>62.68</v>
      </c>
      <c r="D61" s="165">
        <v>40.73</v>
      </c>
      <c r="E61" s="165">
        <v>9.28</v>
      </c>
      <c r="F61" s="165">
        <v>17.57</v>
      </c>
      <c r="G61" s="165">
        <v>53.74</v>
      </c>
      <c r="H61" s="165">
        <v>24.46</v>
      </c>
      <c r="I61" s="165">
        <v>7.13</v>
      </c>
      <c r="J61" s="165">
        <v>1.05</v>
      </c>
      <c r="K61" s="165">
        <v>294.41</v>
      </c>
      <c r="L61" s="165">
        <v>35.71</v>
      </c>
      <c r="M61" s="165">
        <v>23.98</v>
      </c>
      <c r="N61" s="165">
        <v>786.6</v>
      </c>
      <c r="O61" s="165">
        <v>0</v>
      </c>
      <c r="P61" s="165">
        <v>0.69</v>
      </c>
      <c r="Q61" s="165">
        <v>5</v>
      </c>
      <c r="R61" s="13"/>
      <c r="S61" s="13"/>
      <c r="T61" s="213"/>
      <c r="U61" s="13"/>
    </row>
    <row r="62" customFormat="1" spans="1:21">
      <c r="A62" s="142" t="s">
        <v>301</v>
      </c>
      <c r="B62" s="165">
        <v>8.15</v>
      </c>
      <c r="C62" s="165">
        <v>61.22</v>
      </c>
      <c r="D62" s="165">
        <v>39.39</v>
      </c>
      <c r="E62" s="165">
        <v>9.38</v>
      </c>
      <c r="F62" s="165">
        <v>12.8</v>
      </c>
      <c r="G62" s="165">
        <v>53.52</v>
      </c>
      <c r="H62" s="165">
        <v>24.38</v>
      </c>
      <c r="I62" s="165">
        <v>7.02</v>
      </c>
      <c r="J62" s="165">
        <v>0.81</v>
      </c>
      <c r="K62" s="165">
        <v>248.78</v>
      </c>
      <c r="L62" s="165">
        <v>36.23</v>
      </c>
      <c r="M62" s="165">
        <v>23.17</v>
      </c>
      <c r="N62" s="165">
        <v>766</v>
      </c>
      <c r="O62" s="165">
        <v>0</v>
      </c>
      <c r="P62" s="165">
        <v>0.67</v>
      </c>
      <c r="Q62" s="165">
        <v>5</v>
      </c>
      <c r="R62" s="13"/>
      <c r="S62" s="13"/>
      <c r="T62" s="213"/>
      <c r="U62" s="13"/>
    </row>
    <row r="63" customFormat="1" spans="1:21">
      <c r="A63" s="142" t="s">
        <v>302</v>
      </c>
      <c r="B63" s="165">
        <v>7.85</v>
      </c>
      <c r="C63" s="165">
        <v>63.75</v>
      </c>
      <c r="D63" s="165">
        <v>40.47</v>
      </c>
      <c r="E63" s="165">
        <v>8.87</v>
      </c>
      <c r="F63" s="165">
        <v>13.1</v>
      </c>
      <c r="G63" s="165">
        <v>43.79</v>
      </c>
      <c r="H63" s="165">
        <v>19.19</v>
      </c>
      <c r="I63" s="165">
        <v>6.72</v>
      </c>
      <c r="J63" s="165">
        <v>0.73</v>
      </c>
      <c r="K63" s="165">
        <v>233.92</v>
      </c>
      <c r="L63" s="165">
        <v>36.48</v>
      </c>
      <c r="M63" s="165">
        <v>23.48</v>
      </c>
      <c r="N63" s="165">
        <v>715.4</v>
      </c>
      <c r="O63" s="165">
        <v>0</v>
      </c>
      <c r="P63" s="165">
        <v>0.65</v>
      </c>
      <c r="Q63" s="165">
        <v>5</v>
      </c>
      <c r="R63" s="13"/>
      <c r="S63" s="13"/>
      <c r="T63" s="213"/>
      <c r="U63" s="13"/>
    </row>
    <row r="64" customFormat="1" spans="1:21">
      <c r="A64" s="142" t="s">
        <v>303</v>
      </c>
      <c r="B64" s="165">
        <v>7.21</v>
      </c>
      <c r="C64" s="165">
        <v>59.82</v>
      </c>
      <c r="D64" s="165">
        <v>37.9</v>
      </c>
      <c r="E64" s="165">
        <v>9.58</v>
      </c>
      <c r="F64" s="165">
        <v>13.76</v>
      </c>
      <c r="G64" s="165">
        <v>43.79</v>
      </c>
      <c r="H64" s="165">
        <v>19.19</v>
      </c>
      <c r="I64" s="165">
        <v>6.56</v>
      </c>
      <c r="J64" s="165">
        <v>1.19</v>
      </c>
      <c r="K64" s="165">
        <v>295.89</v>
      </c>
      <c r="L64" s="165">
        <v>36.06</v>
      </c>
      <c r="M64" s="165">
        <v>21.72</v>
      </c>
      <c r="N64" s="165">
        <v>725.7</v>
      </c>
      <c r="O64" s="165">
        <v>0</v>
      </c>
      <c r="P64" s="165">
        <v>0.64</v>
      </c>
      <c r="Q64" s="165">
        <v>5</v>
      </c>
      <c r="R64" s="13"/>
      <c r="S64" s="13"/>
      <c r="T64" s="213"/>
      <c r="U64" s="13"/>
    </row>
    <row r="65" customFormat="1" spans="1:21">
      <c r="A65" s="142" t="s">
        <v>304</v>
      </c>
      <c r="B65" s="165">
        <v>7.27</v>
      </c>
      <c r="C65" s="165">
        <v>63.48</v>
      </c>
      <c r="D65" s="165">
        <v>39.87</v>
      </c>
      <c r="E65" s="165">
        <v>9.48</v>
      </c>
      <c r="F65" s="165">
        <v>10.18</v>
      </c>
      <c r="G65" s="165">
        <v>43.79</v>
      </c>
      <c r="H65" s="165">
        <v>19.19</v>
      </c>
      <c r="I65" s="165">
        <v>6.47</v>
      </c>
      <c r="J65" s="165">
        <v>0.59</v>
      </c>
      <c r="K65" s="165">
        <v>261.81</v>
      </c>
      <c r="L65" s="165">
        <v>36.86</v>
      </c>
      <c r="M65" s="165">
        <v>21.61</v>
      </c>
      <c r="N65" s="165">
        <v>709.7</v>
      </c>
      <c r="O65" s="165">
        <v>0</v>
      </c>
      <c r="P65" s="165">
        <v>0.69</v>
      </c>
      <c r="Q65" s="165">
        <v>5</v>
      </c>
      <c r="R65" s="13"/>
      <c r="S65" s="13"/>
      <c r="T65" s="213"/>
      <c r="U65" s="13"/>
    </row>
    <row r="66" customFormat="1" spans="1:21">
      <c r="A66" s="142" t="s">
        <v>305</v>
      </c>
      <c r="B66" s="165">
        <v>6.88</v>
      </c>
      <c r="C66" s="165">
        <v>64.58</v>
      </c>
      <c r="D66" s="165">
        <v>40.13</v>
      </c>
      <c r="E66" s="165">
        <v>8.4</v>
      </c>
      <c r="F66" s="165">
        <v>12.39</v>
      </c>
      <c r="G66" s="165">
        <v>43.73</v>
      </c>
      <c r="H66" s="165">
        <v>19.08</v>
      </c>
      <c r="I66" s="165">
        <v>6.39</v>
      </c>
      <c r="J66" s="165">
        <v>0.88</v>
      </c>
      <c r="K66" s="165">
        <v>280.68</v>
      </c>
      <c r="L66" s="165">
        <v>36.52</v>
      </c>
      <c r="M66" s="165">
        <v>21.81</v>
      </c>
      <c r="N66" s="165">
        <v>673.2</v>
      </c>
      <c r="O66" s="165">
        <v>0</v>
      </c>
      <c r="P66" s="165">
        <v>0.71</v>
      </c>
      <c r="Q66" s="165">
        <v>5</v>
      </c>
      <c r="R66" s="13"/>
      <c r="S66" s="13"/>
      <c r="T66" s="213"/>
      <c r="U66" s="13"/>
    </row>
    <row r="67" customFormat="1" spans="1:21">
      <c r="A67" s="142" t="s">
        <v>306</v>
      </c>
      <c r="B67" s="165">
        <v>6.37</v>
      </c>
      <c r="C67" s="165">
        <v>61.36</v>
      </c>
      <c r="D67" s="165">
        <v>38.04</v>
      </c>
      <c r="E67" s="165">
        <v>8.88</v>
      </c>
      <c r="F67" s="165">
        <v>12.57</v>
      </c>
      <c r="G67" s="165">
        <v>41.11</v>
      </c>
      <c r="H67" s="165">
        <v>15.31</v>
      </c>
      <c r="I67" s="165">
        <v>6.33</v>
      </c>
      <c r="J67" s="165">
        <v>0.96</v>
      </c>
      <c r="K67" s="165">
        <v>285.75</v>
      </c>
      <c r="L67" s="165">
        <v>36.25</v>
      </c>
      <c r="M67" s="165">
        <v>22.4</v>
      </c>
      <c r="N67" s="165">
        <v>642.6</v>
      </c>
      <c r="O67" s="165">
        <v>0</v>
      </c>
      <c r="P67" s="165">
        <v>0.69</v>
      </c>
      <c r="Q67" s="165">
        <v>5</v>
      </c>
      <c r="R67" s="13"/>
      <c r="S67" s="13"/>
      <c r="T67" s="213"/>
      <c r="U67" s="13"/>
    </row>
    <row r="68" customFormat="1" spans="1:21">
      <c r="A68" s="142" t="s">
        <v>307</v>
      </c>
      <c r="B68" s="165">
        <v>6</v>
      </c>
      <c r="C68" s="165">
        <v>62.58</v>
      </c>
      <c r="D68" s="165">
        <v>38.38</v>
      </c>
      <c r="E68" s="165">
        <v>8.96</v>
      </c>
      <c r="F68" s="165">
        <v>12.25</v>
      </c>
      <c r="G68" s="165">
        <v>41.11</v>
      </c>
      <c r="H68" s="165">
        <v>15.31</v>
      </c>
      <c r="I68" s="165">
        <v>6.1</v>
      </c>
      <c r="J68" s="165">
        <v>0.61</v>
      </c>
      <c r="K68" s="165">
        <v>296.76</v>
      </c>
      <c r="L68" s="165">
        <v>36.3</v>
      </c>
      <c r="M68" s="165">
        <v>22.21</v>
      </c>
      <c r="N68" s="165">
        <v>565.8</v>
      </c>
      <c r="O68" s="165">
        <v>0</v>
      </c>
      <c r="P68" s="165">
        <v>0.68</v>
      </c>
      <c r="Q68" s="165">
        <v>5</v>
      </c>
      <c r="R68" s="13"/>
      <c r="S68" s="13"/>
      <c r="T68" s="213"/>
      <c r="U68" s="13"/>
    </row>
    <row r="69" customFormat="1" spans="1:21">
      <c r="A69" s="142" t="s">
        <v>308</v>
      </c>
      <c r="B69" s="165">
        <v>5.88</v>
      </c>
      <c r="C69" s="165">
        <v>63.46</v>
      </c>
      <c r="D69" s="165">
        <v>38.75</v>
      </c>
      <c r="E69" s="165">
        <v>8.58</v>
      </c>
      <c r="F69" s="165">
        <v>11.28</v>
      </c>
      <c r="G69" s="165">
        <v>41.11</v>
      </c>
      <c r="H69" s="165">
        <v>15.31</v>
      </c>
      <c r="I69" s="165">
        <v>5.92</v>
      </c>
      <c r="J69" s="165">
        <v>0.77</v>
      </c>
      <c r="K69" s="165">
        <v>253.24</v>
      </c>
      <c r="L69" s="165">
        <v>36.22</v>
      </c>
      <c r="M69" s="165">
        <v>21.2</v>
      </c>
      <c r="N69" s="165">
        <v>478.7</v>
      </c>
      <c r="O69" s="165">
        <v>0</v>
      </c>
      <c r="P69" s="165">
        <v>0.67</v>
      </c>
      <c r="Q69" s="165">
        <v>5</v>
      </c>
      <c r="R69" s="13"/>
      <c r="S69" s="13"/>
      <c r="T69" s="213"/>
      <c r="U69" s="13"/>
    </row>
    <row r="70" customFormat="1" spans="1:21">
      <c r="A70" s="142" t="s">
        <v>309</v>
      </c>
      <c r="B70" s="165">
        <v>5.68</v>
      </c>
      <c r="C70" s="165">
        <v>62.78</v>
      </c>
      <c r="D70" s="165">
        <v>38.23</v>
      </c>
      <c r="E70" s="165">
        <v>8.48</v>
      </c>
      <c r="F70" s="165">
        <v>14.74</v>
      </c>
      <c r="G70" s="165">
        <v>41</v>
      </c>
      <c r="H70" s="165">
        <v>15.35</v>
      </c>
      <c r="I70" s="165">
        <v>5.76</v>
      </c>
      <c r="J70" s="165">
        <v>0.44</v>
      </c>
      <c r="K70" s="165">
        <v>301.12</v>
      </c>
      <c r="L70" s="165">
        <v>36.13</v>
      </c>
      <c r="M70" s="165">
        <v>20.73</v>
      </c>
      <c r="N70" s="165">
        <v>340.1</v>
      </c>
      <c r="O70" s="165">
        <v>0</v>
      </c>
      <c r="P70" s="165">
        <v>0.65</v>
      </c>
      <c r="Q70" s="165">
        <v>5</v>
      </c>
      <c r="R70" s="13"/>
      <c r="S70" s="13"/>
      <c r="T70" s="213"/>
      <c r="U70" s="13"/>
    </row>
    <row r="71" customFormat="1" spans="1:21">
      <c r="A71" s="142" t="s">
        <v>310</v>
      </c>
      <c r="B71" s="165">
        <v>5.43</v>
      </c>
      <c r="C71" s="165">
        <v>59.47</v>
      </c>
      <c r="D71" s="165">
        <v>36.3</v>
      </c>
      <c r="E71" s="165">
        <v>8.61</v>
      </c>
      <c r="F71" s="165">
        <v>13.61</v>
      </c>
      <c r="G71" s="165">
        <v>36.53</v>
      </c>
      <c r="H71" s="165">
        <v>16.39</v>
      </c>
      <c r="I71" s="165">
        <v>5.6</v>
      </c>
      <c r="J71" s="165">
        <v>0.67</v>
      </c>
      <c r="K71" s="165">
        <v>230.27</v>
      </c>
      <c r="L71" s="165">
        <v>35.52</v>
      </c>
      <c r="M71" s="165">
        <v>22.34</v>
      </c>
      <c r="N71" s="165">
        <v>247.6</v>
      </c>
      <c r="O71" s="165">
        <v>0</v>
      </c>
      <c r="P71" s="165">
        <v>0.63</v>
      </c>
      <c r="Q71" s="165">
        <v>5</v>
      </c>
      <c r="R71" s="13"/>
      <c r="S71" s="13"/>
      <c r="T71" s="213"/>
      <c r="U71" s="13"/>
    </row>
    <row r="72" customFormat="1" spans="1:21">
      <c r="A72" s="142" t="s">
        <v>311</v>
      </c>
      <c r="B72" s="165">
        <v>5.37</v>
      </c>
      <c r="C72" s="165">
        <v>59.83</v>
      </c>
      <c r="D72" s="165">
        <v>36.44</v>
      </c>
      <c r="E72" s="165">
        <v>7.94</v>
      </c>
      <c r="F72" s="165">
        <v>8.92</v>
      </c>
      <c r="G72" s="165">
        <v>36.53</v>
      </c>
      <c r="H72" s="165">
        <v>16.39</v>
      </c>
      <c r="I72" s="165">
        <v>5.4</v>
      </c>
      <c r="J72" s="165">
        <v>0.69</v>
      </c>
      <c r="K72" s="165">
        <v>230.76</v>
      </c>
      <c r="L72" s="165">
        <v>34.86</v>
      </c>
      <c r="M72" s="165">
        <v>24.36</v>
      </c>
      <c r="N72" s="165">
        <v>142.5</v>
      </c>
      <c r="O72" s="165">
        <v>0</v>
      </c>
      <c r="P72" s="165">
        <v>0.64</v>
      </c>
      <c r="Q72" s="165">
        <v>5</v>
      </c>
      <c r="R72" s="13"/>
      <c r="S72" s="13"/>
      <c r="T72" s="213"/>
      <c r="U72" s="13"/>
    </row>
    <row r="73" customFormat="1" spans="1:21">
      <c r="A73" s="142" t="s">
        <v>312</v>
      </c>
      <c r="B73" s="165">
        <v>5.25</v>
      </c>
      <c r="C73" s="165">
        <v>61.29</v>
      </c>
      <c r="D73" s="165">
        <v>37.1</v>
      </c>
      <c r="E73" s="165">
        <v>8.3</v>
      </c>
      <c r="F73" s="165">
        <v>16.1</v>
      </c>
      <c r="G73" s="165">
        <v>36.53</v>
      </c>
      <c r="H73" s="165">
        <v>16.39</v>
      </c>
      <c r="I73" s="165">
        <v>5.25</v>
      </c>
      <c r="J73" s="165">
        <v>0.58</v>
      </c>
      <c r="K73" s="165">
        <v>229.99</v>
      </c>
      <c r="L73" s="165">
        <v>35.33</v>
      </c>
      <c r="M73" s="165">
        <v>23.35</v>
      </c>
      <c r="N73" s="165">
        <v>327.4</v>
      </c>
      <c r="O73" s="165">
        <v>0</v>
      </c>
      <c r="P73" s="165">
        <v>0.6</v>
      </c>
      <c r="Q73" s="165">
        <v>5</v>
      </c>
      <c r="R73" s="13"/>
      <c r="S73" s="13"/>
      <c r="T73" s="213"/>
      <c r="U73" s="13"/>
    </row>
    <row r="74" customFormat="1" spans="1:21">
      <c r="A74" s="142" t="s">
        <v>313</v>
      </c>
      <c r="B74" s="165">
        <v>5.05</v>
      </c>
      <c r="C74" s="165">
        <v>55.5</v>
      </c>
      <c r="D74" s="165">
        <v>33.92</v>
      </c>
      <c r="E74" s="165">
        <v>8.57</v>
      </c>
      <c r="F74" s="165">
        <v>14.68</v>
      </c>
      <c r="G74" s="165">
        <v>36.46</v>
      </c>
      <c r="H74" s="165">
        <v>16.41</v>
      </c>
      <c r="I74" s="165">
        <v>5.18</v>
      </c>
      <c r="J74" s="165">
        <v>0.45</v>
      </c>
      <c r="K74" s="165">
        <v>222.08</v>
      </c>
      <c r="L74" s="165">
        <v>35.79</v>
      </c>
      <c r="M74" s="165">
        <v>22.55</v>
      </c>
      <c r="N74" s="165">
        <v>239.4</v>
      </c>
      <c r="O74" s="165">
        <v>0</v>
      </c>
      <c r="P74" s="165">
        <v>0.6</v>
      </c>
      <c r="Q74" s="165">
        <v>5</v>
      </c>
      <c r="R74" s="13"/>
      <c r="S74" s="13"/>
      <c r="T74" s="213"/>
      <c r="U74" s="13"/>
    </row>
    <row r="75" customFormat="1" spans="1:21">
      <c r="A75" s="142" t="s">
        <v>314</v>
      </c>
      <c r="B75" s="165">
        <v>5.07</v>
      </c>
      <c r="C75" s="165">
        <v>57.01</v>
      </c>
      <c r="D75" s="165">
        <v>34.72</v>
      </c>
      <c r="E75" s="165">
        <v>8.17</v>
      </c>
      <c r="F75" s="165">
        <v>15.92</v>
      </c>
      <c r="G75" s="165">
        <v>33.46</v>
      </c>
      <c r="H75" s="165">
        <v>17.17</v>
      </c>
      <c r="I75" s="165">
        <v>4.94</v>
      </c>
      <c r="J75" s="165">
        <v>0.39</v>
      </c>
      <c r="K75" s="165">
        <v>237.3</v>
      </c>
      <c r="L75" s="165">
        <v>35.53</v>
      </c>
      <c r="M75" s="165">
        <v>23.08</v>
      </c>
      <c r="N75" s="165">
        <v>117.3</v>
      </c>
      <c r="O75" s="165">
        <v>0</v>
      </c>
      <c r="P75" s="165">
        <v>0.59</v>
      </c>
      <c r="Q75" s="165">
        <v>5</v>
      </c>
      <c r="R75" s="13"/>
      <c r="S75" s="13"/>
      <c r="T75" s="213"/>
      <c r="U75" s="13"/>
    </row>
    <row r="76" customFormat="1" spans="1:21">
      <c r="A76" s="142" t="s">
        <v>315</v>
      </c>
      <c r="B76" s="165">
        <v>5</v>
      </c>
      <c r="C76" s="165">
        <v>55.78</v>
      </c>
      <c r="D76" s="165">
        <v>34.03</v>
      </c>
      <c r="E76" s="165">
        <v>8.86</v>
      </c>
      <c r="F76" s="165">
        <v>22.92</v>
      </c>
      <c r="G76" s="165">
        <v>33.46</v>
      </c>
      <c r="H76" s="165">
        <v>17.17</v>
      </c>
      <c r="I76" s="165">
        <v>4.72</v>
      </c>
      <c r="J76" s="165">
        <v>0.24</v>
      </c>
      <c r="K76" s="165">
        <v>183.06</v>
      </c>
      <c r="L76" s="165">
        <v>35.17</v>
      </c>
      <c r="M76" s="165">
        <v>24.15</v>
      </c>
      <c r="N76" s="165">
        <v>97.9</v>
      </c>
      <c r="O76" s="165">
        <v>0</v>
      </c>
      <c r="P76" s="165">
        <v>0.57</v>
      </c>
      <c r="Q76" s="165">
        <v>5</v>
      </c>
      <c r="R76" s="13"/>
      <c r="S76" s="13"/>
      <c r="T76" s="213"/>
      <c r="U76" s="13"/>
    </row>
    <row r="77" customFormat="1" spans="1:21">
      <c r="A77" s="142" t="s">
        <v>316</v>
      </c>
      <c r="B77" s="165">
        <v>4.87</v>
      </c>
      <c r="C77" s="165">
        <v>53.86</v>
      </c>
      <c r="D77" s="165">
        <v>32.92</v>
      </c>
      <c r="E77" s="165">
        <v>9.55</v>
      </c>
      <c r="F77" s="165">
        <v>22.07</v>
      </c>
      <c r="G77" s="165">
        <v>33.46</v>
      </c>
      <c r="H77" s="165">
        <v>17.17</v>
      </c>
      <c r="I77" s="165">
        <v>4.65</v>
      </c>
      <c r="J77" s="165">
        <v>0.18</v>
      </c>
      <c r="K77" s="165">
        <v>222.56</v>
      </c>
      <c r="L77" s="165">
        <v>35.07</v>
      </c>
      <c r="M77" s="165">
        <v>23.12</v>
      </c>
      <c r="N77" s="165">
        <v>80.6</v>
      </c>
      <c r="O77" s="165">
        <v>0</v>
      </c>
      <c r="P77" s="165">
        <v>0.57</v>
      </c>
      <c r="Q77" s="165">
        <v>5</v>
      </c>
      <c r="R77" s="13"/>
      <c r="S77" s="13"/>
      <c r="T77" s="213"/>
      <c r="U77" s="13"/>
    </row>
    <row r="78" customFormat="1" spans="1:21">
      <c r="A78" s="142" t="s">
        <v>317</v>
      </c>
      <c r="B78" s="165">
        <v>4.91</v>
      </c>
      <c r="C78" s="165">
        <v>53.35</v>
      </c>
      <c r="D78" s="165">
        <v>32.69</v>
      </c>
      <c r="E78" s="165">
        <v>9.22</v>
      </c>
      <c r="F78" s="165">
        <v>21.48</v>
      </c>
      <c r="G78" s="165">
        <v>33.37</v>
      </c>
      <c r="H78" s="165">
        <v>17.2</v>
      </c>
      <c r="I78" s="165">
        <v>4.52</v>
      </c>
      <c r="J78" s="165">
        <v>0.34</v>
      </c>
      <c r="K78" s="165">
        <v>214.22</v>
      </c>
      <c r="L78" s="165">
        <v>34.27</v>
      </c>
      <c r="M78" s="165">
        <v>23.41</v>
      </c>
      <c r="N78" s="165">
        <v>49.1</v>
      </c>
      <c r="O78" s="165">
        <v>0</v>
      </c>
      <c r="P78" s="165">
        <v>0.6</v>
      </c>
      <c r="Q78" s="165">
        <v>5</v>
      </c>
      <c r="R78" s="13"/>
      <c r="S78" s="13"/>
      <c r="T78" s="213"/>
      <c r="U78" s="13"/>
    </row>
    <row r="79" customFormat="1" spans="1:21">
      <c r="A79" s="142" t="s">
        <v>318</v>
      </c>
      <c r="B79" s="165">
        <v>5.14</v>
      </c>
      <c r="C79" s="165">
        <v>53.46</v>
      </c>
      <c r="D79" s="165">
        <v>32.93</v>
      </c>
      <c r="E79" s="165">
        <v>10.38</v>
      </c>
      <c r="F79" s="165">
        <v>19.11</v>
      </c>
      <c r="G79" s="165">
        <v>29.38</v>
      </c>
      <c r="H79" s="165">
        <v>18.21</v>
      </c>
      <c r="I79" s="165">
        <v>4.51</v>
      </c>
      <c r="J79" s="165">
        <v>0.23</v>
      </c>
      <c r="K79" s="165">
        <v>219.3</v>
      </c>
      <c r="L79" s="165">
        <v>33.64</v>
      </c>
      <c r="M79" s="165">
        <v>24.72</v>
      </c>
      <c r="N79" s="165">
        <v>25.6</v>
      </c>
      <c r="O79" s="165">
        <v>0</v>
      </c>
      <c r="P79" s="165">
        <v>0.6</v>
      </c>
      <c r="Q79" s="165">
        <v>5</v>
      </c>
      <c r="R79" s="13"/>
      <c r="S79" s="13"/>
      <c r="T79" s="213"/>
      <c r="U79" s="13"/>
    </row>
    <row r="80" customFormat="1" spans="1:21">
      <c r="A80" s="142" t="s">
        <v>319</v>
      </c>
      <c r="B80" s="165">
        <v>5.25</v>
      </c>
      <c r="C80" s="165">
        <v>52.85</v>
      </c>
      <c r="D80" s="165">
        <v>32.7</v>
      </c>
      <c r="E80" s="165">
        <v>9.99</v>
      </c>
      <c r="F80" s="165">
        <v>18.68</v>
      </c>
      <c r="G80" s="165">
        <v>29.38</v>
      </c>
      <c r="H80" s="165">
        <v>18.21</v>
      </c>
      <c r="I80" s="165">
        <v>4.65</v>
      </c>
      <c r="J80" s="165">
        <v>0.23</v>
      </c>
      <c r="K80" s="165">
        <v>155.67</v>
      </c>
      <c r="L80" s="165">
        <v>33.13</v>
      </c>
      <c r="M80" s="165">
        <v>25.9</v>
      </c>
      <c r="N80" s="165">
        <v>7.6</v>
      </c>
      <c r="O80" s="165">
        <v>0</v>
      </c>
      <c r="P80" s="165">
        <v>0.59</v>
      </c>
      <c r="Q80" s="165">
        <v>5</v>
      </c>
      <c r="R80" s="13"/>
      <c r="S80" s="13"/>
      <c r="T80" s="213"/>
      <c r="U80" s="13"/>
    </row>
    <row r="81" customFormat="1" spans="1:21">
      <c r="A81" s="142" t="s">
        <v>320</v>
      </c>
      <c r="B81" s="165">
        <v>5.27</v>
      </c>
      <c r="C81" s="165">
        <v>53.55</v>
      </c>
      <c r="D81" s="165">
        <v>33.08</v>
      </c>
      <c r="E81" s="165">
        <v>5.93</v>
      </c>
      <c r="F81" s="165">
        <v>16.47</v>
      </c>
      <c r="G81" s="165">
        <v>29.38</v>
      </c>
      <c r="H81" s="165">
        <v>18.21</v>
      </c>
      <c r="I81" s="165">
        <v>4.61</v>
      </c>
      <c r="J81" s="165">
        <v>0.15</v>
      </c>
      <c r="K81" s="165">
        <v>155.24</v>
      </c>
      <c r="L81" s="165">
        <v>32.03</v>
      </c>
      <c r="M81" s="165">
        <v>30.61</v>
      </c>
      <c r="N81" s="165">
        <v>0</v>
      </c>
      <c r="O81" s="165">
        <v>0</v>
      </c>
      <c r="P81" s="165">
        <v>0.59</v>
      </c>
      <c r="Q81" s="165">
        <v>5</v>
      </c>
      <c r="R81" s="13"/>
      <c r="S81" s="13"/>
      <c r="T81" s="213"/>
      <c r="U81" s="13"/>
    </row>
    <row r="82" customFormat="1" spans="1:21">
      <c r="A82" s="142" t="s">
        <v>321</v>
      </c>
      <c r="B82" s="165">
        <v>5.28</v>
      </c>
      <c r="C82" s="165">
        <v>50.53</v>
      </c>
      <c r="D82" s="165">
        <v>31.5</v>
      </c>
      <c r="E82" s="165">
        <v>9.86</v>
      </c>
      <c r="F82" s="165">
        <v>21.48</v>
      </c>
      <c r="G82" s="165">
        <v>29.52</v>
      </c>
      <c r="H82" s="165">
        <v>18.16</v>
      </c>
      <c r="I82" s="165">
        <v>4.51</v>
      </c>
      <c r="J82" s="165">
        <v>0.18</v>
      </c>
      <c r="K82" s="165">
        <v>144.5</v>
      </c>
      <c r="L82" s="165">
        <v>31.22</v>
      </c>
      <c r="M82" s="165">
        <v>33.44</v>
      </c>
      <c r="N82" s="165">
        <v>0</v>
      </c>
      <c r="O82" s="165">
        <v>0</v>
      </c>
      <c r="P82" s="165">
        <v>0.58</v>
      </c>
      <c r="Q82" s="165">
        <v>5</v>
      </c>
      <c r="R82" s="13"/>
      <c r="S82" s="13"/>
      <c r="T82" s="213"/>
      <c r="U82" s="13"/>
    </row>
    <row r="83" customFormat="1" spans="1:21">
      <c r="A83" s="142" t="s">
        <v>322</v>
      </c>
      <c r="B83" s="165">
        <v>5.76</v>
      </c>
      <c r="C83" s="165">
        <v>54.99</v>
      </c>
      <c r="D83" s="165">
        <v>34.22</v>
      </c>
      <c r="E83" s="165">
        <v>9.74</v>
      </c>
      <c r="F83" s="165">
        <v>17.45</v>
      </c>
      <c r="G83" s="165">
        <v>35.49</v>
      </c>
      <c r="H83" s="165">
        <v>16.65</v>
      </c>
      <c r="I83" s="165">
        <v>4.48</v>
      </c>
      <c r="J83" s="165">
        <v>0.17</v>
      </c>
      <c r="K83" s="165">
        <v>154.57</v>
      </c>
      <c r="L83" s="165">
        <v>30.85</v>
      </c>
      <c r="M83" s="165">
        <v>35.2</v>
      </c>
      <c r="N83" s="165">
        <v>0</v>
      </c>
      <c r="O83" s="165">
        <v>0</v>
      </c>
      <c r="P83" s="165">
        <v>0.58</v>
      </c>
      <c r="Q83" s="165">
        <v>5</v>
      </c>
      <c r="R83" s="13"/>
      <c r="S83" s="13"/>
      <c r="T83" s="213"/>
      <c r="U83" s="13"/>
    </row>
    <row r="84" customFormat="1" spans="1:21">
      <c r="A84" s="142" t="s">
        <v>323</v>
      </c>
      <c r="B84" s="165">
        <v>5.98</v>
      </c>
      <c r="C84" s="165">
        <v>54.61</v>
      </c>
      <c r="D84" s="165">
        <v>34.2</v>
      </c>
      <c r="E84" s="165">
        <v>9.36</v>
      </c>
      <c r="F84" s="165">
        <v>15.55</v>
      </c>
      <c r="G84" s="165">
        <v>35.49</v>
      </c>
      <c r="H84" s="165">
        <v>16.65</v>
      </c>
      <c r="I84" s="165">
        <v>4.35</v>
      </c>
      <c r="J84" s="165">
        <v>0.16</v>
      </c>
      <c r="K84" s="165">
        <v>148.63</v>
      </c>
      <c r="L84" s="165">
        <v>30.37</v>
      </c>
      <c r="M84" s="165">
        <v>38.71</v>
      </c>
      <c r="N84" s="165">
        <v>0</v>
      </c>
      <c r="O84" s="165">
        <v>0</v>
      </c>
      <c r="P84" s="165">
        <v>0.6</v>
      </c>
      <c r="Q84" s="165">
        <v>5</v>
      </c>
      <c r="R84" s="13"/>
      <c r="S84" s="13"/>
      <c r="T84" s="213"/>
      <c r="U84" s="13"/>
    </row>
    <row r="85" customFormat="1" spans="1:21">
      <c r="A85" s="142" t="s">
        <v>324</v>
      </c>
      <c r="B85" s="165">
        <v>6.29</v>
      </c>
      <c r="C85" s="165">
        <v>52.33</v>
      </c>
      <c r="D85" s="165">
        <v>33.26</v>
      </c>
      <c r="E85" s="165">
        <v>10.05</v>
      </c>
      <c r="F85" s="165">
        <v>22.58</v>
      </c>
      <c r="G85" s="165">
        <v>35.49</v>
      </c>
      <c r="H85" s="165">
        <v>16.65</v>
      </c>
      <c r="I85" s="165">
        <v>4.45</v>
      </c>
      <c r="J85" s="165">
        <v>0.12</v>
      </c>
      <c r="K85" s="165">
        <v>173.45</v>
      </c>
      <c r="L85" s="165">
        <v>30.05</v>
      </c>
      <c r="M85" s="165">
        <v>40.31</v>
      </c>
      <c r="N85" s="165">
        <v>0</v>
      </c>
      <c r="O85" s="165">
        <v>0</v>
      </c>
      <c r="P85" s="165">
        <v>0.61</v>
      </c>
      <c r="Q85" s="165">
        <v>5</v>
      </c>
      <c r="R85" s="13"/>
      <c r="S85" s="13"/>
      <c r="T85" s="213"/>
      <c r="U85" s="13"/>
    </row>
    <row r="86" customFormat="1" spans="1:21">
      <c r="A86" s="142" t="s">
        <v>325</v>
      </c>
      <c r="B86" s="165">
        <v>6.67</v>
      </c>
      <c r="C86" s="165">
        <v>51.81</v>
      </c>
      <c r="D86" s="165">
        <v>33.29</v>
      </c>
      <c r="E86" s="165">
        <v>10.09</v>
      </c>
      <c r="F86" s="165">
        <v>21.05</v>
      </c>
      <c r="G86" s="165">
        <v>35.54</v>
      </c>
      <c r="H86" s="165">
        <v>16.62</v>
      </c>
      <c r="I86" s="165">
        <v>4.56</v>
      </c>
      <c r="J86" s="165">
        <v>0.11</v>
      </c>
      <c r="K86" s="165">
        <v>158.73</v>
      </c>
      <c r="L86" s="165">
        <v>29.66</v>
      </c>
      <c r="M86" s="165">
        <v>43.79</v>
      </c>
      <c r="N86" s="165">
        <v>0</v>
      </c>
      <c r="O86" s="165">
        <v>0</v>
      </c>
      <c r="P86" s="165">
        <v>0.6</v>
      </c>
      <c r="Q86" s="165">
        <v>5</v>
      </c>
      <c r="R86" s="13"/>
      <c r="S86" s="13"/>
      <c r="T86" s="213"/>
      <c r="U86" s="13"/>
    </row>
    <row r="87" customFormat="1" spans="1:21">
      <c r="A87" s="142" t="s">
        <v>326</v>
      </c>
      <c r="B87" s="165">
        <v>7.33</v>
      </c>
      <c r="C87" s="165">
        <v>52.46</v>
      </c>
      <c r="D87" s="165">
        <v>34.16</v>
      </c>
      <c r="E87" s="165">
        <v>10.27</v>
      </c>
      <c r="F87" s="165">
        <v>14.24</v>
      </c>
      <c r="G87" s="165">
        <v>37.79</v>
      </c>
      <c r="H87" s="165">
        <v>15.55</v>
      </c>
      <c r="I87" s="165">
        <v>4.64</v>
      </c>
      <c r="J87" s="165">
        <v>0.12</v>
      </c>
      <c r="K87" s="165">
        <v>151.93</v>
      </c>
      <c r="L87" s="165">
        <v>29.25</v>
      </c>
      <c r="M87" s="165">
        <v>45.76</v>
      </c>
      <c r="N87" s="165">
        <v>0</v>
      </c>
      <c r="O87" s="165">
        <v>0</v>
      </c>
      <c r="P87" s="165">
        <v>0.6</v>
      </c>
      <c r="Q87" s="165">
        <v>5</v>
      </c>
      <c r="R87" s="13"/>
      <c r="S87" s="13"/>
      <c r="T87" s="213"/>
      <c r="U87" s="13"/>
    </row>
    <row r="88" customFormat="1" spans="1:21">
      <c r="A88" s="142" t="s">
        <v>327</v>
      </c>
      <c r="B88" s="165">
        <v>7.72</v>
      </c>
      <c r="C88" s="165">
        <v>53.05</v>
      </c>
      <c r="D88" s="165">
        <v>34.78</v>
      </c>
      <c r="E88" s="165">
        <v>10.2</v>
      </c>
      <c r="F88" s="165">
        <v>13</v>
      </c>
      <c r="G88" s="165">
        <v>37.79</v>
      </c>
      <c r="H88" s="165">
        <v>15.55</v>
      </c>
      <c r="I88" s="165">
        <v>4.83</v>
      </c>
      <c r="J88" s="165">
        <v>0.08</v>
      </c>
      <c r="K88" s="165">
        <v>167.25</v>
      </c>
      <c r="L88" s="165">
        <v>28.76</v>
      </c>
      <c r="M88" s="165">
        <v>47.74</v>
      </c>
      <c r="N88" s="165">
        <v>0</v>
      </c>
      <c r="O88" s="165">
        <v>0</v>
      </c>
      <c r="P88" s="165">
        <v>0.61</v>
      </c>
      <c r="Q88" s="165">
        <v>5</v>
      </c>
      <c r="R88" s="13"/>
      <c r="S88" s="13"/>
      <c r="T88" s="213"/>
      <c r="U88" s="13"/>
    </row>
    <row r="89" customFormat="1" spans="1:21">
      <c r="A89" s="142" t="s">
        <v>328</v>
      </c>
      <c r="B89" s="165">
        <v>8.36</v>
      </c>
      <c r="C89" s="165">
        <v>54.7</v>
      </c>
      <c r="D89" s="165">
        <v>36.16</v>
      </c>
      <c r="E89" s="165">
        <v>10.27</v>
      </c>
      <c r="F89" s="165">
        <v>11.44</v>
      </c>
      <c r="G89" s="165">
        <v>37.79</v>
      </c>
      <c r="H89" s="165">
        <v>15.55</v>
      </c>
      <c r="I89" s="165">
        <v>4.99</v>
      </c>
      <c r="J89" s="165">
        <v>0.12</v>
      </c>
      <c r="K89" s="165">
        <v>172.59</v>
      </c>
      <c r="L89" s="165">
        <v>28.5</v>
      </c>
      <c r="M89" s="165">
        <v>48.02</v>
      </c>
      <c r="N89" s="165">
        <v>0</v>
      </c>
      <c r="O89" s="165">
        <v>0</v>
      </c>
      <c r="P89" s="165">
        <v>0.62</v>
      </c>
      <c r="Q89" s="165">
        <v>5</v>
      </c>
      <c r="R89" s="13"/>
      <c r="S89" s="13"/>
      <c r="T89" s="213"/>
      <c r="U89" s="13"/>
    </row>
    <row r="90" customFormat="1" spans="1:21">
      <c r="A90" s="142" t="s">
        <v>329</v>
      </c>
      <c r="B90" s="165">
        <v>9.01</v>
      </c>
      <c r="C90" s="165">
        <v>55.59</v>
      </c>
      <c r="D90" s="165">
        <v>37.14</v>
      </c>
      <c r="E90" s="165">
        <v>10.7</v>
      </c>
      <c r="F90" s="165">
        <v>11.64</v>
      </c>
      <c r="G90" s="165">
        <v>37.8</v>
      </c>
      <c r="H90" s="165">
        <v>15.7</v>
      </c>
      <c r="I90" s="165">
        <v>5.04</v>
      </c>
      <c r="J90" s="165">
        <v>0.12</v>
      </c>
      <c r="K90" s="165">
        <v>158.29</v>
      </c>
      <c r="L90" s="165">
        <v>28.33</v>
      </c>
      <c r="M90" s="165">
        <v>49.38</v>
      </c>
      <c r="N90" s="165">
        <v>0</v>
      </c>
      <c r="O90" s="165">
        <v>0</v>
      </c>
      <c r="P90" s="165">
        <v>0.63</v>
      </c>
      <c r="Q90" s="165">
        <v>5</v>
      </c>
      <c r="R90" s="13"/>
      <c r="S90" s="13"/>
      <c r="T90" s="213"/>
      <c r="U90" s="13"/>
    </row>
    <row r="91" customFormat="1" spans="1:21">
      <c r="A91" s="142" t="s">
        <v>330</v>
      </c>
      <c r="B91" s="165">
        <v>9.61</v>
      </c>
      <c r="C91" s="165">
        <v>55.17</v>
      </c>
      <c r="D91" s="165">
        <v>37.41</v>
      </c>
      <c r="E91" s="165">
        <v>10.09</v>
      </c>
      <c r="F91" s="165">
        <v>10.29</v>
      </c>
      <c r="G91" s="165">
        <v>38.47</v>
      </c>
      <c r="H91" s="165">
        <v>20.66</v>
      </c>
      <c r="I91" s="165">
        <v>5.06</v>
      </c>
      <c r="J91" s="165">
        <v>0.13</v>
      </c>
      <c r="K91" s="165">
        <v>149.97</v>
      </c>
      <c r="L91" s="165">
        <v>28.11</v>
      </c>
      <c r="M91" s="165">
        <v>51.53</v>
      </c>
      <c r="N91" s="165">
        <v>0</v>
      </c>
      <c r="O91" s="165">
        <v>0</v>
      </c>
      <c r="P91" s="165">
        <v>0.64</v>
      </c>
      <c r="Q91" s="165">
        <v>5</v>
      </c>
      <c r="R91" s="13"/>
      <c r="S91" s="13"/>
      <c r="T91" s="213"/>
      <c r="U91" s="13"/>
    </row>
    <row r="92" customFormat="1" spans="1:21">
      <c r="A92" s="142" t="s">
        <v>331</v>
      </c>
      <c r="B92" s="165">
        <v>9.97</v>
      </c>
      <c r="C92" s="165">
        <v>55</v>
      </c>
      <c r="D92" s="165">
        <v>37.6</v>
      </c>
      <c r="E92" s="165">
        <v>9.56</v>
      </c>
      <c r="F92" s="165">
        <v>10.28</v>
      </c>
      <c r="G92" s="165">
        <v>38.47</v>
      </c>
      <c r="H92" s="165">
        <v>20.66</v>
      </c>
      <c r="I92" s="165">
        <v>5.11</v>
      </c>
      <c r="J92" s="165">
        <v>0.1</v>
      </c>
      <c r="K92" s="165">
        <v>181.54</v>
      </c>
      <c r="L92" s="165">
        <v>27.73</v>
      </c>
      <c r="M92" s="165">
        <v>53.63</v>
      </c>
      <c r="N92" s="165">
        <v>0</v>
      </c>
      <c r="O92" s="165">
        <v>0</v>
      </c>
      <c r="P92" s="165">
        <v>0.64</v>
      </c>
      <c r="Q92" s="165">
        <v>5</v>
      </c>
      <c r="R92" s="13"/>
      <c r="S92" s="13"/>
      <c r="T92" s="213"/>
      <c r="U92" s="13"/>
    </row>
    <row r="93" customFormat="1" spans="1:21">
      <c r="A93" s="142" t="s">
        <v>332</v>
      </c>
      <c r="B93" s="165">
        <v>10.81</v>
      </c>
      <c r="C93" s="165">
        <v>56.07</v>
      </c>
      <c r="D93" s="165">
        <v>38.84</v>
      </c>
      <c r="E93" s="165">
        <v>9.85</v>
      </c>
      <c r="F93" s="165">
        <v>9.5</v>
      </c>
      <c r="G93" s="165">
        <v>38.47</v>
      </c>
      <c r="H93" s="165">
        <v>20.66</v>
      </c>
      <c r="I93" s="165">
        <v>5.21</v>
      </c>
      <c r="J93" s="165">
        <v>0.06</v>
      </c>
      <c r="K93" s="165">
        <v>233.01</v>
      </c>
      <c r="L93" s="165">
        <v>27.29</v>
      </c>
      <c r="M93" s="165">
        <v>54.42</v>
      </c>
      <c r="N93" s="165">
        <v>0</v>
      </c>
      <c r="O93" s="165">
        <v>0</v>
      </c>
      <c r="P93" s="165">
        <v>0.65</v>
      </c>
      <c r="Q93" s="165">
        <v>5</v>
      </c>
      <c r="R93" s="13"/>
      <c r="S93" s="13"/>
      <c r="T93" s="213"/>
      <c r="U93" s="13"/>
    </row>
    <row r="94" customFormat="1" spans="1:21">
      <c r="A94" s="142" t="s">
        <v>333</v>
      </c>
      <c r="B94" s="165">
        <v>11.23</v>
      </c>
      <c r="C94" s="165">
        <v>55.45</v>
      </c>
      <c r="D94" s="165">
        <v>38.86</v>
      </c>
      <c r="E94" s="165">
        <v>9.8</v>
      </c>
      <c r="F94" s="165">
        <v>11.3</v>
      </c>
      <c r="G94" s="165">
        <v>38.54</v>
      </c>
      <c r="H94" s="165">
        <v>20.68</v>
      </c>
      <c r="I94" s="165">
        <v>5.4</v>
      </c>
      <c r="J94" s="165">
        <v>0.08</v>
      </c>
      <c r="K94" s="165">
        <v>163.47</v>
      </c>
      <c r="L94" s="165">
        <v>27.24</v>
      </c>
      <c r="M94" s="165">
        <v>54.13</v>
      </c>
      <c r="N94" s="165">
        <v>0</v>
      </c>
      <c r="O94" s="165">
        <v>0</v>
      </c>
      <c r="P94" s="165">
        <v>0.66</v>
      </c>
      <c r="Q94" s="165">
        <v>5</v>
      </c>
      <c r="R94" s="13"/>
      <c r="S94" s="13"/>
      <c r="T94" s="213"/>
      <c r="U94" s="13"/>
    </row>
    <row r="95" customFormat="1" spans="1:21">
      <c r="A95" s="142" t="s">
        <v>334</v>
      </c>
      <c r="B95" s="165">
        <v>12.02</v>
      </c>
      <c r="C95" s="165">
        <v>58.35</v>
      </c>
      <c r="D95" s="165">
        <v>41</v>
      </c>
      <c r="E95" s="165">
        <v>10.17</v>
      </c>
      <c r="F95" s="165">
        <v>7.98</v>
      </c>
      <c r="G95" s="165">
        <v>41.8</v>
      </c>
      <c r="H95" s="165">
        <v>21.34</v>
      </c>
      <c r="I95" s="165">
        <v>5.5</v>
      </c>
      <c r="J95" s="165">
        <v>0.12</v>
      </c>
      <c r="K95" s="165">
        <v>137.89</v>
      </c>
      <c r="L95" s="165">
        <v>27.11</v>
      </c>
      <c r="M95" s="165">
        <v>56.02</v>
      </c>
      <c r="N95" s="165">
        <v>0</v>
      </c>
      <c r="O95" s="165">
        <v>0</v>
      </c>
      <c r="P95" s="165">
        <v>0.67</v>
      </c>
      <c r="Q95" s="165">
        <v>5</v>
      </c>
      <c r="R95" s="13"/>
      <c r="S95" s="13"/>
      <c r="T95" s="213"/>
      <c r="U95" s="13"/>
    </row>
    <row r="96" customFormat="1" spans="1:26">
      <c r="A96" s="142" t="s">
        <v>335</v>
      </c>
      <c r="B96" s="165">
        <v>12.39</v>
      </c>
      <c r="C96" s="165">
        <v>58.24</v>
      </c>
      <c r="D96" s="165">
        <v>41.24</v>
      </c>
      <c r="E96" s="165">
        <v>9.68</v>
      </c>
      <c r="F96" s="165">
        <v>8.49</v>
      </c>
      <c r="G96" s="165">
        <v>41.8</v>
      </c>
      <c r="H96" s="165">
        <v>21.34</v>
      </c>
      <c r="I96" s="165">
        <v>5.53</v>
      </c>
      <c r="J96" s="165">
        <v>0.13</v>
      </c>
      <c r="K96" s="165">
        <v>164.9</v>
      </c>
      <c r="L96" s="165">
        <v>27.04</v>
      </c>
      <c r="M96" s="165">
        <v>56.75</v>
      </c>
      <c r="N96" s="165">
        <v>0</v>
      </c>
      <c r="O96" s="165">
        <v>0</v>
      </c>
      <c r="P96" s="165">
        <v>0.67</v>
      </c>
      <c r="Q96" s="165">
        <v>5</v>
      </c>
      <c r="R96" s="13"/>
      <c r="S96" s="13"/>
      <c r="T96" s="213"/>
      <c r="U96" s="13"/>
      <c r="Z96" s="222"/>
    </row>
    <row r="97" customFormat="1" spans="1:21">
      <c r="A97" s="142" t="s">
        <v>336</v>
      </c>
      <c r="B97" s="165">
        <v>13.21</v>
      </c>
      <c r="C97" s="165">
        <v>59.15</v>
      </c>
      <c r="D97" s="165">
        <v>42.37</v>
      </c>
      <c r="E97" s="165">
        <v>9.72</v>
      </c>
      <c r="F97" s="165">
        <v>7.88</v>
      </c>
      <c r="G97" s="165">
        <v>41.8</v>
      </c>
      <c r="H97" s="165">
        <v>21.34</v>
      </c>
      <c r="I97" s="165">
        <v>5.58</v>
      </c>
      <c r="J97" s="165">
        <v>0.14</v>
      </c>
      <c r="K97" s="165">
        <v>149.38</v>
      </c>
      <c r="L97" s="165">
        <v>26.71</v>
      </c>
      <c r="M97" s="165">
        <v>57.63</v>
      </c>
      <c r="N97" s="165">
        <v>0</v>
      </c>
      <c r="O97" s="165">
        <v>0</v>
      </c>
      <c r="P97" s="165">
        <v>0.67</v>
      </c>
      <c r="Q97" s="165">
        <v>5</v>
      </c>
      <c r="R97" s="13"/>
      <c r="S97" s="13"/>
      <c r="T97" s="213"/>
      <c r="U97" s="13"/>
    </row>
    <row r="98" customFormat="1" spans="1:21">
      <c r="A98" s="142" t="s">
        <v>337</v>
      </c>
      <c r="B98" s="165">
        <v>13.48</v>
      </c>
      <c r="C98" s="165">
        <v>58.76</v>
      </c>
      <c r="D98" s="165">
        <v>42.38</v>
      </c>
      <c r="E98" s="165">
        <v>9.84</v>
      </c>
      <c r="F98" s="165">
        <v>6.61</v>
      </c>
      <c r="G98" s="165">
        <v>41.83</v>
      </c>
      <c r="H98" s="165">
        <v>21.4</v>
      </c>
      <c r="I98" s="165">
        <v>5.61</v>
      </c>
      <c r="J98" s="165">
        <v>0.14</v>
      </c>
      <c r="K98" s="165">
        <v>165.12</v>
      </c>
      <c r="L98" s="165">
        <v>26.41</v>
      </c>
      <c r="M98" s="165">
        <v>58.58</v>
      </c>
      <c r="N98" s="165">
        <v>0</v>
      </c>
      <c r="O98" s="165">
        <v>0</v>
      </c>
      <c r="P98" s="165">
        <v>0.68</v>
      </c>
      <c r="Q98" s="165">
        <v>5</v>
      </c>
      <c r="R98" s="13"/>
      <c r="S98" s="13"/>
      <c r="T98" s="213"/>
      <c r="U98" s="13"/>
    </row>
    <row r="99" customFormat="1" spans="1:21">
      <c r="A99" s="142" t="s">
        <v>338</v>
      </c>
      <c r="B99" s="165">
        <v>14.36</v>
      </c>
      <c r="C99" s="165">
        <v>60.28</v>
      </c>
      <c r="D99" s="165">
        <v>43.88</v>
      </c>
      <c r="E99" s="165">
        <v>9.72</v>
      </c>
      <c r="F99" s="165">
        <v>5.91</v>
      </c>
      <c r="G99" s="165">
        <v>43.37</v>
      </c>
      <c r="H99" s="165">
        <v>23.42</v>
      </c>
      <c r="I99" s="165">
        <v>5.63</v>
      </c>
      <c r="J99" s="165">
        <v>0.15</v>
      </c>
      <c r="K99" s="165">
        <v>191.73</v>
      </c>
      <c r="L99" s="165">
        <v>26.2</v>
      </c>
      <c r="M99" s="165">
        <v>61.11</v>
      </c>
      <c r="N99" s="165">
        <v>0</v>
      </c>
      <c r="O99" s="165">
        <v>0</v>
      </c>
      <c r="P99" s="165">
        <v>0.69</v>
      </c>
      <c r="Q99" s="165">
        <v>5</v>
      </c>
      <c r="R99" s="13"/>
      <c r="S99" s="13"/>
      <c r="T99" s="213"/>
      <c r="U99" s="13"/>
    </row>
    <row r="100" customFormat="1" spans="1:33">
      <c r="A100" s="142" t="s">
        <v>339</v>
      </c>
      <c r="B100" s="165">
        <v>15.15</v>
      </c>
      <c r="C100" s="165">
        <v>62.17</v>
      </c>
      <c r="D100" s="165">
        <v>45.51</v>
      </c>
      <c r="E100" s="165">
        <v>9.62</v>
      </c>
      <c r="F100" s="165">
        <v>5.16</v>
      </c>
      <c r="G100" s="165">
        <v>43.37</v>
      </c>
      <c r="H100" s="165">
        <v>23.42</v>
      </c>
      <c r="I100" s="165">
        <v>5.63</v>
      </c>
      <c r="J100" s="165">
        <v>0.11</v>
      </c>
      <c r="K100" s="165">
        <v>180.22</v>
      </c>
      <c r="L100" s="165">
        <v>25.87</v>
      </c>
      <c r="M100" s="165">
        <v>60.29</v>
      </c>
      <c r="N100" s="165">
        <v>0</v>
      </c>
      <c r="O100" s="165">
        <v>0</v>
      </c>
      <c r="P100" s="165">
        <v>0.69</v>
      </c>
      <c r="Q100" s="165">
        <v>5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340</v>
      </c>
      <c r="B101" s="165">
        <v>15.94</v>
      </c>
      <c r="C101" s="165">
        <v>63.31</v>
      </c>
      <c r="D101" s="165">
        <v>46.73</v>
      </c>
      <c r="E101" s="165">
        <v>9.58</v>
      </c>
      <c r="F101" s="165">
        <v>4.87</v>
      </c>
      <c r="G101" s="165">
        <v>43.37</v>
      </c>
      <c r="H101" s="165">
        <v>23.42</v>
      </c>
      <c r="I101" s="165">
        <v>5.68</v>
      </c>
      <c r="J101" s="165">
        <v>0.1</v>
      </c>
      <c r="K101" s="165">
        <v>205.83</v>
      </c>
      <c r="L101" s="165">
        <v>25.68</v>
      </c>
      <c r="M101" s="165">
        <v>61.82</v>
      </c>
      <c r="N101" s="165">
        <v>0</v>
      </c>
      <c r="O101" s="165">
        <v>0</v>
      </c>
      <c r="P101" s="165">
        <v>0.7</v>
      </c>
      <c r="Q101" s="165">
        <v>5</v>
      </c>
      <c r="R101" s="13"/>
      <c r="S101" s="13"/>
      <c r="T101" s="213"/>
      <c r="U101" s="13"/>
    </row>
    <row r="102" customFormat="1" spans="1:21">
      <c r="A102" s="142" t="s">
        <v>341</v>
      </c>
      <c r="B102" s="165">
        <v>16.5</v>
      </c>
      <c r="C102" s="165">
        <v>62.83</v>
      </c>
      <c r="D102" s="165">
        <v>46.94</v>
      </c>
      <c r="E102" s="165">
        <v>9.44</v>
      </c>
      <c r="F102" s="165">
        <v>4.68</v>
      </c>
      <c r="G102" s="165">
        <v>43.39</v>
      </c>
      <c r="H102" s="165">
        <v>23.34</v>
      </c>
      <c r="I102" s="165">
        <v>5.74</v>
      </c>
      <c r="J102" s="165">
        <v>0.11</v>
      </c>
      <c r="K102" s="165">
        <v>176.15</v>
      </c>
      <c r="L102" s="165">
        <v>25.57</v>
      </c>
      <c r="M102" s="165">
        <v>62.19</v>
      </c>
      <c r="N102" s="165">
        <v>0</v>
      </c>
      <c r="O102" s="165">
        <v>0</v>
      </c>
      <c r="P102" s="165">
        <v>0.69</v>
      </c>
      <c r="Q102" s="165">
        <v>5</v>
      </c>
      <c r="R102" s="13"/>
      <c r="S102" s="13"/>
      <c r="T102" s="213"/>
      <c r="U102" s="13"/>
    </row>
    <row r="103" customFormat="1" spans="1:21">
      <c r="A103" s="142" t="s">
        <v>342</v>
      </c>
      <c r="B103" s="165">
        <v>16.97</v>
      </c>
      <c r="C103" s="165">
        <v>62.9</v>
      </c>
      <c r="D103" s="165">
        <v>47.34</v>
      </c>
      <c r="E103" s="165">
        <v>9.46</v>
      </c>
      <c r="F103" s="165">
        <v>4.57</v>
      </c>
      <c r="G103" s="165">
        <v>44.36</v>
      </c>
      <c r="H103" s="165">
        <v>20.85</v>
      </c>
      <c r="I103" s="165">
        <v>5.76</v>
      </c>
      <c r="J103" s="165">
        <v>0.14</v>
      </c>
      <c r="K103" s="165">
        <v>163.97</v>
      </c>
      <c r="L103" s="165">
        <v>25.46</v>
      </c>
      <c r="M103" s="165">
        <v>63.49</v>
      </c>
      <c r="N103" s="165">
        <v>0</v>
      </c>
      <c r="O103" s="165">
        <v>0</v>
      </c>
      <c r="P103" s="165">
        <v>0.7</v>
      </c>
      <c r="Q103" s="165">
        <v>5</v>
      </c>
      <c r="R103" s="13"/>
      <c r="S103" s="13"/>
      <c r="T103" s="213"/>
      <c r="U103" s="13"/>
    </row>
    <row r="104" customFormat="1" spans="1:21">
      <c r="A104" s="142" t="s">
        <v>343</v>
      </c>
      <c r="B104" s="165">
        <v>17.22</v>
      </c>
      <c r="C104" s="165">
        <v>64.1</v>
      </c>
      <c r="D104" s="165">
        <v>48.17</v>
      </c>
      <c r="E104" s="165">
        <v>9.24</v>
      </c>
      <c r="F104" s="165">
        <v>5.08</v>
      </c>
      <c r="G104" s="165">
        <v>44.36</v>
      </c>
      <c r="H104" s="165">
        <v>20.85</v>
      </c>
      <c r="I104" s="165">
        <v>5.78</v>
      </c>
      <c r="J104" s="165">
        <v>0.1</v>
      </c>
      <c r="K104" s="165">
        <v>129.92</v>
      </c>
      <c r="L104" s="165">
        <v>25.54</v>
      </c>
      <c r="M104" s="165">
        <v>60.71</v>
      </c>
      <c r="N104" s="165">
        <v>0</v>
      </c>
      <c r="O104" s="165">
        <v>0</v>
      </c>
      <c r="P104" s="165">
        <v>0.71</v>
      </c>
      <c r="Q104" s="165">
        <v>5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4.87</v>
      </c>
      <c r="C106" s="215">
        <f>MIN(C9:C104)</f>
        <v>50.53</v>
      </c>
      <c r="D106" s="215">
        <f t="shared" ref="D106:Q106" si="0">MIN(D9:D104)</f>
        <v>31.5</v>
      </c>
      <c r="E106" s="215">
        <f t="shared" si="0"/>
        <v>4.51</v>
      </c>
      <c r="F106" s="215">
        <f t="shared" si="0"/>
        <v>3.59</v>
      </c>
      <c r="G106" s="215">
        <f t="shared" si="0"/>
        <v>29.38</v>
      </c>
      <c r="H106" s="215">
        <f t="shared" si="0"/>
        <v>15.31</v>
      </c>
      <c r="I106" s="215">
        <f t="shared" si="0"/>
        <v>4.35</v>
      </c>
      <c r="J106" s="215">
        <f t="shared" si="0"/>
        <v>0.06</v>
      </c>
      <c r="K106" s="215">
        <f t="shared" si="0"/>
        <v>29.44</v>
      </c>
      <c r="L106" s="215">
        <f t="shared" si="0"/>
        <v>21.18</v>
      </c>
      <c r="M106" s="215">
        <f t="shared" si="0"/>
        <v>20.73</v>
      </c>
      <c r="N106" s="215">
        <f t="shared" si="0"/>
        <v>0</v>
      </c>
      <c r="O106" s="215">
        <f t="shared" si="0"/>
        <v>0</v>
      </c>
      <c r="P106" s="215">
        <f t="shared" si="0"/>
        <v>0.57</v>
      </c>
      <c r="Q106" s="215">
        <f t="shared" si="0"/>
        <v>4.55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67.68</v>
      </c>
      <c r="C107" s="216">
        <f t="shared" ref="C107:Q107" si="1">MAX(C9:C104)</f>
        <v>75</v>
      </c>
      <c r="D107" s="216">
        <f t="shared" si="1"/>
        <v>93.02</v>
      </c>
      <c r="E107" s="216">
        <f t="shared" si="1"/>
        <v>10.7</v>
      </c>
      <c r="F107" s="216">
        <f t="shared" si="1"/>
        <v>22.92</v>
      </c>
      <c r="G107" s="216">
        <f t="shared" si="1"/>
        <v>125</v>
      </c>
      <c r="H107" s="216">
        <f t="shared" si="1"/>
        <v>42.07</v>
      </c>
      <c r="I107" s="216">
        <f t="shared" si="1"/>
        <v>9.76</v>
      </c>
      <c r="J107" s="216">
        <f t="shared" si="1"/>
        <v>1.19</v>
      </c>
      <c r="K107" s="216">
        <f t="shared" si="1"/>
        <v>301.12</v>
      </c>
      <c r="L107" s="216">
        <f t="shared" si="1"/>
        <v>36.86</v>
      </c>
      <c r="M107" s="216">
        <f t="shared" si="1"/>
        <v>73.09</v>
      </c>
      <c r="N107" s="216">
        <f t="shared" si="1"/>
        <v>847.4</v>
      </c>
      <c r="O107" s="216">
        <f t="shared" si="1"/>
        <v>0</v>
      </c>
      <c r="P107" s="216">
        <f t="shared" si="1"/>
        <v>1.09</v>
      </c>
      <c r="Q107" s="216">
        <f t="shared" si="1"/>
        <v>5.8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31.26125</v>
      </c>
      <c r="C108" s="215">
        <f t="shared" ref="C108:Q108" si="2">AVERAGE(C9:C104)</f>
        <v>64.9357291666667</v>
      </c>
      <c r="D108" s="215">
        <f t="shared" si="2"/>
        <v>59.8694791666667</v>
      </c>
      <c r="E108" s="215">
        <f t="shared" si="2"/>
        <v>8.684375</v>
      </c>
      <c r="F108" s="215">
        <f t="shared" si="2"/>
        <v>8.86197916666667</v>
      </c>
      <c r="G108" s="215">
        <f t="shared" si="2"/>
        <v>66.1946875</v>
      </c>
      <c r="H108" s="215">
        <f t="shared" si="2"/>
        <v>25.6876041666667</v>
      </c>
      <c r="I108" s="215">
        <f t="shared" si="2"/>
        <v>7.226875</v>
      </c>
      <c r="J108" s="215">
        <f t="shared" si="2"/>
        <v>0.395104166666667</v>
      </c>
      <c r="K108" s="215">
        <f t="shared" si="2"/>
        <v>176.266041666667</v>
      </c>
      <c r="L108" s="215">
        <f t="shared" si="2"/>
        <v>28.6777083333333</v>
      </c>
      <c r="M108" s="215">
        <f t="shared" si="2"/>
        <v>46.0595833333333</v>
      </c>
      <c r="N108" s="215">
        <f t="shared" si="2"/>
        <v>210.763541666667</v>
      </c>
      <c r="O108" s="215">
        <f t="shared" si="2"/>
        <v>0</v>
      </c>
      <c r="P108" s="215">
        <f t="shared" si="2"/>
        <v>0.803645833333333</v>
      </c>
      <c r="Q108" s="215">
        <f t="shared" si="2"/>
        <v>5.0828125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25.064381993914</v>
      </c>
      <c r="C109" s="215">
        <f t="shared" ref="C109:Q109" si="3">STDEV(C9:C104)</f>
        <v>7.1878912425934</v>
      </c>
      <c r="D109" s="215">
        <f t="shared" si="3"/>
        <v>23.2555989124879</v>
      </c>
      <c r="E109" s="215">
        <f t="shared" si="3"/>
        <v>1.11619920170852</v>
      </c>
      <c r="F109" s="215">
        <f t="shared" si="3"/>
        <v>5.7082429077868</v>
      </c>
      <c r="G109" s="215">
        <f t="shared" si="3"/>
        <v>28.8766076500513</v>
      </c>
      <c r="H109" s="215">
        <f t="shared" si="3"/>
        <v>8.16644852845975</v>
      </c>
      <c r="I109" s="215">
        <f t="shared" si="3"/>
        <v>1.82092360168072</v>
      </c>
      <c r="J109" s="215">
        <f t="shared" si="3"/>
        <v>0.300252507037753</v>
      </c>
      <c r="K109" s="215">
        <f t="shared" si="3"/>
        <v>72.0865664612115</v>
      </c>
      <c r="L109" s="215">
        <f t="shared" si="3"/>
        <v>5.30025828152527</v>
      </c>
      <c r="M109" s="215">
        <f t="shared" si="3"/>
        <v>17.8241838030698</v>
      </c>
      <c r="N109" s="215">
        <f t="shared" si="3"/>
        <v>296.797993013427</v>
      </c>
      <c r="O109" s="215">
        <f t="shared" si="3"/>
        <v>0</v>
      </c>
      <c r="P109" s="215">
        <f t="shared" si="3"/>
        <v>0.1663295384196</v>
      </c>
      <c r="Q109" s="215">
        <f t="shared" si="3"/>
        <v>0.232545199341638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04/04/2023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344</v>
      </c>
      <c r="B9" s="165">
        <v>18.11</v>
      </c>
      <c r="C9" s="165">
        <v>67.15</v>
      </c>
      <c r="D9" s="165">
        <v>50.48</v>
      </c>
      <c r="E9" s="165">
        <v>9.51</v>
      </c>
      <c r="F9" s="165">
        <v>4.5</v>
      </c>
      <c r="G9" s="165">
        <v>44.36</v>
      </c>
      <c r="H9" s="165">
        <v>20.85</v>
      </c>
      <c r="I9" s="165">
        <v>5.8</v>
      </c>
      <c r="J9" s="165">
        <v>0.1</v>
      </c>
      <c r="K9" s="165">
        <v>140.92</v>
      </c>
      <c r="L9" s="165">
        <v>25.76</v>
      </c>
      <c r="M9" s="165">
        <v>59.23</v>
      </c>
      <c r="N9" s="165">
        <v>0</v>
      </c>
      <c r="O9" s="165">
        <v>0</v>
      </c>
      <c r="P9" s="165">
        <v>0.71</v>
      </c>
      <c r="Q9" s="165">
        <v>5</v>
      </c>
      <c r="R9" s="13"/>
      <c r="S9" s="13"/>
      <c r="T9" s="213"/>
      <c r="U9" s="13"/>
    </row>
    <row r="10" customFormat="1" spans="1:21">
      <c r="A10" s="142" t="s">
        <v>345</v>
      </c>
      <c r="B10" s="165">
        <v>17.9</v>
      </c>
      <c r="C10" s="165">
        <v>67.1</v>
      </c>
      <c r="D10" s="165">
        <v>50.28</v>
      </c>
      <c r="E10" s="165">
        <v>8.84</v>
      </c>
      <c r="F10" s="165">
        <v>4.29</v>
      </c>
      <c r="G10" s="165">
        <v>44.3</v>
      </c>
      <c r="H10" s="165">
        <v>20.9</v>
      </c>
      <c r="I10" s="165">
        <v>5.82</v>
      </c>
      <c r="J10" s="165">
        <v>0.09</v>
      </c>
      <c r="K10" s="165">
        <v>171.6</v>
      </c>
      <c r="L10" s="165">
        <v>25.74</v>
      </c>
      <c r="M10" s="165">
        <v>59.44</v>
      </c>
      <c r="N10" s="165">
        <v>0</v>
      </c>
      <c r="O10" s="165">
        <v>0</v>
      </c>
      <c r="P10" s="165">
        <v>0.71</v>
      </c>
      <c r="Q10" s="165">
        <v>5</v>
      </c>
      <c r="R10" s="13"/>
      <c r="S10" s="13"/>
      <c r="T10" s="213"/>
      <c r="U10" s="13"/>
    </row>
    <row r="11" customFormat="1" spans="1:21">
      <c r="A11" s="142" t="s">
        <v>346</v>
      </c>
      <c r="B11" s="165">
        <v>17.8</v>
      </c>
      <c r="C11" s="165">
        <v>67.59</v>
      </c>
      <c r="D11" s="165">
        <v>50.46</v>
      </c>
      <c r="E11" s="165">
        <v>9.15</v>
      </c>
      <c r="F11" s="165">
        <v>4.39</v>
      </c>
      <c r="G11" s="165">
        <v>42.07</v>
      </c>
      <c r="H11" s="165">
        <v>22.43</v>
      </c>
      <c r="I11" s="165">
        <v>5.79</v>
      </c>
      <c r="J11" s="165">
        <v>0.08</v>
      </c>
      <c r="K11" s="165">
        <v>198.57</v>
      </c>
      <c r="L11" s="165">
        <v>25.57</v>
      </c>
      <c r="M11" s="165">
        <v>60.47</v>
      </c>
      <c r="N11" s="165">
        <v>0</v>
      </c>
      <c r="O11" s="165">
        <v>0</v>
      </c>
      <c r="P11" s="165">
        <v>0.72</v>
      </c>
      <c r="Q11" s="165">
        <v>5</v>
      </c>
      <c r="R11" s="13"/>
      <c r="S11" s="13"/>
      <c r="T11" s="213"/>
      <c r="U11" s="13"/>
    </row>
    <row r="12" customFormat="1" spans="1:21">
      <c r="A12" s="142" t="s">
        <v>347</v>
      </c>
      <c r="B12" s="165">
        <v>17.73</v>
      </c>
      <c r="C12" s="165">
        <v>67.75</v>
      </c>
      <c r="D12" s="165">
        <v>50.48</v>
      </c>
      <c r="E12" s="165">
        <v>8.91</v>
      </c>
      <c r="F12" s="165">
        <v>4.26</v>
      </c>
      <c r="G12" s="165">
        <v>42.07</v>
      </c>
      <c r="H12" s="165">
        <v>22.43</v>
      </c>
      <c r="I12" s="165">
        <v>5.73</v>
      </c>
      <c r="J12" s="165">
        <v>0.15</v>
      </c>
      <c r="K12" s="165">
        <v>146.68</v>
      </c>
      <c r="L12" s="165">
        <v>25.61</v>
      </c>
      <c r="M12" s="165">
        <v>60.71</v>
      </c>
      <c r="N12" s="165">
        <v>0</v>
      </c>
      <c r="O12" s="165">
        <v>0</v>
      </c>
      <c r="P12" s="165">
        <v>0.71</v>
      </c>
      <c r="Q12" s="165">
        <v>5</v>
      </c>
      <c r="R12" s="13"/>
      <c r="S12" s="13"/>
      <c r="T12" s="213"/>
      <c r="U12" s="13"/>
    </row>
    <row r="13" customFormat="1" spans="1:21">
      <c r="A13" s="142" t="s">
        <v>348</v>
      </c>
      <c r="B13" s="165">
        <v>17.54</v>
      </c>
      <c r="C13" s="165">
        <v>67.84</v>
      </c>
      <c r="D13" s="165">
        <v>50.38</v>
      </c>
      <c r="E13" s="165">
        <v>9.19</v>
      </c>
      <c r="F13" s="165">
        <v>4.22</v>
      </c>
      <c r="G13" s="165">
        <v>42.07</v>
      </c>
      <c r="H13" s="165">
        <v>22.43</v>
      </c>
      <c r="I13" s="165">
        <v>5.68</v>
      </c>
      <c r="J13" s="165">
        <v>0.15</v>
      </c>
      <c r="K13" s="165">
        <v>137.05</v>
      </c>
      <c r="L13" s="165">
        <v>25.59</v>
      </c>
      <c r="M13" s="165">
        <v>61.61</v>
      </c>
      <c r="N13" s="165">
        <v>0</v>
      </c>
      <c r="O13" s="165">
        <v>0</v>
      </c>
      <c r="P13" s="165">
        <v>0.71</v>
      </c>
      <c r="Q13" s="165">
        <v>5</v>
      </c>
      <c r="R13" s="13"/>
      <c r="S13" s="13"/>
      <c r="T13" s="213"/>
      <c r="U13" s="13"/>
    </row>
    <row r="14" customFormat="1" spans="1:21">
      <c r="A14" s="142" t="s">
        <v>349</v>
      </c>
      <c r="B14" s="165">
        <v>17.4</v>
      </c>
      <c r="C14" s="165">
        <v>68.08</v>
      </c>
      <c r="D14" s="165">
        <v>50.4</v>
      </c>
      <c r="E14" s="165">
        <v>8.76</v>
      </c>
      <c r="F14" s="165">
        <v>4.31</v>
      </c>
      <c r="G14" s="165">
        <v>42.03</v>
      </c>
      <c r="H14" s="165">
        <v>22.34</v>
      </c>
      <c r="I14" s="165">
        <v>5.66</v>
      </c>
      <c r="J14" s="165">
        <v>0.14</v>
      </c>
      <c r="K14" s="165">
        <v>160.38</v>
      </c>
      <c r="L14" s="165">
        <v>25.41</v>
      </c>
      <c r="M14" s="165">
        <v>62.21</v>
      </c>
      <c r="N14" s="165">
        <v>0</v>
      </c>
      <c r="O14" s="165">
        <v>0</v>
      </c>
      <c r="P14" s="165">
        <v>0.7</v>
      </c>
      <c r="Q14" s="165">
        <v>5</v>
      </c>
      <c r="R14" s="13"/>
      <c r="S14" s="13"/>
      <c r="T14" s="213"/>
      <c r="U14" s="13"/>
    </row>
    <row r="15" customFormat="1" spans="1:21">
      <c r="A15" s="142" t="s">
        <v>350</v>
      </c>
      <c r="B15" s="165">
        <v>17.25</v>
      </c>
      <c r="C15" s="165">
        <v>68.32</v>
      </c>
      <c r="D15" s="165">
        <v>50.4</v>
      </c>
      <c r="E15" s="165">
        <v>9.01</v>
      </c>
      <c r="F15" s="165">
        <v>4.36</v>
      </c>
      <c r="G15" s="165">
        <v>40.08</v>
      </c>
      <c r="H15" s="165">
        <v>19.55</v>
      </c>
      <c r="I15" s="165">
        <v>5.62</v>
      </c>
      <c r="J15" s="165">
        <v>0.18</v>
      </c>
      <c r="K15" s="165">
        <v>177.51</v>
      </c>
      <c r="L15" s="165">
        <v>25.54</v>
      </c>
      <c r="M15" s="165">
        <v>61.64</v>
      </c>
      <c r="N15" s="165">
        <v>0</v>
      </c>
      <c r="O15" s="165">
        <v>0</v>
      </c>
      <c r="P15" s="165">
        <v>0.7</v>
      </c>
      <c r="Q15" s="165">
        <v>5</v>
      </c>
      <c r="R15" s="13"/>
      <c r="S15" s="13"/>
      <c r="T15" s="213"/>
      <c r="U15" s="13"/>
    </row>
    <row r="16" customFormat="1" spans="1:21">
      <c r="A16" s="142" t="s">
        <v>351</v>
      </c>
      <c r="B16" s="165">
        <v>17.11</v>
      </c>
      <c r="C16" s="165">
        <v>68.49</v>
      </c>
      <c r="D16" s="165">
        <v>50.38</v>
      </c>
      <c r="E16" s="165">
        <v>8.85</v>
      </c>
      <c r="F16" s="165">
        <v>3.64</v>
      </c>
      <c r="G16" s="165">
        <v>40.08</v>
      </c>
      <c r="H16" s="165">
        <v>19.55</v>
      </c>
      <c r="I16" s="165">
        <v>5.52</v>
      </c>
      <c r="J16" s="165">
        <v>0.19</v>
      </c>
      <c r="K16" s="165">
        <v>141.71</v>
      </c>
      <c r="L16" s="165">
        <v>25.54</v>
      </c>
      <c r="M16" s="165">
        <v>62.54</v>
      </c>
      <c r="N16" s="165">
        <v>0</v>
      </c>
      <c r="O16" s="165">
        <v>0</v>
      </c>
      <c r="P16" s="165">
        <v>0.69</v>
      </c>
      <c r="Q16" s="165">
        <v>5</v>
      </c>
      <c r="R16" s="13"/>
      <c r="S16" s="13"/>
      <c r="T16" s="213"/>
      <c r="U16" s="13"/>
    </row>
    <row r="17" customFormat="1" spans="1:21">
      <c r="A17" s="142" t="s">
        <v>352</v>
      </c>
      <c r="B17" s="165">
        <v>16.93</v>
      </c>
      <c r="C17" s="165">
        <v>68.78</v>
      </c>
      <c r="D17" s="165">
        <v>50.39</v>
      </c>
      <c r="E17" s="165">
        <v>5.01</v>
      </c>
      <c r="F17" s="165">
        <v>2.68</v>
      </c>
      <c r="G17" s="165">
        <v>40.08</v>
      </c>
      <c r="H17" s="165">
        <v>19.55</v>
      </c>
      <c r="I17" s="165">
        <v>5.46</v>
      </c>
      <c r="J17" s="165">
        <v>0.14</v>
      </c>
      <c r="K17" s="165">
        <v>151.88</v>
      </c>
      <c r="L17" s="165">
        <v>25.17</v>
      </c>
      <c r="M17" s="165">
        <v>64.22</v>
      </c>
      <c r="N17" s="165">
        <v>0</v>
      </c>
      <c r="O17" s="165">
        <v>0</v>
      </c>
      <c r="P17" s="165">
        <v>0.69</v>
      </c>
      <c r="Q17" s="165">
        <v>5</v>
      </c>
      <c r="R17" s="13"/>
      <c r="S17" s="13"/>
      <c r="T17" s="213"/>
      <c r="U17" s="13"/>
    </row>
    <row r="18" customFormat="1" spans="1:21">
      <c r="A18" s="142" t="s">
        <v>353</v>
      </c>
      <c r="B18" s="165">
        <v>16.93</v>
      </c>
      <c r="C18" s="165">
        <v>68.47</v>
      </c>
      <c r="D18" s="165">
        <v>50.22</v>
      </c>
      <c r="E18" s="165">
        <v>7.34</v>
      </c>
      <c r="F18" s="165">
        <v>3.88</v>
      </c>
      <c r="G18" s="165">
        <v>40.01</v>
      </c>
      <c r="H18" s="165">
        <v>19.56</v>
      </c>
      <c r="I18" s="165">
        <v>5.42</v>
      </c>
      <c r="J18" s="165">
        <v>0.21</v>
      </c>
      <c r="K18" s="165">
        <v>154.5</v>
      </c>
      <c r="L18" s="165">
        <v>24.99</v>
      </c>
      <c r="M18" s="165">
        <v>66.12</v>
      </c>
      <c r="N18" s="165">
        <v>0</v>
      </c>
      <c r="O18" s="165">
        <v>0</v>
      </c>
      <c r="P18" s="165">
        <v>0.68</v>
      </c>
      <c r="Q18" s="165">
        <v>5</v>
      </c>
      <c r="R18" s="13"/>
      <c r="S18" s="13"/>
      <c r="T18" s="213"/>
      <c r="U18" s="13"/>
    </row>
    <row r="19" customFormat="1" spans="1:21">
      <c r="A19" s="142" t="s">
        <v>354</v>
      </c>
      <c r="B19" s="165">
        <v>17.05</v>
      </c>
      <c r="C19" s="165">
        <v>68.67</v>
      </c>
      <c r="D19" s="165">
        <v>50.42</v>
      </c>
      <c r="E19" s="165">
        <v>7.4</v>
      </c>
      <c r="F19" s="165">
        <v>3.87</v>
      </c>
      <c r="G19" s="165">
        <v>37.04</v>
      </c>
      <c r="H19" s="165">
        <v>19.95</v>
      </c>
      <c r="I19" s="165">
        <v>5.34</v>
      </c>
      <c r="J19" s="165">
        <v>0.22</v>
      </c>
      <c r="K19" s="165">
        <v>154.27</v>
      </c>
      <c r="L19" s="165">
        <v>24.75</v>
      </c>
      <c r="M19" s="165">
        <v>67.41</v>
      </c>
      <c r="N19" s="165">
        <v>0</v>
      </c>
      <c r="O19" s="165">
        <v>0</v>
      </c>
      <c r="P19" s="165">
        <v>0.68</v>
      </c>
      <c r="Q19" s="165">
        <v>5</v>
      </c>
      <c r="R19" s="13"/>
      <c r="S19" s="13"/>
      <c r="T19" s="213"/>
      <c r="U19" s="13"/>
    </row>
    <row r="20" customFormat="1" spans="1:21">
      <c r="A20" s="142" t="s">
        <v>355</v>
      </c>
      <c r="B20" s="165">
        <v>17.15</v>
      </c>
      <c r="C20" s="165">
        <v>68.46</v>
      </c>
      <c r="D20" s="165">
        <v>50.39</v>
      </c>
      <c r="E20" s="165">
        <v>7.41</v>
      </c>
      <c r="F20" s="165">
        <v>3.81</v>
      </c>
      <c r="G20" s="165">
        <v>37.04</v>
      </c>
      <c r="H20" s="165">
        <v>19.95</v>
      </c>
      <c r="I20" s="165">
        <v>5.25</v>
      </c>
      <c r="J20" s="165">
        <v>0.12</v>
      </c>
      <c r="K20" s="165">
        <v>152.44</v>
      </c>
      <c r="L20" s="165">
        <v>24.41</v>
      </c>
      <c r="M20" s="165">
        <v>69.78</v>
      </c>
      <c r="N20" s="165">
        <v>0</v>
      </c>
      <c r="O20" s="165">
        <v>0</v>
      </c>
      <c r="P20" s="165">
        <v>0.68</v>
      </c>
      <c r="Q20" s="165">
        <v>5</v>
      </c>
      <c r="R20" s="13"/>
      <c r="S20" s="13"/>
      <c r="T20" s="213"/>
      <c r="U20" s="13"/>
    </row>
    <row r="21" customFormat="1" spans="1:21">
      <c r="A21" s="142" t="s">
        <v>356</v>
      </c>
      <c r="B21" s="165">
        <v>17.3</v>
      </c>
      <c r="C21" s="165">
        <v>68.14</v>
      </c>
      <c r="D21" s="165">
        <v>50.35</v>
      </c>
      <c r="E21" s="165">
        <v>7.2</v>
      </c>
      <c r="F21" s="165">
        <v>3.87</v>
      </c>
      <c r="G21" s="165">
        <v>37.04</v>
      </c>
      <c r="H21" s="165">
        <v>19.95</v>
      </c>
      <c r="I21" s="165">
        <v>5.18</v>
      </c>
      <c r="J21" s="165">
        <v>0.17</v>
      </c>
      <c r="K21" s="165">
        <v>162.95</v>
      </c>
      <c r="L21" s="165">
        <v>24.32</v>
      </c>
      <c r="M21" s="165">
        <v>70.5</v>
      </c>
      <c r="N21" s="165">
        <v>0</v>
      </c>
      <c r="O21" s="165">
        <v>0</v>
      </c>
      <c r="P21" s="165">
        <v>0.67</v>
      </c>
      <c r="Q21" s="165">
        <v>5</v>
      </c>
      <c r="R21" s="13"/>
      <c r="S21" s="13"/>
      <c r="T21" s="213"/>
      <c r="U21" s="13"/>
    </row>
    <row r="22" customFormat="1" spans="1:21">
      <c r="A22" s="142" t="s">
        <v>357</v>
      </c>
      <c r="B22" s="165">
        <v>17.39</v>
      </c>
      <c r="C22" s="165">
        <v>68.3</v>
      </c>
      <c r="D22" s="165">
        <v>50.51</v>
      </c>
      <c r="E22" s="165">
        <v>7.48</v>
      </c>
      <c r="F22" s="165">
        <v>3.73</v>
      </c>
      <c r="G22" s="165">
        <v>37.03</v>
      </c>
      <c r="H22" s="165">
        <v>19.93</v>
      </c>
      <c r="I22" s="165">
        <v>5.11</v>
      </c>
      <c r="J22" s="165">
        <v>0.16</v>
      </c>
      <c r="K22" s="165">
        <v>185.07</v>
      </c>
      <c r="L22" s="165">
        <v>24.09</v>
      </c>
      <c r="M22" s="165">
        <v>70.84</v>
      </c>
      <c r="N22" s="165">
        <v>0</v>
      </c>
      <c r="O22" s="165">
        <v>0</v>
      </c>
      <c r="P22" s="165">
        <v>0.67</v>
      </c>
      <c r="Q22" s="165">
        <v>5</v>
      </c>
      <c r="R22" s="13"/>
      <c r="S22" s="13"/>
      <c r="T22" s="213"/>
      <c r="U22" s="13"/>
    </row>
    <row r="23" customFormat="1" spans="1:21">
      <c r="A23" s="142" t="s">
        <v>358</v>
      </c>
      <c r="B23" s="165">
        <v>17.64</v>
      </c>
      <c r="C23" s="165">
        <v>68.41</v>
      </c>
      <c r="D23" s="165">
        <v>50.76</v>
      </c>
      <c r="E23" s="165">
        <v>7.55</v>
      </c>
      <c r="F23" s="165">
        <v>3.63</v>
      </c>
      <c r="G23" s="165">
        <v>36.38</v>
      </c>
      <c r="H23" s="165">
        <v>19.05</v>
      </c>
      <c r="I23" s="165">
        <v>5.05</v>
      </c>
      <c r="J23" s="165">
        <v>0.18</v>
      </c>
      <c r="K23" s="165">
        <v>151.52</v>
      </c>
      <c r="L23" s="165">
        <v>24.01</v>
      </c>
      <c r="M23" s="165">
        <v>70.55</v>
      </c>
      <c r="N23" s="165">
        <v>0</v>
      </c>
      <c r="O23" s="165">
        <v>0</v>
      </c>
      <c r="P23" s="165">
        <v>0.66</v>
      </c>
      <c r="Q23" s="165">
        <v>5</v>
      </c>
      <c r="R23" s="13"/>
      <c r="S23" s="13"/>
      <c r="T23" s="213"/>
      <c r="U23" s="13"/>
    </row>
    <row r="24" customFormat="1" spans="1:21">
      <c r="A24" s="142" t="s">
        <v>359</v>
      </c>
      <c r="B24" s="165">
        <v>17.76</v>
      </c>
      <c r="C24" s="165">
        <v>68.37</v>
      </c>
      <c r="D24" s="165">
        <v>50.84</v>
      </c>
      <c r="E24" s="165">
        <v>7.42</v>
      </c>
      <c r="F24" s="165">
        <v>3.66</v>
      </c>
      <c r="G24" s="165">
        <v>36.38</v>
      </c>
      <c r="H24" s="165">
        <v>19.05</v>
      </c>
      <c r="I24" s="165">
        <v>5</v>
      </c>
      <c r="J24" s="165">
        <v>0.14</v>
      </c>
      <c r="K24" s="165">
        <v>127.94</v>
      </c>
      <c r="L24" s="165">
        <v>24.09</v>
      </c>
      <c r="M24" s="165">
        <v>70.22</v>
      </c>
      <c r="N24" s="165">
        <v>0</v>
      </c>
      <c r="O24" s="165">
        <v>0</v>
      </c>
      <c r="P24" s="165">
        <v>0.65</v>
      </c>
      <c r="Q24" s="165">
        <v>5</v>
      </c>
      <c r="R24" s="13"/>
      <c r="S24" s="13"/>
      <c r="T24" s="213"/>
      <c r="U24" s="13"/>
    </row>
    <row r="25" customFormat="1" spans="1:21">
      <c r="A25" s="142" t="s">
        <v>360</v>
      </c>
      <c r="B25" s="165">
        <v>17.88</v>
      </c>
      <c r="C25" s="165">
        <v>68.33</v>
      </c>
      <c r="D25" s="165">
        <v>50.91</v>
      </c>
      <c r="E25" s="165">
        <v>7.02</v>
      </c>
      <c r="F25" s="165">
        <v>3.79</v>
      </c>
      <c r="G25" s="165">
        <v>36.38</v>
      </c>
      <c r="H25" s="165">
        <v>19.05</v>
      </c>
      <c r="I25" s="165">
        <v>4.98</v>
      </c>
      <c r="J25" s="165">
        <v>0.13</v>
      </c>
      <c r="K25" s="165">
        <v>111.23</v>
      </c>
      <c r="L25" s="165">
        <v>24.22</v>
      </c>
      <c r="M25" s="165">
        <v>69.14</v>
      </c>
      <c r="N25" s="165">
        <v>0</v>
      </c>
      <c r="O25" s="165">
        <v>0</v>
      </c>
      <c r="P25" s="165">
        <v>0.65</v>
      </c>
      <c r="Q25" s="165">
        <v>5</v>
      </c>
      <c r="R25" s="13"/>
      <c r="S25" s="13"/>
      <c r="T25" s="213"/>
      <c r="U25" s="13"/>
    </row>
    <row r="26" customFormat="1" spans="1:21">
      <c r="A26" s="142" t="s">
        <v>361</v>
      </c>
      <c r="B26" s="165">
        <v>18.77</v>
      </c>
      <c r="C26" s="165">
        <v>68.54</v>
      </c>
      <c r="D26" s="165">
        <v>51.74</v>
      </c>
      <c r="E26" s="165">
        <v>7.52</v>
      </c>
      <c r="F26" s="165">
        <v>3.69</v>
      </c>
      <c r="G26" s="165">
        <v>36.36</v>
      </c>
      <c r="H26" s="165">
        <v>19.05</v>
      </c>
      <c r="I26" s="165">
        <v>4.92</v>
      </c>
      <c r="J26" s="165">
        <v>0.16</v>
      </c>
      <c r="K26" s="165">
        <v>2.93</v>
      </c>
      <c r="L26" s="165">
        <v>24.6</v>
      </c>
      <c r="M26" s="165">
        <v>65.84</v>
      </c>
      <c r="N26" s="165">
        <v>0</v>
      </c>
      <c r="O26" s="165">
        <v>0</v>
      </c>
      <c r="P26" s="165">
        <v>0.65</v>
      </c>
      <c r="Q26" s="165">
        <v>5</v>
      </c>
      <c r="R26" s="13"/>
      <c r="S26" s="13"/>
      <c r="T26" s="213"/>
      <c r="U26" s="13"/>
    </row>
    <row r="27" customFormat="1" spans="1:21">
      <c r="A27" s="142" t="s">
        <v>362</v>
      </c>
      <c r="B27" s="165">
        <v>20.19</v>
      </c>
      <c r="C27" s="165">
        <v>69.54</v>
      </c>
      <c r="D27" s="165">
        <v>53.4</v>
      </c>
      <c r="E27" s="165">
        <v>7.62</v>
      </c>
      <c r="F27" s="165">
        <v>3.62</v>
      </c>
      <c r="G27" s="165">
        <v>35.66</v>
      </c>
      <c r="H27" s="165">
        <v>18.71</v>
      </c>
      <c r="I27" s="165">
        <v>4.86</v>
      </c>
      <c r="J27" s="165">
        <v>0.14</v>
      </c>
      <c r="K27" s="165">
        <v>97.06</v>
      </c>
      <c r="L27" s="165">
        <v>24.72</v>
      </c>
      <c r="M27" s="165">
        <v>67.25</v>
      </c>
      <c r="N27" s="165">
        <v>0</v>
      </c>
      <c r="O27" s="165">
        <v>0</v>
      </c>
      <c r="P27" s="165">
        <v>0.64</v>
      </c>
      <c r="Q27" s="165">
        <v>5</v>
      </c>
      <c r="R27" s="13"/>
      <c r="S27" s="13"/>
      <c r="T27" s="213"/>
      <c r="U27" s="13"/>
    </row>
    <row r="28" customFormat="1" spans="1:21">
      <c r="A28" s="142" t="s">
        <v>363</v>
      </c>
      <c r="B28" s="165">
        <v>21.48</v>
      </c>
      <c r="C28" s="165">
        <v>65.51</v>
      </c>
      <c r="D28" s="165">
        <v>52.32</v>
      </c>
      <c r="E28" s="165">
        <v>7.63</v>
      </c>
      <c r="F28" s="165">
        <v>4</v>
      </c>
      <c r="G28" s="165">
        <v>35.66</v>
      </c>
      <c r="H28" s="165">
        <v>18.71</v>
      </c>
      <c r="I28" s="165">
        <v>4.85</v>
      </c>
      <c r="J28" s="165">
        <v>0.17</v>
      </c>
      <c r="K28" s="165">
        <v>145.72</v>
      </c>
      <c r="L28" s="165">
        <v>24.58</v>
      </c>
      <c r="M28" s="165">
        <v>67.84</v>
      </c>
      <c r="N28" s="165">
        <v>0</v>
      </c>
      <c r="O28" s="165">
        <v>0</v>
      </c>
      <c r="P28" s="165">
        <v>0.64</v>
      </c>
      <c r="Q28" s="165">
        <v>5</v>
      </c>
      <c r="R28" s="13"/>
      <c r="S28" s="13"/>
      <c r="T28" s="213"/>
      <c r="U28" s="13"/>
    </row>
    <row r="29" customFormat="1" spans="1:21">
      <c r="A29" s="142" t="s">
        <v>364</v>
      </c>
      <c r="B29" s="165">
        <v>22.59</v>
      </c>
      <c r="C29" s="165">
        <v>62.3</v>
      </c>
      <c r="D29" s="165">
        <v>51.54</v>
      </c>
      <c r="E29" s="165">
        <v>7.33</v>
      </c>
      <c r="F29" s="165">
        <v>4.07</v>
      </c>
      <c r="G29" s="165">
        <v>35.66</v>
      </c>
      <c r="H29" s="165">
        <v>18.71</v>
      </c>
      <c r="I29" s="165">
        <v>4.83</v>
      </c>
      <c r="J29" s="165">
        <v>0.27</v>
      </c>
      <c r="K29" s="165">
        <v>169.27</v>
      </c>
      <c r="L29" s="165">
        <v>23.81</v>
      </c>
      <c r="M29" s="165">
        <v>71.84</v>
      </c>
      <c r="N29" s="165">
        <v>0</v>
      </c>
      <c r="O29" s="165">
        <v>0</v>
      </c>
      <c r="P29" s="165">
        <v>0.61</v>
      </c>
      <c r="Q29" s="165">
        <v>5</v>
      </c>
      <c r="R29" s="13"/>
      <c r="S29" s="13"/>
      <c r="T29" s="213"/>
      <c r="U29" s="13"/>
    </row>
    <row r="30" customFormat="1" spans="1:21">
      <c r="A30" s="142" t="s">
        <v>365</v>
      </c>
      <c r="B30" s="165">
        <v>23.12</v>
      </c>
      <c r="C30" s="165">
        <v>65.11</v>
      </c>
      <c r="D30" s="165">
        <v>53.43</v>
      </c>
      <c r="E30" s="165">
        <v>7.34</v>
      </c>
      <c r="F30" s="165">
        <v>3.75</v>
      </c>
      <c r="G30" s="165">
        <v>35.67</v>
      </c>
      <c r="H30" s="165">
        <v>18.77</v>
      </c>
      <c r="I30" s="165">
        <v>4.8</v>
      </c>
      <c r="J30" s="165">
        <v>0.24</v>
      </c>
      <c r="K30" s="165">
        <v>168.56</v>
      </c>
      <c r="L30" s="165">
        <v>23.46</v>
      </c>
      <c r="M30" s="165">
        <v>72.91</v>
      </c>
      <c r="N30" s="165">
        <v>0</v>
      </c>
      <c r="O30" s="165">
        <v>0</v>
      </c>
      <c r="P30" s="165">
        <v>0.61</v>
      </c>
      <c r="Q30" s="165">
        <v>5</v>
      </c>
      <c r="R30" s="13"/>
      <c r="S30" s="13"/>
      <c r="T30" s="213"/>
      <c r="U30" s="13"/>
    </row>
    <row r="31" customFormat="1" spans="1:21">
      <c r="A31" s="142" t="s">
        <v>366</v>
      </c>
      <c r="B31" s="165">
        <v>23.51</v>
      </c>
      <c r="C31" s="165">
        <v>67.58</v>
      </c>
      <c r="D31" s="165">
        <v>55.03</v>
      </c>
      <c r="E31" s="165">
        <v>7.75</v>
      </c>
      <c r="F31" s="165">
        <v>3.51</v>
      </c>
      <c r="G31" s="165">
        <v>36.23</v>
      </c>
      <c r="H31" s="165">
        <v>20.69</v>
      </c>
      <c r="I31" s="165">
        <v>4.81</v>
      </c>
      <c r="J31" s="165">
        <v>0.12</v>
      </c>
      <c r="K31" s="165">
        <v>158.53</v>
      </c>
      <c r="L31" s="165">
        <v>23.55</v>
      </c>
      <c r="M31" s="165">
        <v>72.24</v>
      </c>
      <c r="N31" s="165">
        <v>0</v>
      </c>
      <c r="O31" s="165">
        <v>0</v>
      </c>
      <c r="P31" s="165">
        <v>0.61</v>
      </c>
      <c r="Q31" s="165">
        <v>5</v>
      </c>
      <c r="R31" s="13"/>
      <c r="S31" s="13"/>
      <c r="T31" s="213"/>
      <c r="U31" s="13"/>
    </row>
    <row r="32" customFormat="1" spans="1:21">
      <c r="A32" s="142" t="s">
        <v>367</v>
      </c>
      <c r="B32" s="165">
        <v>23.94</v>
      </c>
      <c r="C32" s="165">
        <v>67.64</v>
      </c>
      <c r="D32" s="165">
        <v>55.41</v>
      </c>
      <c r="E32" s="165">
        <v>7.56</v>
      </c>
      <c r="F32" s="165">
        <v>3.6</v>
      </c>
      <c r="G32" s="165">
        <v>36.23</v>
      </c>
      <c r="H32" s="165">
        <v>20.69</v>
      </c>
      <c r="I32" s="165">
        <v>4.8</v>
      </c>
      <c r="J32" s="165">
        <v>0.12</v>
      </c>
      <c r="K32" s="165">
        <v>126</v>
      </c>
      <c r="L32" s="165">
        <v>23.61</v>
      </c>
      <c r="M32" s="165">
        <v>71.89</v>
      </c>
      <c r="N32" s="165">
        <v>0</v>
      </c>
      <c r="O32" s="165">
        <v>0</v>
      </c>
      <c r="P32" s="165">
        <v>0.61</v>
      </c>
      <c r="Q32" s="165">
        <v>5</v>
      </c>
      <c r="R32" s="13"/>
      <c r="S32" s="13"/>
      <c r="T32" s="213"/>
      <c r="U32" s="13"/>
    </row>
    <row r="33" customFormat="1" spans="1:21">
      <c r="A33" s="142" t="s">
        <v>368</v>
      </c>
      <c r="B33" s="165">
        <v>24.37</v>
      </c>
      <c r="C33" s="165">
        <v>67.6</v>
      </c>
      <c r="D33" s="165">
        <v>55.73</v>
      </c>
      <c r="E33" s="165">
        <v>7.8</v>
      </c>
      <c r="F33" s="165">
        <v>3.73</v>
      </c>
      <c r="G33" s="165">
        <v>36.23</v>
      </c>
      <c r="H33" s="165">
        <v>20.69</v>
      </c>
      <c r="I33" s="165">
        <v>4.8</v>
      </c>
      <c r="J33" s="165">
        <v>0.18</v>
      </c>
      <c r="K33" s="165">
        <v>153.65</v>
      </c>
      <c r="L33" s="165">
        <v>23.83</v>
      </c>
      <c r="M33" s="165">
        <v>71.44</v>
      </c>
      <c r="N33" s="165">
        <v>6</v>
      </c>
      <c r="O33" s="165">
        <v>0</v>
      </c>
      <c r="P33" s="165">
        <v>0.61</v>
      </c>
      <c r="Q33" s="165">
        <v>5</v>
      </c>
      <c r="R33" s="13"/>
      <c r="S33" s="13"/>
      <c r="T33" s="213"/>
      <c r="U33" s="13"/>
    </row>
    <row r="34" customFormat="1" spans="1:21">
      <c r="A34" s="142" t="s">
        <v>369</v>
      </c>
      <c r="B34" s="165">
        <v>24.81</v>
      </c>
      <c r="C34" s="165">
        <v>66.33</v>
      </c>
      <c r="D34" s="165">
        <v>55.43</v>
      </c>
      <c r="E34" s="165">
        <v>7.76</v>
      </c>
      <c r="F34" s="165">
        <v>3.72</v>
      </c>
      <c r="G34" s="165">
        <v>36.27</v>
      </c>
      <c r="H34" s="165">
        <v>20.7</v>
      </c>
      <c r="I34" s="165">
        <v>4.82</v>
      </c>
      <c r="J34" s="165">
        <v>0.27</v>
      </c>
      <c r="K34" s="165">
        <v>173.39</v>
      </c>
      <c r="L34" s="165">
        <v>23.86</v>
      </c>
      <c r="M34" s="165">
        <v>74.31</v>
      </c>
      <c r="N34" s="165">
        <v>19.1</v>
      </c>
      <c r="O34" s="165">
        <v>0</v>
      </c>
      <c r="P34" s="165">
        <v>0.6</v>
      </c>
      <c r="Q34" s="165">
        <v>5</v>
      </c>
      <c r="R34" s="13"/>
      <c r="S34" s="13"/>
      <c r="T34" s="213"/>
      <c r="U34" s="13"/>
    </row>
    <row r="35" customFormat="1" spans="1:21">
      <c r="A35" s="142" t="s">
        <v>370</v>
      </c>
      <c r="B35" s="165">
        <v>25.24</v>
      </c>
      <c r="C35" s="165">
        <v>67.58</v>
      </c>
      <c r="D35" s="165">
        <v>56.42</v>
      </c>
      <c r="E35" s="165">
        <v>8.19</v>
      </c>
      <c r="F35" s="165">
        <v>3.66</v>
      </c>
      <c r="G35" s="165">
        <v>38.1</v>
      </c>
      <c r="H35" s="165">
        <v>21.3</v>
      </c>
      <c r="I35" s="165">
        <v>4.84</v>
      </c>
      <c r="J35" s="165">
        <v>0.24</v>
      </c>
      <c r="K35" s="165">
        <v>167.63</v>
      </c>
      <c r="L35" s="165">
        <v>24.16</v>
      </c>
      <c r="M35" s="165">
        <v>72.03</v>
      </c>
      <c r="N35" s="165">
        <v>32.9</v>
      </c>
      <c r="O35" s="165">
        <v>0</v>
      </c>
      <c r="P35" s="165">
        <v>0.61</v>
      </c>
      <c r="Q35" s="165">
        <v>5</v>
      </c>
      <c r="R35" s="13"/>
      <c r="S35" s="13"/>
      <c r="T35" s="213"/>
      <c r="U35" s="13"/>
    </row>
    <row r="36" customFormat="1" spans="1:21">
      <c r="A36" s="142" t="s">
        <v>371</v>
      </c>
      <c r="B36" s="165">
        <v>25.6</v>
      </c>
      <c r="C36" s="165">
        <v>66.57</v>
      </c>
      <c r="D36" s="165">
        <v>56.18</v>
      </c>
      <c r="E36" s="165">
        <v>8</v>
      </c>
      <c r="F36" s="165">
        <v>3.79</v>
      </c>
      <c r="G36" s="165">
        <v>38.1</v>
      </c>
      <c r="H36" s="165">
        <v>21.3</v>
      </c>
      <c r="I36" s="165">
        <v>4.86</v>
      </c>
      <c r="J36" s="165">
        <v>0.17</v>
      </c>
      <c r="K36" s="165">
        <v>160.27</v>
      </c>
      <c r="L36" s="165">
        <v>24.84</v>
      </c>
      <c r="M36" s="165">
        <v>70.13</v>
      </c>
      <c r="N36" s="165">
        <v>46.1</v>
      </c>
      <c r="O36" s="165">
        <v>0</v>
      </c>
      <c r="P36" s="165">
        <v>0.6</v>
      </c>
      <c r="Q36" s="165">
        <v>5</v>
      </c>
      <c r="R36" s="13"/>
      <c r="S36" s="13"/>
      <c r="T36" s="213"/>
      <c r="U36" s="13"/>
    </row>
    <row r="37" customFormat="1" spans="1:21">
      <c r="A37" s="142" t="s">
        <v>372</v>
      </c>
      <c r="B37" s="165">
        <v>25.92</v>
      </c>
      <c r="C37" s="165">
        <v>66.67</v>
      </c>
      <c r="D37" s="165">
        <v>56.5</v>
      </c>
      <c r="E37" s="165">
        <v>7.66</v>
      </c>
      <c r="F37" s="165">
        <v>3.67</v>
      </c>
      <c r="G37" s="165">
        <v>38.1</v>
      </c>
      <c r="H37" s="165">
        <v>21.3</v>
      </c>
      <c r="I37" s="165">
        <v>4.9</v>
      </c>
      <c r="J37" s="165">
        <v>0.25</v>
      </c>
      <c r="K37" s="165">
        <v>186.72</v>
      </c>
      <c r="L37" s="165">
        <v>25.78</v>
      </c>
      <c r="M37" s="165">
        <v>65.15</v>
      </c>
      <c r="N37" s="165">
        <v>59</v>
      </c>
      <c r="O37" s="165">
        <v>0</v>
      </c>
      <c r="P37" s="165">
        <v>0.62</v>
      </c>
      <c r="Q37" s="165">
        <v>5</v>
      </c>
      <c r="R37" s="13"/>
      <c r="S37" s="13"/>
      <c r="T37" s="213"/>
      <c r="U37" s="13"/>
    </row>
    <row r="38" customFormat="1" spans="1:21">
      <c r="A38" s="142" t="s">
        <v>373</v>
      </c>
      <c r="B38" s="165">
        <v>26.01</v>
      </c>
      <c r="C38" s="165">
        <v>67.57</v>
      </c>
      <c r="D38" s="165">
        <v>57.04</v>
      </c>
      <c r="E38" s="165">
        <v>8.06</v>
      </c>
      <c r="F38" s="165">
        <v>3.94</v>
      </c>
      <c r="G38" s="165">
        <v>38.02</v>
      </c>
      <c r="H38" s="165">
        <v>21.27</v>
      </c>
      <c r="I38" s="165">
        <v>4.98</v>
      </c>
      <c r="J38" s="165">
        <v>0.36</v>
      </c>
      <c r="K38" s="165">
        <v>218.24</v>
      </c>
      <c r="L38" s="165">
        <v>26.74</v>
      </c>
      <c r="M38" s="165">
        <v>59.4</v>
      </c>
      <c r="N38" s="165">
        <v>88</v>
      </c>
      <c r="O38" s="165">
        <v>0</v>
      </c>
      <c r="P38" s="165">
        <v>0.63</v>
      </c>
      <c r="Q38" s="165">
        <v>5</v>
      </c>
      <c r="R38" s="13"/>
      <c r="S38" s="13"/>
      <c r="T38" s="213"/>
      <c r="U38" s="13"/>
    </row>
    <row r="39" customFormat="1" spans="1:21">
      <c r="A39" s="142" t="s">
        <v>374</v>
      </c>
      <c r="B39" s="165">
        <v>26</v>
      </c>
      <c r="C39" s="165">
        <v>66.4</v>
      </c>
      <c r="D39" s="165">
        <v>56.42</v>
      </c>
      <c r="E39" s="165">
        <v>8.14</v>
      </c>
      <c r="F39" s="165">
        <v>4.03</v>
      </c>
      <c r="G39" s="165">
        <v>34.43</v>
      </c>
      <c r="H39" s="165">
        <v>20.29</v>
      </c>
      <c r="I39" s="165">
        <v>5.05</v>
      </c>
      <c r="J39" s="165">
        <v>0.41</v>
      </c>
      <c r="K39" s="165">
        <v>225.34</v>
      </c>
      <c r="L39" s="165">
        <v>27.59</v>
      </c>
      <c r="M39" s="165">
        <v>56.22</v>
      </c>
      <c r="N39" s="165">
        <v>184.4</v>
      </c>
      <c r="O39" s="165">
        <v>0</v>
      </c>
      <c r="P39" s="165">
        <v>0.63</v>
      </c>
      <c r="Q39" s="165">
        <v>5</v>
      </c>
      <c r="R39" s="13"/>
      <c r="S39" s="13"/>
      <c r="T39" s="213"/>
      <c r="U39" s="13"/>
    </row>
    <row r="40" customFormat="1" spans="1:21">
      <c r="A40" s="142" t="s">
        <v>375</v>
      </c>
      <c r="B40" s="165">
        <v>25.58</v>
      </c>
      <c r="C40" s="165">
        <v>64.53</v>
      </c>
      <c r="D40" s="165">
        <v>55.1</v>
      </c>
      <c r="E40" s="165">
        <v>8.18</v>
      </c>
      <c r="F40" s="165">
        <v>4.15</v>
      </c>
      <c r="G40" s="165">
        <v>34.43</v>
      </c>
      <c r="H40" s="165">
        <v>20.29</v>
      </c>
      <c r="I40" s="165">
        <v>5.11</v>
      </c>
      <c r="J40" s="165">
        <v>0.49</v>
      </c>
      <c r="K40" s="165">
        <v>235.21</v>
      </c>
      <c r="L40" s="165">
        <v>28.39</v>
      </c>
      <c r="M40" s="165">
        <v>52.92</v>
      </c>
      <c r="N40" s="165">
        <v>232.2</v>
      </c>
      <c r="O40" s="165">
        <v>0</v>
      </c>
      <c r="P40" s="165">
        <v>0.62</v>
      </c>
      <c r="Q40" s="165">
        <v>5</v>
      </c>
      <c r="R40" s="13"/>
      <c r="S40" s="13"/>
      <c r="T40" s="213"/>
      <c r="U40" s="13"/>
    </row>
    <row r="41" customFormat="1" spans="1:21">
      <c r="A41" s="142" t="s">
        <v>376</v>
      </c>
      <c r="B41" s="165">
        <v>24.93</v>
      </c>
      <c r="C41" s="165">
        <v>64.93</v>
      </c>
      <c r="D41" s="165">
        <v>54.79</v>
      </c>
      <c r="E41" s="165">
        <v>8.09</v>
      </c>
      <c r="F41" s="165">
        <v>4.29</v>
      </c>
      <c r="G41" s="165">
        <v>34.43</v>
      </c>
      <c r="H41" s="165">
        <v>20.29</v>
      </c>
      <c r="I41" s="165">
        <v>5.17</v>
      </c>
      <c r="J41" s="165">
        <v>0.53</v>
      </c>
      <c r="K41" s="165">
        <v>220.91</v>
      </c>
      <c r="L41" s="165">
        <v>29.53</v>
      </c>
      <c r="M41" s="165">
        <v>48.92</v>
      </c>
      <c r="N41" s="165">
        <v>270.4</v>
      </c>
      <c r="O41" s="165">
        <v>0</v>
      </c>
      <c r="P41" s="165">
        <v>0.62</v>
      </c>
      <c r="Q41" s="165">
        <v>5</v>
      </c>
      <c r="R41" s="13"/>
      <c r="S41" s="13"/>
      <c r="T41" s="213"/>
      <c r="U41" s="13"/>
    </row>
    <row r="42" customFormat="1" spans="1:21">
      <c r="A42" s="142" t="s">
        <v>377</v>
      </c>
      <c r="B42" s="165">
        <v>23.72</v>
      </c>
      <c r="C42" s="165">
        <v>64.68</v>
      </c>
      <c r="D42" s="165">
        <v>53.69</v>
      </c>
      <c r="E42" s="165">
        <v>8.27</v>
      </c>
      <c r="F42" s="165">
        <v>5.08</v>
      </c>
      <c r="G42" s="165">
        <v>34.53</v>
      </c>
      <c r="H42" s="165">
        <v>20.3</v>
      </c>
      <c r="I42" s="165">
        <v>5.19</v>
      </c>
      <c r="J42" s="165">
        <v>0.72</v>
      </c>
      <c r="K42" s="165">
        <v>250.08</v>
      </c>
      <c r="L42" s="165">
        <v>30.3</v>
      </c>
      <c r="M42" s="165">
        <v>45.89</v>
      </c>
      <c r="N42" s="165">
        <v>179.6</v>
      </c>
      <c r="O42" s="165">
        <v>0</v>
      </c>
      <c r="P42" s="165">
        <v>0.63</v>
      </c>
      <c r="Q42" s="165">
        <v>5</v>
      </c>
      <c r="R42" s="13"/>
      <c r="S42" s="13"/>
      <c r="T42" s="213"/>
      <c r="U42" s="13"/>
    </row>
    <row r="43" customFormat="1" spans="1:21">
      <c r="A43" s="142" t="s">
        <v>378</v>
      </c>
      <c r="B43" s="165">
        <v>22.39</v>
      </c>
      <c r="C43" s="165">
        <v>63.22</v>
      </c>
      <c r="D43" s="165">
        <v>51.86</v>
      </c>
      <c r="E43" s="165">
        <v>8.35</v>
      </c>
      <c r="F43" s="165">
        <v>5.99</v>
      </c>
      <c r="G43" s="165">
        <v>38.63</v>
      </c>
      <c r="H43" s="165">
        <v>20.42</v>
      </c>
      <c r="I43" s="165">
        <v>5.17</v>
      </c>
      <c r="J43" s="165">
        <v>0.94</v>
      </c>
      <c r="K43" s="165">
        <v>235.67</v>
      </c>
      <c r="L43" s="165">
        <v>30.88</v>
      </c>
      <c r="M43" s="165">
        <v>44.85</v>
      </c>
      <c r="N43" s="165">
        <v>187.8</v>
      </c>
      <c r="O43" s="165">
        <v>0</v>
      </c>
      <c r="P43" s="165">
        <v>0.62</v>
      </c>
      <c r="Q43" s="165">
        <v>5</v>
      </c>
      <c r="R43" s="13"/>
      <c r="S43" s="13"/>
      <c r="T43" s="213"/>
      <c r="U43" s="13"/>
    </row>
    <row r="44" customFormat="1" spans="1:21">
      <c r="A44" s="142" t="s">
        <v>379</v>
      </c>
      <c r="B44" s="165">
        <v>21.48</v>
      </c>
      <c r="C44" s="165">
        <v>62.3</v>
      </c>
      <c r="D44" s="165">
        <v>50.65</v>
      </c>
      <c r="E44" s="165">
        <v>8.13</v>
      </c>
      <c r="F44" s="165">
        <v>5.89</v>
      </c>
      <c r="G44" s="165">
        <v>38.63</v>
      </c>
      <c r="H44" s="165">
        <v>20.42</v>
      </c>
      <c r="I44" s="165">
        <v>5.13</v>
      </c>
      <c r="J44" s="165">
        <v>0.81</v>
      </c>
      <c r="K44" s="165">
        <v>230.68</v>
      </c>
      <c r="L44" s="165">
        <v>31.07</v>
      </c>
      <c r="M44" s="165">
        <v>45.01</v>
      </c>
      <c r="N44" s="165">
        <v>215.7</v>
      </c>
      <c r="O44" s="165">
        <v>0</v>
      </c>
      <c r="P44" s="165">
        <v>0.62</v>
      </c>
      <c r="Q44" s="165">
        <v>5</v>
      </c>
      <c r="R44" s="13"/>
      <c r="S44" s="13"/>
      <c r="T44" s="213"/>
      <c r="U44" s="13"/>
    </row>
    <row r="45" customFormat="1" spans="1:21">
      <c r="A45" s="142" t="s">
        <v>380</v>
      </c>
      <c r="B45" s="165">
        <v>20.29</v>
      </c>
      <c r="C45" s="165">
        <v>65.1</v>
      </c>
      <c r="D45" s="165">
        <v>51.16</v>
      </c>
      <c r="E45" s="165">
        <v>8.03</v>
      </c>
      <c r="F45" s="165">
        <v>5.38</v>
      </c>
      <c r="G45" s="165">
        <v>38.63</v>
      </c>
      <c r="H45" s="165">
        <v>20.42</v>
      </c>
      <c r="I45" s="165">
        <v>5.12</v>
      </c>
      <c r="J45" s="165">
        <v>1.12</v>
      </c>
      <c r="K45" s="165">
        <v>231.35</v>
      </c>
      <c r="L45" s="165">
        <v>31.2</v>
      </c>
      <c r="M45" s="165">
        <v>47.26</v>
      </c>
      <c r="N45" s="165">
        <v>417</v>
      </c>
      <c r="O45" s="165">
        <v>0</v>
      </c>
      <c r="P45" s="165">
        <v>0.62</v>
      </c>
      <c r="Q45" s="165">
        <v>5</v>
      </c>
      <c r="R45" s="13"/>
      <c r="S45" s="13"/>
      <c r="T45" s="213"/>
      <c r="U45" s="13"/>
    </row>
    <row r="46" customFormat="1" spans="1:21">
      <c r="A46" s="142" t="s">
        <v>381</v>
      </c>
      <c r="B46" s="165">
        <v>18.73</v>
      </c>
      <c r="C46" s="165">
        <v>59.43</v>
      </c>
      <c r="D46" s="165">
        <v>46.95</v>
      </c>
      <c r="E46" s="165">
        <v>8.13</v>
      </c>
      <c r="F46" s="165">
        <v>6.45</v>
      </c>
      <c r="G46" s="165">
        <v>38.68</v>
      </c>
      <c r="H46" s="165">
        <v>20.46</v>
      </c>
      <c r="I46" s="165">
        <v>5.09</v>
      </c>
      <c r="J46" s="165">
        <v>0.82</v>
      </c>
      <c r="K46" s="165">
        <v>220.99</v>
      </c>
      <c r="L46" s="165">
        <v>31.86</v>
      </c>
      <c r="M46" s="165">
        <v>47.67</v>
      </c>
      <c r="N46" s="165">
        <v>515</v>
      </c>
      <c r="O46" s="165">
        <v>0</v>
      </c>
      <c r="P46" s="165">
        <v>0.62</v>
      </c>
      <c r="Q46" s="165">
        <v>5</v>
      </c>
      <c r="R46" s="13"/>
      <c r="S46" s="13"/>
      <c r="T46" s="213"/>
      <c r="U46" s="13"/>
    </row>
    <row r="47" customFormat="1" spans="1:21">
      <c r="A47" s="142" t="s">
        <v>382</v>
      </c>
      <c r="B47" s="165">
        <v>17.6</v>
      </c>
      <c r="C47" s="165">
        <v>60.36</v>
      </c>
      <c r="D47" s="165">
        <v>46.52</v>
      </c>
      <c r="E47" s="165">
        <v>7.94</v>
      </c>
      <c r="F47" s="165">
        <v>6.24</v>
      </c>
      <c r="G47" s="165">
        <v>41.09</v>
      </c>
      <c r="H47" s="165">
        <v>21.72</v>
      </c>
      <c r="I47" s="165">
        <v>5.06</v>
      </c>
      <c r="J47" s="165">
        <v>1.02</v>
      </c>
      <c r="K47" s="165">
        <v>228.75</v>
      </c>
      <c r="L47" s="165">
        <v>32.27</v>
      </c>
      <c r="M47" s="165">
        <v>48.26</v>
      </c>
      <c r="N47" s="165">
        <v>566.2</v>
      </c>
      <c r="O47" s="165">
        <v>0</v>
      </c>
      <c r="P47" s="165">
        <v>0.62</v>
      </c>
      <c r="Q47" s="165">
        <v>5</v>
      </c>
      <c r="R47" s="13"/>
      <c r="S47" s="13"/>
      <c r="T47" s="213"/>
      <c r="U47" s="13"/>
    </row>
    <row r="48" customFormat="1" spans="1:21">
      <c r="A48" s="142" t="s">
        <v>383</v>
      </c>
      <c r="B48" s="165">
        <v>16.35</v>
      </c>
      <c r="C48" s="165">
        <v>64.6</v>
      </c>
      <c r="D48" s="165">
        <v>47.73</v>
      </c>
      <c r="E48" s="165">
        <v>8</v>
      </c>
      <c r="F48" s="165">
        <v>6.78</v>
      </c>
      <c r="G48" s="165">
        <v>41.09</v>
      </c>
      <c r="H48" s="165">
        <v>21.72</v>
      </c>
      <c r="I48" s="165">
        <v>5.03</v>
      </c>
      <c r="J48" s="165">
        <v>1.28</v>
      </c>
      <c r="K48" s="165">
        <v>236.53</v>
      </c>
      <c r="L48" s="165">
        <v>32.37</v>
      </c>
      <c r="M48" s="165">
        <v>48.43</v>
      </c>
      <c r="N48" s="165">
        <v>467</v>
      </c>
      <c r="O48" s="165">
        <v>0</v>
      </c>
      <c r="P48" s="165">
        <v>0.62</v>
      </c>
      <c r="Q48" s="165">
        <v>5</v>
      </c>
      <c r="R48" s="13"/>
      <c r="S48" s="13"/>
      <c r="T48" s="213"/>
      <c r="U48" s="13"/>
    </row>
    <row r="49" customFormat="1" spans="1:21">
      <c r="A49" s="142" t="s">
        <v>384</v>
      </c>
      <c r="B49" s="165">
        <v>14.82</v>
      </c>
      <c r="C49" s="165">
        <v>66.04</v>
      </c>
      <c r="D49" s="165">
        <v>47.26</v>
      </c>
      <c r="E49" s="165">
        <v>5.05</v>
      </c>
      <c r="F49" s="165">
        <v>6.51</v>
      </c>
      <c r="G49" s="165">
        <v>41.09</v>
      </c>
      <c r="H49" s="165">
        <v>21.72</v>
      </c>
      <c r="I49" s="165">
        <v>5</v>
      </c>
      <c r="J49" s="165">
        <v>1.22</v>
      </c>
      <c r="K49" s="165">
        <v>249.26</v>
      </c>
      <c r="L49" s="165">
        <v>33.03</v>
      </c>
      <c r="M49" s="165">
        <v>47.71</v>
      </c>
      <c r="N49" s="165">
        <v>577.1</v>
      </c>
      <c r="O49" s="165">
        <v>0</v>
      </c>
      <c r="P49" s="165">
        <v>0.62</v>
      </c>
      <c r="Q49" s="165">
        <v>5</v>
      </c>
      <c r="R49" s="13"/>
      <c r="S49" s="13"/>
      <c r="T49" s="213"/>
      <c r="U49" s="13"/>
    </row>
    <row r="50" customFormat="1" spans="1:21">
      <c r="A50" s="142" t="s">
        <v>385</v>
      </c>
      <c r="B50" s="165">
        <v>13.51</v>
      </c>
      <c r="C50" s="165">
        <v>65.5</v>
      </c>
      <c r="D50" s="165">
        <v>45.93</v>
      </c>
      <c r="E50" s="165">
        <v>7.23</v>
      </c>
      <c r="F50" s="165">
        <v>6.18</v>
      </c>
      <c r="G50" s="165">
        <v>41.09</v>
      </c>
      <c r="H50" s="165">
        <v>21.71</v>
      </c>
      <c r="I50" s="165">
        <v>4.92</v>
      </c>
      <c r="J50" s="165">
        <v>1.42</v>
      </c>
      <c r="K50" s="165">
        <v>248.05</v>
      </c>
      <c r="L50" s="165">
        <v>33.07</v>
      </c>
      <c r="M50" s="165">
        <v>47.16</v>
      </c>
      <c r="N50" s="165">
        <v>435.6</v>
      </c>
      <c r="O50" s="165">
        <v>0</v>
      </c>
      <c r="P50" s="165">
        <v>0.61</v>
      </c>
      <c r="Q50" s="165">
        <v>5</v>
      </c>
      <c r="R50" s="13"/>
      <c r="S50" s="13"/>
      <c r="T50" s="213"/>
      <c r="U50" s="13"/>
    </row>
    <row r="51" customFormat="1" spans="1:21">
      <c r="A51" s="142" t="s">
        <v>386</v>
      </c>
      <c r="B51" s="165">
        <v>12.36</v>
      </c>
      <c r="C51" s="165">
        <v>65.85</v>
      </c>
      <c r="D51" s="165">
        <v>45.19</v>
      </c>
      <c r="E51" s="165">
        <v>7.89</v>
      </c>
      <c r="F51" s="165">
        <v>7.53</v>
      </c>
      <c r="G51" s="165">
        <v>41.18</v>
      </c>
      <c r="H51" s="165">
        <v>21.47</v>
      </c>
      <c r="I51" s="165">
        <v>4.85</v>
      </c>
      <c r="J51" s="165">
        <v>1.15</v>
      </c>
      <c r="K51" s="165">
        <v>240.1</v>
      </c>
      <c r="L51" s="165">
        <v>33.93</v>
      </c>
      <c r="M51" s="165">
        <v>45.63</v>
      </c>
      <c r="N51" s="165">
        <v>695.6</v>
      </c>
      <c r="O51" s="165">
        <v>0</v>
      </c>
      <c r="P51" s="165">
        <v>0.61</v>
      </c>
      <c r="Q51" s="165">
        <v>5</v>
      </c>
      <c r="R51" s="13"/>
      <c r="S51" s="13"/>
      <c r="T51" s="213"/>
      <c r="U51" s="13"/>
    </row>
    <row r="52" customFormat="1" spans="1:21">
      <c r="A52" s="142" t="s">
        <v>387</v>
      </c>
      <c r="B52" s="165">
        <v>11.33</v>
      </c>
      <c r="C52" s="165">
        <v>60.44</v>
      </c>
      <c r="D52" s="165">
        <v>41.54</v>
      </c>
      <c r="E52" s="165">
        <v>7.75</v>
      </c>
      <c r="F52" s="165">
        <v>7.49</v>
      </c>
      <c r="G52" s="165">
        <v>41.18</v>
      </c>
      <c r="H52" s="165">
        <v>21.47</v>
      </c>
      <c r="I52" s="165">
        <v>4.74</v>
      </c>
      <c r="J52" s="165">
        <v>1.39</v>
      </c>
      <c r="K52" s="165">
        <v>265.69</v>
      </c>
      <c r="L52" s="165">
        <v>34.16</v>
      </c>
      <c r="M52" s="165">
        <v>44.52</v>
      </c>
      <c r="N52" s="165">
        <v>718.7</v>
      </c>
      <c r="O52" s="165">
        <v>0</v>
      </c>
      <c r="P52" s="165">
        <v>0.59</v>
      </c>
      <c r="Q52" s="165">
        <v>5</v>
      </c>
      <c r="R52" s="13"/>
      <c r="S52" s="13"/>
      <c r="T52" s="213"/>
      <c r="U52" s="13"/>
    </row>
    <row r="53" customFormat="1" spans="1:21">
      <c r="A53" s="142" t="s">
        <v>388</v>
      </c>
      <c r="B53" s="165">
        <v>10.48</v>
      </c>
      <c r="C53" s="165">
        <v>66.28</v>
      </c>
      <c r="D53" s="165">
        <v>43.91</v>
      </c>
      <c r="E53" s="165">
        <v>8.07</v>
      </c>
      <c r="F53" s="165">
        <v>6.88</v>
      </c>
      <c r="G53" s="165">
        <v>41.18</v>
      </c>
      <c r="H53" s="165">
        <v>21.47</v>
      </c>
      <c r="I53" s="165">
        <v>4.62</v>
      </c>
      <c r="J53" s="165">
        <v>1.13</v>
      </c>
      <c r="K53" s="165">
        <v>247.44</v>
      </c>
      <c r="L53" s="165">
        <v>34.38</v>
      </c>
      <c r="M53" s="165">
        <v>43.97</v>
      </c>
      <c r="N53" s="165">
        <v>684.1</v>
      </c>
      <c r="O53" s="165">
        <v>0</v>
      </c>
      <c r="P53" s="165">
        <v>0.59</v>
      </c>
      <c r="Q53" s="165">
        <v>5</v>
      </c>
      <c r="R53" s="13"/>
      <c r="S53" s="13"/>
      <c r="T53" s="213"/>
      <c r="U53" s="13"/>
    </row>
    <row r="54" customFormat="1" spans="1:21">
      <c r="A54" s="142" t="s">
        <v>389</v>
      </c>
      <c r="B54" s="165">
        <v>9.57</v>
      </c>
      <c r="C54" s="165">
        <v>59.36</v>
      </c>
      <c r="D54" s="165">
        <v>39.56</v>
      </c>
      <c r="E54" s="165">
        <v>7.71</v>
      </c>
      <c r="F54" s="165">
        <v>9.56</v>
      </c>
      <c r="G54" s="165">
        <v>41.12</v>
      </c>
      <c r="H54" s="165">
        <v>21.41</v>
      </c>
      <c r="I54" s="165">
        <v>4.55</v>
      </c>
      <c r="J54" s="165">
        <v>1.16</v>
      </c>
      <c r="K54" s="165">
        <v>267.19</v>
      </c>
      <c r="L54" s="165">
        <v>34.97</v>
      </c>
      <c r="M54" s="165">
        <v>41.56</v>
      </c>
      <c r="N54" s="165">
        <v>740.8</v>
      </c>
      <c r="O54" s="165">
        <v>0</v>
      </c>
      <c r="P54" s="165">
        <v>0.58</v>
      </c>
      <c r="Q54" s="165">
        <v>5</v>
      </c>
      <c r="R54" s="13"/>
      <c r="S54" s="13"/>
      <c r="T54" s="213"/>
      <c r="U54" s="13"/>
    </row>
    <row r="55" customFormat="1" spans="1:21">
      <c r="A55" s="142" t="s">
        <v>390</v>
      </c>
      <c r="B55" s="165">
        <v>8.78</v>
      </c>
      <c r="C55" s="165">
        <v>57.27</v>
      </c>
      <c r="D55" s="165">
        <v>37.84</v>
      </c>
      <c r="E55" s="165">
        <v>8.39</v>
      </c>
      <c r="F55" s="165">
        <v>8.85</v>
      </c>
      <c r="G55" s="165">
        <v>38.67</v>
      </c>
      <c r="H55" s="165">
        <v>17.9</v>
      </c>
      <c r="I55" s="165">
        <v>4.48</v>
      </c>
      <c r="J55" s="165">
        <v>1.52</v>
      </c>
      <c r="K55" s="165">
        <v>282.78</v>
      </c>
      <c r="L55" s="165">
        <v>34.92</v>
      </c>
      <c r="M55" s="165">
        <v>40.57</v>
      </c>
      <c r="N55" s="165">
        <v>575.9</v>
      </c>
      <c r="O55" s="165">
        <v>0</v>
      </c>
      <c r="P55" s="165">
        <v>0.57</v>
      </c>
      <c r="Q55" s="165">
        <v>5</v>
      </c>
      <c r="R55" s="13"/>
      <c r="S55" s="13"/>
      <c r="T55" s="213"/>
      <c r="U55" s="13"/>
    </row>
    <row r="56" customFormat="1" spans="1:21">
      <c r="A56" s="142" t="s">
        <v>391</v>
      </c>
      <c r="B56" s="165">
        <v>8.78</v>
      </c>
      <c r="C56" s="165">
        <v>66.84</v>
      </c>
      <c r="D56" s="165">
        <v>42.84</v>
      </c>
      <c r="E56" s="165">
        <v>8.58</v>
      </c>
      <c r="F56" s="165">
        <v>8.51</v>
      </c>
      <c r="G56" s="165">
        <v>38.67</v>
      </c>
      <c r="H56" s="165">
        <v>17.9</v>
      </c>
      <c r="I56" s="165">
        <v>4.36</v>
      </c>
      <c r="J56" s="165">
        <v>1.23</v>
      </c>
      <c r="K56" s="165">
        <v>261.08</v>
      </c>
      <c r="L56" s="165">
        <v>35.21</v>
      </c>
      <c r="M56" s="165">
        <v>38.35</v>
      </c>
      <c r="N56" s="165">
        <v>753.7</v>
      </c>
      <c r="O56" s="165">
        <v>0</v>
      </c>
      <c r="P56" s="165">
        <v>0.58</v>
      </c>
      <c r="Q56" s="165">
        <v>5</v>
      </c>
      <c r="R56" s="13"/>
      <c r="S56" s="13"/>
      <c r="T56" s="213"/>
      <c r="U56" s="13"/>
    </row>
    <row r="57" customFormat="1" spans="1:21">
      <c r="A57" s="142" t="s">
        <v>392</v>
      </c>
      <c r="B57" s="165">
        <v>8.41</v>
      </c>
      <c r="C57" s="165">
        <v>58.74</v>
      </c>
      <c r="D57" s="165">
        <v>38.3</v>
      </c>
      <c r="E57" s="165">
        <v>8.55</v>
      </c>
      <c r="F57" s="165">
        <v>9.46</v>
      </c>
      <c r="G57" s="165">
        <v>38.67</v>
      </c>
      <c r="H57" s="165">
        <v>17.9</v>
      </c>
      <c r="I57" s="165">
        <v>4.31</v>
      </c>
      <c r="J57" s="165">
        <v>1.18</v>
      </c>
      <c r="K57" s="165">
        <v>250.8</v>
      </c>
      <c r="L57" s="165">
        <v>35.75</v>
      </c>
      <c r="M57" s="165">
        <v>37.78</v>
      </c>
      <c r="N57" s="165">
        <v>815.6</v>
      </c>
      <c r="O57" s="165">
        <v>0</v>
      </c>
      <c r="P57" s="165">
        <v>0.56</v>
      </c>
      <c r="Q57" s="165">
        <v>5</v>
      </c>
      <c r="R57" s="13"/>
      <c r="S57" s="13"/>
      <c r="T57" s="213"/>
      <c r="U57" s="13"/>
    </row>
    <row r="58" customFormat="1" spans="1:21">
      <c r="A58" s="142" t="s">
        <v>393</v>
      </c>
      <c r="B58" s="165">
        <v>7.8</v>
      </c>
      <c r="C58" s="165">
        <v>64.13</v>
      </c>
      <c r="D58" s="165">
        <v>40.64</v>
      </c>
      <c r="E58" s="165">
        <v>7.8</v>
      </c>
      <c r="F58" s="165">
        <v>10.72</v>
      </c>
      <c r="G58" s="165">
        <v>38.61</v>
      </c>
      <c r="H58" s="165">
        <v>17.84</v>
      </c>
      <c r="I58" s="165">
        <v>4.29</v>
      </c>
      <c r="J58" s="165">
        <v>1.69</v>
      </c>
      <c r="K58" s="165">
        <v>283.52</v>
      </c>
      <c r="L58" s="165">
        <v>35.41</v>
      </c>
      <c r="M58" s="165">
        <v>38.38</v>
      </c>
      <c r="N58" s="165">
        <v>729.2</v>
      </c>
      <c r="O58" s="165">
        <v>0</v>
      </c>
      <c r="P58" s="165">
        <v>0.58</v>
      </c>
      <c r="Q58" s="165">
        <v>5</v>
      </c>
      <c r="R58" s="13"/>
      <c r="S58" s="13"/>
      <c r="T58" s="213"/>
      <c r="U58" s="13"/>
    </row>
    <row r="59" customFormat="1" spans="1:21">
      <c r="A59" s="142" t="s">
        <v>394</v>
      </c>
      <c r="B59" s="165">
        <v>7.57</v>
      </c>
      <c r="C59" s="165">
        <v>59.5</v>
      </c>
      <c r="D59" s="165">
        <v>38.03</v>
      </c>
      <c r="E59" s="165">
        <v>9.04</v>
      </c>
      <c r="F59" s="165">
        <v>11.25</v>
      </c>
      <c r="G59" s="165">
        <v>36.04</v>
      </c>
      <c r="H59" s="165">
        <v>16.14</v>
      </c>
      <c r="I59" s="165">
        <v>4.23</v>
      </c>
      <c r="J59" s="165">
        <v>1.29</v>
      </c>
      <c r="K59" s="165">
        <v>264.86</v>
      </c>
      <c r="L59" s="165">
        <v>35.78</v>
      </c>
      <c r="M59" s="165">
        <v>38.19</v>
      </c>
      <c r="N59" s="165">
        <v>632.1</v>
      </c>
      <c r="O59" s="165">
        <v>0</v>
      </c>
      <c r="P59" s="165">
        <v>0.57</v>
      </c>
      <c r="Q59" s="165">
        <v>5</v>
      </c>
      <c r="R59" s="13"/>
      <c r="S59" s="13"/>
      <c r="T59" s="213"/>
      <c r="U59" s="13"/>
    </row>
    <row r="60" customFormat="1" spans="1:21">
      <c r="A60" s="142" t="s">
        <v>395</v>
      </c>
      <c r="B60" s="165">
        <v>7.29</v>
      </c>
      <c r="C60" s="165">
        <v>57.18</v>
      </c>
      <c r="D60" s="165">
        <v>36.59</v>
      </c>
      <c r="E60" s="165">
        <v>8.82</v>
      </c>
      <c r="F60" s="165">
        <v>9.56</v>
      </c>
      <c r="G60" s="165">
        <v>36.04</v>
      </c>
      <c r="H60" s="165">
        <v>16.14</v>
      </c>
      <c r="I60" s="165">
        <v>4.14</v>
      </c>
      <c r="J60" s="165">
        <v>1.11</v>
      </c>
      <c r="K60" s="165">
        <v>262.04</v>
      </c>
      <c r="L60" s="165">
        <v>35.87</v>
      </c>
      <c r="M60" s="165">
        <v>36.63</v>
      </c>
      <c r="N60" s="165">
        <v>596.4</v>
      </c>
      <c r="O60" s="165">
        <v>0</v>
      </c>
      <c r="P60" s="165">
        <v>0.56</v>
      </c>
      <c r="Q60" s="165">
        <v>5</v>
      </c>
      <c r="R60" s="13"/>
      <c r="S60" s="13"/>
      <c r="T60" s="213"/>
      <c r="U60" s="13"/>
    </row>
    <row r="61" customFormat="1" spans="1:21">
      <c r="A61" s="142" t="s">
        <v>396</v>
      </c>
      <c r="B61" s="165">
        <v>7.4</v>
      </c>
      <c r="C61" s="165">
        <v>69.38</v>
      </c>
      <c r="D61" s="165">
        <v>43.06</v>
      </c>
      <c r="E61" s="165">
        <v>8.69</v>
      </c>
      <c r="F61" s="165">
        <v>7.61</v>
      </c>
      <c r="G61" s="165">
        <v>36.04</v>
      </c>
      <c r="H61" s="165">
        <v>16.14</v>
      </c>
      <c r="I61" s="165">
        <v>4.11</v>
      </c>
      <c r="J61" s="165">
        <v>1.51</v>
      </c>
      <c r="K61" s="165">
        <v>254.34</v>
      </c>
      <c r="L61" s="165">
        <v>36.1</v>
      </c>
      <c r="M61" s="165">
        <v>34.19</v>
      </c>
      <c r="N61" s="165">
        <v>745.4</v>
      </c>
      <c r="O61" s="165">
        <v>0</v>
      </c>
      <c r="P61" s="165">
        <v>0.57</v>
      </c>
      <c r="Q61" s="165">
        <v>5</v>
      </c>
      <c r="R61" s="13"/>
      <c r="S61" s="13"/>
      <c r="T61" s="213"/>
      <c r="U61" s="13"/>
    </row>
    <row r="62" customFormat="1" spans="1:21">
      <c r="A62" s="142" t="s">
        <v>397</v>
      </c>
      <c r="B62" s="165">
        <v>7.03</v>
      </c>
      <c r="C62" s="165">
        <v>60.66</v>
      </c>
      <c r="D62" s="165">
        <v>38.21</v>
      </c>
      <c r="E62" s="165">
        <v>8.65</v>
      </c>
      <c r="F62" s="165">
        <v>9.92</v>
      </c>
      <c r="G62" s="165">
        <v>36.08</v>
      </c>
      <c r="H62" s="165">
        <v>16.11</v>
      </c>
      <c r="I62" s="165">
        <v>4.15</v>
      </c>
      <c r="J62" s="165">
        <v>1.22</v>
      </c>
      <c r="K62" s="165">
        <v>239.41</v>
      </c>
      <c r="L62" s="165">
        <v>36.78</v>
      </c>
      <c r="M62" s="165">
        <v>32.65</v>
      </c>
      <c r="N62" s="165">
        <v>711.9</v>
      </c>
      <c r="O62" s="165">
        <v>0</v>
      </c>
      <c r="P62" s="165">
        <v>0.55</v>
      </c>
      <c r="Q62" s="165">
        <v>5</v>
      </c>
      <c r="R62" s="13"/>
      <c r="S62" s="13"/>
      <c r="T62" s="213"/>
      <c r="U62" s="13"/>
    </row>
    <row r="63" customFormat="1" spans="1:21">
      <c r="A63" s="142" t="s">
        <v>398</v>
      </c>
      <c r="B63" s="165">
        <v>6.75</v>
      </c>
      <c r="C63" s="165">
        <v>55.21</v>
      </c>
      <c r="D63" s="165">
        <v>35.14</v>
      </c>
      <c r="E63" s="165">
        <v>8.92</v>
      </c>
      <c r="F63" s="165">
        <v>9.2</v>
      </c>
      <c r="G63" s="165">
        <v>37.8</v>
      </c>
      <c r="H63" s="165">
        <v>15</v>
      </c>
      <c r="I63" s="165">
        <v>4.13</v>
      </c>
      <c r="J63" s="165">
        <v>1.04</v>
      </c>
      <c r="K63" s="165">
        <v>229.71</v>
      </c>
      <c r="L63" s="165">
        <v>36.23</v>
      </c>
      <c r="M63" s="165">
        <v>33.08</v>
      </c>
      <c r="N63" s="165">
        <v>302.7</v>
      </c>
      <c r="O63" s="165">
        <v>0</v>
      </c>
      <c r="P63" s="165">
        <v>0.54</v>
      </c>
      <c r="Q63" s="165">
        <v>5</v>
      </c>
      <c r="R63" s="13"/>
      <c r="S63" s="13"/>
      <c r="T63" s="213"/>
      <c r="U63" s="13"/>
    </row>
    <row r="64" customFormat="1" spans="1:21">
      <c r="A64" s="142" t="s">
        <v>399</v>
      </c>
      <c r="B64" s="165">
        <v>6.64</v>
      </c>
      <c r="C64" s="165">
        <v>53.86</v>
      </c>
      <c r="D64" s="165">
        <v>34.33</v>
      </c>
      <c r="E64" s="165">
        <v>8.66</v>
      </c>
      <c r="F64" s="165">
        <v>10.95</v>
      </c>
      <c r="G64" s="165">
        <v>37.8</v>
      </c>
      <c r="H64" s="165">
        <v>15</v>
      </c>
      <c r="I64" s="165">
        <v>4.04</v>
      </c>
      <c r="J64" s="165">
        <v>1.08</v>
      </c>
      <c r="K64" s="165">
        <v>261.23</v>
      </c>
      <c r="L64" s="165">
        <v>35.56</v>
      </c>
      <c r="M64" s="165">
        <v>32.08</v>
      </c>
      <c r="N64" s="165">
        <v>289.3</v>
      </c>
      <c r="O64" s="165">
        <v>0</v>
      </c>
      <c r="P64" s="165">
        <v>0.53</v>
      </c>
      <c r="Q64" s="165">
        <v>5</v>
      </c>
      <c r="R64" s="13"/>
      <c r="S64" s="13"/>
      <c r="T64" s="213"/>
      <c r="U64" s="13"/>
    </row>
    <row r="65" customFormat="1" spans="1:21">
      <c r="A65" s="142" t="s">
        <v>400</v>
      </c>
      <c r="B65" s="165">
        <v>5.91</v>
      </c>
      <c r="C65" s="165">
        <v>47.78</v>
      </c>
      <c r="D65" s="165">
        <v>30.57</v>
      </c>
      <c r="E65" s="165">
        <v>9.54</v>
      </c>
      <c r="F65" s="165">
        <v>10.53</v>
      </c>
      <c r="G65" s="165">
        <v>37.8</v>
      </c>
      <c r="H65" s="165">
        <v>15</v>
      </c>
      <c r="I65" s="165">
        <v>3.98</v>
      </c>
      <c r="J65" s="165">
        <v>1.06</v>
      </c>
      <c r="K65" s="165">
        <v>242.95</v>
      </c>
      <c r="L65" s="165">
        <v>35.92</v>
      </c>
      <c r="M65" s="165">
        <v>31.72</v>
      </c>
      <c r="N65" s="165">
        <v>354.2</v>
      </c>
      <c r="O65" s="165">
        <v>0</v>
      </c>
      <c r="P65" s="165">
        <v>0.5</v>
      </c>
      <c r="Q65" s="165">
        <v>5</v>
      </c>
      <c r="R65" s="13"/>
      <c r="S65" s="13"/>
      <c r="T65" s="213"/>
      <c r="U65" s="13"/>
    </row>
    <row r="66" customFormat="1" spans="1:21">
      <c r="A66" s="142" t="s">
        <v>401</v>
      </c>
      <c r="B66" s="165">
        <v>6.26</v>
      </c>
      <c r="C66" s="165">
        <v>52.26</v>
      </c>
      <c r="D66" s="165">
        <v>33.2</v>
      </c>
      <c r="E66" s="165">
        <v>9.02</v>
      </c>
      <c r="F66" s="165">
        <v>12.63</v>
      </c>
      <c r="G66" s="165">
        <v>37.75</v>
      </c>
      <c r="H66" s="165">
        <v>14.97</v>
      </c>
      <c r="I66" s="165">
        <v>3.89</v>
      </c>
      <c r="J66" s="165">
        <v>1.36</v>
      </c>
      <c r="K66" s="165">
        <v>274.84</v>
      </c>
      <c r="L66" s="165">
        <v>35.75</v>
      </c>
      <c r="M66" s="165">
        <v>26.89</v>
      </c>
      <c r="N66" s="165">
        <v>207.2</v>
      </c>
      <c r="O66" s="165">
        <v>0</v>
      </c>
      <c r="P66" s="165">
        <v>0.52</v>
      </c>
      <c r="Q66" s="165">
        <v>5</v>
      </c>
      <c r="R66" s="13"/>
      <c r="S66" s="13"/>
      <c r="T66" s="213"/>
      <c r="U66" s="13"/>
    </row>
    <row r="67" customFormat="1" spans="1:21">
      <c r="A67" s="142" t="s">
        <v>402</v>
      </c>
      <c r="B67" s="165">
        <v>6.39</v>
      </c>
      <c r="C67" s="165">
        <v>52.1</v>
      </c>
      <c r="D67" s="165">
        <v>33.22</v>
      </c>
      <c r="E67" s="165">
        <v>9.1</v>
      </c>
      <c r="F67" s="165">
        <v>10.39</v>
      </c>
      <c r="G67" s="165">
        <v>35.93</v>
      </c>
      <c r="H67" s="165">
        <v>13.05</v>
      </c>
      <c r="I67" s="165">
        <v>3.8</v>
      </c>
      <c r="J67" s="165">
        <v>1.67</v>
      </c>
      <c r="K67" s="165">
        <v>268.44</v>
      </c>
      <c r="L67" s="165">
        <v>35.6</v>
      </c>
      <c r="M67" s="165">
        <v>25.36</v>
      </c>
      <c r="N67" s="165">
        <v>326</v>
      </c>
      <c r="O67" s="165">
        <v>0</v>
      </c>
      <c r="P67" s="165">
        <v>0.52</v>
      </c>
      <c r="Q67" s="165">
        <v>5</v>
      </c>
      <c r="R67" s="13"/>
      <c r="S67" s="13"/>
      <c r="T67" s="213"/>
      <c r="U67" s="13"/>
    </row>
    <row r="68" customFormat="1" spans="1:21">
      <c r="A68" s="142" t="s">
        <v>403</v>
      </c>
      <c r="B68" s="165">
        <v>6.81</v>
      </c>
      <c r="C68" s="165">
        <v>50.57</v>
      </c>
      <c r="D68" s="165">
        <v>32.76</v>
      </c>
      <c r="E68" s="165">
        <v>8.93</v>
      </c>
      <c r="F68" s="165">
        <v>11.4</v>
      </c>
      <c r="G68" s="165">
        <v>35.93</v>
      </c>
      <c r="H68" s="165">
        <v>13.05</v>
      </c>
      <c r="I68" s="165">
        <v>3.72</v>
      </c>
      <c r="J68" s="165">
        <v>1.29</v>
      </c>
      <c r="K68" s="165">
        <v>244.81</v>
      </c>
      <c r="L68" s="165">
        <v>35.43</v>
      </c>
      <c r="M68" s="165">
        <v>23.62</v>
      </c>
      <c r="N68" s="165">
        <v>219.9</v>
      </c>
      <c r="O68" s="165">
        <v>0</v>
      </c>
      <c r="P68" s="165">
        <v>0.51</v>
      </c>
      <c r="Q68" s="165">
        <v>5</v>
      </c>
      <c r="R68" s="13"/>
      <c r="S68" s="13"/>
      <c r="T68" s="213"/>
      <c r="U68" s="13"/>
    </row>
    <row r="69" customFormat="1" spans="1:21">
      <c r="A69" s="142" t="s">
        <v>404</v>
      </c>
      <c r="B69" s="165">
        <v>7.09</v>
      </c>
      <c r="C69" s="165">
        <v>50.36</v>
      </c>
      <c r="D69" s="165">
        <v>32.87</v>
      </c>
      <c r="E69" s="165">
        <v>9.92</v>
      </c>
      <c r="F69" s="165">
        <v>12.55</v>
      </c>
      <c r="G69" s="165">
        <v>35.93</v>
      </c>
      <c r="H69" s="165">
        <v>13.05</v>
      </c>
      <c r="I69" s="165">
        <v>3.71</v>
      </c>
      <c r="J69" s="165">
        <v>1.34</v>
      </c>
      <c r="K69" s="165">
        <v>267.09</v>
      </c>
      <c r="L69" s="165">
        <v>35.08</v>
      </c>
      <c r="M69" s="165">
        <v>25.41</v>
      </c>
      <c r="N69" s="165">
        <v>208.5</v>
      </c>
      <c r="O69" s="165">
        <v>0</v>
      </c>
      <c r="P69" s="165">
        <v>0.52</v>
      </c>
      <c r="Q69" s="165">
        <v>5</v>
      </c>
      <c r="R69" s="13"/>
      <c r="S69" s="13"/>
      <c r="T69" s="213"/>
      <c r="U69" s="13"/>
    </row>
    <row r="70" customFormat="1" spans="1:21">
      <c r="A70" s="142" t="s">
        <v>405</v>
      </c>
      <c r="B70" s="165">
        <v>7.16</v>
      </c>
      <c r="C70" s="165">
        <v>50.43</v>
      </c>
      <c r="D70" s="165">
        <v>32.96</v>
      </c>
      <c r="E70" s="165">
        <v>8.77</v>
      </c>
      <c r="F70" s="165">
        <v>11.94</v>
      </c>
      <c r="G70" s="165">
        <v>35.92</v>
      </c>
      <c r="H70" s="165">
        <v>13.18</v>
      </c>
      <c r="I70" s="165">
        <v>3.8</v>
      </c>
      <c r="J70" s="165">
        <v>1.19</v>
      </c>
      <c r="K70" s="165">
        <v>243.75</v>
      </c>
      <c r="L70" s="165">
        <v>35.38</v>
      </c>
      <c r="M70" s="165">
        <v>23.11</v>
      </c>
      <c r="N70" s="165">
        <v>435.5</v>
      </c>
      <c r="O70" s="165">
        <v>0</v>
      </c>
      <c r="P70" s="165">
        <v>0.5</v>
      </c>
      <c r="Q70" s="165">
        <v>5</v>
      </c>
      <c r="R70" s="13"/>
      <c r="S70" s="13"/>
      <c r="T70" s="213"/>
      <c r="U70" s="13"/>
    </row>
    <row r="71" customFormat="1" spans="1:21">
      <c r="A71" s="142" t="s">
        <v>406</v>
      </c>
      <c r="B71" s="165">
        <v>7.01</v>
      </c>
      <c r="C71" s="165">
        <v>50.42</v>
      </c>
      <c r="D71" s="165">
        <v>32.84</v>
      </c>
      <c r="E71" s="165">
        <v>9.16</v>
      </c>
      <c r="F71" s="165">
        <v>12.7</v>
      </c>
      <c r="G71" s="165">
        <v>35.63</v>
      </c>
      <c r="H71" s="165">
        <v>17.4</v>
      </c>
      <c r="I71" s="165">
        <v>3.9</v>
      </c>
      <c r="J71" s="165">
        <v>1.16</v>
      </c>
      <c r="K71" s="165">
        <v>255.91</v>
      </c>
      <c r="L71" s="165">
        <v>35.99</v>
      </c>
      <c r="M71" s="165">
        <v>23.7</v>
      </c>
      <c r="N71" s="165">
        <v>424.5</v>
      </c>
      <c r="O71" s="165">
        <v>0</v>
      </c>
      <c r="P71" s="165">
        <v>0.5</v>
      </c>
      <c r="Q71" s="165">
        <v>5</v>
      </c>
      <c r="R71" s="13"/>
      <c r="S71" s="13"/>
      <c r="T71" s="213"/>
      <c r="U71" s="13"/>
    </row>
    <row r="72" customFormat="1" spans="1:21">
      <c r="A72" s="142" t="s">
        <v>407</v>
      </c>
      <c r="B72" s="165">
        <v>6.87</v>
      </c>
      <c r="C72" s="165">
        <v>50.38</v>
      </c>
      <c r="D72" s="165">
        <v>32.71</v>
      </c>
      <c r="E72" s="165">
        <v>10.67</v>
      </c>
      <c r="F72" s="165">
        <v>15.39</v>
      </c>
      <c r="G72" s="165">
        <v>35.63</v>
      </c>
      <c r="H72" s="165">
        <v>17.4</v>
      </c>
      <c r="I72" s="165">
        <v>3.86</v>
      </c>
      <c r="J72" s="165">
        <v>1.03</v>
      </c>
      <c r="K72" s="165">
        <v>250.74</v>
      </c>
      <c r="L72" s="165">
        <v>35.45</v>
      </c>
      <c r="M72" s="165">
        <v>27.29</v>
      </c>
      <c r="N72" s="165">
        <v>141.3</v>
      </c>
      <c r="O72" s="165">
        <v>0</v>
      </c>
      <c r="P72" s="165">
        <v>0.5</v>
      </c>
      <c r="Q72" s="165">
        <v>5</v>
      </c>
      <c r="R72" s="13"/>
      <c r="S72" s="13"/>
      <c r="T72" s="213"/>
      <c r="U72" s="13"/>
    </row>
    <row r="73" customFormat="1" spans="1:21">
      <c r="A73" s="142" t="s">
        <v>408</v>
      </c>
      <c r="B73" s="165">
        <v>6.67</v>
      </c>
      <c r="C73" s="165">
        <v>51.83</v>
      </c>
      <c r="D73" s="165">
        <v>33.31</v>
      </c>
      <c r="E73" s="165">
        <v>12.11</v>
      </c>
      <c r="F73" s="165">
        <v>17.8</v>
      </c>
      <c r="G73" s="165">
        <v>35.63</v>
      </c>
      <c r="H73" s="165">
        <v>17.4</v>
      </c>
      <c r="I73" s="165">
        <v>3.88</v>
      </c>
      <c r="J73" s="165">
        <v>0.82</v>
      </c>
      <c r="K73" s="165">
        <v>239.05</v>
      </c>
      <c r="L73" s="165">
        <v>34.99</v>
      </c>
      <c r="M73" s="165">
        <v>29.35</v>
      </c>
      <c r="N73" s="165">
        <v>127</v>
      </c>
      <c r="O73" s="165">
        <v>0</v>
      </c>
      <c r="P73" s="165">
        <v>0.52</v>
      </c>
      <c r="Q73" s="165">
        <v>5</v>
      </c>
      <c r="R73" s="13"/>
      <c r="S73" s="13"/>
      <c r="T73" s="213"/>
      <c r="U73" s="13"/>
    </row>
    <row r="74" customFormat="1" spans="1:21">
      <c r="A74" s="142" t="s">
        <v>409</v>
      </c>
      <c r="B74" s="165">
        <v>6.81</v>
      </c>
      <c r="C74" s="165">
        <v>61.11</v>
      </c>
      <c r="D74" s="165">
        <v>38.26</v>
      </c>
      <c r="E74" s="165">
        <v>12.19</v>
      </c>
      <c r="F74" s="165">
        <v>16.91</v>
      </c>
      <c r="G74" s="165">
        <v>35.68</v>
      </c>
      <c r="H74" s="165">
        <v>17.37</v>
      </c>
      <c r="I74" s="165">
        <v>4.05</v>
      </c>
      <c r="J74" s="165">
        <v>0.85</v>
      </c>
      <c r="K74" s="165">
        <v>232.57</v>
      </c>
      <c r="L74" s="165">
        <v>34.52</v>
      </c>
      <c r="M74" s="165">
        <v>29.84</v>
      </c>
      <c r="N74" s="165">
        <v>176.2</v>
      </c>
      <c r="O74" s="165">
        <v>0</v>
      </c>
      <c r="P74" s="165">
        <v>0.54</v>
      </c>
      <c r="Q74" s="165">
        <v>5</v>
      </c>
      <c r="R74" s="13"/>
      <c r="S74" s="13"/>
      <c r="T74" s="213"/>
      <c r="U74" s="13"/>
    </row>
    <row r="75" customFormat="1" spans="1:21">
      <c r="A75" s="142" t="s">
        <v>410</v>
      </c>
      <c r="B75" s="165">
        <v>6.36</v>
      </c>
      <c r="C75" s="165">
        <v>49.04</v>
      </c>
      <c r="D75" s="165">
        <v>31.59</v>
      </c>
      <c r="E75" s="165">
        <v>13.68</v>
      </c>
      <c r="F75" s="165">
        <v>27.67</v>
      </c>
      <c r="G75" s="165">
        <v>37.78</v>
      </c>
      <c r="H75" s="165">
        <v>16.47</v>
      </c>
      <c r="I75" s="165">
        <v>4.16</v>
      </c>
      <c r="J75" s="165">
        <v>0.57</v>
      </c>
      <c r="K75" s="165">
        <v>229.36</v>
      </c>
      <c r="L75" s="165">
        <v>34.43</v>
      </c>
      <c r="M75" s="165">
        <v>29.3</v>
      </c>
      <c r="N75" s="165">
        <v>100.9</v>
      </c>
      <c r="O75" s="165">
        <v>0</v>
      </c>
      <c r="P75" s="165">
        <v>0.51</v>
      </c>
      <c r="Q75" s="165">
        <v>5</v>
      </c>
      <c r="R75" s="13"/>
      <c r="S75" s="13"/>
      <c r="T75" s="213"/>
      <c r="U75" s="13"/>
    </row>
    <row r="76" customFormat="1" spans="1:21">
      <c r="A76" s="142" t="s">
        <v>411</v>
      </c>
      <c r="B76" s="165">
        <v>6.44</v>
      </c>
      <c r="C76" s="165">
        <v>54.36</v>
      </c>
      <c r="D76" s="165">
        <v>34.44</v>
      </c>
      <c r="E76" s="165">
        <v>13.79</v>
      </c>
      <c r="F76" s="165">
        <v>24.33</v>
      </c>
      <c r="G76" s="165">
        <v>37.78</v>
      </c>
      <c r="H76" s="165">
        <v>16.47</v>
      </c>
      <c r="I76" s="165">
        <v>4.06</v>
      </c>
      <c r="J76" s="165">
        <v>0.45</v>
      </c>
      <c r="K76" s="165">
        <v>240.68</v>
      </c>
      <c r="L76" s="165">
        <v>34.59</v>
      </c>
      <c r="M76" s="165">
        <v>29.85</v>
      </c>
      <c r="N76" s="165">
        <v>119.2</v>
      </c>
      <c r="O76" s="165">
        <v>0</v>
      </c>
      <c r="P76" s="165">
        <v>0.52</v>
      </c>
      <c r="Q76" s="165">
        <v>5</v>
      </c>
      <c r="R76" s="13"/>
      <c r="S76" s="13"/>
      <c r="T76" s="213"/>
      <c r="U76" s="13"/>
    </row>
    <row r="77" customFormat="1" spans="1:21">
      <c r="A77" s="142" t="s">
        <v>412</v>
      </c>
      <c r="B77" s="165">
        <v>6.5</v>
      </c>
      <c r="C77" s="165">
        <v>54.35</v>
      </c>
      <c r="D77" s="165">
        <v>34.48</v>
      </c>
      <c r="E77" s="165">
        <v>14.15</v>
      </c>
      <c r="F77" s="165">
        <v>21.52</v>
      </c>
      <c r="G77" s="165">
        <v>37.78</v>
      </c>
      <c r="H77" s="165">
        <v>16.47</v>
      </c>
      <c r="I77" s="165">
        <v>3.95</v>
      </c>
      <c r="J77" s="165">
        <v>0.66</v>
      </c>
      <c r="K77" s="165">
        <v>226.91</v>
      </c>
      <c r="L77" s="165">
        <v>34.77</v>
      </c>
      <c r="M77" s="165">
        <v>29.72</v>
      </c>
      <c r="N77" s="165">
        <v>102.3</v>
      </c>
      <c r="O77" s="165">
        <v>0</v>
      </c>
      <c r="P77" s="165">
        <v>0.52</v>
      </c>
      <c r="Q77" s="165">
        <v>5</v>
      </c>
      <c r="R77" s="13"/>
      <c r="S77" s="13"/>
      <c r="T77" s="213"/>
      <c r="U77" s="13"/>
    </row>
    <row r="78" customFormat="1" spans="1:21">
      <c r="A78" s="142" t="s">
        <v>413</v>
      </c>
      <c r="B78" s="165">
        <v>6.87</v>
      </c>
      <c r="C78" s="165">
        <v>50.75</v>
      </c>
      <c r="D78" s="165">
        <v>32.9</v>
      </c>
      <c r="E78" s="165">
        <v>12.25</v>
      </c>
      <c r="F78" s="165">
        <v>23.14</v>
      </c>
      <c r="G78" s="165">
        <v>37.83</v>
      </c>
      <c r="H78" s="165">
        <v>16.53</v>
      </c>
      <c r="I78" s="165">
        <v>3.89</v>
      </c>
      <c r="J78" s="165">
        <v>0.8</v>
      </c>
      <c r="K78" s="165">
        <v>243.49</v>
      </c>
      <c r="L78" s="165">
        <v>34.63</v>
      </c>
      <c r="M78" s="165">
        <v>27.81</v>
      </c>
      <c r="N78" s="165">
        <v>64.7</v>
      </c>
      <c r="O78" s="165">
        <v>0</v>
      </c>
      <c r="P78" s="165">
        <v>0.51</v>
      </c>
      <c r="Q78" s="165">
        <v>5</v>
      </c>
      <c r="R78" s="13"/>
      <c r="S78" s="13"/>
      <c r="T78" s="213"/>
      <c r="U78" s="13"/>
    </row>
    <row r="79" customFormat="1" spans="1:21">
      <c r="A79" s="142" t="s">
        <v>414</v>
      </c>
      <c r="B79" s="165">
        <v>7.09</v>
      </c>
      <c r="C79" s="165">
        <v>60.68</v>
      </c>
      <c r="D79" s="165">
        <v>38.26</v>
      </c>
      <c r="E79" s="165">
        <v>11.27</v>
      </c>
      <c r="F79" s="165">
        <v>15.45</v>
      </c>
      <c r="G79" s="165">
        <v>39.97</v>
      </c>
      <c r="H79" s="165">
        <v>18.42</v>
      </c>
      <c r="I79" s="165">
        <v>4</v>
      </c>
      <c r="J79" s="165">
        <v>0.77</v>
      </c>
      <c r="K79" s="165">
        <v>245.74</v>
      </c>
      <c r="L79" s="165">
        <v>34.6</v>
      </c>
      <c r="M79" s="165">
        <v>23.91</v>
      </c>
      <c r="N79" s="165">
        <v>37.3</v>
      </c>
      <c r="O79" s="165">
        <v>0</v>
      </c>
      <c r="P79" s="165">
        <v>0.53</v>
      </c>
      <c r="Q79" s="165">
        <v>5</v>
      </c>
      <c r="R79" s="13"/>
      <c r="S79" s="13"/>
      <c r="T79" s="213"/>
      <c r="U79" s="13"/>
    </row>
    <row r="80" customFormat="1" spans="1:21">
      <c r="A80" s="142" t="s">
        <v>415</v>
      </c>
      <c r="B80" s="165">
        <v>7.11</v>
      </c>
      <c r="C80" s="165">
        <v>55.76</v>
      </c>
      <c r="D80" s="165">
        <v>35.71</v>
      </c>
      <c r="E80" s="165">
        <v>10.56</v>
      </c>
      <c r="F80" s="165">
        <v>14.84</v>
      </c>
      <c r="G80" s="165">
        <v>39.97</v>
      </c>
      <c r="H80" s="165">
        <v>18.42</v>
      </c>
      <c r="I80" s="165">
        <v>4.12</v>
      </c>
      <c r="J80" s="165">
        <v>0.76</v>
      </c>
      <c r="K80" s="165">
        <v>241.73</v>
      </c>
      <c r="L80" s="165">
        <v>33.24</v>
      </c>
      <c r="M80" s="165">
        <v>32.21</v>
      </c>
      <c r="N80" s="165">
        <v>14.1</v>
      </c>
      <c r="O80" s="165">
        <v>0</v>
      </c>
      <c r="P80" s="165">
        <v>0.52</v>
      </c>
      <c r="Q80" s="165">
        <v>5</v>
      </c>
      <c r="R80" s="13"/>
      <c r="S80" s="13"/>
      <c r="T80" s="213"/>
      <c r="U80" s="13"/>
    </row>
    <row r="81" customFormat="1" spans="1:21">
      <c r="A81" s="142" t="s">
        <v>416</v>
      </c>
      <c r="B81" s="165">
        <v>7.47</v>
      </c>
      <c r="C81" s="165">
        <v>57.76</v>
      </c>
      <c r="D81" s="165">
        <v>37.04</v>
      </c>
      <c r="E81" s="165">
        <v>6.07</v>
      </c>
      <c r="F81" s="165">
        <v>11.97</v>
      </c>
      <c r="G81" s="165">
        <v>39.97</v>
      </c>
      <c r="H81" s="165">
        <v>18.42</v>
      </c>
      <c r="I81" s="165">
        <v>4.15</v>
      </c>
      <c r="J81" s="165">
        <v>0.57</v>
      </c>
      <c r="K81" s="165">
        <v>215.32</v>
      </c>
      <c r="L81" s="165">
        <v>31.27</v>
      </c>
      <c r="M81" s="165">
        <v>36.62</v>
      </c>
      <c r="N81" s="165">
        <v>0.9</v>
      </c>
      <c r="O81" s="165">
        <v>0</v>
      </c>
      <c r="P81" s="165">
        <v>0.52</v>
      </c>
      <c r="Q81" s="165">
        <v>5</v>
      </c>
      <c r="R81" s="13"/>
      <c r="S81" s="13"/>
      <c r="T81" s="213"/>
      <c r="U81" s="13"/>
    </row>
    <row r="82" customFormat="1" spans="1:21">
      <c r="A82" s="142" t="s">
        <v>417</v>
      </c>
      <c r="B82" s="165">
        <v>7.5</v>
      </c>
      <c r="C82" s="165">
        <v>57.63</v>
      </c>
      <c r="D82" s="165">
        <v>37</v>
      </c>
      <c r="E82" s="165">
        <v>8.9</v>
      </c>
      <c r="F82" s="165">
        <v>14.22</v>
      </c>
      <c r="G82" s="165">
        <v>39.94</v>
      </c>
      <c r="H82" s="165">
        <v>18.37</v>
      </c>
      <c r="I82" s="165">
        <v>4.12</v>
      </c>
      <c r="J82" s="165">
        <v>0.41</v>
      </c>
      <c r="K82" s="165">
        <v>217.23</v>
      </c>
      <c r="L82" s="165">
        <v>30.43</v>
      </c>
      <c r="M82" s="165">
        <v>37.46</v>
      </c>
      <c r="N82" s="165">
        <v>0</v>
      </c>
      <c r="O82" s="165">
        <v>0</v>
      </c>
      <c r="P82" s="165">
        <v>0.51</v>
      </c>
      <c r="Q82" s="165">
        <v>5</v>
      </c>
      <c r="R82" s="13"/>
      <c r="S82" s="13"/>
      <c r="T82" s="213"/>
      <c r="U82" s="13"/>
    </row>
    <row r="83" customFormat="1" spans="1:21">
      <c r="A83" s="142" t="s">
        <v>418</v>
      </c>
      <c r="B83" s="165">
        <v>8.32</v>
      </c>
      <c r="C83" s="165">
        <v>63.44</v>
      </c>
      <c r="D83" s="165">
        <v>40.69</v>
      </c>
      <c r="E83" s="165">
        <v>9.01</v>
      </c>
      <c r="F83" s="165">
        <v>9.96</v>
      </c>
      <c r="G83" s="165">
        <v>38.37</v>
      </c>
      <c r="H83" s="165">
        <v>16.74</v>
      </c>
      <c r="I83" s="165">
        <v>4.05</v>
      </c>
      <c r="J83" s="165">
        <v>0.38</v>
      </c>
      <c r="K83" s="165">
        <v>227.03</v>
      </c>
      <c r="L83" s="165">
        <v>29.78</v>
      </c>
      <c r="M83" s="165">
        <v>39.67</v>
      </c>
      <c r="N83" s="165">
        <v>0</v>
      </c>
      <c r="O83" s="165">
        <v>0</v>
      </c>
      <c r="P83" s="165">
        <v>0.52</v>
      </c>
      <c r="Q83" s="165">
        <v>5</v>
      </c>
      <c r="R83" s="13"/>
      <c r="S83" s="13"/>
      <c r="T83" s="213"/>
      <c r="U83" s="13"/>
    </row>
    <row r="84" customFormat="1" spans="1:21">
      <c r="A84" s="142" t="s">
        <v>419</v>
      </c>
      <c r="B84" s="165">
        <v>8.7</v>
      </c>
      <c r="C84" s="165">
        <v>62.22</v>
      </c>
      <c r="D84" s="165">
        <v>40.36</v>
      </c>
      <c r="E84" s="165">
        <v>8.73</v>
      </c>
      <c r="F84" s="165">
        <v>12.07</v>
      </c>
      <c r="G84" s="165">
        <v>38.37</v>
      </c>
      <c r="H84" s="165">
        <v>16.74</v>
      </c>
      <c r="I84" s="165">
        <v>4.02</v>
      </c>
      <c r="J84" s="165">
        <v>0.38</v>
      </c>
      <c r="K84" s="165">
        <v>229.14</v>
      </c>
      <c r="L84" s="165">
        <v>29.4</v>
      </c>
      <c r="M84" s="165">
        <v>41.8</v>
      </c>
      <c r="N84" s="165">
        <v>0</v>
      </c>
      <c r="O84" s="165">
        <v>0</v>
      </c>
      <c r="P84" s="165">
        <v>0.51</v>
      </c>
      <c r="Q84" s="165">
        <v>5</v>
      </c>
      <c r="R84" s="13"/>
      <c r="S84" s="13"/>
      <c r="T84" s="213"/>
      <c r="U84" s="13"/>
    </row>
    <row r="85" customFormat="1" spans="1:21">
      <c r="A85" s="142" t="s">
        <v>420</v>
      </c>
      <c r="B85" s="165">
        <v>8.91</v>
      </c>
      <c r="C85" s="165">
        <v>60</v>
      </c>
      <c r="D85" s="165">
        <v>39.36</v>
      </c>
      <c r="E85" s="165">
        <v>8.8</v>
      </c>
      <c r="F85" s="165">
        <v>12.5</v>
      </c>
      <c r="G85" s="165">
        <v>38.37</v>
      </c>
      <c r="H85" s="165">
        <v>16.74</v>
      </c>
      <c r="I85" s="165">
        <v>3.99</v>
      </c>
      <c r="J85" s="165">
        <v>0.23</v>
      </c>
      <c r="K85" s="165">
        <v>202.92</v>
      </c>
      <c r="L85" s="165">
        <v>29.01</v>
      </c>
      <c r="M85" s="165">
        <v>43.41</v>
      </c>
      <c r="N85" s="165">
        <v>0</v>
      </c>
      <c r="O85" s="165">
        <v>0</v>
      </c>
      <c r="P85" s="165">
        <v>0.51</v>
      </c>
      <c r="Q85" s="165">
        <v>5</v>
      </c>
      <c r="R85" s="13"/>
      <c r="S85" s="13"/>
      <c r="T85" s="213"/>
      <c r="U85" s="13"/>
    </row>
    <row r="86" customFormat="1" spans="1:21">
      <c r="A86" s="142" t="s">
        <v>421</v>
      </c>
      <c r="B86" s="165">
        <v>9.54</v>
      </c>
      <c r="C86" s="165">
        <v>66.22</v>
      </c>
      <c r="D86" s="165">
        <v>43.12</v>
      </c>
      <c r="E86" s="165">
        <v>8.82</v>
      </c>
      <c r="F86" s="165">
        <v>11.03</v>
      </c>
      <c r="G86" s="165">
        <v>38.41</v>
      </c>
      <c r="H86" s="165">
        <v>16.8</v>
      </c>
      <c r="I86" s="165">
        <v>3.93</v>
      </c>
      <c r="J86" s="165">
        <v>0.35</v>
      </c>
      <c r="K86" s="165">
        <v>215.41</v>
      </c>
      <c r="L86" s="165">
        <v>28.75</v>
      </c>
      <c r="M86" s="165">
        <v>44.69</v>
      </c>
      <c r="N86" s="165">
        <v>0</v>
      </c>
      <c r="O86" s="165">
        <v>0</v>
      </c>
      <c r="P86" s="165">
        <v>0.52</v>
      </c>
      <c r="Q86" s="165">
        <v>5</v>
      </c>
      <c r="R86" s="13"/>
      <c r="S86" s="13"/>
      <c r="T86" s="213"/>
      <c r="U86" s="13"/>
    </row>
    <row r="87" customFormat="1" spans="1:21">
      <c r="A87" s="142" t="s">
        <v>422</v>
      </c>
      <c r="B87" s="165">
        <v>9.78</v>
      </c>
      <c r="C87" s="165">
        <v>68.78</v>
      </c>
      <c r="D87" s="165">
        <v>44.65</v>
      </c>
      <c r="E87" s="165">
        <v>8.72</v>
      </c>
      <c r="F87" s="165">
        <v>8.08</v>
      </c>
      <c r="G87" s="165">
        <v>40.41</v>
      </c>
      <c r="H87" s="165">
        <v>18.79</v>
      </c>
      <c r="I87" s="165">
        <v>3.99</v>
      </c>
      <c r="J87" s="165">
        <v>0.27</v>
      </c>
      <c r="K87" s="165">
        <v>204.88</v>
      </c>
      <c r="L87" s="165">
        <v>28.64</v>
      </c>
      <c r="M87" s="165">
        <v>45.65</v>
      </c>
      <c r="N87" s="165">
        <v>0</v>
      </c>
      <c r="O87" s="165">
        <v>0</v>
      </c>
      <c r="P87" s="165">
        <v>0.54</v>
      </c>
      <c r="Q87" s="165">
        <v>5</v>
      </c>
      <c r="R87" s="13"/>
      <c r="S87" s="13"/>
      <c r="T87" s="213"/>
      <c r="U87" s="13"/>
    </row>
    <row r="88" customFormat="1" spans="1:21">
      <c r="A88" s="142" t="s">
        <v>423</v>
      </c>
      <c r="B88" s="165">
        <v>10.02</v>
      </c>
      <c r="C88" s="165">
        <v>70.18</v>
      </c>
      <c r="D88" s="165">
        <v>45.58</v>
      </c>
      <c r="E88" s="165">
        <v>8.5</v>
      </c>
      <c r="F88" s="165">
        <v>6.99</v>
      </c>
      <c r="G88" s="165">
        <v>40.41</v>
      </c>
      <c r="H88" s="165">
        <v>18.79</v>
      </c>
      <c r="I88" s="165">
        <v>4.06</v>
      </c>
      <c r="J88" s="165">
        <v>0.18</v>
      </c>
      <c r="K88" s="165">
        <v>208.57</v>
      </c>
      <c r="L88" s="165">
        <v>28.29</v>
      </c>
      <c r="M88" s="165">
        <v>47.44</v>
      </c>
      <c r="N88" s="165">
        <v>0</v>
      </c>
      <c r="O88" s="165">
        <v>0</v>
      </c>
      <c r="P88" s="165">
        <v>0.55</v>
      </c>
      <c r="Q88" s="165">
        <v>5</v>
      </c>
      <c r="R88" s="13"/>
      <c r="S88" s="13"/>
      <c r="T88" s="213"/>
      <c r="U88" s="13"/>
    </row>
    <row r="89" customFormat="1" spans="1:21">
      <c r="A89" s="142" t="s">
        <v>424</v>
      </c>
      <c r="B89" s="165">
        <v>10.02</v>
      </c>
      <c r="C89" s="165">
        <v>71.29</v>
      </c>
      <c r="D89" s="165">
        <v>46.16</v>
      </c>
      <c r="E89" s="165">
        <v>8.43</v>
      </c>
      <c r="F89" s="165">
        <v>6.04</v>
      </c>
      <c r="G89" s="165">
        <v>40.41</v>
      </c>
      <c r="H89" s="165">
        <v>18.79</v>
      </c>
      <c r="I89" s="165">
        <v>4.09</v>
      </c>
      <c r="J89" s="165">
        <v>0.16</v>
      </c>
      <c r="K89" s="165">
        <v>201.14</v>
      </c>
      <c r="L89" s="165">
        <v>27.98</v>
      </c>
      <c r="M89" s="165">
        <v>48.58</v>
      </c>
      <c r="N89" s="165">
        <v>0</v>
      </c>
      <c r="O89" s="165">
        <v>0</v>
      </c>
      <c r="P89" s="165">
        <v>0.55</v>
      </c>
      <c r="Q89" s="165">
        <v>5</v>
      </c>
      <c r="R89" s="13"/>
      <c r="S89" s="13"/>
      <c r="T89" s="213"/>
      <c r="U89" s="13"/>
    </row>
    <row r="90" customFormat="1" spans="1:21">
      <c r="A90" s="142" t="s">
        <v>425</v>
      </c>
      <c r="B90" s="165">
        <v>10.13</v>
      </c>
      <c r="C90" s="165">
        <v>71.31</v>
      </c>
      <c r="D90" s="165">
        <v>46.25</v>
      </c>
      <c r="E90" s="165">
        <v>8.32</v>
      </c>
      <c r="F90" s="165">
        <v>5.2</v>
      </c>
      <c r="G90" s="165">
        <v>40.37</v>
      </c>
      <c r="H90" s="165">
        <v>18.77</v>
      </c>
      <c r="I90" s="165">
        <v>4.11</v>
      </c>
      <c r="J90" s="165">
        <v>0.22</v>
      </c>
      <c r="K90" s="165">
        <v>187.75</v>
      </c>
      <c r="L90" s="165">
        <v>27.98</v>
      </c>
      <c r="M90" s="165">
        <v>48.9</v>
      </c>
      <c r="N90" s="165">
        <v>0</v>
      </c>
      <c r="O90" s="165">
        <v>0</v>
      </c>
      <c r="P90" s="165">
        <v>0.55</v>
      </c>
      <c r="Q90" s="165">
        <v>5</v>
      </c>
      <c r="R90" s="13"/>
      <c r="S90" s="13"/>
      <c r="T90" s="213"/>
      <c r="U90" s="13"/>
    </row>
    <row r="91" customFormat="1" spans="1:21">
      <c r="A91" s="142" t="s">
        <v>426</v>
      </c>
      <c r="B91" s="165">
        <v>10.36</v>
      </c>
      <c r="C91" s="165">
        <v>72.21</v>
      </c>
      <c r="D91" s="165">
        <v>46.91</v>
      </c>
      <c r="E91" s="165">
        <v>7.9</v>
      </c>
      <c r="F91" s="165">
        <v>5.49</v>
      </c>
      <c r="G91" s="165">
        <v>38.49</v>
      </c>
      <c r="H91" s="165">
        <v>18.13</v>
      </c>
      <c r="I91" s="165">
        <v>4.11</v>
      </c>
      <c r="J91" s="165">
        <v>0.17</v>
      </c>
      <c r="K91" s="165">
        <v>151.46</v>
      </c>
      <c r="L91" s="165">
        <v>27.71</v>
      </c>
      <c r="M91" s="165">
        <v>50.63</v>
      </c>
      <c r="N91" s="165">
        <v>0</v>
      </c>
      <c r="O91" s="165">
        <v>0</v>
      </c>
      <c r="P91" s="165">
        <v>0.55</v>
      </c>
      <c r="Q91" s="165">
        <v>5</v>
      </c>
      <c r="R91" s="13"/>
      <c r="S91" s="13"/>
      <c r="T91" s="213"/>
      <c r="U91" s="13"/>
    </row>
    <row r="92" customFormat="1" spans="1:21">
      <c r="A92" s="142" t="s">
        <v>427</v>
      </c>
      <c r="B92" s="165">
        <v>10.68</v>
      </c>
      <c r="C92" s="165">
        <v>71.96</v>
      </c>
      <c r="D92" s="165">
        <v>47.03</v>
      </c>
      <c r="E92" s="165">
        <v>7.92</v>
      </c>
      <c r="F92" s="165">
        <v>4.68</v>
      </c>
      <c r="G92" s="165">
        <v>38.49</v>
      </c>
      <c r="H92" s="165">
        <v>18.13</v>
      </c>
      <c r="I92" s="165">
        <v>4.13</v>
      </c>
      <c r="J92" s="165">
        <v>0.14</v>
      </c>
      <c r="K92" s="165">
        <v>141.84</v>
      </c>
      <c r="L92" s="165">
        <v>27.43</v>
      </c>
      <c r="M92" s="165">
        <v>51.38</v>
      </c>
      <c r="N92" s="165">
        <v>0</v>
      </c>
      <c r="O92" s="165">
        <v>0</v>
      </c>
      <c r="P92" s="165">
        <v>0.56</v>
      </c>
      <c r="Q92" s="165">
        <v>5</v>
      </c>
      <c r="R92" s="13"/>
      <c r="S92" s="13"/>
      <c r="T92" s="213"/>
      <c r="U92" s="13"/>
    </row>
    <row r="93" customFormat="1" spans="1:21">
      <c r="A93" s="142" t="s">
        <v>428</v>
      </c>
      <c r="B93" s="165">
        <v>10.88</v>
      </c>
      <c r="C93" s="165">
        <v>72.42</v>
      </c>
      <c r="D93" s="165">
        <v>47.44</v>
      </c>
      <c r="E93" s="165">
        <v>8.04</v>
      </c>
      <c r="F93" s="165">
        <v>4.77</v>
      </c>
      <c r="G93" s="165">
        <v>38.49</v>
      </c>
      <c r="H93" s="165">
        <v>18.13</v>
      </c>
      <c r="I93" s="165">
        <v>4.15</v>
      </c>
      <c r="J93" s="165">
        <v>0.14</v>
      </c>
      <c r="K93" s="165">
        <v>193.08</v>
      </c>
      <c r="L93" s="165">
        <v>27.27</v>
      </c>
      <c r="M93" s="165">
        <v>51.78</v>
      </c>
      <c r="N93" s="165">
        <v>0</v>
      </c>
      <c r="O93" s="165">
        <v>0</v>
      </c>
      <c r="P93" s="165">
        <v>0.56</v>
      </c>
      <c r="Q93" s="165">
        <v>5</v>
      </c>
      <c r="R93" s="13"/>
      <c r="S93" s="13"/>
      <c r="T93" s="213"/>
      <c r="U93" s="13"/>
    </row>
    <row r="94" customFormat="1" spans="1:21">
      <c r="A94" s="142" t="s">
        <v>429</v>
      </c>
      <c r="B94" s="165">
        <v>11.05</v>
      </c>
      <c r="C94" s="165">
        <v>71.62</v>
      </c>
      <c r="D94" s="165">
        <v>47.15</v>
      </c>
      <c r="E94" s="165">
        <v>7.94</v>
      </c>
      <c r="F94" s="165">
        <v>4.76</v>
      </c>
      <c r="G94" s="165">
        <v>38.48</v>
      </c>
      <c r="H94" s="165">
        <v>18.1</v>
      </c>
      <c r="I94" s="165">
        <v>4.17</v>
      </c>
      <c r="J94" s="165">
        <v>0.13</v>
      </c>
      <c r="K94" s="165">
        <v>174.08</v>
      </c>
      <c r="L94" s="165">
        <v>27.43</v>
      </c>
      <c r="M94" s="165">
        <v>51.66</v>
      </c>
      <c r="N94" s="165">
        <v>0</v>
      </c>
      <c r="O94" s="165">
        <v>0</v>
      </c>
      <c r="P94" s="165">
        <v>0.56</v>
      </c>
      <c r="Q94" s="165">
        <v>5</v>
      </c>
      <c r="R94" s="13"/>
      <c r="S94" s="13"/>
      <c r="T94" s="213"/>
      <c r="U94" s="13"/>
    </row>
    <row r="95" customFormat="1" spans="1:21">
      <c r="A95" s="142" t="s">
        <v>430</v>
      </c>
      <c r="B95" s="165">
        <v>11.3</v>
      </c>
      <c r="C95" s="165">
        <v>72.1</v>
      </c>
      <c r="D95" s="165">
        <v>47.61</v>
      </c>
      <c r="E95" s="165">
        <v>8.15</v>
      </c>
      <c r="F95" s="165">
        <v>4.56</v>
      </c>
      <c r="G95" s="165">
        <v>37.94</v>
      </c>
      <c r="H95" s="165">
        <v>17.12</v>
      </c>
      <c r="I95" s="165">
        <v>4.19</v>
      </c>
      <c r="J95" s="165">
        <v>0.12</v>
      </c>
      <c r="K95" s="165">
        <v>160.14</v>
      </c>
      <c r="L95" s="165">
        <v>27.3</v>
      </c>
      <c r="M95" s="165">
        <v>52.26</v>
      </c>
      <c r="N95" s="165">
        <v>0</v>
      </c>
      <c r="O95" s="165">
        <v>0</v>
      </c>
      <c r="P95" s="165">
        <v>0.56</v>
      </c>
      <c r="Q95" s="165">
        <v>5</v>
      </c>
      <c r="R95" s="13"/>
      <c r="S95" s="13"/>
      <c r="T95" s="213"/>
      <c r="U95" s="13"/>
    </row>
    <row r="96" customFormat="1" spans="1:26">
      <c r="A96" s="142" t="s">
        <v>431</v>
      </c>
      <c r="B96" s="165">
        <v>12.11</v>
      </c>
      <c r="C96" s="165">
        <v>72.36</v>
      </c>
      <c r="D96" s="165">
        <v>48.39</v>
      </c>
      <c r="E96" s="165">
        <v>7.69</v>
      </c>
      <c r="F96" s="165">
        <v>4.15</v>
      </c>
      <c r="G96" s="165">
        <v>37.94</v>
      </c>
      <c r="H96" s="165">
        <v>17.12</v>
      </c>
      <c r="I96" s="165">
        <v>4.19</v>
      </c>
      <c r="J96" s="165">
        <v>0.14</v>
      </c>
      <c r="K96" s="165">
        <v>184.95</v>
      </c>
      <c r="L96" s="165">
        <v>27.31</v>
      </c>
      <c r="M96" s="165">
        <v>52.71</v>
      </c>
      <c r="N96" s="165">
        <v>0</v>
      </c>
      <c r="O96" s="165">
        <v>0</v>
      </c>
      <c r="P96" s="165">
        <v>0.58</v>
      </c>
      <c r="Q96" s="165">
        <v>5</v>
      </c>
      <c r="R96" s="13"/>
      <c r="S96" s="13"/>
      <c r="T96" s="213"/>
      <c r="U96" s="13"/>
      <c r="Z96" s="222"/>
    </row>
    <row r="97" customFormat="1" spans="1:21">
      <c r="A97" s="142" t="s">
        <v>432</v>
      </c>
      <c r="B97" s="165">
        <v>13.88</v>
      </c>
      <c r="C97" s="165">
        <v>73.21</v>
      </c>
      <c r="D97" s="165">
        <v>50.26</v>
      </c>
      <c r="E97" s="165">
        <v>7.69</v>
      </c>
      <c r="F97" s="165">
        <v>3.77</v>
      </c>
      <c r="G97" s="165">
        <v>37.94</v>
      </c>
      <c r="H97" s="165">
        <v>17.12</v>
      </c>
      <c r="I97" s="165">
        <v>4.26</v>
      </c>
      <c r="J97" s="165">
        <v>0.21</v>
      </c>
      <c r="K97" s="165">
        <v>185.48</v>
      </c>
      <c r="L97" s="165">
        <v>27.66</v>
      </c>
      <c r="M97" s="165">
        <v>52.4</v>
      </c>
      <c r="N97" s="165">
        <v>0</v>
      </c>
      <c r="O97" s="165">
        <v>0</v>
      </c>
      <c r="P97" s="165">
        <v>0.6</v>
      </c>
      <c r="Q97" s="165">
        <v>5</v>
      </c>
      <c r="R97" s="13"/>
      <c r="S97" s="13"/>
      <c r="T97" s="213"/>
      <c r="U97" s="13"/>
    </row>
    <row r="98" customFormat="1" spans="1:21">
      <c r="A98" s="142" t="s">
        <v>433</v>
      </c>
      <c r="B98" s="165">
        <v>15.3</v>
      </c>
      <c r="C98" s="165">
        <v>73.74</v>
      </c>
      <c r="D98" s="165">
        <v>51.67</v>
      </c>
      <c r="E98" s="165">
        <v>8.17</v>
      </c>
      <c r="F98" s="165">
        <v>3.63</v>
      </c>
      <c r="G98" s="165">
        <v>38.17</v>
      </c>
      <c r="H98" s="165">
        <v>17.18</v>
      </c>
      <c r="I98" s="165">
        <v>4.37</v>
      </c>
      <c r="J98" s="165">
        <v>0.34</v>
      </c>
      <c r="K98" s="165">
        <v>184.97</v>
      </c>
      <c r="L98" s="165">
        <v>26.8</v>
      </c>
      <c r="M98" s="165">
        <v>57.77</v>
      </c>
      <c r="N98" s="165">
        <v>0</v>
      </c>
      <c r="O98" s="165">
        <v>0</v>
      </c>
      <c r="P98" s="165">
        <v>0.61</v>
      </c>
      <c r="Q98" s="165">
        <v>5</v>
      </c>
      <c r="R98" s="13"/>
      <c r="S98" s="13"/>
      <c r="T98" s="213"/>
      <c r="U98" s="13"/>
    </row>
    <row r="99" customFormat="1" spans="1:21">
      <c r="A99" s="142" t="s">
        <v>434</v>
      </c>
      <c r="B99" s="165">
        <v>15.87</v>
      </c>
      <c r="C99" s="165">
        <v>73.96</v>
      </c>
      <c r="D99" s="165">
        <v>52.24</v>
      </c>
      <c r="E99" s="165">
        <v>7.88</v>
      </c>
      <c r="F99" s="165">
        <v>3.63</v>
      </c>
      <c r="G99" s="165">
        <v>48.23</v>
      </c>
      <c r="H99" s="165">
        <v>19.22</v>
      </c>
      <c r="I99" s="165">
        <v>4.45</v>
      </c>
      <c r="J99" s="165">
        <v>0.21</v>
      </c>
      <c r="K99" s="165">
        <v>161.44</v>
      </c>
      <c r="L99" s="165">
        <v>26.01</v>
      </c>
      <c r="M99" s="165">
        <v>59.28</v>
      </c>
      <c r="N99" s="165">
        <v>0</v>
      </c>
      <c r="O99" s="165">
        <v>0</v>
      </c>
      <c r="P99" s="165">
        <v>0.62</v>
      </c>
      <c r="Q99" s="165">
        <v>5</v>
      </c>
      <c r="R99" s="13"/>
      <c r="S99" s="13"/>
      <c r="T99" s="213"/>
      <c r="U99" s="13"/>
    </row>
    <row r="100" customFormat="1" spans="1:33">
      <c r="A100" s="142" t="s">
        <v>435</v>
      </c>
      <c r="B100" s="165">
        <v>16.23</v>
      </c>
      <c r="C100" s="165">
        <v>72.88</v>
      </c>
      <c r="D100" s="165">
        <v>51.97</v>
      </c>
      <c r="E100" s="165">
        <v>7.62</v>
      </c>
      <c r="F100" s="165">
        <v>3.77</v>
      </c>
      <c r="G100" s="165">
        <v>48.23</v>
      </c>
      <c r="H100" s="165">
        <v>19.22</v>
      </c>
      <c r="I100" s="165">
        <v>4.52</v>
      </c>
      <c r="J100" s="165">
        <v>0.24</v>
      </c>
      <c r="K100" s="165">
        <v>202.09</v>
      </c>
      <c r="L100" s="165">
        <v>25.7</v>
      </c>
      <c r="M100" s="165">
        <v>59.09</v>
      </c>
      <c r="N100" s="165">
        <v>0</v>
      </c>
      <c r="O100" s="165">
        <v>0</v>
      </c>
      <c r="P100" s="165">
        <v>0.62</v>
      </c>
      <c r="Q100" s="165">
        <v>5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436</v>
      </c>
      <c r="B101" s="165">
        <v>16.51</v>
      </c>
      <c r="C101" s="165">
        <v>72.26</v>
      </c>
      <c r="D101" s="165">
        <v>51.86</v>
      </c>
      <c r="E101" s="165">
        <v>7.85</v>
      </c>
      <c r="F101" s="165">
        <v>3.98</v>
      </c>
      <c r="G101" s="165">
        <v>48.23</v>
      </c>
      <c r="H101" s="165">
        <v>19.22</v>
      </c>
      <c r="I101" s="165">
        <v>4.59</v>
      </c>
      <c r="J101" s="165">
        <v>0.24</v>
      </c>
      <c r="K101" s="165">
        <v>187.06</v>
      </c>
      <c r="L101" s="165">
        <v>25.84</v>
      </c>
      <c r="M101" s="165">
        <v>58.77</v>
      </c>
      <c r="N101" s="165">
        <v>0</v>
      </c>
      <c r="O101" s="165">
        <v>0</v>
      </c>
      <c r="P101" s="165">
        <v>0.63</v>
      </c>
      <c r="Q101" s="165">
        <v>5</v>
      </c>
      <c r="R101" s="13"/>
      <c r="S101" s="13"/>
      <c r="T101" s="213"/>
      <c r="U101" s="13"/>
    </row>
    <row r="102" customFormat="1" spans="1:21">
      <c r="A102" s="142" t="s">
        <v>437</v>
      </c>
      <c r="B102" s="165">
        <v>16.57</v>
      </c>
      <c r="C102" s="165">
        <v>71.34</v>
      </c>
      <c r="D102" s="165">
        <v>51.44</v>
      </c>
      <c r="E102" s="165">
        <v>7.6</v>
      </c>
      <c r="F102" s="165">
        <v>4.06</v>
      </c>
      <c r="G102" s="165">
        <v>48.1</v>
      </c>
      <c r="H102" s="165">
        <v>19.23</v>
      </c>
      <c r="I102" s="165">
        <v>4.65</v>
      </c>
      <c r="J102" s="165">
        <v>0.15</v>
      </c>
      <c r="K102" s="165">
        <v>170.39</v>
      </c>
      <c r="L102" s="165">
        <v>25.71</v>
      </c>
      <c r="M102" s="165">
        <v>60.43</v>
      </c>
      <c r="N102" s="165">
        <v>0</v>
      </c>
      <c r="O102" s="165">
        <v>0</v>
      </c>
      <c r="P102" s="165">
        <v>0.63</v>
      </c>
      <c r="Q102" s="165">
        <v>5</v>
      </c>
      <c r="R102" s="13"/>
      <c r="S102" s="13"/>
      <c r="T102" s="213"/>
      <c r="U102" s="13"/>
    </row>
    <row r="103" customFormat="1" spans="1:21">
      <c r="A103" s="142" t="s">
        <v>438</v>
      </c>
      <c r="B103" s="165">
        <v>16.78</v>
      </c>
      <c r="C103" s="165">
        <v>72</v>
      </c>
      <c r="D103" s="165">
        <v>51.95</v>
      </c>
      <c r="E103" s="165">
        <v>7.71</v>
      </c>
      <c r="F103" s="165">
        <v>3.87</v>
      </c>
      <c r="G103" s="165">
        <v>42.58</v>
      </c>
      <c r="H103" s="165">
        <v>19.6</v>
      </c>
      <c r="I103" s="165">
        <v>4.68</v>
      </c>
      <c r="J103" s="165">
        <v>0.16</v>
      </c>
      <c r="K103" s="165">
        <v>152.46</v>
      </c>
      <c r="L103" s="165">
        <v>25.34</v>
      </c>
      <c r="M103" s="165">
        <v>62.79</v>
      </c>
      <c r="N103" s="165">
        <v>0</v>
      </c>
      <c r="O103" s="165">
        <v>0</v>
      </c>
      <c r="P103" s="165">
        <v>0.63</v>
      </c>
      <c r="Q103" s="165">
        <v>5</v>
      </c>
      <c r="R103" s="13"/>
      <c r="S103" s="13"/>
      <c r="T103" s="213"/>
      <c r="U103" s="13"/>
    </row>
    <row r="104" customFormat="1" spans="1:21">
      <c r="A104" s="142" t="s">
        <v>439</v>
      </c>
      <c r="B104" s="165">
        <v>16.96</v>
      </c>
      <c r="C104" s="165">
        <v>70.92</v>
      </c>
      <c r="D104" s="165">
        <v>51.53</v>
      </c>
      <c r="E104" s="165">
        <v>7.82</v>
      </c>
      <c r="F104" s="165">
        <v>3.92</v>
      </c>
      <c r="G104" s="165">
        <v>42.58</v>
      </c>
      <c r="H104" s="165">
        <v>19.6</v>
      </c>
      <c r="I104" s="165">
        <v>4.68</v>
      </c>
      <c r="J104" s="165">
        <v>0.19</v>
      </c>
      <c r="K104" s="165">
        <v>176.73</v>
      </c>
      <c r="L104" s="165">
        <v>25.49</v>
      </c>
      <c r="M104" s="165">
        <v>61.42</v>
      </c>
      <c r="N104" s="165">
        <v>0</v>
      </c>
      <c r="O104" s="165">
        <v>0</v>
      </c>
      <c r="P104" s="165">
        <v>0.62</v>
      </c>
      <c r="Q104" s="165">
        <v>5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5.91</v>
      </c>
      <c r="C106" s="215">
        <f>MIN(C9:C104)</f>
        <v>47.78</v>
      </c>
      <c r="D106" s="215">
        <f t="shared" ref="D106:Q106" si="0">MIN(D9:D104)</f>
        <v>30.57</v>
      </c>
      <c r="E106" s="215">
        <f t="shared" si="0"/>
        <v>5.01</v>
      </c>
      <c r="F106" s="215">
        <f t="shared" si="0"/>
        <v>2.68</v>
      </c>
      <c r="G106" s="215">
        <f t="shared" si="0"/>
        <v>34.43</v>
      </c>
      <c r="H106" s="215">
        <f t="shared" si="0"/>
        <v>13.05</v>
      </c>
      <c r="I106" s="215">
        <f t="shared" si="0"/>
        <v>3.71</v>
      </c>
      <c r="J106" s="215">
        <f t="shared" si="0"/>
        <v>0.08</v>
      </c>
      <c r="K106" s="215">
        <f t="shared" si="0"/>
        <v>2.93</v>
      </c>
      <c r="L106" s="215">
        <f t="shared" si="0"/>
        <v>23.46</v>
      </c>
      <c r="M106" s="215">
        <f t="shared" si="0"/>
        <v>23.11</v>
      </c>
      <c r="N106" s="215">
        <f t="shared" si="0"/>
        <v>0</v>
      </c>
      <c r="O106" s="215">
        <f t="shared" si="0"/>
        <v>0</v>
      </c>
      <c r="P106" s="215">
        <f t="shared" si="0"/>
        <v>0.5</v>
      </c>
      <c r="Q106" s="215">
        <f t="shared" si="0"/>
        <v>5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26.01</v>
      </c>
      <c r="C107" s="216">
        <f t="shared" ref="C107:Q107" si="1">MAX(C9:C104)</f>
        <v>73.96</v>
      </c>
      <c r="D107" s="216">
        <f t="shared" si="1"/>
        <v>57.04</v>
      </c>
      <c r="E107" s="216">
        <f t="shared" si="1"/>
        <v>14.15</v>
      </c>
      <c r="F107" s="216">
        <f t="shared" si="1"/>
        <v>27.67</v>
      </c>
      <c r="G107" s="216">
        <f t="shared" si="1"/>
        <v>48.23</v>
      </c>
      <c r="H107" s="216">
        <f t="shared" si="1"/>
        <v>22.43</v>
      </c>
      <c r="I107" s="216">
        <f t="shared" si="1"/>
        <v>5.82</v>
      </c>
      <c r="J107" s="216">
        <f t="shared" si="1"/>
        <v>1.69</v>
      </c>
      <c r="K107" s="216">
        <f t="shared" si="1"/>
        <v>283.52</v>
      </c>
      <c r="L107" s="216">
        <f t="shared" si="1"/>
        <v>36.78</v>
      </c>
      <c r="M107" s="216">
        <f t="shared" si="1"/>
        <v>74.31</v>
      </c>
      <c r="N107" s="216">
        <f t="shared" si="1"/>
        <v>815.6</v>
      </c>
      <c r="O107" s="216">
        <f t="shared" si="1"/>
        <v>0</v>
      </c>
      <c r="P107" s="216">
        <f t="shared" si="1"/>
        <v>0.72</v>
      </c>
      <c r="Q107" s="216">
        <f t="shared" si="1"/>
        <v>5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14.1690625</v>
      </c>
      <c r="C108" s="215">
        <f t="shared" ref="C108:Q108" si="2">AVERAGE(C9:C104)</f>
        <v>64.0892708333333</v>
      </c>
      <c r="D108" s="215">
        <f t="shared" si="2"/>
        <v>45.7208333333333</v>
      </c>
      <c r="E108" s="215">
        <f t="shared" si="2"/>
        <v>8.5075</v>
      </c>
      <c r="F108" s="215">
        <f t="shared" si="2"/>
        <v>7.5665625</v>
      </c>
      <c r="G108" s="215">
        <f t="shared" si="2"/>
        <v>38.7335416666667</v>
      </c>
      <c r="H108" s="215">
        <f t="shared" si="2"/>
        <v>18.758125</v>
      </c>
      <c r="I108" s="215">
        <f t="shared" si="2"/>
        <v>4.60354166666667</v>
      </c>
      <c r="J108" s="215">
        <f t="shared" si="2"/>
        <v>0.5753125</v>
      </c>
      <c r="K108" s="215">
        <f t="shared" si="2"/>
        <v>202.716875</v>
      </c>
      <c r="L108" s="215">
        <f t="shared" si="2"/>
        <v>29.519375</v>
      </c>
      <c r="M108" s="215">
        <f t="shared" si="2"/>
        <v>49.8172916666667</v>
      </c>
      <c r="N108" s="215">
        <f t="shared" si="2"/>
        <v>172.397916666667</v>
      </c>
      <c r="O108" s="215">
        <f t="shared" si="2"/>
        <v>0</v>
      </c>
      <c r="P108" s="215">
        <f t="shared" si="2"/>
        <v>0.59375</v>
      </c>
      <c r="Q108" s="215">
        <f t="shared" si="2"/>
        <v>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6.31637188967561</v>
      </c>
      <c r="C109" s="215">
        <f t="shared" ref="C109:Q109" si="3">STDEV(C9:C104)</f>
        <v>6.83716611728506</v>
      </c>
      <c r="D109" s="215">
        <f t="shared" si="3"/>
        <v>7.59278628098881</v>
      </c>
      <c r="E109" s="215">
        <f t="shared" si="3"/>
        <v>1.50035153775444</v>
      </c>
      <c r="F109" s="215">
        <f t="shared" si="3"/>
        <v>5.07434513858944</v>
      </c>
      <c r="G109" s="215">
        <f t="shared" si="3"/>
        <v>2.98208050975601</v>
      </c>
      <c r="H109" s="215">
        <f t="shared" si="3"/>
        <v>2.22773395014566</v>
      </c>
      <c r="I109" s="215">
        <f t="shared" si="3"/>
        <v>0.569056428922691</v>
      </c>
      <c r="J109" s="215">
        <f t="shared" si="3"/>
        <v>0.47948426926614</v>
      </c>
      <c r="K109" s="215">
        <f t="shared" si="3"/>
        <v>49.0935865746551</v>
      </c>
      <c r="L109" s="215">
        <f t="shared" si="3"/>
        <v>4.44832690309987</v>
      </c>
      <c r="M109" s="215">
        <f t="shared" si="3"/>
        <v>14.9360708198337</v>
      </c>
      <c r="N109" s="215">
        <f t="shared" si="3"/>
        <v>248.960375616669</v>
      </c>
      <c r="O109" s="215">
        <f t="shared" si="3"/>
        <v>0</v>
      </c>
      <c r="P109" s="215">
        <f t="shared" si="3"/>
        <v>0.0606846898232773</v>
      </c>
      <c r="Q109" s="215">
        <f t="shared" si="3"/>
        <v>0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05/04/2023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440</v>
      </c>
      <c r="B9" s="165">
        <v>16.84</v>
      </c>
      <c r="C9" s="165">
        <v>71.58</v>
      </c>
      <c r="D9" s="165">
        <v>51.78</v>
      </c>
      <c r="E9" s="165">
        <v>7.54</v>
      </c>
      <c r="F9" s="165">
        <v>3.86</v>
      </c>
      <c r="G9" s="165">
        <v>42.58</v>
      </c>
      <c r="H9" s="165">
        <v>19.6</v>
      </c>
      <c r="I9" s="165">
        <v>4.66</v>
      </c>
      <c r="J9" s="165">
        <v>0.19</v>
      </c>
      <c r="K9" s="165">
        <v>186.5</v>
      </c>
      <c r="L9" s="165">
        <v>25.27</v>
      </c>
      <c r="M9" s="165">
        <v>62.83</v>
      </c>
      <c r="N9" s="165">
        <v>0</v>
      </c>
      <c r="O9" s="165">
        <v>0</v>
      </c>
      <c r="P9" s="165">
        <v>0.62</v>
      </c>
      <c r="Q9" s="165">
        <v>5</v>
      </c>
      <c r="R9" s="13"/>
      <c r="S9" s="13"/>
      <c r="T9" s="213"/>
      <c r="U9" s="13"/>
    </row>
    <row r="10" customFormat="1" spans="1:21">
      <c r="A10" s="142" t="s">
        <v>441</v>
      </c>
      <c r="B10" s="165">
        <v>17.02</v>
      </c>
      <c r="C10" s="165">
        <v>70.22</v>
      </c>
      <c r="D10" s="165">
        <v>51.21</v>
      </c>
      <c r="E10" s="165">
        <v>7.47</v>
      </c>
      <c r="F10" s="165">
        <v>4.11</v>
      </c>
      <c r="G10" s="165">
        <v>42.63</v>
      </c>
      <c r="H10" s="165">
        <v>19.56</v>
      </c>
      <c r="I10" s="165">
        <v>4.68</v>
      </c>
      <c r="J10" s="165">
        <v>0.03</v>
      </c>
      <c r="K10" s="165">
        <v>303.94</v>
      </c>
      <c r="L10" s="165">
        <v>25.23</v>
      </c>
      <c r="M10" s="165">
        <v>61.39</v>
      </c>
      <c r="N10" s="165">
        <v>0</v>
      </c>
      <c r="O10" s="165">
        <v>0</v>
      </c>
      <c r="P10" s="165">
        <v>0.62</v>
      </c>
      <c r="Q10" s="165">
        <v>5</v>
      </c>
      <c r="R10" s="13"/>
      <c r="S10" s="13"/>
      <c r="T10" s="213"/>
      <c r="U10" s="13"/>
    </row>
    <row r="11" customFormat="1" spans="1:21">
      <c r="A11" s="142" t="s">
        <v>442</v>
      </c>
      <c r="B11" s="165">
        <v>17.38</v>
      </c>
      <c r="C11" s="165">
        <v>61.39</v>
      </c>
      <c r="D11" s="165">
        <v>46.89</v>
      </c>
      <c r="E11" s="165">
        <v>7.45</v>
      </c>
      <c r="F11" s="165">
        <v>5.25</v>
      </c>
      <c r="G11" s="165">
        <v>44.92</v>
      </c>
      <c r="H11" s="165">
        <v>18.2</v>
      </c>
      <c r="I11" s="165">
        <v>4.67</v>
      </c>
      <c r="J11" s="165">
        <v>0.32</v>
      </c>
      <c r="K11" s="165">
        <v>200.88</v>
      </c>
      <c r="L11" s="165">
        <v>25.7</v>
      </c>
      <c r="M11" s="165">
        <v>58.65</v>
      </c>
      <c r="N11" s="165">
        <v>0</v>
      </c>
      <c r="O11" s="165">
        <v>0</v>
      </c>
      <c r="P11" s="165">
        <v>0.6</v>
      </c>
      <c r="Q11" s="165">
        <v>5</v>
      </c>
      <c r="R11" s="13"/>
      <c r="S11" s="13"/>
      <c r="T11" s="213"/>
      <c r="U11" s="13"/>
    </row>
    <row r="12" customFormat="1" spans="1:21">
      <c r="A12" s="142" t="s">
        <v>443</v>
      </c>
      <c r="B12" s="165">
        <v>18.09</v>
      </c>
      <c r="C12" s="165">
        <v>65.04</v>
      </c>
      <c r="D12" s="165">
        <v>49.36</v>
      </c>
      <c r="E12" s="165">
        <v>7.81</v>
      </c>
      <c r="F12" s="165">
        <v>5.43</v>
      </c>
      <c r="G12" s="165">
        <v>44.92</v>
      </c>
      <c r="H12" s="165">
        <v>18.2</v>
      </c>
      <c r="I12" s="165">
        <v>4.67</v>
      </c>
      <c r="J12" s="165">
        <v>0.17</v>
      </c>
      <c r="K12" s="165">
        <v>181.26</v>
      </c>
      <c r="L12" s="165">
        <v>25.53</v>
      </c>
      <c r="M12" s="165">
        <v>59.46</v>
      </c>
      <c r="N12" s="165">
        <v>0</v>
      </c>
      <c r="O12" s="165">
        <v>0</v>
      </c>
      <c r="P12" s="165">
        <v>0.58</v>
      </c>
      <c r="Q12" s="165">
        <v>5</v>
      </c>
      <c r="R12" s="13"/>
      <c r="S12" s="13"/>
      <c r="T12" s="213"/>
      <c r="U12" s="13"/>
    </row>
    <row r="13" customFormat="1" spans="1:21">
      <c r="A13" s="142" t="s">
        <v>444</v>
      </c>
      <c r="B13" s="165">
        <v>18.52</v>
      </c>
      <c r="C13" s="165">
        <v>65.49</v>
      </c>
      <c r="D13" s="165">
        <v>49.95</v>
      </c>
      <c r="E13" s="165">
        <v>7.73</v>
      </c>
      <c r="F13" s="165">
        <v>4.21</v>
      </c>
      <c r="G13" s="165">
        <v>44.92</v>
      </c>
      <c r="H13" s="165">
        <v>18.2</v>
      </c>
      <c r="I13" s="165">
        <v>4.68</v>
      </c>
      <c r="J13" s="165">
        <v>0.17</v>
      </c>
      <c r="K13" s="165">
        <v>165.74</v>
      </c>
      <c r="L13" s="165">
        <v>25.36</v>
      </c>
      <c r="M13" s="165">
        <v>60.46</v>
      </c>
      <c r="N13" s="165">
        <v>0</v>
      </c>
      <c r="O13" s="165">
        <v>0</v>
      </c>
      <c r="P13" s="165">
        <v>0.58</v>
      </c>
      <c r="Q13" s="165">
        <v>5</v>
      </c>
      <c r="R13" s="13"/>
      <c r="S13" s="13"/>
      <c r="T13" s="213"/>
      <c r="U13" s="13"/>
    </row>
    <row r="14" customFormat="1" spans="1:21">
      <c r="A14" s="142" t="s">
        <v>445</v>
      </c>
      <c r="B14" s="165">
        <v>18.8</v>
      </c>
      <c r="C14" s="165">
        <v>66.83</v>
      </c>
      <c r="D14" s="165">
        <v>50.87</v>
      </c>
      <c r="E14" s="165">
        <v>7.14</v>
      </c>
      <c r="F14" s="165">
        <v>3.99</v>
      </c>
      <c r="G14" s="165">
        <v>44.75</v>
      </c>
      <c r="H14" s="165">
        <v>18.17</v>
      </c>
      <c r="I14" s="165">
        <v>4.68</v>
      </c>
      <c r="J14" s="165">
        <v>0.15</v>
      </c>
      <c r="K14" s="165">
        <v>165.32</v>
      </c>
      <c r="L14" s="165">
        <v>25.2</v>
      </c>
      <c r="M14" s="165">
        <v>61.73</v>
      </c>
      <c r="N14" s="165">
        <v>0</v>
      </c>
      <c r="O14" s="165">
        <v>0</v>
      </c>
      <c r="P14" s="165">
        <v>0.58</v>
      </c>
      <c r="Q14" s="165">
        <v>5</v>
      </c>
      <c r="R14" s="13"/>
      <c r="S14" s="13"/>
      <c r="T14" s="213"/>
      <c r="U14" s="13"/>
    </row>
    <row r="15" customFormat="1" spans="1:21">
      <c r="A15" s="142" t="s">
        <v>446</v>
      </c>
      <c r="B15" s="165">
        <v>19.14</v>
      </c>
      <c r="C15" s="165">
        <v>66.79</v>
      </c>
      <c r="D15" s="165">
        <v>51.12</v>
      </c>
      <c r="E15" s="165">
        <v>7.9</v>
      </c>
      <c r="F15" s="165">
        <v>4.02</v>
      </c>
      <c r="G15" s="165">
        <v>36.9</v>
      </c>
      <c r="H15" s="165">
        <v>16.11</v>
      </c>
      <c r="I15" s="165">
        <v>4.65</v>
      </c>
      <c r="J15" s="165">
        <v>0.25</v>
      </c>
      <c r="K15" s="165">
        <v>185.67</v>
      </c>
      <c r="L15" s="165">
        <v>25.09</v>
      </c>
      <c r="M15" s="165">
        <v>62.15</v>
      </c>
      <c r="N15" s="165">
        <v>0</v>
      </c>
      <c r="O15" s="165">
        <v>0</v>
      </c>
      <c r="P15" s="165">
        <v>0.58</v>
      </c>
      <c r="Q15" s="165">
        <v>5</v>
      </c>
      <c r="R15" s="13"/>
      <c r="S15" s="13"/>
      <c r="T15" s="213"/>
      <c r="U15" s="13"/>
    </row>
    <row r="16" customFormat="1" spans="1:21">
      <c r="A16" s="142" t="s">
        <v>447</v>
      </c>
      <c r="B16" s="165">
        <v>19.45</v>
      </c>
      <c r="C16" s="165">
        <v>66.34</v>
      </c>
      <c r="D16" s="165">
        <v>51.13</v>
      </c>
      <c r="E16" s="165">
        <v>8.06</v>
      </c>
      <c r="F16" s="165">
        <v>4.04</v>
      </c>
      <c r="G16" s="165">
        <v>36.9</v>
      </c>
      <c r="H16" s="165">
        <v>16.11</v>
      </c>
      <c r="I16" s="165">
        <v>4.63</v>
      </c>
      <c r="J16" s="165">
        <v>0.21</v>
      </c>
      <c r="K16" s="165">
        <v>168.63</v>
      </c>
      <c r="L16" s="165">
        <v>25.02</v>
      </c>
      <c r="M16" s="165">
        <v>62.9</v>
      </c>
      <c r="N16" s="165">
        <v>0</v>
      </c>
      <c r="O16" s="165">
        <v>0</v>
      </c>
      <c r="P16" s="165">
        <v>0.58</v>
      </c>
      <c r="Q16" s="165">
        <v>5</v>
      </c>
      <c r="R16" s="13"/>
      <c r="S16" s="13"/>
      <c r="T16" s="213"/>
      <c r="U16" s="13"/>
    </row>
    <row r="17" customFormat="1" spans="1:21">
      <c r="A17" s="142" t="s">
        <v>448</v>
      </c>
      <c r="B17" s="165">
        <v>19.76</v>
      </c>
      <c r="C17" s="165">
        <v>65.89</v>
      </c>
      <c r="D17" s="165">
        <v>51.15</v>
      </c>
      <c r="E17" s="165">
        <v>5.46</v>
      </c>
      <c r="F17" s="165">
        <v>4.05</v>
      </c>
      <c r="G17" s="165">
        <v>36.9</v>
      </c>
      <c r="H17" s="165">
        <v>16.11</v>
      </c>
      <c r="I17" s="165">
        <v>4.64</v>
      </c>
      <c r="J17" s="165">
        <v>0.22</v>
      </c>
      <c r="K17" s="165">
        <v>117.15</v>
      </c>
      <c r="L17" s="165">
        <v>24.62</v>
      </c>
      <c r="M17" s="165">
        <v>64.72</v>
      </c>
      <c r="N17" s="165">
        <v>0</v>
      </c>
      <c r="O17" s="165">
        <v>0</v>
      </c>
      <c r="P17" s="165">
        <v>0.58</v>
      </c>
      <c r="Q17" s="165">
        <v>5</v>
      </c>
      <c r="R17" s="13"/>
      <c r="S17" s="13"/>
      <c r="T17" s="213"/>
      <c r="U17" s="13"/>
    </row>
    <row r="18" customFormat="1" spans="1:21">
      <c r="A18" s="142" t="s">
        <v>449</v>
      </c>
      <c r="B18" s="165">
        <v>19.7</v>
      </c>
      <c r="C18" s="165">
        <v>65.56</v>
      </c>
      <c r="D18" s="165">
        <v>50.93</v>
      </c>
      <c r="E18" s="165">
        <v>8.21</v>
      </c>
      <c r="F18" s="165">
        <v>4.17</v>
      </c>
      <c r="G18" s="165">
        <v>36.87</v>
      </c>
      <c r="H18" s="165">
        <v>16.1</v>
      </c>
      <c r="I18" s="165">
        <v>4.65</v>
      </c>
      <c r="J18" s="165">
        <v>0.1</v>
      </c>
      <c r="K18" s="165">
        <v>143.63</v>
      </c>
      <c r="L18" s="165">
        <v>24.54</v>
      </c>
      <c r="M18" s="165">
        <v>64.69</v>
      </c>
      <c r="N18" s="165">
        <v>0</v>
      </c>
      <c r="O18" s="165">
        <v>0</v>
      </c>
      <c r="P18" s="165">
        <v>0.57</v>
      </c>
      <c r="Q18" s="165">
        <v>5</v>
      </c>
      <c r="R18" s="13"/>
      <c r="S18" s="13"/>
      <c r="T18" s="213"/>
      <c r="U18" s="13"/>
    </row>
    <row r="19" customFormat="1" spans="1:21">
      <c r="A19" s="142" t="s">
        <v>450</v>
      </c>
      <c r="B19" s="165">
        <v>20.23</v>
      </c>
      <c r="C19" s="165">
        <v>65.59</v>
      </c>
      <c r="D19" s="165">
        <v>51.36</v>
      </c>
      <c r="E19" s="165">
        <v>8.22</v>
      </c>
      <c r="F19" s="165">
        <v>4.31</v>
      </c>
      <c r="G19" s="165">
        <v>35.91</v>
      </c>
      <c r="H19" s="165">
        <v>15.86</v>
      </c>
      <c r="I19" s="165">
        <v>4.65</v>
      </c>
      <c r="J19" s="165">
        <v>0.16</v>
      </c>
      <c r="K19" s="165">
        <v>125.61</v>
      </c>
      <c r="L19" s="165">
        <v>24.45</v>
      </c>
      <c r="M19" s="165">
        <v>65.33</v>
      </c>
      <c r="N19" s="165">
        <v>0</v>
      </c>
      <c r="O19" s="165">
        <v>0</v>
      </c>
      <c r="P19" s="165">
        <v>0.58</v>
      </c>
      <c r="Q19" s="165">
        <v>5</v>
      </c>
      <c r="R19" s="13"/>
      <c r="S19" s="13"/>
      <c r="T19" s="213"/>
      <c r="U19" s="13"/>
    </row>
    <row r="20" customFormat="1" spans="1:21">
      <c r="A20" s="142" t="s">
        <v>451</v>
      </c>
      <c r="B20" s="165">
        <v>21.55</v>
      </c>
      <c r="C20" s="165">
        <v>66.23</v>
      </c>
      <c r="D20" s="165">
        <v>52.75</v>
      </c>
      <c r="E20" s="165">
        <v>8.28</v>
      </c>
      <c r="F20" s="165">
        <v>3.84</v>
      </c>
      <c r="G20" s="165">
        <v>35.91</v>
      </c>
      <c r="H20" s="165">
        <v>15.86</v>
      </c>
      <c r="I20" s="165">
        <v>4.65</v>
      </c>
      <c r="J20" s="165">
        <v>0.14</v>
      </c>
      <c r="K20" s="165">
        <v>153.25</v>
      </c>
      <c r="L20" s="165">
        <v>24.29</v>
      </c>
      <c r="M20" s="165">
        <v>65.99</v>
      </c>
      <c r="N20" s="165">
        <v>0</v>
      </c>
      <c r="O20" s="165">
        <v>0</v>
      </c>
      <c r="P20" s="165">
        <v>0.58</v>
      </c>
      <c r="Q20" s="165">
        <v>5</v>
      </c>
      <c r="R20" s="13"/>
      <c r="S20" s="13"/>
      <c r="T20" s="213"/>
      <c r="U20" s="13"/>
    </row>
    <row r="21" customFormat="1" spans="1:21">
      <c r="A21" s="142" t="s">
        <v>452</v>
      </c>
      <c r="B21" s="165">
        <v>22.23</v>
      </c>
      <c r="C21" s="165">
        <v>65.55</v>
      </c>
      <c r="D21" s="165">
        <v>52.95</v>
      </c>
      <c r="E21" s="165">
        <v>8.36</v>
      </c>
      <c r="F21" s="165">
        <v>3.91</v>
      </c>
      <c r="G21" s="165">
        <v>35.91</v>
      </c>
      <c r="H21" s="165">
        <v>15.86</v>
      </c>
      <c r="I21" s="165">
        <v>4.67</v>
      </c>
      <c r="J21" s="165">
        <v>0.16</v>
      </c>
      <c r="K21" s="165">
        <v>157.03</v>
      </c>
      <c r="L21" s="165">
        <v>23.85</v>
      </c>
      <c r="M21" s="165">
        <v>68.93</v>
      </c>
      <c r="N21" s="165">
        <v>0</v>
      </c>
      <c r="O21" s="165">
        <v>0</v>
      </c>
      <c r="P21" s="165">
        <v>0.58</v>
      </c>
      <c r="Q21" s="165">
        <v>5</v>
      </c>
      <c r="R21" s="13"/>
      <c r="S21" s="13"/>
      <c r="T21" s="213"/>
      <c r="U21" s="13"/>
    </row>
    <row r="22" customFormat="1" spans="1:21">
      <c r="A22" s="142" t="s">
        <v>453</v>
      </c>
      <c r="B22" s="165">
        <v>22.48</v>
      </c>
      <c r="C22" s="165">
        <v>66.49</v>
      </c>
      <c r="D22" s="165">
        <v>53.64</v>
      </c>
      <c r="E22" s="165">
        <v>8.7</v>
      </c>
      <c r="F22" s="165">
        <v>3.56</v>
      </c>
      <c r="G22" s="165">
        <v>35.88</v>
      </c>
      <c r="H22" s="165">
        <v>15.8</v>
      </c>
      <c r="I22" s="165">
        <v>4.74</v>
      </c>
      <c r="J22" s="165">
        <v>0.17</v>
      </c>
      <c r="K22" s="165">
        <v>171.98</v>
      </c>
      <c r="L22" s="165">
        <v>23.46</v>
      </c>
      <c r="M22" s="165">
        <v>70.63</v>
      </c>
      <c r="N22" s="165">
        <v>0</v>
      </c>
      <c r="O22" s="165">
        <v>0</v>
      </c>
      <c r="P22" s="165">
        <v>0.59</v>
      </c>
      <c r="Q22" s="165">
        <v>5</v>
      </c>
      <c r="R22" s="13"/>
      <c r="S22" s="13"/>
      <c r="T22" s="213"/>
      <c r="U22" s="13"/>
    </row>
    <row r="23" customFormat="1" spans="1:21">
      <c r="A23" s="142" t="s">
        <v>454</v>
      </c>
      <c r="B23" s="165">
        <v>22.94</v>
      </c>
      <c r="C23" s="165">
        <v>65.69</v>
      </c>
      <c r="D23" s="165">
        <v>53.59</v>
      </c>
      <c r="E23" s="165">
        <v>8.42</v>
      </c>
      <c r="F23" s="165">
        <v>3.72</v>
      </c>
      <c r="G23" s="165">
        <v>34.56</v>
      </c>
      <c r="H23" s="165">
        <v>13.81</v>
      </c>
      <c r="I23" s="165">
        <v>4.8</v>
      </c>
      <c r="J23" s="165">
        <v>0.14</v>
      </c>
      <c r="K23" s="165">
        <v>154.95</v>
      </c>
      <c r="L23" s="165">
        <v>23.27</v>
      </c>
      <c r="M23" s="165">
        <v>70.75</v>
      </c>
      <c r="N23" s="165">
        <v>0</v>
      </c>
      <c r="O23" s="165">
        <v>0</v>
      </c>
      <c r="P23" s="165">
        <v>0.59</v>
      </c>
      <c r="Q23" s="165">
        <v>5</v>
      </c>
      <c r="R23" s="13"/>
      <c r="S23" s="13"/>
      <c r="T23" s="213"/>
      <c r="U23" s="13"/>
    </row>
    <row r="24" customFormat="1" spans="1:21">
      <c r="A24" s="142" t="s">
        <v>455</v>
      </c>
      <c r="B24" s="165">
        <v>23.32</v>
      </c>
      <c r="C24" s="165">
        <v>65.76</v>
      </c>
      <c r="D24" s="165">
        <v>53.93</v>
      </c>
      <c r="E24" s="165">
        <v>8.54</v>
      </c>
      <c r="F24" s="165">
        <v>3.69</v>
      </c>
      <c r="G24" s="165">
        <v>34.56</v>
      </c>
      <c r="H24" s="165">
        <v>13.81</v>
      </c>
      <c r="I24" s="165">
        <v>4.88</v>
      </c>
      <c r="J24" s="165">
        <v>0.2</v>
      </c>
      <c r="K24" s="165">
        <v>110.83</v>
      </c>
      <c r="L24" s="165">
        <v>23.3</v>
      </c>
      <c r="M24" s="165">
        <v>70.72</v>
      </c>
      <c r="N24" s="165">
        <v>0</v>
      </c>
      <c r="O24" s="165">
        <v>0</v>
      </c>
      <c r="P24" s="165">
        <v>0.59</v>
      </c>
      <c r="Q24" s="165">
        <v>5</v>
      </c>
      <c r="R24" s="13"/>
      <c r="S24" s="13"/>
      <c r="T24" s="213"/>
      <c r="U24" s="13"/>
    </row>
    <row r="25" customFormat="1" spans="1:21">
      <c r="A25" s="142" t="s">
        <v>456</v>
      </c>
      <c r="B25" s="165">
        <v>23.89</v>
      </c>
      <c r="C25" s="165">
        <v>66.08</v>
      </c>
      <c r="D25" s="165">
        <v>54.55</v>
      </c>
      <c r="E25" s="165">
        <v>8.81</v>
      </c>
      <c r="F25" s="165">
        <v>3.62</v>
      </c>
      <c r="G25" s="165">
        <v>34.56</v>
      </c>
      <c r="H25" s="165">
        <v>13.81</v>
      </c>
      <c r="I25" s="165">
        <v>4.97</v>
      </c>
      <c r="J25" s="165">
        <v>0.02</v>
      </c>
      <c r="K25" s="165">
        <v>151.84</v>
      </c>
      <c r="L25" s="165">
        <v>23.29</v>
      </c>
      <c r="M25" s="165">
        <v>70.48</v>
      </c>
      <c r="N25" s="165">
        <v>0</v>
      </c>
      <c r="O25" s="165">
        <v>0</v>
      </c>
      <c r="P25" s="165">
        <v>0.61</v>
      </c>
      <c r="Q25" s="165">
        <v>5</v>
      </c>
      <c r="R25" s="13"/>
      <c r="S25" s="13"/>
      <c r="T25" s="213"/>
      <c r="U25" s="13"/>
    </row>
    <row r="26" customFormat="1" spans="1:21">
      <c r="A26" s="142" t="s">
        <v>457</v>
      </c>
      <c r="B26" s="165">
        <v>25.34</v>
      </c>
      <c r="C26" s="165">
        <v>66.65</v>
      </c>
      <c r="D26" s="165">
        <v>56.02</v>
      </c>
      <c r="E26" s="165">
        <v>8.55</v>
      </c>
      <c r="F26" s="165">
        <v>3.79</v>
      </c>
      <c r="G26" s="165">
        <v>34.63</v>
      </c>
      <c r="H26" s="165">
        <v>13.88</v>
      </c>
      <c r="I26" s="165">
        <v>5.04</v>
      </c>
      <c r="J26" s="165">
        <v>0.22</v>
      </c>
      <c r="K26" s="165">
        <v>163.37</v>
      </c>
      <c r="L26" s="165">
        <v>23.39</v>
      </c>
      <c r="M26" s="165">
        <v>70.7</v>
      </c>
      <c r="N26" s="165">
        <v>0</v>
      </c>
      <c r="O26" s="165">
        <v>0</v>
      </c>
      <c r="P26" s="165">
        <v>0.61</v>
      </c>
      <c r="Q26" s="165">
        <v>5</v>
      </c>
      <c r="R26" s="13"/>
      <c r="S26" s="13"/>
      <c r="T26" s="213"/>
      <c r="U26" s="13"/>
    </row>
    <row r="27" customFormat="1" spans="1:21">
      <c r="A27" s="142" t="s">
        <v>458</v>
      </c>
      <c r="B27" s="165">
        <v>26.69</v>
      </c>
      <c r="C27" s="165">
        <v>66.66</v>
      </c>
      <c r="D27" s="165">
        <v>57.1</v>
      </c>
      <c r="E27" s="165">
        <v>8.74</v>
      </c>
      <c r="F27" s="165">
        <v>3.71</v>
      </c>
      <c r="G27" s="165">
        <v>37.74</v>
      </c>
      <c r="H27" s="165">
        <v>16.25</v>
      </c>
      <c r="I27" s="165">
        <v>5.19</v>
      </c>
      <c r="J27" s="165">
        <v>0.21</v>
      </c>
      <c r="K27" s="165">
        <v>169.92</v>
      </c>
      <c r="L27" s="165">
        <v>22.93</v>
      </c>
      <c r="M27" s="165">
        <v>73.64</v>
      </c>
      <c r="N27" s="165">
        <v>0</v>
      </c>
      <c r="O27" s="165">
        <v>0</v>
      </c>
      <c r="P27" s="165">
        <v>0.62</v>
      </c>
      <c r="Q27" s="165">
        <v>5</v>
      </c>
      <c r="R27" s="13"/>
      <c r="S27" s="13"/>
      <c r="T27" s="213"/>
      <c r="U27" s="13"/>
    </row>
    <row r="28" customFormat="1" spans="1:21">
      <c r="A28" s="142" t="s">
        <v>459</v>
      </c>
      <c r="B28" s="165">
        <v>27.24</v>
      </c>
      <c r="C28" s="165">
        <v>65.67</v>
      </c>
      <c r="D28" s="165">
        <v>57.03</v>
      </c>
      <c r="E28" s="165">
        <v>8.77</v>
      </c>
      <c r="F28" s="165">
        <v>3.74</v>
      </c>
      <c r="G28" s="165">
        <v>37.74</v>
      </c>
      <c r="H28" s="165">
        <v>16.25</v>
      </c>
      <c r="I28" s="165">
        <v>5.41</v>
      </c>
      <c r="J28" s="165">
        <v>0.13</v>
      </c>
      <c r="K28" s="165">
        <v>141.64</v>
      </c>
      <c r="L28" s="165">
        <v>22.68</v>
      </c>
      <c r="M28" s="165">
        <v>74.25</v>
      </c>
      <c r="N28" s="165">
        <v>0</v>
      </c>
      <c r="O28" s="165">
        <v>0</v>
      </c>
      <c r="P28" s="165">
        <v>0.62</v>
      </c>
      <c r="Q28" s="165">
        <v>5</v>
      </c>
      <c r="R28" s="13"/>
      <c r="S28" s="13"/>
      <c r="T28" s="213"/>
      <c r="U28" s="13"/>
    </row>
    <row r="29" customFormat="1" spans="1:21">
      <c r="A29" s="142" t="s">
        <v>460</v>
      </c>
      <c r="B29" s="165">
        <v>27.51</v>
      </c>
      <c r="C29" s="165">
        <v>67.48</v>
      </c>
      <c r="D29" s="165">
        <v>58.19</v>
      </c>
      <c r="E29" s="165">
        <v>8.82</v>
      </c>
      <c r="F29" s="165">
        <v>3.6</v>
      </c>
      <c r="G29" s="165">
        <v>37.74</v>
      </c>
      <c r="H29" s="165">
        <v>16.25</v>
      </c>
      <c r="I29" s="165">
        <v>5.62</v>
      </c>
      <c r="J29" s="165">
        <v>0.16</v>
      </c>
      <c r="K29" s="165">
        <v>161.79</v>
      </c>
      <c r="L29" s="165">
        <v>22.72</v>
      </c>
      <c r="M29" s="165">
        <v>73.99</v>
      </c>
      <c r="N29" s="165">
        <v>0</v>
      </c>
      <c r="O29" s="165">
        <v>0</v>
      </c>
      <c r="P29" s="165">
        <v>0.63</v>
      </c>
      <c r="Q29" s="165">
        <v>5</v>
      </c>
      <c r="R29" s="13"/>
      <c r="S29" s="13"/>
      <c r="T29" s="213"/>
      <c r="U29" s="13"/>
    </row>
    <row r="30" customFormat="1" spans="1:21">
      <c r="A30" s="142" t="s">
        <v>461</v>
      </c>
      <c r="B30" s="165">
        <v>27.72</v>
      </c>
      <c r="C30" s="165">
        <v>68.7</v>
      </c>
      <c r="D30" s="165">
        <v>59</v>
      </c>
      <c r="E30" s="165">
        <v>8.86</v>
      </c>
      <c r="F30" s="165">
        <v>3.56</v>
      </c>
      <c r="G30" s="165">
        <v>37.7</v>
      </c>
      <c r="H30" s="165">
        <v>16.27</v>
      </c>
      <c r="I30" s="165">
        <v>5.84</v>
      </c>
      <c r="J30" s="165">
        <v>0.18</v>
      </c>
      <c r="K30" s="165">
        <v>183.15</v>
      </c>
      <c r="L30" s="165">
        <v>22.66</v>
      </c>
      <c r="M30" s="165">
        <v>75.25</v>
      </c>
      <c r="N30" s="165">
        <v>0</v>
      </c>
      <c r="O30" s="165">
        <v>0</v>
      </c>
      <c r="P30" s="165">
        <v>0.65</v>
      </c>
      <c r="Q30" s="165">
        <v>5</v>
      </c>
      <c r="R30" s="13"/>
      <c r="S30" s="13"/>
      <c r="T30" s="213"/>
      <c r="U30" s="13"/>
    </row>
    <row r="31" customFormat="1" spans="1:21">
      <c r="A31" s="142" t="s">
        <v>462</v>
      </c>
      <c r="B31" s="165">
        <v>27.69</v>
      </c>
      <c r="C31" s="165">
        <v>68.77</v>
      </c>
      <c r="D31" s="165">
        <v>59.01</v>
      </c>
      <c r="E31" s="165">
        <v>8.53</v>
      </c>
      <c r="F31" s="165">
        <v>3.56</v>
      </c>
      <c r="G31" s="165">
        <v>35.8</v>
      </c>
      <c r="H31" s="165">
        <v>17.09</v>
      </c>
      <c r="I31" s="165">
        <v>6.11</v>
      </c>
      <c r="J31" s="165">
        <v>0.17</v>
      </c>
      <c r="K31" s="165">
        <v>144.84</v>
      </c>
      <c r="L31" s="165">
        <v>22.39</v>
      </c>
      <c r="M31" s="165">
        <v>76.2</v>
      </c>
      <c r="N31" s="165">
        <v>0</v>
      </c>
      <c r="O31" s="165">
        <v>0</v>
      </c>
      <c r="P31" s="165">
        <v>0.66</v>
      </c>
      <c r="Q31" s="165">
        <v>5</v>
      </c>
      <c r="R31" s="13"/>
      <c r="S31" s="13"/>
      <c r="T31" s="213"/>
      <c r="U31" s="13"/>
    </row>
    <row r="32" customFormat="1" spans="1:21">
      <c r="A32" s="142" t="s">
        <v>463</v>
      </c>
      <c r="B32" s="165">
        <v>27.86</v>
      </c>
      <c r="C32" s="165">
        <v>68.13</v>
      </c>
      <c r="D32" s="165">
        <v>58.81</v>
      </c>
      <c r="E32" s="165">
        <v>8.32</v>
      </c>
      <c r="F32" s="165">
        <v>3.75</v>
      </c>
      <c r="G32" s="165">
        <v>35.8</v>
      </c>
      <c r="H32" s="165">
        <v>17.09</v>
      </c>
      <c r="I32" s="165">
        <v>6.42</v>
      </c>
      <c r="J32" s="165">
        <v>0.18</v>
      </c>
      <c r="K32" s="165">
        <v>130.36</v>
      </c>
      <c r="L32" s="165">
        <v>22.7</v>
      </c>
      <c r="M32" s="165">
        <v>73.77</v>
      </c>
      <c r="N32" s="165">
        <v>0.1</v>
      </c>
      <c r="O32" s="165">
        <v>0</v>
      </c>
      <c r="P32" s="165">
        <v>0.67</v>
      </c>
      <c r="Q32" s="165">
        <v>5</v>
      </c>
      <c r="R32" s="13"/>
      <c r="S32" s="13"/>
      <c r="T32" s="213"/>
      <c r="U32" s="13"/>
    </row>
    <row r="33" customFormat="1" spans="1:21">
      <c r="A33" s="142" t="s">
        <v>464</v>
      </c>
      <c r="B33" s="165">
        <v>29.1</v>
      </c>
      <c r="C33" s="165">
        <v>67.88</v>
      </c>
      <c r="D33" s="165">
        <v>59.68</v>
      </c>
      <c r="E33" s="165">
        <v>8.38</v>
      </c>
      <c r="F33" s="165">
        <v>3.77</v>
      </c>
      <c r="G33" s="165">
        <v>35.8</v>
      </c>
      <c r="H33" s="165">
        <v>17.09</v>
      </c>
      <c r="I33" s="165">
        <v>6.77</v>
      </c>
      <c r="J33" s="165">
        <v>0.27</v>
      </c>
      <c r="K33" s="165">
        <v>157.38</v>
      </c>
      <c r="L33" s="165">
        <v>23.06</v>
      </c>
      <c r="M33" s="165">
        <v>73.92</v>
      </c>
      <c r="N33" s="165">
        <v>7.9</v>
      </c>
      <c r="O33" s="165">
        <v>0</v>
      </c>
      <c r="P33" s="165">
        <v>0.7</v>
      </c>
      <c r="Q33" s="165">
        <v>5</v>
      </c>
      <c r="R33" s="13"/>
      <c r="S33" s="13"/>
      <c r="T33" s="213"/>
      <c r="U33" s="13"/>
    </row>
    <row r="34" customFormat="1" spans="1:21">
      <c r="A34" s="142" t="s">
        <v>465</v>
      </c>
      <c r="B34" s="165">
        <v>30.08</v>
      </c>
      <c r="C34" s="165">
        <v>67.98</v>
      </c>
      <c r="D34" s="165">
        <v>60.52</v>
      </c>
      <c r="E34" s="165">
        <v>8.04</v>
      </c>
      <c r="F34" s="165">
        <v>3.8</v>
      </c>
      <c r="G34" s="165">
        <v>36.17</v>
      </c>
      <c r="H34" s="165">
        <v>17.12</v>
      </c>
      <c r="I34" s="165">
        <v>7.34</v>
      </c>
      <c r="J34" s="165">
        <v>0.19</v>
      </c>
      <c r="K34" s="165">
        <v>180.17</v>
      </c>
      <c r="L34" s="165">
        <v>22.87</v>
      </c>
      <c r="M34" s="165">
        <v>75.58</v>
      </c>
      <c r="N34" s="165">
        <v>21.3</v>
      </c>
      <c r="O34" s="165">
        <v>0</v>
      </c>
      <c r="P34" s="165">
        <v>0.72</v>
      </c>
      <c r="Q34" s="165">
        <v>5</v>
      </c>
      <c r="R34" s="13"/>
      <c r="S34" s="13"/>
      <c r="T34" s="213"/>
      <c r="U34" s="13"/>
    </row>
    <row r="35" customFormat="1" spans="1:21">
      <c r="A35" s="142" t="s">
        <v>466</v>
      </c>
      <c r="B35" s="165">
        <v>30.44</v>
      </c>
      <c r="C35" s="165">
        <v>68.62</v>
      </c>
      <c r="D35" s="165">
        <v>61.13</v>
      </c>
      <c r="E35" s="165">
        <v>8.13</v>
      </c>
      <c r="F35" s="165">
        <v>3.66</v>
      </c>
      <c r="G35" s="165">
        <v>52.27</v>
      </c>
      <c r="H35" s="165">
        <v>19.48</v>
      </c>
      <c r="I35" s="165">
        <v>8.03</v>
      </c>
      <c r="J35" s="165">
        <v>0.28</v>
      </c>
      <c r="K35" s="165">
        <v>193.57</v>
      </c>
      <c r="L35" s="165">
        <v>23.19</v>
      </c>
      <c r="M35" s="165">
        <v>73.76</v>
      </c>
      <c r="N35" s="165">
        <v>34.5</v>
      </c>
      <c r="O35" s="165">
        <v>0</v>
      </c>
      <c r="P35" s="165">
        <v>0.74</v>
      </c>
      <c r="Q35" s="165">
        <v>5</v>
      </c>
      <c r="R35" s="13"/>
      <c r="S35" s="13"/>
      <c r="T35" s="213"/>
      <c r="U35" s="13"/>
    </row>
    <row r="36" customFormat="1" spans="1:21">
      <c r="A36" s="142" t="s">
        <v>467</v>
      </c>
      <c r="B36" s="165">
        <v>30.54</v>
      </c>
      <c r="C36" s="165">
        <v>68.09</v>
      </c>
      <c r="D36" s="165">
        <v>60.94</v>
      </c>
      <c r="E36" s="165">
        <v>7.83</v>
      </c>
      <c r="F36" s="165">
        <v>3.71</v>
      </c>
      <c r="G36" s="165">
        <v>52.27</v>
      </c>
      <c r="H36" s="165">
        <v>19.48</v>
      </c>
      <c r="I36" s="165">
        <v>8.67</v>
      </c>
      <c r="J36" s="165">
        <v>0.19</v>
      </c>
      <c r="K36" s="165">
        <v>157.67</v>
      </c>
      <c r="L36" s="165">
        <v>24.05</v>
      </c>
      <c r="M36" s="165">
        <v>70.44</v>
      </c>
      <c r="N36" s="165">
        <v>47</v>
      </c>
      <c r="O36" s="165">
        <v>0</v>
      </c>
      <c r="P36" s="165">
        <v>0.77</v>
      </c>
      <c r="Q36" s="165">
        <v>5</v>
      </c>
      <c r="R36" s="13"/>
      <c r="S36" s="13"/>
      <c r="T36" s="213"/>
      <c r="U36" s="13"/>
    </row>
    <row r="37" customFormat="1" spans="1:21">
      <c r="A37" s="142" t="s">
        <v>468</v>
      </c>
      <c r="B37" s="165">
        <v>30.37</v>
      </c>
      <c r="C37" s="165">
        <v>68.18</v>
      </c>
      <c r="D37" s="165">
        <v>60.85</v>
      </c>
      <c r="E37" s="165">
        <v>7.98</v>
      </c>
      <c r="F37" s="165">
        <v>3.83</v>
      </c>
      <c r="G37" s="165">
        <v>52.27</v>
      </c>
      <c r="H37" s="165">
        <v>19.48</v>
      </c>
      <c r="I37" s="165">
        <v>9.29</v>
      </c>
      <c r="J37" s="165">
        <v>0.13</v>
      </c>
      <c r="K37" s="165">
        <v>271.75</v>
      </c>
      <c r="L37" s="165">
        <v>24.99</v>
      </c>
      <c r="M37" s="165">
        <v>66.84</v>
      </c>
      <c r="N37" s="165">
        <v>59.2</v>
      </c>
      <c r="O37" s="165">
        <v>0</v>
      </c>
      <c r="P37" s="165">
        <v>0.8</v>
      </c>
      <c r="Q37" s="165">
        <v>5</v>
      </c>
      <c r="R37" s="13"/>
      <c r="S37" s="13"/>
      <c r="T37" s="213"/>
      <c r="U37" s="13"/>
    </row>
    <row r="38" customFormat="1" spans="1:21">
      <c r="A38" s="142" t="s">
        <v>469</v>
      </c>
      <c r="B38" s="165">
        <v>30.38</v>
      </c>
      <c r="C38" s="165">
        <v>68.51</v>
      </c>
      <c r="D38" s="165">
        <v>61.03</v>
      </c>
      <c r="E38" s="165">
        <v>7.98</v>
      </c>
      <c r="F38" s="165">
        <v>3.94</v>
      </c>
      <c r="G38" s="165">
        <v>52.54</v>
      </c>
      <c r="H38" s="165">
        <v>19.56</v>
      </c>
      <c r="I38" s="165">
        <v>9.83</v>
      </c>
      <c r="J38" s="165">
        <v>0.29</v>
      </c>
      <c r="K38" s="165">
        <v>156.67</v>
      </c>
      <c r="L38" s="165">
        <v>26.04</v>
      </c>
      <c r="M38" s="165">
        <v>63.47</v>
      </c>
      <c r="N38" s="165">
        <v>83.4</v>
      </c>
      <c r="O38" s="165">
        <v>0</v>
      </c>
      <c r="P38" s="165">
        <v>0.82</v>
      </c>
      <c r="Q38" s="165">
        <v>5</v>
      </c>
      <c r="R38" s="13"/>
      <c r="S38" s="13"/>
      <c r="T38" s="213"/>
      <c r="U38" s="13"/>
    </row>
    <row r="39" customFormat="1" spans="1:21">
      <c r="A39" s="142" t="s">
        <v>470</v>
      </c>
      <c r="B39" s="165">
        <v>30.77</v>
      </c>
      <c r="C39" s="165">
        <v>69.47</v>
      </c>
      <c r="D39" s="165">
        <v>61.85</v>
      </c>
      <c r="E39" s="165">
        <v>8.33</v>
      </c>
      <c r="F39" s="165">
        <v>3.87</v>
      </c>
      <c r="G39" s="165">
        <v>64.48</v>
      </c>
      <c r="H39" s="165">
        <v>22.31</v>
      </c>
      <c r="I39" s="165">
        <v>10.2</v>
      </c>
      <c r="J39" s="165">
        <v>0.12</v>
      </c>
      <c r="K39" s="165">
        <v>215.28</v>
      </c>
      <c r="L39" s="165">
        <v>27.41</v>
      </c>
      <c r="M39" s="165">
        <v>57.83</v>
      </c>
      <c r="N39" s="165">
        <v>181.2</v>
      </c>
      <c r="O39" s="165">
        <v>0</v>
      </c>
      <c r="P39" s="165">
        <v>0.85</v>
      </c>
      <c r="Q39" s="165">
        <v>5</v>
      </c>
      <c r="R39" s="13"/>
      <c r="S39" s="13"/>
      <c r="T39" s="213"/>
      <c r="U39" s="13"/>
    </row>
    <row r="40" customFormat="1" spans="1:21">
      <c r="A40" s="142" t="s">
        <v>471</v>
      </c>
      <c r="B40" s="165">
        <v>31.35</v>
      </c>
      <c r="C40" s="165">
        <v>70.16</v>
      </c>
      <c r="D40" s="165">
        <v>62.67</v>
      </c>
      <c r="E40" s="165">
        <v>8.35</v>
      </c>
      <c r="F40" s="165">
        <v>3.88</v>
      </c>
      <c r="G40" s="165">
        <v>64.48</v>
      </c>
      <c r="H40" s="165">
        <v>22.31</v>
      </c>
      <c r="I40" s="165">
        <v>10.54</v>
      </c>
      <c r="J40" s="165">
        <v>0.2</v>
      </c>
      <c r="K40" s="165">
        <v>192.81</v>
      </c>
      <c r="L40" s="165">
        <v>28.83</v>
      </c>
      <c r="M40" s="165">
        <v>51.03</v>
      </c>
      <c r="N40" s="165">
        <v>227.8</v>
      </c>
      <c r="O40" s="165">
        <v>0</v>
      </c>
      <c r="P40" s="165">
        <v>0.88</v>
      </c>
      <c r="Q40" s="165">
        <v>5</v>
      </c>
      <c r="R40" s="13"/>
      <c r="S40" s="13"/>
      <c r="T40" s="213"/>
      <c r="U40" s="13"/>
    </row>
    <row r="41" customFormat="1" spans="1:21">
      <c r="A41" s="142" t="s">
        <v>472</v>
      </c>
      <c r="B41" s="165">
        <v>31.12</v>
      </c>
      <c r="C41" s="165">
        <v>71.66</v>
      </c>
      <c r="D41" s="165">
        <v>63.27</v>
      </c>
      <c r="E41" s="165">
        <v>8.4</v>
      </c>
      <c r="F41" s="165">
        <v>3.92</v>
      </c>
      <c r="G41" s="165">
        <v>64.48</v>
      </c>
      <c r="H41" s="165">
        <v>22.31</v>
      </c>
      <c r="I41" s="165">
        <v>10.91</v>
      </c>
      <c r="J41" s="165">
        <v>0.15</v>
      </c>
      <c r="K41" s="165">
        <v>303.33</v>
      </c>
      <c r="L41" s="165">
        <v>29.97</v>
      </c>
      <c r="M41" s="165">
        <v>45.51</v>
      </c>
      <c r="N41" s="165">
        <v>271.3</v>
      </c>
      <c r="O41" s="165">
        <v>0</v>
      </c>
      <c r="P41" s="165">
        <v>0.91</v>
      </c>
      <c r="Q41" s="165">
        <v>4.97</v>
      </c>
      <c r="R41" s="13"/>
      <c r="S41" s="13"/>
      <c r="T41" s="213"/>
      <c r="U41" s="13"/>
    </row>
    <row r="42" customFormat="1" spans="1:21">
      <c r="A42" s="142" t="s">
        <v>473</v>
      </c>
      <c r="B42" s="165">
        <v>30.52</v>
      </c>
      <c r="C42" s="165">
        <v>72.13</v>
      </c>
      <c r="D42" s="165">
        <v>63.03</v>
      </c>
      <c r="E42" s="165">
        <v>8.68</v>
      </c>
      <c r="F42" s="165">
        <v>4.71</v>
      </c>
      <c r="G42" s="165">
        <v>64.94</v>
      </c>
      <c r="H42" s="165">
        <v>22.45</v>
      </c>
      <c r="I42" s="165">
        <v>11.24</v>
      </c>
      <c r="J42" s="165">
        <v>0.25</v>
      </c>
      <c r="K42" s="165">
        <v>29.71</v>
      </c>
      <c r="L42" s="165">
        <v>31.12</v>
      </c>
      <c r="M42" s="165">
        <v>38.11</v>
      </c>
      <c r="N42" s="165">
        <v>188</v>
      </c>
      <c r="O42" s="165">
        <v>0</v>
      </c>
      <c r="P42" s="165">
        <v>0.93</v>
      </c>
      <c r="Q42" s="165">
        <v>4.97</v>
      </c>
      <c r="R42" s="13"/>
      <c r="S42" s="13"/>
      <c r="T42" s="213"/>
      <c r="U42" s="13"/>
    </row>
    <row r="43" customFormat="1" spans="1:21">
      <c r="A43" s="142" t="s">
        <v>474</v>
      </c>
      <c r="B43" s="165">
        <v>29.94</v>
      </c>
      <c r="C43" s="165">
        <v>73.64</v>
      </c>
      <c r="D43" s="165">
        <v>63.36</v>
      </c>
      <c r="E43" s="165">
        <v>8.72</v>
      </c>
      <c r="F43" s="165">
        <v>4.65</v>
      </c>
      <c r="G43" s="165">
        <v>84.88</v>
      </c>
      <c r="H43" s="165">
        <v>27.13</v>
      </c>
      <c r="I43" s="165">
        <v>11.49</v>
      </c>
      <c r="J43" s="165">
        <v>0.11</v>
      </c>
      <c r="K43" s="165">
        <v>110.69</v>
      </c>
      <c r="L43" s="165">
        <v>32.42</v>
      </c>
      <c r="M43" s="165">
        <v>35.07</v>
      </c>
      <c r="N43" s="165">
        <v>188.2</v>
      </c>
      <c r="O43" s="165">
        <v>0</v>
      </c>
      <c r="P43" s="165">
        <v>0.95</v>
      </c>
      <c r="Q43" s="165">
        <v>4.95</v>
      </c>
      <c r="R43" s="13"/>
      <c r="S43" s="13"/>
      <c r="T43" s="213"/>
      <c r="U43" s="13"/>
    </row>
    <row r="44" customFormat="1" spans="1:21">
      <c r="A44" s="142" t="s">
        <v>475</v>
      </c>
      <c r="B44" s="165">
        <v>28.95</v>
      </c>
      <c r="C44" s="165">
        <v>72.98</v>
      </c>
      <c r="D44" s="165">
        <v>62.22</v>
      </c>
      <c r="E44" s="165">
        <v>8.94</v>
      </c>
      <c r="F44" s="165">
        <v>4.37</v>
      </c>
      <c r="G44" s="165">
        <v>84.88</v>
      </c>
      <c r="H44" s="165">
        <v>27.13</v>
      </c>
      <c r="I44" s="165">
        <v>11.59</v>
      </c>
      <c r="J44" s="165">
        <v>0.34</v>
      </c>
      <c r="K44" s="165">
        <v>234.31</v>
      </c>
      <c r="L44" s="165">
        <v>32.64</v>
      </c>
      <c r="M44" s="165">
        <v>31.26</v>
      </c>
      <c r="N44" s="165">
        <v>199</v>
      </c>
      <c r="O44" s="165">
        <v>0</v>
      </c>
      <c r="P44" s="165">
        <v>0.94</v>
      </c>
      <c r="Q44" s="165">
        <v>5</v>
      </c>
      <c r="R44" s="13"/>
      <c r="S44" s="13"/>
      <c r="T44" s="213"/>
      <c r="U44" s="13"/>
    </row>
    <row r="45" customFormat="1" spans="1:21">
      <c r="A45" s="142" t="s">
        <v>476</v>
      </c>
      <c r="B45" s="165">
        <v>27</v>
      </c>
      <c r="C45" s="165">
        <v>73.12</v>
      </c>
      <c r="D45" s="165">
        <v>60.73</v>
      </c>
      <c r="E45" s="165">
        <v>8.63</v>
      </c>
      <c r="F45" s="165">
        <v>4.5</v>
      </c>
      <c r="G45" s="165">
        <v>84.88</v>
      </c>
      <c r="H45" s="165">
        <v>27.13</v>
      </c>
      <c r="I45" s="165">
        <v>11.55</v>
      </c>
      <c r="J45" s="165">
        <v>0.53</v>
      </c>
      <c r="K45" s="165">
        <v>266.17</v>
      </c>
      <c r="L45" s="165">
        <v>32.75</v>
      </c>
      <c r="M45" s="165">
        <v>30.24</v>
      </c>
      <c r="N45" s="165">
        <v>384.6</v>
      </c>
      <c r="O45" s="165">
        <v>0</v>
      </c>
      <c r="P45" s="165">
        <v>0.93</v>
      </c>
      <c r="Q45" s="165">
        <v>5</v>
      </c>
      <c r="R45" s="13"/>
      <c r="S45" s="13"/>
      <c r="T45" s="213"/>
      <c r="U45" s="13"/>
    </row>
    <row r="46" customFormat="1" spans="1:21">
      <c r="A46" s="142" t="s">
        <v>477</v>
      </c>
      <c r="B46" s="165">
        <v>24.93</v>
      </c>
      <c r="C46" s="165">
        <v>72.42</v>
      </c>
      <c r="D46" s="165">
        <v>58.7</v>
      </c>
      <c r="E46" s="165">
        <v>9.11</v>
      </c>
      <c r="F46" s="165">
        <v>5.38</v>
      </c>
      <c r="G46" s="165">
        <v>84.61</v>
      </c>
      <c r="H46" s="165">
        <v>27.1</v>
      </c>
      <c r="I46" s="165">
        <v>11.38</v>
      </c>
      <c r="J46" s="165">
        <v>0.53</v>
      </c>
      <c r="K46" s="165">
        <v>264.57</v>
      </c>
      <c r="L46" s="165">
        <v>33.07</v>
      </c>
      <c r="M46" s="165">
        <v>30.59</v>
      </c>
      <c r="N46" s="165">
        <v>491.8</v>
      </c>
      <c r="O46" s="165">
        <v>0</v>
      </c>
      <c r="P46" s="165">
        <v>0.94</v>
      </c>
      <c r="Q46" s="165">
        <v>5</v>
      </c>
      <c r="R46" s="13"/>
      <c r="S46" s="13"/>
      <c r="T46" s="213"/>
      <c r="U46" s="13"/>
    </row>
    <row r="47" customFormat="1" spans="1:21">
      <c r="A47" s="142" t="s">
        <v>478</v>
      </c>
      <c r="B47" s="165">
        <v>22.93</v>
      </c>
      <c r="C47" s="165">
        <v>73.66</v>
      </c>
      <c r="D47" s="165">
        <v>57.74</v>
      </c>
      <c r="E47" s="165">
        <v>8.88</v>
      </c>
      <c r="F47" s="165">
        <v>6.09</v>
      </c>
      <c r="G47" s="165">
        <v>72.8</v>
      </c>
      <c r="H47" s="165">
        <v>25.25</v>
      </c>
      <c r="I47" s="165">
        <v>11.17</v>
      </c>
      <c r="J47" s="165">
        <v>0.5</v>
      </c>
      <c r="K47" s="165">
        <v>274.89</v>
      </c>
      <c r="L47" s="165">
        <v>33.31</v>
      </c>
      <c r="M47" s="165">
        <v>31.34</v>
      </c>
      <c r="N47" s="165">
        <v>535.5</v>
      </c>
      <c r="O47" s="165">
        <v>0</v>
      </c>
      <c r="P47" s="165">
        <v>0.94</v>
      </c>
      <c r="Q47" s="165">
        <v>5</v>
      </c>
      <c r="R47" s="13"/>
      <c r="S47" s="13"/>
      <c r="T47" s="213"/>
      <c r="U47" s="13"/>
    </row>
    <row r="48" customFormat="1" spans="1:21">
      <c r="A48" s="142" t="s">
        <v>479</v>
      </c>
      <c r="B48" s="165">
        <v>20.35</v>
      </c>
      <c r="C48" s="165">
        <v>71.96</v>
      </c>
      <c r="D48" s="165">
        <v>54.79</v>
      </c>
      <c r="E48" s="165">
        <v>9.14</v>
      </c>
      <c r="F48" s="165">
        <v>7.63</v>
      </c>
      <c r="G48" s="165">
        <v>72.8</v>
      </c>
      <c r="H48" s="165">
        <v>25.25</v>
      </c>
      <c r="I48" s="165">
        <v>10.99</v>
      </c>
      <c r="J48" s="165">
        <v>0.48</v>
      </c>
      <c r="K48" s="165">
        <v>239.9</v>
      </c>
      <c r="L48" s="165">
        <v>33.65</v>
      </c>
      <c r="M48" s="165">
        <v>30.59</v>
      </c>
      <c r="N48" s="165">
        <v>442.3</v>
      </c>
      <c r="O48" s="165">
        <v>0</v>
      </c>
      <c r="P48" s="165">
        <v>0.94</v>
      </c>
      <c r="Q48" s="165">
        <v>5</v>
      </c>
      <c r="R48" s="13"/>
      <c r="S48" s="13"/>
      <c r="T48" s="213"/>
      <c r="U48" s="13"/>
    </row>
    <row r="49" customFormat="1" spans="1:21">
      <c r="A49" s="142" t="s">
        <v>480</v>
      </c>
      <c r="B49" s="165">
        <v>17.37</v>
      </c>
      <c r="C49" s="165">
        <v>70.51</v>
      </c>
      <c r="D49" s="165">
        <v>51.64</v>
      </c>
      <c r="E49" s="165">
        <v>6.4</v>
      </c>
      <c r="F49" s="165">
        <v>11.46</v>
      </c>
      <c r="G49" s="165">
        <v>72.8</v>
      </c>
      <c r="H49" s="165">
        <v>25.25</v>
      </c>
      <c r="I49" s="165">
        <v>10.76</v>
      </c>
      <c r="J49" s="165">
        <v>0.56</v>
      </c>
      <c r="K49" s="165">
        <v>277.82</v>
      </c>
      <c r="L49" s="165">
        <v>33.67</v>
      </c>
      <c r="M49" s="165">
        <v>29.82</v>
      </c>
      <c r="N49" s="165">
        <v>550.6</v>
      </c>
      <c r="O49" s="165">
        <v>0</v>
      </c>
      <c r="P49" s="165">
        <v>0.92</v>
      </c>
      <c r="Q49" s="165">
        <v>5</v>
      </c>
      <c r="R49" s="13"/>
      <c r="S49" s="13"/>
      <c r="T49" s="213"/>
      <c r="U49" s="13"/>
    </row>
    <row r="50" customFormat="1" spans="1:21">
      <c r="A50" s="142" t="s">
        <v>481</v>
      </c>
      <c r="B50" s="165">
        <v>14.92</v>
      </c>
      <c r="C50" s="165">
        <v>66.59</v>
      </c>
      <c r="D50" s="165">
        <v>47.63</v>
      </c>
      <c r="E50" s="165">
        <v>11.29</v>
      </c>
      <c r="F50" s="165">
        <v>16.56</v>
      </c>
      <c r="G50" s="165">
        <v>72.73</v>
      </c>
      <c r="H50" s="165">
        <v>25.29</v>
      </c>
      <c r="I50" s="165">
        <v>10.59</v>
      </c>
      <c r="J50" s="165">
        <v>0.93</v>
      </c>
      <c r="K50" s="165">
        <v>53.33</v>
      </c>
      <c r="L50" s="165">
        <v>33.93</v>
      </c>
      <c r="M50" s="165">
        <v>28.32</v>
      </c>
      <c r="N50" s="165">
        <v>413.7</v>
      </c>
      <c r="O50" s="165">
        <v>0</v>
      </c>
      <c r="P50" s="165">
        <v>0.92</v>
      </c>
      <c r="Q50" s="165">
        <v>5</v>
      </c>
      <c r="R50" s="13"/>
      <c r="S50" s="13"/>
      <c r="T50" s="213"/>
      <c r="U50" s="13"/>
    </row>
    <row r="51" customFormat="1" spans="1:21">
      <c r="A51" s="142" t="s">
        <v>482</v>
      </c>
      <c r="B51" s="165">
        <v>13.83</v>
      </c>
      <c r="C51" s="165">
        <v>61.36</v>
      </c>
      <c r="D51" s="165">
        <v>44.03</v>
      </c>
      <c r="E51" s="165">
        <v>14.87</v>
      </c>
      <c r="F51" s="165">
        <v>16.16</v>
      </c>
      <c r="G51" s="165">
        <v>69.7</v>
      </c>
      <c r="H51" s="165">
        <v>26.67</v>
      </c>
      <c r="I51" s="165">
        <v>10.18</v>
      </c>
      <c r="J51" s="165">
        <v>0.57</v>
      </c>
      <c r="K51" s="165">
        <v>317.73</v>
      </c>
      <c r="L51" s="165">
        <v>34.63</v>
      </c>
      <c r="M51" s="165">
        <v>26.47</v>
      </c>
      <c r="N51" s="165">
        <v>659.5</v>
      </c>
      <c r="O51" s="165">
        <v>0</v>
      </c>
      <c r="P51" s="165">
        <v>0.9</v>
      </c>
      <c r="Q51" s="165">
        <v>5</v>
      </c>
      <c r="R51" s="13"/>
      <c r="S51" s="13"/>
      <c r="T51" s="213"/>
      <c r="U51" s="13"/>
    </row>
    <row r="52" customFormat="1" spans="1:21">
      <c r="A52" s="142" t="s">
        <v>483</v>
      </c>
      <c r="B52" s="165">
        <v>13.48</v>
      </c>
      <c r="C52" s="165">
        <v>63.65</v>
      </c>
      <c r="D52" s="165">
        <v>44.94</v>
      </c>
      <c r="E52" s="165">
        <v>14.62</v>
      </c>
      <c r="F52" s="165">
        <v>12.18</v>
      </c>
      <c r="G52" s="165">
        <v>69.7</v>
      </c>
      <c r="H52" s="165">
        <v>26.67</v>
      </c>
      <c r="I52" s="165">
        <v>9.63</v>
      </c>
      <c r="J52" s="165">
        <v>0.65</v>
      </c>
      <c r="K52" s="165">
        <v>61.69</v>
      </c>
      <c r="L52" s="165">
        <v>35.26</v>
      </c>
      <c r="M52" s="165">
        <v>23.39</v>
      </c>
      <c r="N52" s="165">
        <v>699.9</v>
      </c>
      <c r="O52" s="165">
        <v>0</v>
      </c>
      <c r="P52" s="165">
        <v>0.86</v>
      </c>
      <c r="Q52" s="165">
        <v>5</v>
      </c>
      <c r="R52" s="13"/>
      <c r="S52" s="13"/>
      <c r="T52" s="213"/>
      <c r="U52" s="13"/>
    </row>
    <row r="53" customFormat="1" spans="1:21">
      <c r="A53" s="142" t="s">
        <v>484</v>
      </c>
      <c r="B53" s="165">
        <v>13.61</v>
      </c>
      <c r="C53" s="165">
        <v>65.63</v>
      </c>
      <c r="D53" s="165">
        <v>46.08</v>
      </c>
      <c r="E53" s="165">
        <v>14.76</v>
      </c>
      <c r="F53" s="165">
        <v>10.57</v>
      </c>
      <c r="G53" s="165">
        <v>69.7</v>
      </c>
      <c r="H53" s="165">
        <v>26.67</v>
      </c>
      <c r="I53" s="165">
        <v>9.42</v>
      </c>
      <c r="J53" s="165">
        <v>0.91</v>
      </c>
      <c r="K53" s="165">
        <v>72.13</v>
      </c>
      <c r="L53" s="165">
        <v>35.68</v>
      </c>
      <c r="M53" s="165">
        <v>21.97</v>
      </c>
      <c r="N53" s="165">
        <v>680.1</v>
      </c>
      <c r="O53" s="165">
        <v>0</v>
      </c>
      <c r="P53" s="165">
        <v>0.85</v>
      </c>
      <c r="Q53" s="165">
        <v>5</v>
      </c>
      <c r="R53" s="13"/>
      <c r="S53" s="13"/>
      <c r="T53" s="213"/>
      <c r="U53" s="13"/>
    </row>
    <row r="54" customFormat="1" spans="1:21">
      <c r="A54" s="142" t="s">
        <v>485</v>
      </c>
      <c r="B54" s="165">
        <v>13.24</v>
      </c>
      <c r="C54" s="165">
        <v>67.68</v>
      </c>
      <c r="D54" s="165">
        <v>46.85</v>
      </c>
      <c r="E54" s="165">
        <v>13.41</v>
      </c>
      <c r="F54" s="165">
        <v>11.88</v>
      </c>
      <c r="G54" s="165">
        <v>69.75</v>
      </c>
      <c r="H54" s="165">
        <v>26.62</v>
      </c>
      <c r="I54" s="165">
        <v>9.36</v>
      </c>
      <c r="J54" s="165">
        <v>0.14</v>
      </c>
      <c r="K54" s="165">
        <v>229.21</v>
      </c>
      <c r="L54" s="165">
        <v>35.88</v>
      </c>
      <c r="M54" s="165">
        <v>21.71</v>
      </c>
      <c r="N54" s="165">
        <v>753.4</v>
      </c>
      <c r="O54" s="165">
        <v>0</v>
      </c>
      <c r="P54" s="165">
        <v>0.84</v>
      </c>
      <c r="Q54" s="165">
        <v>5</v>
      </c>
      <c r="R54" s="13"/>
      <c r="S54" s="13"/>
      <c r="T54" s="213"/>
      <c r="U54" s="13"/>
    </row>
    <row r="55" customFormat="1" spans="1:21">
      <c r="A55" s="142" t="s">
        <v>486</v>
      </c>
      <c r="B55" s="165">
        <v>12.45</v>
      </c>
      <c r="C55" s="165">
        <v>68.53</v>
      </c>
      <c r="D55" s="165">
        <v>46.66</v>
      </c>
      <c r="E55" s="165">
        <v>15.05</v>
      </c>
      <c r="F55" s="165">
        <v>13.59</v>
      </c>
      <c r="G55" s="165">
        <v>71.84</v>
      </c>
      <c r="H55" s="165">
        <v>24.85</v>
      </c>
      <c r="I55" s="165">
        <v>9.22</v>
      </c>
      <c r="J55" s="165">
        <v>1.42</v>
      </c>
      <c r="K55" s="165">
        <v>62.41</v>
      </c>
      <c r="L55" s="165">
        <v>35.94</v>
      </c>
      <c r="M55" s="165">
        <v>21.61</v>
      </c>
      <c r="N55" s="165">
        <v>765.4</v>
      </c>
      <c r="O55" s="165">
        <v>0</v>
      </c>
      <c r="P55" s="165">
        <v>0.82</v>
      </c>
      <c r="Q55" s="165">
        <v>5</v>
      </c>
      <c r="R55" s="13"/>
      <c r="S55" s="13"/>
      <c r="T55" s="213"/>
      <c r="U55" s="13"/>
    </row>
    <row r="56" customFormat="1" spans="1:21">
      <c r="A56" s="142" t="s">
        <v>487</v>
      </c>
      <c r="B56" s="165">
        <v>12.09</v>
      </c>
      <c r="C56" s="165">
        <v>67.94</v>
      </c>
      <c r="D56" s="165">
        <v>46.07</v>
      </c>
      <c r="E56" s="165">
        <v>17.96</v>
      </c>
      <c r="F56" s="165">
        <v>17.1</v>
      </c>
      <c r="G56" s="165">
        <v>71.84</v>
      </c>
      <c r="H56" s="165">
        <v>24.85</v>
      </c>
      <c r="I56" s="165">
        <v>8.96</v>
      </c>
      <c r="J56" s="165">
        <v>0.81</v>
      </c>
      <c r="K56" s="165">
        <v>34.72</v>
      </c>
      <c r="L56" s="165">
        <v>36.03</v>
      </c>
      <c r="M56" s="165">
        <v>21.24</v>
      </c>
      <c r="N56" s="165">
        <v>778.9</v>
      </c>
      <c r="O56" s="165">
        <v>0</v>
      </c>
      <c r="P56" s="165">
        <v>0.78</v>
      </c>
      <c r="Q56" s="165">
        <v>5</v>
      </c>
      <c r="R56" s="13"/>
      <c r="S56" s="13"/>
      <c r="T56" s="213"/>
      <c r="U56" s="13"/>
    </row>
    <row r="57" customFormat="1" spans="1:21">
      <c r="A57" s="142" t="s">
        <v>488</v>
      </c>
      <c r="B57" s="165">
        <v>11.73</v>
      </c>
      <c r="C57" s="165">
        <v>70.35</v>
      </c>
      <c r="D57" s="165">
        <v>47.03</v>
      </c>
      <c r="E57" s="165">
        <v>16.7</v>
      </c>
      <c r="F57" s="165">
        <v>12.34</v>
      </c>
      <c r="G57" s="165">
        <v>71.84</v>
      </c>
      <c r="H57" s="165">
        <v>24.85</v>
      </c>
      <c r="I57" s="165">
        <v>8.63</v>
      </c>
      <c r="J57" s="165">
        <v>0.95</v>
      </c>
      <c r="K57" s="165">
        <v>66.28</v>
      </c>
      <c r="L57" s="165">
        <v>36.95</v>
      </c>
      <c r="M57" s="165">
        <v>20.3</v>
      </c>
      <c r="N57" s="165">
        <v>784.2</v>
      </c>
      <c r="O57" s="165">
        <v>0</v>
      </c>
      <c r="P57" s="165">
        <v>0.79</v>
      </c>
      <c r="Q57" s="165">
        <v>5</v>
      </c>
      <c r="R57" s="13"/>
      <c r="S57" s="13"/>
      <c r="T57" s="213"/>
      <c r="U57" s="13"/>
    </row>
    <row r="58" customFormat="1" spans="1:21">
      <c r="A58" s="142" t="s">
        <v>489</v>
      </c>
      <c r="B58" s="165">
        <v>11.01</v>
      </c>
      <c r="C58" s="165">
        <v>67.02</v>
      </c>
      <c r="D58" s="165">
        <v>44.72</v>
      </c>
      <c r="E58" s="165">
        <v>17.95</v>
      </c>
      <c r="F58" s="165">
        <v>20.66</v>
      </c>
      <c r="G58" s="165">
        <v>71.81</v>
      </c>
      <c r="H58" s="165">
        <v>24.82</v>
      </c>
      <c r="I58" s="165">
        <v>8.3</v>
      </c>
      <c r="J58" s="165">
        <v>0.59</v>
      </c>
      <c r="K58" s="165">
        <v>55.02</v>
      </c>
      <c r="L58" s="165">
        <v>36.76</v>
      </c>
      <c r="M58" s="165">
        <v>20.47</v>
      </c>
      <c r="N58" s="165">
        <v>758</v>
      </c>
      <c r="O58" s="165">
        <v>0</v>
      </c>
      <c r="P58" s="165">
        <v>0.76</v>
      </c>
      <c r="Q58" s="165">
        <v>5</v>
      </c>
      <c r="R58" s="13"/>
      <c r="S58" s="13"/>
      <c r="T58" s="213"/>
      <c r="U58" s="13"/>
    </row>
    <row r="59" customFormat="1" spans="1:21">
      <c r="A59" s="142" t="s">
        <v>490</v>
      </c>
      <c r="B59" s="165">
        <v>10.57</v>
      </c>
      <c r="C59" s="165">
        <v>66.3</v>
      </c>
      <c r="D59" s="165">
        <v>43.99</v>
      </c>
      <c r="E59" s="165">
        <v>22.01</v>
      </c>
      <c r="F59" s="165">
        <v>22.66</v>
      </c>
      <c r="G59" s="165">
        <v>70.31</v>
      </c>
      <c r="H59" s="165">
        <v>23.96</v>
      </c>
      <c r="I59" s="165">
        <v>8.2</v>
      </c>
      <c r="J59" s="165">
        <v>0.64</v>
      </c>
      <c r="K59" s="165">
        <v>342.87</v>
      </c>
      <c r="L59" s="165">
        <v>36.58</v>
      </c>
      <c r="M59" s="165">
        <v>20.78</v>
      </c>
      <c r="N59" s="165">
        <v>761.3</v>
      </c>
      <c r="O59" s="165">
        <v>0</v>
      </c>
      <c r="P59" s="165">
        <v>0.74</v>
      </c>
      <c r="Q59" s="165">
        <v>5</v>
      </c>
      <c r="R59" s="13"/>
      <c r="S59" s="13"/>
      <c r="T59" s="213"/>
      <c r="U59" s="13"/>
    </row>
    <row r="60" customFormat="1" spans="1:21">
      <c r="A60" s="142" t="s">
        <v>491</v>
      </c>
      <c r="B60" s="165">
        <v>10.1</v>
      </c>
      <c r="C60" s="165">
        <v>65.65</v>
      </c>
      <c r="D60" s="165">
        <v>43.27</v>
      </c>
      <c r="E60" s="165">
        <v>20.17</v>
      </c>
      <c r="F60" s="165">
        <v>22.63</v>
      </c>
      <c r="G60" s="165">
        <v>70.31</v>
      </c>
      <c r="H60" s="165">
        <v>23.96</v>
      </c>
      <c r="I60" s="165">
        <v>7.83</v>
      </c>
      <c r="J60" s="165">
        <v>0.84</v>
      </c>
      <c r="K60" s="165">
        <v>32.12</v>
      </c>
      <c r="L60" s="165">
        <v>36.97</v>
      </c>
      <c r="M60" s="165">
        <v>20.44</v>
      </c>
      <c r="N60" s="165">
        <v>702.4</v>
      </c>
      <c r="O60" s="165">
        <v>0</v>
      </c>
      <c r="P60" s="165">
        <v>0.73</v>
      </c>
      <c r="Q60" s="165">
        <v>5</v>
      </c>
      <c r="R60" s="13"/>
      <c r="S60" s="13"/>
      <c r="T60" s="213"/>
      <c r="U60" s="13"/>
    </row>
    <row r="61" customFormat="1" spans="1:21">
      <c r="A61" s="142" t="s">
        <v>492</v>
      </c>
      <c r="B61" s="165">
        <v>9.38</v>
      </c>
      <c r="C61" s="165">
        <v>65.23</v>
      </c>
      <c r="D61" s="165">
        <v>42.48</v>
      </c>
      <c r="E61" s="165">
        <v>18.83</v>
      </c>
      <c r="F61" s="165">
        <v>17.52</v>
      </c>
      <c r="G61" s="165">
        <v>70.31</v>
      </c>
      <c r="H61" s="165">
        <v>23.96</v>
      </c>
      <c r="I61" s="165">
        <v>7.56</v>
      </c>
      <c r="J61" s="165">
        <v>0.68</v>
      </c>
      <c r="K61" s="165">
        <v>62.59</v>
      </c>
      <c r="L61" s="165">
        <v>37.45</v>
      </c>
      <c r="M61" s="165">
        <v>19.74</v>
      </c>
      <c r="N61" s="165">
        <v>736.4</v>
      </c>
      <c r="O61" s="165">
        <v>0</v>
      </c>
      <c r="P61" s="165">
        <v>0.73</v>
      </c>
      <c r="Q61" s="165">
        <v>5</v>
      </c>
      <c r="R61" s="13"/>
      <c r="S61" s="13"/>
      <c r="T61" s="213"/>
      <c r="U61" s="13"/>
    </row>
    <row r="62" customFormat="1" spans="1:21">
      <c r="A62" s="142" t="s">
        <v>493</v>
      </c>
      <c r="B62" s="165">
        <v>8.89</v>
      </c>
      <c r="C62" s="165">
        <v>64.11</v>
      </c>
      <c r="D62" s="165">
        <v>41.49</v>
      </c>
      <c r="E62" s="165">
        <v>18.61</v>
      </c>
      <c r="F62" s="165">
        <v>15.38</v>
      </c>
      <c r="G62" s="165">
        <v>70.18</v>
      </c>
      <c r="H62" s="165">
        <v>23.95</v>
      </c>
      <c r="I62" s="165">
        <v>7.55</v>
      </c>
      <c r="J62" s="165">
        <v>0.52</v>
      </c>
      <c r="K62" s="165">
        <v>110.85</v>
      </c>
      <c r="L62" s="165">
        <v>38.25</v>
      </c>
      <c r="M62" s="165">
        <v>19</v>
      </c>
      <c r="N62" s="165">
        <v>653.4</v>
      </c>
      <c r="O62" s="165">
        <v>0</v>
      </c>
      <c r="P62" s="165">
        <v>0.72</v>
      </c>
      <c r="Q62" s="165">
        <v>5</v>
      </c>
      <c r="R62" s="13"/>
      <c r="S62" s="13"/>
      <c r="T62" s="213"/>
      <c r="U62" s="13"/>
    </row>
    <row r="63" customFormat="1" spans="1:21">
      <c r="A63" s="142" t="s">
        <v>494</v>
      </c>
      <c r="B63" s="165">
        <v>8.01</v>
      </c>
      <c r="C63" s="165">
        <v>63.71</v>
      </c>
      <c r="D63" s="165">
        <v>40.59</v>
      </c>
      <c r="E63" s="165">
        <v>17.49</v>
      </c>
      <c r="F63" s="165">
        <v>23.49</v>
      </c>
      <c r="G63" s="165">
        <v>64.75</v>
      </c>
      <c r="H63" s="165">
        <v>23.69</v>
      </c>
      <c r="I63" s="165">
        <v>7.47</v>
      </c>
      <c r="J63" s="165">
        <v>0.33</v>
      </c>
      <c r="K63" s="165">
        <v>224.35</v>
      </c>
      <c r="L63" s="165">
        <v>36.83</v>
      </c>
      <c r="M63" s="165">
        <v>20.94</v>
      </c>
      <c r="N63" s="165">
        <v>236</v>
      </c>
      <c r="O63" s="165">
        <v>0</v>
      </c>
      <c r="P63" s="165">
        <v>0.69</v>
      </c>
      <c r="Q63" s="165">
        <v>5</v>
      </c>
      <c r="R63" s="13"/>
      <c r="S63" s="13"/>
      <c r="T63" s="213"/>
      <c r="U63" s="13"/>
    </row>
    <row r="64" customFormat="1" spans="1:21">
      <c r="A64" s="142" t="s">
        <v>495</v>
      </c>
      <c r="B64" s="165">
        <v>7.34</v>
      </c>
      <c r="C64" s="165">
        <v>58.32</v>
      </c>
      <c r="D64" s="165">
        <v>37.23</v>
      </c>
      <c r="E64" s="165">
        <v>21.34</v>
      </c>
      <c r="F64" s="165">
        <v>27.61</v>
      </c>
      <c r="G64" s="165">
        <v>64.75</v>
      </c>
      <c r="H64" s="165">
        <v>23.69</v>
      </c>
      <c r="I64" s="165">
        <v>7.45</v>
      </c>
      <c r="J64" s="165">
        <v>0.27</v>
      </c>
      <c r="K64" s="165">
        <v>226.43</v>
      </c>
      <c r="L64" s="165">
        <v>36.1</v>
      </c>
      <c r="M64" s="165">
        <v>21.55</v>
      </c>
      <c r="N64" s="165">
        <v>142.3</v>
      </c>
      <c r="O64" s="165">
        <v>0</v>
      </c>
      <c r="P64" s="165">
        <v>0.66</v>
      </c>
      <c r="Q64" s="165">
        <v>5</v>
      </c>
      <c r="R64" s="13"/>
      <c r="S64" s="13"/>
      <c r="T64" s="213"/>
      <c r="U64" s="13"/>
    </row>
    <row r="65" customFormat="1" spans="1:21">
      <c r="A65" s="142" t="s">
        <v>496</v>
      </c>
      <c r="B65" s="165">
        <v>7.27</v>
      </c>
      <c r="C65" s="165">
        <v>60.28</v>
      </c>
      <c r="D65" s="165">
        <v>38.2</v>
      </c>
      <c r="E65" s="165">
        <v>23.3</v>
      </c>
      <c r="F65" s="165">
        <v>30.76</v>
      </c>
      <c r="G65" s="165">
        <v>64.75</v>
      </c>
      <c r="H65" s="165">
        <v>23.69</v>
      </c>
      <c r="I65" s="165">
        <v>7.04</v>
      </c>
      <c r="J65" s="165">
        <v>0.28</v>
      </c>
      <c r="K65" s="165">
        <v>48.66</v>
      </c>
      <c r="L65" s="165">
        <v>35.54</v>
      </c>
      <c r="M65" s="165">
        <v>21.95</v>
      </c>
      <c r="N65" s="165">
        <v>127.7</v>
      </c>
      <c r="O65" s="165">
        <v>0</v>
      </c>
      <c r="P65" s="165">
        <v>0.62</v>
      </c>
      <c r="Q65" s="165">
        <v>5</v>
      </c>
      <c r="R65" s="13"/>
      <c r="S65" s="13"/>
      <c r="T65" s="213"/>
      <c r="U65" s="13"/>
    </row>
    <row r="66" customFormat="1" spans="1:21">
      <c r="A66" s="142" t="s">
        <v>497</v>
      </c>
      <c r="B66" s="165">
        <v>8.2</v>
      </c>
      <c r="C66" s="165">
        <v>60.31</v>
      </c>
      <c r="D66" s="165">
        <v>38.96</v>
      </c>
      <c r="E66" s="165">
        <v>31.8</v>
      </c>
      <c r="F66" s="165">
        <v>36.24</v>
      </c>
      <c r="G66" s="165">
        <v>64.78</v>
      </c>
      <c r="H66" s="165">
        <v>23.65</v>
      </c>
      <c r="I66" s="165">
        <v>6.7</v>
      </c>
      <c r="J66" s="165">
        <v>0.78</v>
      </c>
      <c r="K66" s="165">
        <v>46.98</v>
      </c>
      <c r="L66" s="165">
        <v>35.13</v>
      </c>
      <c r="M66" s="165">
        <v>22.25</v>
      </c>
      <c r="N66" s="165">
        <v>97.3</v>
      </c>
      <c r="O66" s="165">
        <v>0</v>
      </c>
      <c r="P66" s="165">
        <v>0.66</v>
      </c>
      <c r="Q66" s="165">
        <v>5</v>
      </c>
      <c r="R66" s="13"/>
      <c r="S66" s="13"/>
      <c r="T66" s="213"/>
      <c r="U66" s="13"/>
    </row>
    <row r="67" customFormat="1" spans="1:21">
      <c r="A67" s="142" t="s">
        <v>498</v>
      </c>
      <c r="B67" s="165">
        <v>9.24</v>
      </c>
      <c r="C67" s="165">
        <v>64.43</v>
      </c>
      <c r="D67" s="165">
        <v>41.95</v>
      </c>
      <c r="E67" s="165">
        <v>29.74</v>
      </c>
      <c r="F67" s="165">
        <v>27.92</v>
      </c>
      <c r="G67" s="165">
        <v>66.22</v>
      </c>
      <c r="H67" s="165">
        <v>22.59</v>
      </c>
      <c r="I67" s="165">
        <v>6.42</v>
      </c>
      <c r="J67" s="165">
        <v>0.9</v>
      </c>
      <c r="K67" s="165">
        <v>41.27</v>
      </c>
      <c r="L67" s="165">
        <v>34.72</v>
      </c>
      <c r="M67" s="165">
        <v>23.72</v>
      </c>
      <c r="N67" s="165">
        <v>91.5</v>
      </c>
      <c r="O67" s="165">
        <v>0</v>
      </c>
      <c r="P67" s="165">
        <v>0.66</v>
      </c>
      <c r="Q67" s="165">
        <v>5</v>
      </c>
      <c r="R67" s="13"/>
      <c r="S67" s="13"/>
      <c r="T67" s="213"/>
      <c r="U67" s="13"/>
    </row>
    <row r="68" customFormat="1" spans="1:21">
      <c r="A68" s="142" t="s">
        <v>499</v>
      </c>
      <c r="B68" s="165">
        <v>8.71</v>
      </c>
      <c r="C68" s="165">
        <v>61.54</v>
      </c>
      <c r="D68" s="165">
        <v>40.01</v>
      </c>
      <c r="E68" s="165">
        <v>26.85</v>
      </c>
      <c r="F68" s="165">
        <v>30.58</v>
      </c>
      <c r="G68" s="165">
        <v>66.22</v>
      </c>
      <c r="H68" s="165">
        <v>22.59</v>
      </c>
      <c r="I68" s="165">
        <v>6.02</v>
      </c>
      <c r="J68" s="165">
        <v>0.87</v>
      </c>
      <c r="K68" s="165">
        <v>35.3</v>
      </c>
      <c r="L68" s="165">
        <v>34.42</v>
      </c>
      <c r="M68" s="165">
        <v>24.16</v>
      </c>
      <c r="N68" s="165">
        <v>144.3</v>
      </c>
      <c r="O68" s="165">
        <v>0</v>
      </c>
      <c r="P68" s="165">
        <v>0.63</v>
      </c>
      <c r="Q68" s="165">
        <v>5</v>
      </c>
      <c r="R68" s="13"/>
      <c r="S68" s="13"/>
      <c r="T68" s="213"/>
      <c r="U68" s="13"/>
    </row>
    <row r="69" customFormat="1" spans="1:21">
      <c r="A69" s="142" t="s">
        <v>500</v>
      </c>
      <c r="B69" s="165">
        <v>9.49</v>
      </c>
      <c r="C69" s="165">
        <v>64.95</v>
      </c>
      <c r="D69" s="165">
        <v>42.42</v>
      </c>
      <c r="E69" s="165">
        <v>19.74</v>
      </c>
      <c r="F69" s="165">
        <v>17.71</v>
      </c>
      <c r="G69" s="165">
        <v>66.22</v>
      </c>
      <c r="H69" s="165">
        <v>22.59</v>
      </c>
      <c r="I69" s="165">
        <v>5.91</v>
      </c>
      <c r="J69" s="165">
        <v>0.78</v>
      </c>
      <c r="K69" s="165">
        <v>26.46</v>
      </c>
      <c r="L69" s="165">
        <v>34.78</v>
      </c>
      <c r="M69" s="165">
        <v>21.89</v>
      </c>
      <c r="N69" s="165">
        <v>298.9</v>
      </c>
      <c r="O69" s="165">
        <v>0</v>
      </c>
      <c r="P69" s="165">
        <v>0.65</v>
      </c>
      <c r="Q69" s="165">
        <v>5</v>
      </c>
      <c r="R69" s="13"/>
      <c r="S69" s="13"/>
      <c r="T69" s="213"/>
      <c r="U69" s="13"/>
    </row>
    <row r="70" customFormat="1" spans="1:21">
      <c r="A70" s="142" t="s">
        <v>501</v>
      </c>
      <c r="B70" s="165">
        <v>8.35</v>
      </c>
      <c r="C70" s="165">
        <v>62.49</v>
      </c>
      <c r="D70" s="165">
        <v>40.22</v>
      </c>
      <c r="E70" s="165">
        <v>15.26</v>
      </c>
      <c r="F70" s="165">
        <v>16.3</v>
      </c>
      <c r="G70" s="165">
        <v>66.39</v>
      </c>
      <c r="H70" s="165">
        <v>22.64</v>
      </c>
      <c r="I70" s="165">
        <v>6.08</v>
      </c>
      <c r="J70" s="165">
        <v>0.77</v>
      </c>
      <c r="K70" s="165">
        <v>313.47</v>
      </c>
      <c r="L70" s="165">
        <v>35.61</v>
      </c>
      <c r="M70" s="165">
        <v>19.71</v>
      </c>
      <c r="N70" s="165">
        <v>441.2</v>
      </c>
      <c r="O70" s="165">
        <v>0</v>
      </c>
      <c r="P70" s="165">
        <v>0.65</v>
      </c>
      <c r="Q70" s="165">
        <v>5</v>
      </c>
      <c r="R70" s="13"/>
      <c r="S70" s="13"/>
      <c r="T70" s="213"/>
      <c r="U70" s="13"/>
    </row>
    <row r="71" customFormat="1" spans="1:21">
      <c r="A71" s="142" t="s">
        <v>502</v>
      </c>
      <c r="B71" s="165">
        <v>7.92</v>
      </c>
      <c r="C71" s="165">
        <v>62.97</v>
      </c>
      <c r="D71" s="165">
        <v>40.12</v>
      </c>
      <c r="E71" s="165">
        <v>13.74</v>
      </c>
      <c r="F71" s="165">
        <v>13.67</v>
      </c>
      <c r="G71" s="165">
        <v>73.67</v>
      </c>
      <c r="H71" s="165">
        <v>24.43</v>
      </c>
      <c r="I71" s="165">
        <v>6.19</v>
      </c>
      <c r="J71" s="165">
        <v>0.66</v>
      </c>
      <c r="K71" s="165">
        <v>329.08</v>
      </c>
      <c r="L71" s="165">
        <v>36.02</v>
      </c>
      <c r="M71" s="165">
        <v>18.74</v>
      </c>
      <c r="N71" s="165">
        <v>419.7</v>
      </c>
      <c r="O71" s="165">
        <v>0</v>
      </c>
      <c r="P71" s="165">
        <v>0.66</v>
      </c>
      <c r="Q71" s="165">
        <v>5</v>
      </c>
      <c r="R71" s="13"/>
      <c r="S71" s="13"/>
      <c r="T71" s="213"/>
      <c r="U71" s="13"/>
    </row>
    <row r="72" customFormat="1" spans="1:21">
      <c r="A72" s="142" t="s">
        <v>503</v>
      </c>
      <c r="B72" s="165">
        <v>8.14</v>
      </c>
      <c r="C72" s="165">
        <v>64.08</v>
      </c>
      <c r="D72" s="165">
        <v>40.88</v>
      </c>
      <c r="E72" s="165">
        <v>13.49</v>
      </c>
      <c r="F72" s="165">
        <v>18.69</v>
      </c>
      <c r="G72" s="165">
        <v>73.67</v>
      </c>
      <c r="H72" s="165">
        <v>24.43</v>
      </c>
      <c r="I72" s="165">
        <v>6.25</v>
      </c>
      <c r="J72" s="165">
        <v>0.92</v>
      </c>
      <c r="K72" s="165">
        <v>44.63</v>
      </c>
      <c r="L72" s="165">
        <v>36.29</v>
      </c>
      <c r="M72" s="165">
        <v>17.77</v>
      </c>
      <c r="N72" s="165">
        <v>353</v>
      </c>
      <c r="O72" s="165">
        <v>0</v>
      </c>
      <c r="P72" s="165">
        <v>0.65</v>
      </c>
      <c r="Q72" s="165">
        <v>5</v>
      </c>
      <c r="R72" s="13"/>
      <c r="S72" s="13"/>
      <c r="T72" s="213"/>
      <c r="U72" s="13"/>
    </row>
    <row r="73" customFormat="1" spans="1:21">
      <c r="A73" s="142" t="s">
        <v>504</v>
      </c>
      <c r="B73" s="165">
        <v>8.33</v>
      </c>
      <c r="C73" s="165">
        <v>64.93</v>
      </c>
      <c r="D73" s="165">
        <v>41.47</v>
      </c>
      <c r="E73" s="165">
        <v>13.1</v>
      </c>
      <c r="F73" s="165">
        <v>18.77</v>
      </c>
      <c r="G73" s="165">
        <v>73.67</v>
      </c>
      <c r="H73" s="165">
        <v>24.43</v>
      </c>
      <c r="I73" s="165">
        <v>6.07</v>
      </c>
      <c r="J73" s="165">
        <v>0.43</v>
      </c>
      <c r="K73" s="165">
        <v>354.44</v>
      </c>
      <c r="L73" s="165">
        <v>36.46</v>
      </c>
      <c r="M73" s="165">
        <v>18.33</v>
      </c>
      <c r="N73" s="165">
        <v>337.5</v>
      </c>
      <c r="O73" s="165">
        <v>0</v>
      </c>
      <c r="P73" s="165">
        <v>0.64</v>
      </c>
      <c r="Q73" s="165">
        <v>5</v>
      </c>
      <c r="R73" s="13"/>
      <c r="S73" s="13"/>
      <c r="T73" s="213"/>
      <c r="U73" s="13"/>
    </row>
    <row r="74" customFormat="1" spans="1:21">
      <c r="A74" s="142" t="s">
        <v>505</v>
      </c>
      <c r="B74" s="165">
        <v>7.87</v>
      </c>
      <c r="C74" s="165">
        <v>60.06</v>
      </c>
      <c r="D74" s="165">
        <v>38.56</v>
      </c>
      <c r="E74" s="165">
        <v>15.53</v>
      </c>
      <c r="F74" s="165">
        <v>30.27</v>
      </c>
      <c r="G74" s="165">
        <v>73.44</v>
      </c>
      <c r="H74" s="165">
        <v>24.34</v>
      </c>
      <c r="I74" s="165">
        <v>5.87</v>
      </c>
      <c r="J74" s="165">
        <v>0.43</v>
      </c>
      <c r="K74" s="165">
        <v>45.24</v>
      </c>
      <c r="L74" s="165">
        <v>36.45</v>
      </c>
      <c r="M74" s="165">
        <v>18.57</v>
      </c>
      <c r="N74" s="165">
        <v>272.5</v>
      </c>
      <c r="O74" s="165">
        <v>0</v>
      </c>
      <c r="P74" s="165">
        <v>0.62</v>
      </c>
      <c r="Q74" s="165">
        <v>5</v>
      </c>
      <c r="R74" s="13"/>
      <c r="S74" s="13"/>
      <c r="T74" s="213"/>
      <c r="U74" s="13"/>
    </row>
    <row r="75" customFormat="1" spans="1:21">
      <c r="A75" s="142" t="s">
        <v>506</v>
      </c>
      <c r="B75" s="165">
        <v>7.26</v>
      </c>
      <c r="C75" s="165">
        <v>62.55</v>
      </c>
      <c r="D75" s="165">
        <v>39.38</v>
      </c>
      <c r="E75" s="165">
        <v>15.34</v>
      </c>
      <c r="F75" s="165">
        <v>21.03</v>
      </c>
      <c r="G75" s="165">
        <v>63.17</v>
      </c>
      <c r="H75" s="165">
        <v>21.62</v>
      </c>
      <c r="I75" s="165">
        <v>5.74</v>
      </c>
      <c r="J75" s="165">
        <v>0.42</v>
      </c>
      <c r="K75" s="165">
        <v>269.99</v>
      </c>
      <c r="L75" s="165">
        <v>36.02</v>
      </c>
      <c r="M75" s="165">
        <v>19.35</v>
      </c>
      <c r="N75" s="165">
        <v>154.2</v>
      </c>
      <c r="O75" s="165">
        <v>0</v>
      </c>
      <c r="P75" s="165">
        <v>0.64</v>
      </c>
      <c r="Q75" s="165">
        <v>5</v>
      </c>
      <c r="R75" s="13"/>
      <c r="S75" s="13"/>
      <c r="T75" s="213"/>
      <c r="U75" s="13"/>
    </row>
    <row r="76" customFormat="1" spans="1:21">
      <c r="A76" s="142" t="s">
        <v>507</v>
      </c>
      <c r="B76" s="165">
        <v>6.39</v>
      </c>
      <c r="C76" s="165">
        <v>61</v>
      </c>
      <c r="D76" s="165">
        <v>37.87</v>
      </c>
      <c r="E76" s="165">
        <v>14.07</v>
      </c>
      <c r="F76" s="165">
        <v>22.41</v>
      </c>
      <c r="G76" s="165">
        <v>63.17</v>
      </c>
      <c r="H76" s="165">
        <v>21.62</v>
      </c>
      <c r="I76" s="165">
        <v>5.49</v>
      </c>
      <c r="J76" s="165">
        <v>0.04</v>
      </c>
      <c r="K76" s="165">
        <v>231.92</v>
      </c>
      <c r="L76" s="165">
        <v>35.49</v>
      </c>
      <c r="M76" s="165">
        <v>20.22</v>
      </c>
      <c r="N76" s="165">
        <v>110.3</v>
      </c>
      <c r="O76" s="165">
        <v>0</v>
      </c>
      <c r="P76" s="165">
        <v>0.61</v>
      </c>
      <c r="Q76" s="165">
        <v>5</v>
      </c>
      <c r="R76" s="13"/>
      <c r="S76" s="13"/>
      <c r="T76" s="213"/>
      <c r="U76" s="13"/>
    </row>
    <row r="77" customFormat="1" spans="1:21">
      <c r="A77" s="142" t="s">
        <v>508</v>
      </c>
      <c r="B77" s="165">
        <v>6.71</v>
      </c>
      <c r="C77" s="165">
        <v>63.87</v>
      </c>
      <c r="D77" s="165">
        <v>39.62</v>
      </c>
      <c r="E77" s="165">
        <v>16.32</v>
      </c>
      <c r="F77" s="165">
        <v>22.04</v>
      </c>
      <c r="G77" s="165">
        <v>63.17</v>
      </c>
      <c r="H77" s="165">
        <v>21.62</v>
      </c>
      <c r="I77" s="165">
        <v>5.41</v>
      </c>
      <c r="J77" s="165">
        <v>0.09</v>
      </c>
      <c r="K77" s="165">
        <v>173.11</v>
      </c>
      <c r="L77" s="165">
        <v>35.46</v>
      </c>
      <c r="M77" s="165">
        <v>21.07</v>
      </c>
      <c r="N77" s="165">
        <v>89</v>
      </c>
      <c r="O77" s="165">
        <v>0</v>
      </c>
      <c r="P77" s="165">
        <v>0.62</v>
      </c>
      <c r="Q77" s="165">
        <v>5</v>
      </c>
      <c r="R77" s="13"/>
      <c r="S77" s="13"/>
      <c r="T77" s="213"/>
      <c r="U77" s="13"/>
    </row>
    <row r="78" customFormat="1" spans="1:21">
      <c r="A78" s="142" t="s">
        <v>509</v>
      </c>
      <c r="B78" s="165">
        <v>5.56</v>
      </c>
      <c r="C78" s="165">
        <v>57.29</v>
      </c>
      <c r="D78" s="165">
        <v>35.27</v>
      </c>
      <c r="E78" s="165">
        <v>16.16</v>
      </c>
      <c r="F78" s="165">
        <v>28.32</v>
      </c>
      <c r="G78" s="165">
        <v>63.08</v>
      </c>
      <c r="H78" s="165">
        <v>21.59</v>
      </c>
      <c r="I78" s="165">
        <v>5.4</v>
      </c>
      <c r="J78" s="165">
        <v>0.28</v>
      </c>
      <c r="K78" s="165">
        <v>158.56</v>
      </c>
      <c r="L78" s="165">
        <v>35.08</v>
      </c>
      <c r="M78" s="165">
        <v>22.68</v>
      </c>
      <c r="N78" s="165">
        <v>56.5</v>
      </c>
      <c r="O78" s="165">
        <v>0</v>
      </c>
      <c r="P78" s="165">
        <v>0.59</v>
      </c>
      <c r="Q78" s="165">
        <v>5</v>
      </c>
      <c r="R78" s="13"/>
      <c r="S78" s="13"/>
      <c r="T78" s="213"/>
      <c r="U78" s="13"/>
    </row>
    <row r="79" customFormat="1" spans="1:21">
      <c r="A79" s="142" t="s">
        <v>510</v>
      </c>
      <c r="B79" s="165">
        <v>5.18</v>
      </c>
      <c r="C79" s="165">
        <v>55.33</v>
      </c>
      <c r="D79" s="165">
        <v>33.94</v>
      </c>
      <c r="E79" s="165">
        <v>16.18</v>
      </c>
      <c r="F79" s="165">
        <v>30.42</v>
      </c>
      <c r="G79" s="165">
        <v>59.05</v>
      </c>
      <c r="H79" s="165">
        <v>20.65</v>
      </c>
      <c r="I79" s="165">
        <v>5.25</v>
      </c>
      <c r="J79" s="165">
        <v>0.29</v>
      </c>
      <c r="K79" s="165">
        <v>159.67</v>
      </c>
      <c r="L79" s="165">
        <v>34.29</v>
      </c>
      <c r="M79" s="165">
        <v>24.87</v>
      </c>
      <c r="N79" s="165">
        <v>30.5</v>
      </c>
      <c r="O79" s="165">
        <v>0</v>
      </c>
      <c r="P79" s="165">
        <v>0.6</v>
      </c>
      <c r="Q79" s="165">
        <v>5</v>
      </c>
      <c r="R79" s="13"/>
      <c r="S79" s="13"/>
      <c r="T79" s="213"/>
      <c r="U79" s="13"/>
    </row>
    <row r="80" customFormat="1" spans="1:21">
      <c r="A80" s="142" t="s">
        <v>511</v>
      </c>
      <c r="B80" s="165">
        <v>5.2</v>
      </c>
      <c r="C80" s="165">
        <v>53.96</v>
      </c>
      <c r="D80" s="165">
        <v>33.23</v>
      </c>
      <c r="E80" s="165">
        <v>14.33</v>
      </c>
      <c r="F80" s="165">
        <v>20.72</v>
      </c>
      <c r="G80" s="165">
        <v>59.05</v>
      </c>
      <c r="H80" s="165">
        <v>20.65</v>
      </c>
      <c r="I80" s="165">
        <v>5.03</v>
      </c>
      <c r="J80" s="165">
        <v>0.23</v>
      </c>
      <c r="K80" s="165">
        <v>182.41</v>
      </c>
      <c r="L80" s="165">
        <v>33.3</v>
      </c>
      <c r="M80" s="165">
        <v>30.09</v>
      </c>
      <c r="N80" s="165">
        <v>10.2</v>
      </c>
      <c r="O80" s="165">
        <v>0</v>
      </c>
      <c r="P80" s="165">
        <v>0.61</v>
      </c>
      <c r="Q80" s="165">
        <v>5</v>
      </c>
      <c r="R80" s="13"/>
      <c r="S80" s="13"/>
      <c r="T80" s="213"/>
      <c r="U80" s="13"/>
    </row>
    <row r="81" customFormat="1" spans="1:21">
      <c r="A81" s="142" t="s">
        <v>512</v>
      </c>
      <c r="B81" s="165">
        <v>5.4</v>
      </c>
      <c r="C81" s="165">
        <v>56.06</v>
      </c>
      <c r="D81" s="165">
        <v>34.49</v>
      </c>
      <c r="E81" s="165">
        <v>7.73</v>
      </c>
      <c r="F81" s="165">
        <v>18.61</v>
      </c>
      <c r="G81" s="165">
        <v>59.05</v>
      </c>
      <c r="H81" s="165">
        <v>20.65</v>
      </c>
      <c r="I81" s="165">
        <v>4.98</v>
      </c>
      <c r="J81" s="165">
        <v>0.15</v>
      </c>
      <c r="K81" s="165">
        <v>233.54</v>
      </c>
      <c r="L81" s="165">
        <v>31.89</v>
      </c>
      <c r="M81" s="165">
        <v>38.77</v>
      </c>
      <c r="N81" s="165">
        <v>0.1</v>
      </c>
      <c r="O81" s="165">
        <v>0</v>
      </c>
      <c r="P81" s="165">
        <v>0.61</v>
      </c>
      <c r="Q81" s="165">
        <v>5</v>
      </c>
      <c r="R81" s="13"/>
      <c r="S81" s="13"/>
      <c r="T81" s="213"/>
      <c r="U81" s="13"/>
    </row>
    <row r="82" customFormat="1" spans="1:21">
      <c r="A82" s="142" t="s">
        <v>513</v>
      </c>
      <c r="B82" s="165">
        <v>5.38</v>
      </c>
      <c r="C82" s="165">
        <v>56.07</v>
      </c>
      <c r="D82" s="165">
        <v>34.49</v>
      </c>
      <c r="E82" s="165">
        <v>10.94</v>
      </c>
      <c r="F82" s="165">
        <v>15.66</v>
      </c>
      <c r="G82" s="165">
        <v>59.07</v>
      </c>
      <c r="H82" s="165">
        <v>20.72</v>
      </c>
      <c r="I82" s="165">
        <v>5.12</v>
      </c>
      <c r="J82" s="165">
        <v>0.11</v>
      </c>
      <c r="K82" s="165">
        <v>200.83</v>
      </c>
      <c r="L82" s="165">
        <v>31.1</v>
      </c>
      <c r="M82" s="165">
        <v>43.06</v>
      </c>
      <c r="N82" s="165">
        <v>0</v>
      </c>
      <c r="O82" s="165">
        <v>0</v>
      </c>
      <c r="P82" s="165">
        <v>0.6</v>
      </c>
      <c r="Q82" s="165">
        <v>5</v>
      </c>
      <c r="R82" s="13"/>
      <c r="S82" s="13"/>
      <c r="T82" s="213"/>
      <c r="U82" s="13"/>
    </row>
    <row r="83" customFormat="1" spans="1:21">
      <c r="A83" s="142" t="s">
        <v>514</v>
      </c>
      <c r="B83" s="165">
        <v>5.64</v>
      </c>
      <c r="C83" s="165">
        <v>53.76</v>
      </c>
      <c r="D83" s="165">
        <v>33.49</v>
      </c>
      <c r="E83" s="165">
        <v>11.1</v>
      </c>
      <c r="F83" s="165">
        <v>18.68</v>
      </c>
      <c r="G83" s="165">
        <v>59.97</v>
      </c>
      <c r="H83" s="165">
        <v>23.15</v>
      </c>
      <c r="I83" s="165">
        <v>5.04</v>
      </c>
      <c r="J83" s="165">
        <v>0.13</v>
      </c>
      <c r="K83" s="165">
        <v>197.01</v>
      </c>
      <c r="L83" s="165">
        <v>30.39</v>
      </c>
      <c r="M83" s="165">
        <v>46.47</v>
      </c>
      <c r="N83" s="165">
        <v>0</v>
      </c>
      <c r="O83" s="165">
        <v>0</v>
      </c>
      <c r="P83" s="165">
        <v>0.6</v>
      </c>
      <c r="Q83" s="165">
        <v>5</v>
      </c>
      <c r="R83" s="13"/>
      <c r="S83" s="13"/>
      <c r="T83" s="213"/>
      <c r="U83" s="13"/>
    </row>
    <row r="84" customFormat="1" spans="1:21">
      <c r="A84" s="142" t="s">
        <v>515</v>
      </c>
      <c r="B84" s="165">
        <v>5.79</v>
      </c>
      <c r="C84" s="165">
        <v>55.58</v>
      </c>
      <c r="D84" s="165">
        <v>34.56</v>
      </c>
      <c r="E84" s="165">
        <v>10.19</v>
      </c>
      <c r="F84" s="165">
        <v>14.03</v>
      </c>
      <c r="G84" s="165">
        <v>59.97</v>
      </c>
      <c r="H84" s="165">
        <v>23.15</v>
      </c>
      <c r="I84" s="165">
        <v>4.85</v>
      </c>
      <c r="J84" s="165">
        <v>0.14</v>
      </c>
      <c r="K84" s="165">
        <v>178.94</v>
      </c>
      <c r="L84" s="165">
        <v>29.85</v>
      </c>
      <c r="M84" s="165">
        <v>48.32</v>
      </c>
      <c r="N84" s="165">
        <v>0</v>
      </c>
      <c r="O84" s="165">
        <v>0</v>
      </c>
      <c r="P84" s="165">
        <v>0.6</v>
      </c>
      <c r="Q84" s="165">
        <v>5</v>
      </c>
      <c r="R84" s="13"/>
      <c r="S84" s="13"/>
      <c r="T84" s="213"/>
      <c r="U84" s="13"/>
    </row>
    <row r="85" customFormat="1" spans="1:21">
      <c r="A85" s="142" t="s">
        <v>516</v>
      </c>
      <c r="B85" s="165">
        <v>6.21</v>
      </c>
      <c r="C85" s="165">
        <v>59.59</v>
      </c>
      <c r="D85" s="165">
        <v>36.99</v>
      </c>
      <c r="E85" s="165">
        <v>9.82</v>
      </c>
      <c r="F85" s="165">
        <v>9.1</v>
      </c>
      <c r="G85" s="165">
        <v>59.97</v>
      </c>
      <c r="H85" s="165">
        <v>23.15</v>
      </c>
      <c r="I85" s="165">
        <v>4.87</v>
      </c>
      <c r="J85" s="165">
        <v>0.16</v>
      </c>
      <c r="K85" s="165">
        <v>218.88</v>
      </c>
      <c r="L85" s="165">
        <v>29.45</v>
      </c>
      <c r="M85" s="165">
        <v>50.14</v>
      </c>
      <c r="N85" s="165">
        <v>0</v>
      </c>
      <c r="O85" s="165">
        <v>0</v>
      </c>
      <c r="P85" s="165">
        <v>0.61</v>
      </c>
      <c r="Q85" s="165">
        <v>5</v>
      </c>
      <c r="R85" s="13"/>
      <c r="S85" s="13"/>
      <c r="T85" s="213"/>
      <c r="U85" s="13"/>
    </row>
    <row r="86" customFormat="1" spans="1:21">
      <c r="A86" s="142" t="s">
        <v>517</v>
      </c>
      <c r="B86" s="165">
        <v>6.13</v>
      </c>
      <c r="C86" s="165">
        <v>55.5</v>
      </c>
      <c r="D86" s="165">
        <v>34.79</v>
      </c>
      <c r="E86" s="165">
        <v>9.61</v>
      </c>
      <c r="F86" s="165">
        <v>12.89</v>
      </c>
      <c r="G86" s="165">
        <v>59.87</v>
      </c>
      <c r="H86" s="165">
        <v>23.1</v>
      </c>
      <c r="I86" s="165">
        <v>4.97</v>
      </c>
      <c r="J86" s="165">
        <v>0.13</v>
      </c>
      <c r="K86" s="165">
        <v>165.2</v>
      </c>
      <c r="L86" s="165">
        <v>29.09</v>
      </c>
      <c r="M86" s="165">
        <v>52.45</v>
      </c>
      <c r="N86" s="165">
        <v>0</v>
      </c>
      <c r="O86" s="165">
        <v>0</v>
      </c>
      <c r="P86" s="165">
        <v>0.6</v>
      </c>
      <c r="Q86" s="165">
        <v>5</v>
      </c>
      <c r="R86" s="13"/>
      <c r="S86" s="13"/>
      <c r="T86" s="213"/>
      <c r="U86" s="13"/>
    </row>
    <row r="87" customFormat="1" spans="1:21">
      <c r="A87" s="142" t="s">
        <v>518</v>
      </c>
      <c r="B87" s="165">
        <v>6.99</v>
      </c>
      <c r="C87" s="165">
        <v>59.88</v>
      </c>
      <c r="D87" s="165">
        <v>37.76</v>
      </c>
      <c r="E87" s="165">
        <v>9.54</v>
      </c>
      <c r="F87" s="165">
        <v>8.38</v>
      </c>
      <c r="G87" s="165">
        <v>55.66</v>
      </c>
      <c r="H87" s="165">
        <v>21.39</v>
      </c>
      <c r="I87" s="165">
        <v>4.97</v>
      </c>
      <c r="J87" s="165">
        <v>0.14</v>
      </c>
      <c r="K87" s="165">
        <v>172.39</v>
      </c>
      <c r="L87" s="165">
        <v>28.72</v>
      </c>
      <c r="M87" s="165">
        <v>54.08</v>
      </c>
      <c r="N87" s="165">
        <v>0</v>
      </c>
      <c r="O87" s="165">
        <v>0</v>
      </c>
      <c r="P87" s="165">
        <v>0.6</v>
      </c>
      <c r="Q87" s="165">
        <v>5</v>
      </c>
      <c r="R87" s="13"/>
      <c r="S87" s="13"/>
      <c r="T87" s="213"/>
      <c r="U87" s="13"/>
    </row>
    <row r="88" customFormat="1" spans="1:21">
      <c r="A88" s="142" t="s">
        <v>519</v>
      </c>
      <c r="B88" s="165">
        <v>7.39</v>
      </c>
      <c r="C88" s="165">
        <v>60.68</v>
      </c>
      <c r="D88" s="165">
        <v>38.5</v>
      </c>
      <c r="E88" s="165">
        <v>9.13</v>
      </c>
      <c r="F88" s="165">
        <v>7.18</v>
      </c>
      <c r="G88" s="165">
        <v>55.66</v>
      </c>
      <c r="H88" s="165">
        <v>21.39</v>
      </c>
      <c r="I88" s="165">
        <v>4.86</v>
      </c>
      <c r="J88" s="165">
        <v>0.34</v>
      </c>
      <c r="K88" s="165">
        <v>84.96</v>
      </c>
      <c r="L88" s="165">
        <v>28.71</v>
      </c>
      <c r="M88" s="165">
        <v>53.85</v>
      </c>
      <c r="N88" s="165">
        <v>0</v>
      </c>
      <c r="O88" s="165">
        <v>0</v>
      </c>
      <c r="P88" s="165">
        <v>0.61</v>
      </c>
      <c r="Q88" s="165">
        <v>5</v>
      </c>
      <c r="R88" s="13"/>
      <c r="S88" s="13"/>
      <c r="T88" s="213"/>
      <c r="U88" s="13"/>
    </row>
    <row r="89" customFormat="1" spans="1:21">
      <c r="A89" s="142" t="s">
        <v>520</v>
      </c>
      <c r="B89" s="165">
        <v>8.47</v>
      </c>
      <c r="C89" s="165">
        <v>61.82</v>
      </c>
      <c r="D89" s="165">
        <v>39.97</v>
      </c>
      <c r="E89" s="165">
        <v>9.02</v>
      </c>
      <c r="F89" s="165">
        <v>9.68</v>
      </c>
      <c r="G89" s="165">
        <v>55.66</v>
      </c>
      <c r="H89" s="165">
        <v>21.39</v>
      </c>
      <c r="I89" s="165">
        <v>4.88</v>
      </c>
      <c r="J89" s="165">
        <v>0.16</v>
      </c>
      <c r="K89" s="165">
        <v>144.49</v>
      </c>
      <c r="L89" s="165">
        <v>28.63</v>
      </c>
      <c r="M89" s="165">
        <v>53.08</v>
      </c>
      <c r="N89" s="165">
        <v>0</v>
      </c>
      <c r="O89" s="165">
        <v>0</v>
      </c>
      <c r="P89" s="165">
        <v>0.69</v>
      </c>
      <c r="Q89" s="165">
        <v>5</v>
      </c>
      <c r="R89" s="13"/>
      <c r="S89" s="13"/>
      <c r="T89" s="213"/>
      <c r="U89" s="13"/>
    </row>
    <row r="90" customFormat="1" spans="1:21">
      <c r="A90" s="142" t="s">
        <v>521</v>
      </c>
      <c r="B90" s="165">
        <v>9.53</v>
      </c>
      <c r="C90" s="165">
        <v>57.77</v>
      </c>
      <c r="D90" s="165">
        <v>38.7</v>
      </c>
      <c r="E90" s="165">
        <v>9.06</v>
      </c>
      <c r="F90" s="165">
        <v>8.64</v>
      </c>
      <c r="G90" s="165">
        <v>55.75</v>
      </c>
      <c r="H90" s="165">
        <v>21.41</v>
      </c>
      <c r="I90" s="165">
        <v>5.02</v>
      </c>
      <c r="J90" s="165">
        <v>0.21</v>
      </c>
      <c r="K90" s="165">
        <v>156.23</v>
      </c>
      <c r="L90" s="165">
        <v>28.3</v>
      </c>
      <c r="M90" s="165">
        <v>55.71</v>
      </c>
      <c r="N90" s="165">
        <v>0</v>
      </c>
      <c r="O90" s="165">
        <v>0</v>
      </c>
      <c r="P90" s="165">
        <v>0.64</v>
      </c>
      <c r="Q90" s="165">
        <v>5</v>
      </c>
      <c r="R90" s="13"/>
      <c r="S90" s="13"/>
      <c r="T90" s="213"/>
      <c r="U90" s="13"/>
    </row>
    <row r="91" customFormat="1" spans="1:21">
      <c r="A91" s="142" t="s">
        <v>522</v>
      </c>
      <c r="B91" s="165">
        <v>9.43</v>
      </c>
      <c r="C91" s="165">
        <v>59.23</v>
      </c>
      <c r="D91" s="165">
        <v>39.38</v>
      </c>
      <c r="E91" s="165">
        <v>8.95</v>
      </c>
      <c r="F91" s="165">
        <v>9.93</v>
      </c>
      <c r="G91" s="165">
        <v>59.9</v>
      </c>
      <c r="H91" s="165">
        <v>21.85</v>
      </c>
      <c r="I91" s="165">
        <v>5.15</v>
      </c>
      <c r="J91" s="165">
        <v>0.14</v>
      </c>
      <c r="K91" s="165">
        <v>150.15</v>
      </c>
      <c r="L91" s="165">
        <v>27.58</v>
      </c>
      <c r="M91" s="165">
        <v>58</v>
      </c>
      <c r="N91" s="165">
        <v>0</v>
      </c>
      <c r="O91" s="165">
        <v>0</v>
      </c>
      <c r="P91" s="165">
        <v>0.65</v>
      </c>
      <c r="Q91" s="165">
        <v>5</v>
      </c>
      <c r="R91" s="13"/>
      <c r="S91" s="13"/>
      <c r="T91" s="213"/>
      <c r="U91" s="13"/>
    </row>
    <row r="92" customFormat="1" spans="1:21">
      <c r="A92" s="142" t="s">
        <v>523</v>
      </c>
      <c r="B92" s="165">
        <v>11.35</v>
      </c>
      <c r="C92" s="165">
        <v>61.53</v>
      </c>
      <c r="D92" s="165">
        <v>42.12</v>
      </c>
      <c r="E92" s="165">
        <v>9.14</v>
      </c>
      <c r="F92" s="165">
        <v>7.72</v>
      </c>
      <c r="G92" s="165">
        <v>59.9</v>
      </c>
      <c r="H92" s="165">
        <v>21.85</v>
      </c>
      <c r="I92" s="165">
        <v>5.21</v>
      </c>
      <c r="J92" s="165">
        <v>0.11</v>
      </c>
      <c r="K92" s="165">
        <v>226.5</v>
      </c>
      <c r="L92" s="165">
        <v>27.33</v>
      </c>
      <c r="M92" s="165">
        <v>58.7</v>
      </c>
      <c r="N92" s="165">
        <v>0</v>
      </c>
      <c r="O92" s="165">
        <v>0</v>
      </c>
      <c r="P92" s="165">
        <v>0.65</v>
      </c>
      <c r="Q92" s="165">
        <v>5</v>
      </c>
      <c r="R92" s="13"/>
      <c r="S92" s="13"/>
      <c r="T92" s="213"/>
      <c r="U92" s="13"/>
    </row>
    <row r="93" customFormat="1" spans="1:21">
      <c r="A93" s="142" t="s">
        <v>524</v>
      </c>
      <c r="B93" s="165">
        <v>16.56</v>
      </c>
      <c r="C93" s="165">
        <v>66.38</v>
      </c>
      <c r="D93" s="165">
        <v>48.83</v>
      </c>
      <c r="E93" s="165">
        <v>9.44</v>
      </c>
      <c r="F93" s="165">
        <v>5.21</v>
      </c>
      <c r="G93" s="165">
        <v>59.9</v>
      </c>
      <c r="H93" s="165">
        <v>21.85</v>
      </c>
      <c r="I93" s="165">
        <v>5.27</v>
      </c>
      <c r="J93" s="165">
        <v>0.87</v>
      </c>
      <c r="K93" s="165">
        <v>55.52</v>
      </c>
      <c r="L93" s="165">
        <v>27.73</v>
      </c>
      <c r="M93" s="165">
        <v>54.79</v>
      </c>
      <c r="N93" s="165">
        <v>0</v>
      </c>
      <c r="O93" s="165">
        <v>0</v>
      </c>
      <c r="P93" s="165">
        <v>0.69</v>
      </c>
      <c r="Q93" s="165">
        <v>5</v>
      </c>
      <c r="R93" s="13"/>
      <c r="S93" s="13"/>
      <c r="T93" s="213"/>
      <c r="U93" s="13"/>
    </row>
    <row r="94" customFormat="1" spans="1:21">
      <c r="A94" s="142" t="s">
        <v>525</v>
      </c>
      <c r="B94" s="165">
        <v>14.72</v>
      </c>
      <c r="C94" s="165">
        <v>64.26</v>
      </c>
      <c r="D94" s="165">
        <v>46.25</v>
      </c>
      <c r="E94" s="165">
        <v>9.67</v>
      </c>
      <c r="F94" s="165">
        <v>5.73</v>
      </c>
      <c r="G94" s="165">
        <v>60.01</v>
      </c>
      <c r="H94" s="165">
        <v>21.9</v>
      </c>
      <c r="I94" s="165">
        <v>5.41</v>
      </c>
      <c r="J94" s="165">
        <v>0.5</v>
      </c>
      <c r="K94" s="165">
        <v>77.02</v>
      </c>
      <c r="L94" s="165">
        <v>28.17</v>
      </c>
      <c r="M94" s="165">
        <v>51.78</v>
      </c>
      <c r="N94" s="165">
        <v>0</v>
      </c>
      <c r="O94" s="165">
        <v>0</v>
      </c>
      <c r="P94" s="165">
        <v>0.71</v>
      </c>
      <c r="Q94" s="165">
        <v>5</v>
      </c>
      <c r="R94" s="13"/>
      <c r="S94" s="13"/>
      <c r="T94" s="213"/>
      <c r="U94" s="13"/>
    </row>
    <row r="95" customFormat="1" spans="1:21">
      <c r="A95" s="142" t="s">
        <v>526</v>
      </c>
      <c r="B95" s="165">
        <v>15.1</v>
      </c>
      <c r="C95" s="165">
        <v>64.99</v>
      </c>
      <c r="D95" s="165">
        <v>46.94</v>
      </c>
      <c r="E95" s="165">
        <v>10.13</v>
      </c>
      <c r="F95" s="165">
        <v>6.95</v>
      </c>
      <c r="G95" s="165">
        <v>64.93</v>
      </c>
      <c r="H95" s="165">
        <v>23.54</v>
      </c>
      <c r="I95" s="165">
        <v>5.64</v>
      </c>
      <c r="J95" s="165">
        <v>0.21</v>
      </c>
      <c r="K95" s="165">
        <v>93.44</v>
      </c>
      <c r="L95" s="165">
        <v>27.99</v>
      </c>
      <c r="M95" s="165">
        <v>50.38</v>
      </c>
      <c r="N95" s="165">
        <v>0</v>
      </c>
      <c r="O95" s="165">
        <v>0</v>
      </c>
      <c r="P95" s="165">
        <v>0.72</v>
      </c>
      <c r="Q95" s="165">
        <v>5</v>
      </c>
      <c r="R95" s="13"/>
      <c r="S95" s="13"/>
      <c r="T95" s="213"/>
      <c r="U95" s="13"/>
    </row>
    <row r="96" customFormat="1" spans="1:26">
      <c r="A96" s="142" t="s">
        <v>527</v>
      </c>
      <c r="B96" s="165">
        <v>16.21</v>
      </c>
      <c r="C96" s="165">
        <v>66</v>
      </c>
      <c r="D96" s="165">
        <v>48.36</v>
      </c>
      <c r="E96" s="165">
        <v>10.23</v>
      </c>
      <c r="F96" s="165">
        <v>5.59</v>
      </c>
      <c r="G96" s="165">
        <v>64.93</v>
      </c>
      <c r="H96" s="165">
        <v>23.54</v>
      </c>
      <c r="I96" s="165">
        <v>5.73</v>
      </c>
      <c r="J96" s="165">
        <v>0.31</v>
      </c>
      <c r="K96" s="165">
        <v>82.97</v>
      </c>
      <c r="L96" s="165">
        <v>27.66</v>
      </c>
      <c r="M96" s="165">
        <v>51.09</v>
      </c>
      <c r="N96" s="165">
        <v>0</v>
      </c>
      <c r="O96" s="165">
        <v>0</v>
      </c>
      <c r="P96" s="165">
        <v>0.72</v>
      </c>
      <c r="Q96" s="165">
        <v>5</v>
      </c>
      <c r="R96" s="13"/>
      <c r="S96" s="13"/>
      <c r="T96" s="213"/>
      <c r="U96" s="13"/>
      <c r="Z96" s="222"/>
    </row>
    <row r="97" customFormat="1" spans="1:21">
      <c r="A97" s="142" t="s">
        <v>528</v>
      </c>
      <c r="B97" s="165">
        <v>16.49</v>
      </c>
      <c r="C97" s="165">
        <v>66.09</v>
      </c>
      <c r="D97" s="165">
        <v>48.63</v>
      </c>
      <c r="E97" s="165">
        <v>9.93</v>
      </c>
      <c r="F97" s="165">
        <v>6.57</v>
      </c>
      <c r="G97" s="165">
        <v>64.93</v>
      </c>
      <c r="H97" s="165">
        <v>23.54</v>
      </c>
      <c r="I97" s="165">
        <v>5.73</v>
      </c>
      <c r="J97" s="165">
        <v>0.19</v>
      </c>
      <c r="K97" s="165">
        <v>177.95</v>
      </c>
      <c r="L97" s="165">
        <v>27.3</v>
      </c>
      <c r="M97" s="165">
        <v>51.68</v>
      </c>
      <c r="N97" s="165">
        <v>0</v>
      </c>
      <c r="O97" s="165">
        <v>0</v>
      </c>
      <c r="P97" s="165">
        <v>0.71</v>
      </c>
      <c r="Q97" s="165">
        <v>5</v>
      </c>
      <c r="R97" s="13"/>
      <c r="S97" s="13"/>
      <c r="T97" s="213"/>
      <c r="U97" s="13"/>
    </row>
    <row r="98" customFormat="1" spans="1:21">
      <c r="A98" s="142" t="s">
        <v>529</v>
      </c>
      <c r="B98" s="165">
        <v>17.11</v>
      </c>
      <c r="C98" s="165">
        <v>66.75</v>
      </c>
      <c r="D98" s="165">
        <v>49.47</v>
      </c>
      <c r="E98" s="165">
        <v>9.52</v>
      </c>
      <c r="F98" s="165">
        <v>6.05</v>
      </c>
      <c r="G98" s="165">
        <v>65.17</v>
      </c>
      <c r="H98" s="165">
        <v>23.54</v>
      </c>
      <c r="I98" s="165">
        <v>5.76</v>
      </c>
      <c r="J98" s="165">
        <v>0.22</v>
      </c>
      <c r="K98" s="165">
        <v>228.58</v>
      </c>
      <c r="L98" s="165">
        <v>26.67</v>
      </c>
      <c r="M98" s="165">
        <v>54.43</v>
      </c>
      <c r="N98" s="165">
        <v>0</v>
      </c>
      <c r="O98" s="165">
        <v>0</v>
      </c>
      <c r="P98" s="165">
        <v>0.7</v>
      </c>
      <c r="Q98" s="165">
        <v>5</v>
      </c>
      <c r="R98" s="13"/>
      <c r="S98" s="13"/>
      <c r="T98" s="213"/>
      <c r="U98" s="13"/>
    </row>
    <row r="99" customFormat="1" spans="1:21">
      <c r="A99" s="142" t="s">
        <v>530</v>
      </c>
      <c r="B99" s="165">
        <v>16.86</v>
      </c>
      <c r="C99" s="165">
        <v>64.58</v>
      </c>
      <c r="D99" s="165">
        <v>48.14</v>
      </c>
      <c r="E99" s="165">
        <v>9.43</v>
      </c>
      <c r="F99" s="165">
        <v>5.94</v>
      </c>
      <c r="G99" s="165">
        <v>75.53</v>
      </c>
      <c r="H99" s="165">
        <v>23.41</v>
      </c>
      <c r="I99" s="165">
        <v>5.79</v>
      </c>
      <c r="J99" s="165">
        <v>0.22</v>
      </c>
      <c r="K99" s="165">
        <v>183.21</v>
      </c>
      <c r="L99" s="165">
        <v>26.22</v>
      </c>
      <c r="M99" s="165">
        <v>58.91</v>
      </c>
      <c r="N99" s="165">
        <v>0</v>
      </c>
      <c r="O99" s="165">
        <v>0</v>
      </c>
      <c r="P99" s="165">
        <v>0.71</v>
      </c>
      <c r="Q99" s="165">
        <v>5</v>
      </c>
      <c r="R99" s="13"/>
      <c r="S99" s="13"/>
      <c r="T99" s="213"/>
      <c r="U99" s="13"/>
    </row>
    <row r="100" customFormat="1" spans="1:33">
      <c r="A100" s="142" t="s">
        <v>531</v>
      </c>
      <c r="B100" s="165">
        <v>18.07</v>
      </c>
      <c r="C100" s="165">
        <v>67.2</v>
      </c>
      <c r="D100" s="165">
        <v>50.47</v>
      </c>
      <c r="E100" s="165">
        <v>9.26</v>
      </c>
      <c r="F100" s="165">
        <v>4.62</v>
      </c>
      <c r="G100" s="165">
        <v>75.53</v>
      </c>
      <c r="H100" s="165">
        <v>23.41</v>
      </c>
      <c r="I100" s="165">
        <v>5.82</v>
      </c>
      <c r="J100" s="165">
        <v>0.14</v>
      </c>
      <c r="K100" s="165">
        <v>123.14</v>
      </c>
      <c r="L100" s="165">
        <v>25.83</v>
      </c>
      <c r="M100" s="165">
        <v>59.73</v>
      </c>
      <c r="N100" s="165">
        <v>0</v>
      </c>
      <c r="O100" s="165">
        <v>0</v>
      </c>
      <c r="P100" s="165">
        <v>0.71</v>
      </c>
      <c r="Q100" s="165">
        <v>5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532</v>
      </c>
      <c r="B101" s="165">
        <v>22.24</v>
      </c>
      <c r="C101" s="165">
        <v>67.48</v>
      </c>
      <c r="D101" s="165">
        <v>53.97</v>
      </c>
      <c r="E101" s="165">
        <v>9.23</v>
      </c>
      <c r="F101" s="165">
        <v>4.02</v>
      </c>
      <c r="G101" s="165">
        <v>75.53</v>
      </c>
      <c r="H101" s="165">
        <v>23.41</v>
      </c>
      <c r="I101" s="165">
        <v>5.86</v>
      </c>
      <c r="J101" s="165">
        <v>0.19</v>
      </c>
      <c r="K101" s="165">
        <v>70.44</v>
      </c>
      <c r="L101" s="165">
        <v>26.01</v>
      </c>
      <c r="M101" s="165">
        <v>58.21</v>
      </c>
      <c r="N101" s="165">
        <v>0</v>
      </c>
      <c r="O101" s="165">
        <v>0</v>
      </c>
      <c r="P101" s="165">
        <v>0.72</v>
      </c>
      <c r="Q101" s="165">
        <v>5</v>
      </c>
      <c r="R101" s="13"/>
      <c r="S101" s="13"/>
      <c r="T101" s="213"/>
      <c r="U101" s="13"/>
    </row>
    <row r="102" customFormat="1" spans="1:21">
      <c r="A102" s="142" t="s">
        <v>533</v>
      </c>
      <c r="B102" s="165">
        <v>24.42</v>
      </c>
      <c r="C102" s="165">
        <v>67.72</v>
      </c>
      <c r="D102" s="165">
        <v>55.84</v>
      </c>
      <c r="E102" s="165">
        <v>9.24</v>
      </c>
      <c r="F102" s="165">
        <v>3.83</v>
      </c>
      <c r="G102" s="165">
        <v>75.65</v>
      </c>
      <c r="H102" s="165">
        <v>23.49</v>
      </c>
      <c r="I102" s="165">
        <v>5.92</v>
      </c>
      <c r="J102" s="165">
        <v>0.25</v>
      </c>
      <c r="K102" s="165">
        <v>157.25</v>
      </c>
      <c r="L102" s="165">
        <v>25.79</v>
      </c>
      <c r="M102" s="165">
        <v>60.96</v>
      </c>
      <c r="N102" s="165">
        <v>0</v>
      </c>
      <c r="O102" s="165">
        <v>0</v>
      </c>
      <c r="P102" s="165">
        <v>0.72</v>
      </c>
      <c r="Q102" s="165">
        <v>5</v>
      </c>
      <c r="R102" s="13"/>
      <c r="S102" s="13"/>
      <c r="T102" s="213"/>
      <c r="U102" s="13"/>
    </row>
    <row r="103" customFormat="1" spans="1:21">
      <c r="A103" s="142" t="s">
        <v>534</v>
      </c>
      <c r="B103" s="165">
        <v>23.08</v>
      </c>
      <c r="C103" s="165">
        <v>67.67</v>
      </c>
      <c r="D103" s="165">
        <v>54.74</v>
      </c>
      <c r="E103" s="165">
        <v>9.14</v>
      </c>
      <c r="F103" s="165">
        <v>3.94</v>
      </c>
      <c r="G103" s="165">
        <v>80.69</v>
      </c>
      <c r="H103" s="165">
        <v>26.12</v>
      </c>
      <c r="I103" s="165">
        <v>5.97</v>
      </c>
      <c r="J103" s="165">
        <v>0.22</v>
      </c>
      <c r="K103" s="165">
        <v>168.79</v>
      </c>
      <c r="L103" s="165">
        <v>25.22</v>
      </c>
      <c r="M103" s="165">
        <v>63.6</v>
      </c>
      <c r="N103" s="165">
        <v>0</v>
      </c>
      <c r="O103" s="165">
        <v>0</v>
      </c>
      <c r="P103" s="165">
        <v>0.73</v>
      </c>
      <c r="Q103" s="165">
        <v>5</v>
      </c>
      <c r="R103" s="13"/>
      <c r="S103" s="13"/>
      <c r="T103" s="213"/>
      <c r="U103" s="13"/>
    </row>
    <row r="104" customFormat="1" spans="1:21">
      <c r="A104" s="142" t="s">
        <v>535</v>
      </c>
      <c r="B104" s="165">
        <v>23.48</v>
      </c>
      <c r="C104" s="165">
        <v>67.58</v>
      </c>
      <c r="D104" s="165">
        <v>55.02</v>
      </c>
      <c r="E104" s="165">
        <v>8.78</v>
      </c>
      <c r="F104" s="165">
        <v>3.75</v>
      </c>
      <c r="G104" s="165">
        <v>80.69</v>
      </c>
      <c r="H104" s="165">
        <v>26.12</v>
      </c>
      <c r="I104" s="165">
        <v>5.99</v>
      </c>
      <c r="J104" s="165">
        <v>0.19</v>
      </c>
      <c r="K104" s="165">
        <v>119.08</v>
      </c>
      <c r="L104" s="165">
        <v>25.01</v>
      </c>
      <c r="M104" s="165">
        <v>62.7</v>
      </c>
      <c r="N104" s="165">
        <v>0</v>
      </c>
      <c r="O104" s="165">
        <v>0</v>
      </c>
      <c r="P104" s="165">
        <v>0.73</v>
      </c>
      <c r="Q104" s="165">
        <v>5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5.18</v>
      </c>
      <c r="C106" s="215">
        <f>MIN(C9:C104)</f>
        <v>53.76</v>
      </c>
      <c r="D106" s="215">
        <f t="shared" ref="D106:Q106" si="0">MIN(D9:D104)</f>
        <v>33.23</v>
      </c>
      <c r="E106" s="215">
        <f t="shared" si="0"/>
        <v>5.46</v>
      </c>
      <c r="F106" s="215">
        <f t="shared" si="0"/>
        <v>3.56</v>
      </c>
      <c r="G106" s="215">
        <f t="shared" si="0"/>
        <v>34.56</v>
      </c>
      <c r="H106" s="215">
        <f t="shared" si="0"/>
        <v>13.81</v>
      </c>
      <c r="I106" s="215">
        <f t="shared" si="0"/>
        <v>4.63</v>
      </c>
      <c r="J106" s="215">
        <f t="shared" si="0"/>
        <v>0.02</v>
      </c>
      <c r="K106" s="215">
        <f t="shared" si="0"/>
        <v>26.46</v>
      </c>
      <c r="L106" s="215">
        <f t="shared" si="0"/>
        <v>22.39</v>
      </c>
      <c r="M106" s="215">
        <f t="shared" si="0"/>
        <v>17.77</v>
      </c>
      <c r="N106" s="215">
        <f t="shared" si="0"/>
        <v>0</v>
      </c>
      <c r="O106" s="215">
        <f t="shared" si="0"/>
        <v>0</v>
      </c>
      <c r="P106" s="215">
        <f t="shared" si="0"/>
        <v>0.57</v>
      </c>
      <c r="Q106" s="215">
        <f t="shared" si="0"/>
        <v>4.95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31.35</v>
      </c>
      <c r="C107" s="216">
        <f t="shared" ref="C107:Q107" si="1">MAX(C9:C104)</f>
        <v>73.66</v>
      </c>
      <c r="D107" s="216">
        <f t="shared" si="1"/>
        <v>63.36</v>
      </c>
      <c r="E107" s="216">
        <f t="shared" si="1"/>
        <v>31.8</v>
      </c>
      <c r="F107" s="216">
        <f t="shared" si="1"/>
        <v>36.24</v>
      </c>
      <c r="G107" s="216">
        <f t="shared" si="1"/>
        <v>84.88</v>
      </c>
      <c r="H107" s="216">
        <f t="shared" si="1"/>
        <v>27.13</v>
      </c>
      <c r="I107" s="216">
        <f t="shared" si="1"/>
        <v>11.59</v>
      </c>
      <c r="J107" s="216">
        <f t="shared" si="1"/>
        <v>1.42</v>
      </c>
      <c r="K107" s="216">
        <f t="shared" si="1"/>
        <v>354.44</v>
      </c>
      <c r="L107" s="216">
        <f t="shared" si="1"/>
        <v>38.25</v>
      </c>
      <c r="M107" s="216">
        <f t="shared" si="1"/>
        <v>76.2</v>
      </c>
      <c r="N107" s="216">
        <f t="shared" si="1"/>
        <v>784.2</v>
      </c>
      <c r="O107" s="216">
        <f t="shared" si="1"/>
        <v>0</v>
      </c>
      <c r="P107" s="216">
        <f t="shared" si="1"/>
        <v>0.95</v>
      </c>
      <c r="Q107" s="216">
        <f t="shared" si="1"/>
        <v>5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16.7713541666667</v>
      </c>
      <c r="C108" s="215">
        <f t="shared" ref="C108:Q108" si="2">AVERAGE(C9:C104)</f>
        <v>65.1648958333333</v>
      </c>
      <c r="D108" s="215">
        <f t="shared" si="2"/>
        <v>48.3701041666666</v>
      </c>
      <c r="E108" s="215">
        <f t="shared" si="2"/>
        <v>11.6130208333333</v>
      </c>
      <c r="F108" s="215">
        <f t="shared" si="2"/>
        <v>10.7035416666667</v>
      </c>
      <c r="G108" s="215">
        <f t="shared" si="2"/>
        <v>59.03375</v>
      </c>
      <c r="H108" s="215">
        <f t="shared" si="2"/>
        <v>21.508125</v>
      </c>
      <c r="I108" s="215">
        <f t="shared" si="2"/>
        <v>6.72270833333333</v>
      </c>
      <c r="J108" s="215">
        <f t="shared" si="2"/>
        <v>0.343958333333333</v>
      </c>
      <c r="K108" s="215">
        <f t="shared" si="2"/>
        <v>161.93125</v>
      </c>
      <c r="L108" s="215">
        <f t="shared" si="2"/>
        <v>29.67625</v>
      </c>
      <c r="M108" s="215">
        <f t="shared" si="2"/>
        <v>46.0333333333333</v>
      </c>
      <c r="N108" s="215">
        <f t="shared" si="2"/>
        <v>171.59375</v>
      </c>
      <c r="O108" s="215">
        <f t="shared" si="2"/>
        <v>0</v>
      </c>
      <c r="P108" s="215">
        <f t="shared" si="2"/>
        <v>0.69875</v>
      </c>
      <c r="Q108" s="215">
        <f t="shared" si="2"/>
        <v>4.99885416666667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8.37636871703795</v>
      </c>
      <c r="C109" s="215">
        <f t="shared" ref="C109:Q109" si="3">STDEV(C9:C104)</f>
        <v>4.5534537487128</v>
      </c>
      <c r="D109" s="215">
        <f t="shared" si="3"/>
        <v>8.66944100605432</v>
      </c>
      <c r="E109" s="215">
        <f t="shared" si="3"/>
        <v>5.10503799043376</v>
      </c>
      <c r="F109" s="215">
        <f t="shared" si="3"/>
        <v>8.49092307661437</v>
      </c>
      <c r="G109" s="215">
        <f t="shared" si="3"/>
        <v>14.7288363959597</v>
      </c>
      <c r="H109" s="215">
        <f t="shared" si="3"/>
        <v>3.61515881939835</v>
      </c>
      <c r="I109" s="215">
        <f t="shared" si="3"/>
        <v>2.16816511274865</v>
      </c>
      <c r="J109" s="215">
        <f t="shared" si="3"/>
        <v>0.27370933167434</v>
      </c>
      <c r="K109" s="215">
        <f t="shared" si="3"/>
        <v>79.462046024634</v>
      </c>
      <c r="L109" s="215">
        <f t="shared" si="3"/>
        <v>5.03177404103165</v>
      </c>
      <c r="M109" s="215">
        <f t="shared" si="3"/>
        <v>20.0272698650019</v>
      </c>
      <c r="N109" s="215">
        <f t="shared" si="3"/>
        <v>254.102670013313</v>
      </c>
      <c r="O109" s="215">
        <f t="shared" si="3"/>
        <v>0</v>
      </c>
      <c r="P109" s="215">
        <f t="shared" si="3"/>
        <v>0.111669154201149</v>
      </c>
      <c r="Q109" s="215">
        <f t="shared" si="3"/>
        <v>0.0066284540813656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06/04/2023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536</v>
      </c>
      <c r="B9" s="165">
        <v>24</v>
      </c>
      <c r="C9" s="165">
        <v>67.81</v>
      </c>
      <c r="D9" s="165">
        <v>55.55</v>
      </c>
      <c r="E9" s="165">
        <v>8.79</v>
      </c>
      <c r="F9" s="165">
        <v>4.02</v>
      </c>
      <c r="G9" s="165">
        <v>80.69</v>
      </c>
      <c r="H9" s="165">
        <v>26.12</v>
      </c>
      <c r="I9" s="165">
        <v>6.04</v>
      </c>
      <c r="J9" s="165">
        <v>0.19</v>
      </c>
      <c r="K9" s="165">
        <v>154.15</v>
      </c>
      <c r="L9" s="165">
        <v>25.22</v>
      </c>
      <c r="M9" s="165">
        <v>61.75</v>
      </c>
      <c r="N9" s="165">
        <v>0</v>
      </c>
      <c r="O9" s="165">
        <v>0</v>
      </c>
      <c r="P9" s="165">
        <v>0.73</v>
      </c>
      <c r="Q9" s="165">
        <v>5</v>
      </c>
      <c r="R9" s="13"/>
      <c r="S9" s="13"/>
      <c r="T9" s="213"/>
      <c r="U9" s="13"/>
    </row>
    <row r="10" customFormat="1" spans="1:21">
      <c r="A10" s="142" t="s">
        <v>537</v>
      </c>
      <c r="B10" s="165">
        <v>24.29</v>
      </c>
      <c r="C10" s="165">
        <v>67.65</v>
      </c>
      <c r="D10" s="165">
        <v>55.7</v>
      </c>
      <c r="E10" s="165">
        <v>8.61</v>
      </c>
      <c r="F10" s="165">
        <v>3.82</v>
      </c>
      <c r="G10" s="165">
        <v>80.86</v>
      </c>
      <c r="H10" s="165">
        <v>26.15</v>
      </c>
      <c r="I10" s="165">
        <v>6.08</v>
      </c>
      <c r="J10" s="165">
        <v>0.23</v>
      </c>
      <c r="K10" s="165">
        <v>159.31</v>
      </c>
      <c r="L10" s="165">
        <v>24.96</v>
      </c>
      <c r="M10" s="165">
        <v>63.93</v>
      </c>
      <c r="N10" s="165">
        <v>0</v>
      </c>
      <c r="O10" s="165">
        <v>0</v>
      </c>
      <c r="P10" s="165">
        <v>0.73</v>
      </c>
      <c r="Q10" s="165">
        <v>5</v>
      </c>
      <c r="R10" s="13"/>
      <c r="S10" s="13"/>
      <c r="T10" s="213"/>
      <c r="U10" s="13"/>
    </row>
    <row r="11" customFormat="1" spans="1:21">
      <c r="A11" s="142" t="s">
        <v>538</v>
      </c>
      <c r="B11" s="165">
        <v>24.54</v>
      </c>
      <c r="C11" s="165">
        <v>67.5</v>
      </c>
      <c r="D11" s="165">
        <v>55.82</v>
      </c>
      <c r="E11" s="165">
        <v>8.71</v>
      </c>
      <c r="F11" s="165">
        <v>4.08</v>
      </c>
      <c r="G11" s="165">
        <v>88.54</v>
      </c>
      <c r="H11" s="165">
        <v>27.12</v>
      </c>
      <c r="I11" s="165">
        <v>6.11</v>
      </c>
      <c r="J11" s="165">
        <v>0.15</v>
      </c>
      <c r="K11" s="165">
        <v>181.94</v>
      </c>
      <c r="L11" s="165">
        <v>24.63</v>
      </c>
      <c r="M11" s="165">
        <v>63.42</v>
      </c>
      <c r="N11" s="165">
        <v>0</v>
      </c>
      <c r="O11" s="165">
        <v>0</v>
      </c>
      <c r="P11" s="165">
        <v>0.74</v>
      </c>
      <c r="Q11" s="165">
        <v>5</v>
      </c>
      <c r="R11" s="13"/>
      <c r="S11" s="13"/>
      <c r="T11" s="213"/>
      <c r="U11" s="13"/>
    </row>
    <row r="12" customFormat="1" spans="1:21">
      <c r="A12" s="142" t="s">
        <v>539</v>
      </c>
      <c r="B12" s="165">
        <v>24.91</v>
      </c>
      <c r="C12" s="165">
        <v>68.06</v>
      </c>
      <c r="D12" s="165">
        <v>56.41</v>
      </c>
      <c r="E12" s="165">
        <v>9.07</v>
      </c>
      <c r="F12" s="165">
        <v>3.87</v>
      </c>
      <c r="G12" s="165">
        <v>88.54</v>
      </c>
      <c r="H12" s="165">
        <v>27.12</v>
      </c>
      <c r="I12" s="165">
        <v>6.17</v>
      </c>
      <c r="J12" s="165">
        <v>0.07</v>
      </c>
      <c r="K12" s="165">
        <v>137.35</v>
      </c>
      <c r="L12" s="165">
        <v>24.44</v>
      </c>
      <c r="M12" s="165">
        <v>63.56</v>
      </c>
      <c r="N12" s="165">
        <v>0</v>
      </c>
      <c r="O12" s="165">
        <v>0</v>
      </c>
      <c r="P12" s="165">
        <v>0.73</v>
      </c>
      <c r="Q12" s="165">
        <v>5</v>
      </c>
      <c r="R12" s="13"/>
      <c r="S12" s="13"/>
      <c r="T12" s="213"/>
      <c r="U12" s="13"/>
    </row>
    <row r="13" customFormat="1" spans="1:21">
      <c r="A13" s="142" t="s">
        <v>540</v>
      </c>
      <c r="B13" s="165">
        <v>25.2</v>
      </c>
      <c r="C13" s="165">
        <v>70.07</v>
      </c>
      <c r="D13" s="165">
        <v>57.7</v>
      </c>
      <c r="E13" s="165">
        <v>8.64</v>
      </c>
      <c r="F13" s="165">
        <v>3.73</v>
      </c>
      <c r="G13" s="165">
        <v>88.54</v>
      </c>
      <c r="H13" s="165">
        <v>27.12</v>
      </c>
      <c r="I13" s="165">
        <v>6.22</v>
      </c>
      <c r="J13" s="165">
        <v>0.14</v>
      </c>
      <c r="K13" s="165">
        <v>149.79</v>
      </c>
      <c r="L13" s="165">
        <v>24.79</v>
      </c>
      <c r="M13" s="165">
        <v>60.86</v>
      </c>
      <c r="N13" s="165">
        <v>0</v>
      </c>
      <c r="O13" s="165">
        <v>0</v>
      </c>
      <c r="P13" s="165">
        <v>0.75</v>
      </c>
      <c r="Q13" s="165">
        <v>5</v>
      </c>
      <c r="R13" s="13"/>
      <c r="S13" s="13"/>
      <c r="T13" s="213"/>
      <c r="U13" s="13"/>
    </row>
    <row r="14" customFormat="1" spans="1:21">
      <c r="A14" s="142" t="s">
        <v>541</v>
      </c>
      <c r="B14" s="165">
        <v>25.65</v>
      </c>
      <c r="C14" s="165">
        <v>70.12</v>
      </c>
      <c r="D14" s="165">
        <v>58.07</v>
      </c>
      <c r="E14" s="165">
        <v>8.47</v>
      </c>
      <c r="F14" s="165">
        <v>3.75</v>
      </c>
      <c r="G14" s="165">
        <v>88.27</v>
      </c>
      <c r="H14" s="165">
        <v>26.99</v>
      </c>
      <c r="I14" s="165">
        <v>6.27</v>
      </c>
      <c r="J14" s="165">
        <v>0.17</v>
      </c>
      <c r="K14" s="165">
        <v>179.74</v>
      </c>
      <c r="L14" s="165">
        <v>24.81</v>
      </c>
      <c r="M14" s="165">
        <v>61.89</v>
      </c>
      <c r="N14" s="165">
        <v>0</v>
      </c>
      <c r="O14" s="165">
        <v>0</v>
      </c>
      <c r="P14" s="165">
        <v>0.76</v>
      </c>
      <c r="Q14" s="165">
        <v>5</v>
      </c>
      <c r="R14" s="13"/>
      <c r="S14" s="13"/>
      <c r="T14" s="213"/>
      <c r="U14" s="13"/>
    </row>
    <row r="15" customFormat="1" spans="1:21">
      <c r="A15" s="142" t="s">
        <v>542</v>
      </c>
      <c r="B15" s="165">
        <v>25.4</v>
      </c>
      <c r="C15" s="165">
        <v>70.09</v>
      </c>
      <c r="D15" s="165">
        <v>57.87</v>
      </c>
      <c r="E15" s="165">
        <v>8.23</v>
      </c>
      <c r="F15" s="165">
        <v>3.78</v>
      </c>
      <c r="G15" s="165">
        <v>76.4</v>
      </c>
      <c r="H15" s="165">
        <v>22.74</v>
      </c>
      <c r="I15" s="165">
        <v>6.28</v>
      </c>
      <c r="J15" s="165">
        <v>0.06</v>
      </c>
      <c r="K15" s="165">
        <v>204.95</v>
      </c>
      <c r="L15" s="165">
        <v>24.46</v>
      </c>
      <c r="M15" s="165">
        <v>63.71</v>
      </c>
      <c r="N15" s="165">
        <v>0</v>
      </c>
      <c r="O15" s="165">
        <v>0</v>
      </c>
      <c r="P15" s="165">
        <v>0.75</v>
      </c>
      <c r="Q15" s="165">
        <v>5</v>
      </c>
      <c r="R15" s="13"/>
      <c r="S15" s="13"/>
      <c r="T15" s="213"/>
      <c r="U15" s="13"/>
    </row>
    <row r="16" customFormat="1" spans="1:21">
      <c r="A16" s="142" t="s">
        <v>543</v>
      </c>
      <c r="B16" s="165">
        <v>26.05</v>
      </c>
      <c r="C16" s="165">
        <v>70.37</v>
      </c>
      <c r="D16" s="165">
        <v>58.53</v>
      </c>
      <c r="E16" s="165">
        <v>8.35</v>
      </c>
      <c r="F16" s="165">
        <v>3.77</v>
      </c>
      <c r="G16" s="165">
        <v>76.4</v>
      </c>
      <c r="H16" s="165">
        <v>22.74</v>
      </c>
      <c r="I16" s="165">
        <v>6.25</v>
      </c>
      <c r="J16" s="165">
        <v>0.2</v>
      </c>
      <c r="K16" s="165">
        <v>21.99</v>
      </c>
      <c r="L16" s="165">
        <v>24.39</v>
      </c>
      <c r="M16" s="165">
        <v>63.46</v>
      </c>
      <c r="N16" s="165">
        <v>0</v>
      </c>
      <c r="O16" s="165">
        <v>0</v>
      </c>
      <c r="P16" s="165">
        <v>0.74</v>
      </c>
      <c r="Q16" s="165">
        <v>5</v>
      </c>
      <c r="R16" s="13"/>
      <c r="S16" s="13"/>
      <c r="T16" s="213"/>
      <c r="U16" s="13"/>
    </row>
    <row r="17" customFormat="1" spans="1:21">
      <c r="A17" s="142" t="s">
        <v>544</v>
      </c>
      <c r="B17" s="165">
        <v>27.55</v>
      </c>
      <c r="C17" s="165">
        <v>70.5</v>
      </c>
      <c r="D17" s="165">
        <v>59.8</v>
      </c>
      <c r="E17" s="165">
        <v>5.43</v>
      </c>
      <c r="F17" s="165">
        <v>3.86</v>
      </c>
      <c r="G17" s="165">
        <v>76.4</v>
      </c>
      <c r="H17" s="165">
        <v>22.74</v>
      </c>
      <c r="I17" s="165">
        <v>6.21</v>
      </c>
      <c r="J17" s="165">
        <v>0.07</v>
      </c>
      <c r="K17" s="165">
        <v>136.33</v>
      </c>
      <c r="L17" s="165">
        <v>24.65</v>
      </c>
      <c r="M17" s="165">
        <v>61.8</v>
      </c>
      <c r="N17" s="165">
        <v>0</v>
      </c>
      <c r="O17" s="165">
        <v>0</v>
      </c>
      <c r="P17" s="165">
        <v>0.74</v>
      </c>
      <c r="Q17" s="165">
        <v>5</v>
      </c>
      <c r="R17" s="13"/>
      <c r="S17" s="13"/>
      <c r="T17" s="213"/>
      <c r="U17" s="13"/>
    </row>
    <row r="18" customFormat="1" spans="1:21">
      <c r="A18" s="142" t="s">
        <v>545</v>
      </c>
      <c r="B18" s="165">
        <v>28.78</v>
      </c>
      <c r="C18" s="165">
        <v>70.99</v>
      </c>
      <c r="D18" s="165">
        <v>61.04</v>
      </c>
      <c r="E18" s="165">
        <v>7.7</v>
      </c>
      <c r="F18" s="165">
        <v>3.66</v>
      </c>
      <c r="G18" s="165">
        <v>76.31</v>
      </c>
      <c r="H18" s="165">
        <v>22.76</v>
      </c>
      <c r="I18" s="165">
        <v>6.19</v>
      </c>
      <c r="J18" s="165">
        <v>0.13</v>
      </c>
      <c r="K18" s="165">
        <v>149.34</v>
      </c>
      <c r="L18" s="165">
        <v>24.51</v>
      </c>
      <c r="M18" s="165">
        <v>64.06</v>
      </c>
      <c r="N18" s="165">
        <v>0</v>
      </c>
      <c r="O18" s="165">
        <v>0</v>
      </c>
      <c r="P18" s="165">
        <v>0.74</v>
      </c>
      <c r="Q18" s="165">
        <v>5</v>
      </c>
      <c r="R18" s="13"/>
      <c r="S18" s="13"/>
      <c r="T18" s="213"/>
      <c r="U18" s="13"/>
    </row>
    <row r="19" customFormat="1" spans="1:21">
      <c r="A19" s="142" t="s">
        <v>546</v>
      </c>
      <c r="B19" s="165">
        <v>30.02</v>
      </c>
      <c r="C19" s="165">
        <v>71.59</v>
      </c>
      <c r="D19" s="165">
        <v>62.35</v>
      </c>
      <c r="E19" s="165">
        <v>7.7</v>
      </c>
      <c r="F19" s="165">
        <v>3.63</v>
      </c>
      <c r="G19" s="165">
        <v>72.08</v>
      </c>
      <c r="H19" s="165">
        <v>23.66</v>
      </c>
      <c r="I19" s="165">
        <v>6.16</v>
      </c>
      <c r="J19" s="165">
        <v>0.25</v>
      </c>
      <c r="K19" s="165">
        <v>154.26</v>
      </c>
      <c r="L19" s="165">
        <v>24.32</v>
      </c>
      <c r="M19" s="165">
        <v>67.05</v>
      </c>
      <c r="N19" s="165">
        <v>0</v>
      </c>
      <c r="O19" s="165">
        <v>0</v>
      </c>
      <c r="P19" s="165">
        <v>0.73</v>
      </c>
      <c r="Q19" s="165">
        <v>5</v>
      </c>
      <c r="R19" s="13"/>
      <c r="S19" s="13"/>
      <c r="T19" s="213"/>
      <c r="U19" s="13"/>
    </row>
    <row r="20" customFormat="1" spans="1:21">
      <c r="A20" s="142" t="s">
        <v>547</v>
      </c>
      <c r="B20" s="165">
        <v>30.93</v>
      </c>
      <c r="C20" s="165">
        <v>71.75</v>
      </c>
      <c r="D20" s="165">
        <v>63.16</v>
      </c>
      <c r="E20" s="165">
        <v>7.9</v>
      </c>
      <c r="F20" s="165">
        <v>3.66</v>
      </c>
      <c r="G20" s="165">
        <v>72.08</v>
      </c>
      <c r="H20" s="165">
        <v>23.66</v>
      </c>
      <c r="I20" s="165">
        <v>6.12</v>
      </c>
      <c r="J20" s="165">
        <v>0.43</v>
      </c>
      <c r="K20" s="165">
        <v>155.16</v>
      </c>
      <c r="L20" s="165">
        <v>23.97</v>
      </c>
      <c r="M20" s="165">
        <v>66.2</v>
      </c>
      <c r="N20" s="165">
        <v>0</v>
      </c>
      <c r="O20" s="165">
        <v>0</v>
      </c>
      <c r="P20" s="165">
        <v>0.73</v>
      </c>
      <c r="Q20" s="165">
        <v>5</v>
      </c>
      <c r="R20" s="13"/>
      <c r="S20" s="13"/>
      <c r="T20" s="213"/>
      <c r="U20" s="13"/>
    </row>
    <row r="21" customFormat="1" spans="1:21">
      <c r="A21" s="142" t="s">
        <v>548</v>
      </c>
      <c r="B21" s="165">
        <v>30.98</v>
      </c>
      <c r="C21" s="165">
        <v>71.55</v>
      </c>
      <c r="D21" s="165">
        <v>63.1</v>
      </c>
      <c r="E21" s="165">
        <v>8.1</v>
      </c>
      <c r="F21" s="165">
        <v>3.69</v>
      </c>
      <c r="G21" s="165">
        <v>72.08</v>
      </c>
      <c r="H21" s="165">
        <v>23.66</v>
      </c>
      <c r="I21" s="165">
        <v>6.09</v>
      </c>
      <c r="J21" s="165">
        <v>0.16</v>
      </c>
      <c r="K21" s="165">
        <v>140.42</v>
      </c>
      <c r="L21" s="165">
        <v>23.58</v>
      </c>
      <c r="M21" s="165">
        <v>67.38</v>
      </c>
      <c r="N21" s="165">
        <v>0</v>
      </c>
      <c r="O21" s="165">
        <v>0</v>
      </c>
      <c r="P21" s="165">
        <v>0.73</v>
      </c>
      <c r="Q21" s="165">
        <v>5</v>
      </c>
      <c r="R21" s="13"/>
      <c r="S21" s="13"/>
      <c r="T21" s="213"/>
      <c r="U21" s="13"/>
    </row>
    <row r="22" customFormat="1" spans="1:21">
      <c r="A22" s="142" t="s">
        <v>549</v>
      </c>
      <c r="B22" s="165">
        <v>30.82</v>
      </c>
      <c r="C22" s="165">
        <v>71.2</v>
      </c>
      <c r="D22" s="165">
        <v>62.78</v>
      </c>
      <c r="E22" s="165">
        <v>8.12</v>
      </c>
      <c r="F22" s="165">
        <v>3.76</v>
      </c>
      <c r="G22" s="165">
        <v>71.8</v>
      </c>
      <c r="H22" s="165">
        <v>23.62</v>
      </c>
      <c r="I22" s="165">
        <v>6.08</v>
      </c>
      <c r="J22" s="165">
        <v>0.11</v>
      </c>
      <c r="K22" s="165">
        <v>122.53</v>
      </c>
      <c r="L22" s="165">
        <v>23.48</v>
      </c>
      <c r="M22" s="165">
        <v>66.83</v>
      </c>
      <c r="N22" s="165">
        <v>0</v>
      </c>
      <c r="O22" s="165">
        <v>0</v>
      </c>
      <c r="P22" s="165">
        <v>0.71</v>
      </c>
      <c r="Q22" s="165">
        <v>5</v>
      </c>
      <c r="R22" s="13"/>
      <c r="S22" s="13"/>
      <c r="T22" s="213"/>
      <c r="U22" s="13"/>
    </row>
    <row r="23" customFormat="1" spans="1:21">
      <c r="A23" s="142" t="s">
        <v>550</v>
      </c>
      <c r="B23" s="165">
        <v>30.67</v>
      </c>
      <c r="C23" s="165">
        <v>71.39</v>
      </c>
      <c r="D23" s="165">
        <v>62.77</v>
      </c>
      <c r="E23" s="165">
        <v>8.08</v>
      </c>
      <c r="F23" s="165">
        <v>3.71</v>
      </c>
      <c r="G23" s="165">
        <v>59.12</v>
      </c>
      <c r="H23" s="165">
        <v>21.02</v>
      </c>
      <c r="I23" s="165">
        <v>6.04</v>
      </c>
      <c r="J23" s="165">
        <v>0.17</v>
      </c>
      <c r="K23" s="165">
        <v>197.98</v>
      </c>
      <c r="L23" s="165">
        <v>23.32</v>
      </c>
      <c r="M23" s="165">
        <v>69.96</v>
      </c>
      <c r="N23" s="165">
        <v>0</v>
      </c>
      <c r="O23" s="165">
        <v>0</v>
      </c>
      <c r="P23" s="165">
        <v>0.72</v>
      </c>
      <c r="Q23" s="165">
        <v>5</v>
      </c>
      <c r="R23" s="13"/>
      <c r="S23" s="13"/>
      <c r="T23" s="213"/>
      <c r="U23" s="13"/>
    </row>
    <row r="24" customFormat="1" spans="1:21">
      <c r="A24" s="142" t="s">
        <v>551</v>
      </c>
      <c r="B24" s="165">
        <v>30.54</v>
      </c>
      <c r="C24" s="165">
        <v>70.98</v>
      </c>
      <c r="D24" s="165">
        <v>62.45</v>
      </c>
      <c r="E24" s="165">
        <v>8.1</v>
      </c>
      <c r="F24" s="165">
        <v>3.81</v>
      </c>
      <c r="G24" s="165">
        <v>59.12</v>
      </c>
      <c r="H24" s="165">
        <v>21.02</v>
      </c>
      <c r="I24" s="165">
        <v>6.01</v>
      </c>
      <c r="J24" s="165">
        <v>0.16</v>
      </c>
      <c r="K24" s="165">
        <v>163.55</v>
      </c>
      <c r="L24" s="165">
        <v>23.24</v>
      </c>
      <c r="M24" s="165">
        <v>69.3</v>
      </c>
      <c r="N24" s="165">
        <v>0</v>
      </c>
      <c r="O24" s="165">
        <v>0</v>
      </c>
      <c r="P24" s="165">
        <v>0.71</v>
      </c>
      <c r="Q24" s="165">
        <v>5</v>
      </c>
      <c r="R24" s="13"/>
      <c r="S24" s="13"/>
      <c r="T24" s="213"/>
      <c r="U24" s="13"/>
    </row>
    <row r="25" customFormat="1" spans="1:21">
      <c r="A25" s="142" t="s">
        <v>552</v>
      </c>
      <c r="B25" s="165">
        <v>30.32</v>
      </c>
      <c r="C25" s="165">
        <v>70.78</v>
      </c>
      <c r="D25" s="165">
        <v>62.17</v>
      </c>
      <c r="E25" s="165">
        <v>8.01</v>
      </c>
      <c r="F25" s="165">
        <v>3.75</v>
      </c>
      <c r="G25" s="165">
        <v>59.12</v>
      </c>
      <c r="H25" s="165">
        <v>21.02</v>
      </c>
      <c r="I25" s="165">
        <v>5.99</v>
      </c>
      <c r="J25" s="165">
        <v>0.13</v>
      </c>
      <c r="K25" s="165">
        <v>193.13</v>
      </c>
      <c r="L25" s="165">
        <v>23.17</v>
      </c>
      <c r="M25" s="165">
        <v>70.51</v>
      </c>
      <c r="N25" s="165">
        <v>0</v>
      </c>
      <c r="O25" s="165">
        <v>0</v>
      </c>
      <c r="P25" s="165">
        <v>0.71</v>
      </c>
      <c r="Q25" s="165">
        <v>5</v>
      </c>
      <c r="R25" s="13"/>
      <c r="S25" s="13"/>
      <c r="T25" s="213"/>
      <c r="U25" s="13"/>
    </row>
    <row r="26" customFormat="1" spans="1:21">
      <c r="A26" s="142" t="s">
        <v>553</v>
      </c>
      <c r="B26" s="165">
        <v>30.1</v>
      </c>
      <c r="C26" s="165">
        <v>70.7</v>
      </c>
      <c r="D26" s="165">
        <v>61.95</v>
      </c>
      <c r="E26" s="165">
        <v>8.06</v>
      </c>
      <c r="F26" s="165">
        <v>3.9</v>
      </c>
      <c r="G26" s="165">
        <v>59.09</v>
      </c>
      <c r="H26" s="165">
        <v>21.03</v>
      </c>
      <c r="I26" s="165">
        <v>5.96</v>
      </c>
      <c r="J26" s="165">
        <v>0.31</v>
      </c>
      <c r="K26" s="165">
        <v>241.13</v>
      </c>
      <c r="L26" s="165">
        <v>23.49</v>
      </c>
      <c r="M26" s="165">
        <v>68.6</v>
      </c>
      <c r="N26" s="165">
        <v>0</v>
      </c>
      <c r="O26" s="165">
        <v>0</v>
      </c>
      <c r="P26" s="165">
        <v>0.7</v>
      </c>
      <c r="Q26" s="165">
        <v>5</v>
      </c>
      <c r="R26" s="13"/>
      <c r="S26" s="13"/>
      <c r="T26" s="213"/>
      <c r="U26" s="13"/>
    </row>
    <row r="27" customFormat="1" spans="1:21">
      <c r="A27" s="142" t="s">
        <v>554</v>
      </c>
      <c r="B27" s="165">
        <v>30.47</v>
      </c>
      <c r="C27" s="165">
        <v>70.59</v>
      </c>
      <c r="D27" s="165">
        <v>62.19</v>
      </c>
      <c r="E27" s="165">
        <v>7.67</v>
      </c>
      <c r="F27" s="165">
        <v>3.9</v>
      </c>
      <c r="G27" s="165">
        <v>57.72</v>
      </c>
      <c r="H27" s="165">
        <v>22.03</v>
      </c>
      <c r="I27" s="165">
        <v>5.94</v>
      </c>
      <c r="J27" s="165">
        <v>0.18</v>
      </c>
      <c r="K27" s="165">
        <v>182.36</v>
      </c>
      <c r="L27" s="165">
        <v>23.75</v>
      </c>
      <c r="M27" s="165">
        <v>68.28</v>
      </c>
      <c r="N27" s="165">
        <v>0</v>
      </c>
      <c r="O27" s="165">
        <v>0</v>
      </c>
      <c r="P27" s="165">
        <v>0.69</v>
      </c>
      <c r="Q27" s="165">
        <v>5</v>
      </c>
      <c r="R27" s="13"/>
      <c r="S27" s="13"/>
      <c r="T27" s="213"/>
      <c r="U27" s="13"/>
    </row>
    <row r="28" customFormat="1" spans="1:21">
      <c r="A28" s="142" t="s">
        <v>555</v>
      </c>
      <c r="B28" s="165">
        <v>30.99</v>
      </c>
      <c r="C28" s="165">
        <v>70.58</v>
      </c>
      <c r="D28" s="165">
        <v>62.6</v>
      </c>
      <c r="E28" s="165">
        <v>8.06</v>
      </c>
      <c r="F28" s="165">
        <v>3.77</v>
      </c>
      <c r="G28" s="165">
        <v>57.72</v>
      </c>
      <c r="H28" s="165">
        <v>22.03</v>
      </c>
      <c r="I28" s="165">
        <v>5.88</v>
      </c>
      <c r="J28" s="165">
        <v>0.34</v>
      </c>
      <c r="K28" s="165">
        <v>151.78</v>
      </c>
      <c r="L28" s="165">
        <v>23.82</v>
      </c>
      <c r="M28" s="165">
        <v>68.17</v>
      </c>
      <c r="N28" s="165">
        <v>0</v>
      </c>
      <c r="O28" s="165">
        <v>0</v>
      </c>
      <c r="P28" s="165">
        <v>0.69</v>
      </c>
      <c r="Q28" s="165">
        <v>5</v>
      </c>
      <c r="R28" s="13"/>
      <c r="S28" s="13"/>
      <c r="T28" s="213"/>
      <c r="U28" s="13"/>
    </row>
    <row r="29" customFormat="1" spans="1:21">
      <c r="A29" s="142" t="s">
        <v>556</v>
      </c>
      <c r="B29" s="165">
        <v>31.01</v>
      </c>
      <c r="C29" s="165">
        <v>70.39</v>
      </c>
      <c r="D29" s="165">
        <v>62.52</v>
      </c>
      <c r="E29" s="165">
        <v>7.89</v>
      </c>
      <c r="F29" s="165">
        <v>3.58</v>
      </c>
      <c r="G29" s="165">
        <v>57.72</v>
      </c>
      <c r="H29" s="165">
        <v>22.03</v>
      </c>
      <c r="I29" s="165">
        <v>5.85</v>
      </c>
      <c r="J29" s="165">
        <v>0.19</v>
      </c>
      <c r="K29" s="165">
        <v>190.16</v>
      </c>
      <c r="L29" s="165">
        <v>23.24</v>
      </c>
      <c r="M29" s="165">
        <v>70.95</v>
      </c>
      <c r="N29" s="165">
        <v>0</v>
      </c>
      <c r="O29" s="165">
        <v>0</v>
      </c>
      <c r="P29" s="165">
        <v>0.69</v>
      </c>
      <c r="Q29" s="165">
        <v>5</v>
      </c>
      <c r="R29" s="13"/>
      <c r="S29" s="13"/>
      <c r="T29" s="213"/>
      <c r="U29" s="13"/>
    </row>
    <row r="30" customFormat="1" spans="1:21">
      <c r="A30" s="142" t="s">
        <v>557</v>
      </c>
      <c r="B30" s="165">
        <v>30.77</v>
      </c>
      <c r="C30" s="165">
        <v>69.94</v>
      </c>
      <c r="D30" s="165">
        <v>62.09</v>
      </c>
      <c r="E30" s="165">
        <v>7.9</v>
      </c>
      <c r="F30" s="165">
        <v>3.78</v>
      </c>
      <c r="G30" s="165">
        <v>57.61</v>
      </c>
      <c r="H30" s="165">
        <v>22.01</v>
      </c>
      <c r="I30" s="165">
        <v>5.88</v>
      </c>
      <c r="J30" s="165">
        <v>0.11</v>
      </c>
      <c r="K30" s="165">
        <v>189.83</v>
      </c>
      <c r="L30" s="165">
        <v>22.99</v>
      </c>
      <c r="M30" s="165">
        <v>71.65</v>
      </c>
      <c r="N30" s="165">
        <v>0</v>
      </c>
      <c r="O30" s="165">
        <v>0</v>
      </c>
      <c r="P30" s="165">
        <v>0.69</v>
      </c>
      <c r="Q30" s="165">
        <v>5</v>
      </c>
      <c r="R30" s="13"/>
      <c r="S30" s="13"/>
      <c r="T30" s="213"/>
      <c r="U30" s="13"/>
    </row>
    <row r="31" customFormat="1" spans="1:21">
      <c r="A31" s="142" t="s">
        <v>558</v>
      </c>
      <c r="B31" s="165">
        <v>30.71</v>
      </c>
      <c r="C31" s="165">
        <v>70.01</v>
      </c>
      <c r="D31" s="165">
        <v>62.07</v>
      </c>
      <c r="E31" s="165">
        <v>8.11</v>
      </c>
      <c r="F31" s="165">
        <v>3.8</v>
      </c>
      <c r="G31" s="165">
        <v>53.11</v>
      </c>
      <c r="H31" s="165">
        <v>21.13</v>
      </c>
      <c r="I31" s="165">
        <v>5.88</v>
      </c>
      <c r="J31" s="165">
        <v>0.12</v>
      </c>
      <c r="K31" s="165">
        <v>171.03</v>
      </c>
      <c r="L31" s="165">
        <v>23.03</v>
      </c>
      <c r="M31" s="165">
        <v>72.68</v>
      </c>
      <c r="N31" s="165">
        <v>0</v>
      </c>
      <c r="O31" s="165">
        <v>0</v>
      </c>
      <c r="P31" s="165">
        <v>0.69</v>
      </c>
      <c r="Q31" s="165">
        <v>5</v>
      </c>
      <c r="R31" s="13"/>
      <c r="S31" s="13"/>
      <c r="T31" s="213"/>
      <c r="U31" s="13"/>
    </row>
    <row r="32" customFormat="1" spans="1:21">
      <c r="A32" s="142" t="s">
        <v>559</v>
      </c>
      <c r="B32" s="165">
        <v>30.82</v>
      </c>
      <c r="C32" s="165">
        <v>67.1</v>
      </c>
      <c r="D32" s="165">
        <v>60.65</v>
      </c>
      <c r="E32" s="165">
        <v>7.5</v>
      </c>
      <c r="F32" s="165">
        <v>3.87</v>
      </c>
      <c r="G32" s="165">
        <v>53.11</v>
      </c>
      <c r="H32" s="165">
        <v>21.13</v>
      </c>
      <c r="I32" s="165">
        <v>5.83</v>
      </c>
      <c r="J32" s="165">
        <v>0.15</v>
      </c>
      <c r="K32" s="165">
        <v>135.64</v>
      </c>
      <c r="L32" s="165">
        <v>23.15</v>
      </c>
      <c r="M32" s="165">
        <v>70.87</v>
      </c>
      <c r="N32" s="165">
        <v>0.6</v>
      </c>
      <c r="O32" s="165">
        <v>0</v>
      </c>
      <c r="P32" s="165">
        <v>0.68</v>
      </c>
      <c r="Q32" s="165">
        <v>5</v>
      </c>
      <c r="R32" s="13"/>
      <c r="S32" s="13"/>
      <c r="T32" s="213"/>
      <c r="U32" s="13"/>
    </row>
    <row r="33" customFormat="1" spans="1:21">
      <c r="A33" s="142" t="s">
        <v>560</v>
      </c>
      <c r="B33" s="165">
        <v>31.6</v>
      </c>
      <c r="C33" s="165">
        <v>60.32</v>
      </c>
      <c r="D33" s="165">
        <v>57.73</v>
      </c>
      <c r="E33" s="165">
        <v>7.55</v>
      </c>
      <c r="F33" s="165">
        <v>4.14</v>
      </c>
      <c r="G33" s="165">
        <v>53.11</v>
      </c>
      <c r="H33" s="165">
        <v>21.13</v>
      </c>
      <c r="I33" s="165">
        <v>5.82</v>
      </c>
      <c r="J33" s="165">
        <v>0.13</v>
      </c>
      <c r="K33" s="165">
        <v>145.64</v>
      </c>
      <c r="L33" s="165">
        <v>23.4</v>
      </c>
      <c r="M33" s="165">
        <v>70.44</v>
      </c>
      <c r="N33" s="165">
        <v>10.3</v>
      </c>
      <c r="O33" s="165">
        <v>0</v>
      </c>
      <c r="P33" s="165">
        <v>0.66</v>
      </c>
      <c r="Q33" s="165">
        <v>5</v>
      </c>
      <c r="R33" s="13"/>
      <c r="S33" s="13"/>
      <c r="T33" s="213"/>
      <c r="U33" s="13"/>
    </row>
    <row r="34" customFormat="1" spans="1:21">
      <c r="A34" s="142" t="s">
        <v>561</v>
      </c>
      <c r="B34" s="165">
        <v>32.21</v>
      </c>
      <c r="C34" s="165">
        <v>62.62</v>
      </c>
      <c r="D34" s="165">
        <v>59.42</v>
      </c>
      <c r="E34" s="165">
        <v>7.4</v>
      </c>
      <c r="F34" s="165">
        <v>3.88</v>
      </c>
      <c r="G34" s="165">
        <v>53.07</v>
      </c>
      <c r="H34" s="165">
        <v>21.15</v>
      </c>
      <c r="I34" s="165">
        <v>5.86</v>
      </c>
      <c r="J34" s="165">
        <v>0.19</v>
      </c>
      <c r="K34" s="165">
        <v>148.68</v>
      </c>
      <c r="L34" s="165">
        <v>23.71</v>
      </c>
      <c r="M34" s="165">
        <v>71.45</v>
      </c>
      <c r="N34" s="165">
        <v>24.3</v>
      </c>
      <c r="O34" s="165">
        <v>0</v>
      </c>
      <c r="P34" s="165">
        <v>0.66</v>
      </c>
      <c r="Q34" s="165">
        <v>5</v>
      </c>
      <c r="R34" s="13"/>
      <c r="S34" s="13"/>
      <c r="T34" s="213"/>
      <c r="U34" s="13"/>
    </row>
    <row r="35" customFormat="1" spans="1:21">
      <c r="A35" s="142" t="s">
        <v>562</v>
      </c>
      <c r="B35" s="165">
        <v>32.92</v>
      </c>
      <c r="C35" s="165">
        <v>65.08</v>
      </c>
      <c r="D35" s="165">
        <v>61.28</v>
      </c>
      <c r="E35" s="165">
        <v>8.14</v>
      </c>
      <c r="F35" s="165">
        <v>3.78</v>
      </c>
      <c r="G35" s="165">
        <v>51.09</v>
      </c>
      <c r="H35" s="165">
        <v>21.85</v>
      </c>
      <c r="I35" s="165">
        <v>5.93</v>
      </c>
      <c r="J35" s="165">
        <v>0.23</v>
      </c>
      <c r="K35" s="165">
        <v>87.1</v>
      </c>
      <c r="L35" s="165">
        <v>24.13</v>
      </c>
      <c r="M35" s="165">
        <v>71.14</v>
      </c>
      <c r="N35" s="165">
        <v>41.9</v>
      </c>
      <c r="O35" s="165">
        <v>0</v>
      </c>
      <c r="P35" s="165">
        <v>0.66</v>
      </c>
      <c r="Q35" s="165">
        <v>5</v>
      </c>
      <c r="R35" s="13"/>
      <c r="S35" s="13"/>
      <c r="T35" s="213"/>
      <c r="U35" s="13"/>
    </row>
    <row r="36" customFormat="1" spans="1:21">
      <c r="A36" s="142" t="s">
        <v>563</v>
      </c>
      <c r="B36" s="165">
        <v>34</v>
      </c>
      <c r="C36" s="165">
        <v>66.24</v>
      </c>
      <c r="D36" s="165">
        <v>62.75</v>
      </c>
      <c r="E36" s="165">
        <v>8.14</v>
      </c>
      <c r="F36" s="165">
        <v>3.58</v>
      </c>
      <c r="G36" s="165">
        <v>51.09</v>
      </c>
      <c r="H36" s="165">
        <v>21.85</v>
      </c>
      <c r="I36" s="165">
        <v>5.97</v>
      </c>
      <c r="J36" s="165">
        <v>0.36</v>
      </c>
      <c r="K36" s="165">
        <v>65.85</v>
      </c>
      <c r="L36" s="165">
        <v>25.35</v>
      </c>
      <c r="M36" s="165">
        <v>64.95</v>
      </c>
      <c r="N36" s="165">
        <v>90.9</v>
      </c>
      <c r="O36" s="165">
        <v>0</v>
      </c>
      <c r="P36" s="165">
        <v>0.66</v>
      </c>
      <c r="Q36" s="165">
        <v>5</v>
      </c>
      <c r="R36" s="13"/>
      <c r="S36" s="13"/>
      <c r="T36" s="213"/>
      <c r="U36" s="13"/>
    </row>
    <row r="37" customFormat="1" spans="1:21">
      <c r="A37" s="142" t="s">
        <v>564</v>
      </c>
      <c r="B37" s="165">
        <v>35.16</v>
      </c>
      <c r="C37" s="165">
        <v>67.34</v>
      </c>
      <c r="D37" s="165">
        <v>64.25</v>
      </c>
      <c r="E37" s="165">
        <v>8.21</v>
      </c>
      <c r="F37" s="165">
        <v>3.81</v>
      </c>
      <c r="G37" s="165">
        <v>51.09</v>
      </c>
      <c r="H37" s="165">
        <v>21.85</v>
      </c>
      <c r="I37" s="165">
        <v>6.03</v>
      </c>
      <c r="J37" s="165">
        <v>0.07</v>
      </c>
      <c r="K37" s="165">
        <v>171.04</v>
      </c>
      <c r="L37" s="165">
        <v>26.24</v>
      </c>
      <c r="M37" s="165">
        <v>62.93</v>
      </c>
      <c r="N37" s="165">
        <v>66</v>
      </c>
      <c r="O37" s="165">
        <v>0</v>
      </c>
      <c r="P37" s="165">
        <v>0.67</v>
      </c>
      <c r="Q37" s="165">
        <v>5</v>
      </c>
      <c r="R37" s="13"/>
      <c r="S37" s="13"/>
      <c r="T37" s="213"/>
      <c r="U37" s="13"/>
    </row>
    <row r="38" customFormat="1" spans="1:21">
      <c r="A38" s="142" t="s">
        <v>565</v>
      </c>
      <c r="B38" s="165">
        <v>35.81</v>
      </c>
      <c r="C38" s="165">
        <v>67.49</v>
      </c>
      <c r="D38" s="165">
        <v>64.85</v>
      </c>
      <c r="E38" s="165">
        <v>8.09</v>
      </c>
      <c r="F38" s="165">
        <v>3.84</v>
      </c>
      <c r="G38" s="165">
        <v>51.1</v>
      </c>
      <c r="H38" s="165">
        <v>21.8</v>
      </c>
      <c r="I38" s="165">
        <v>6.12</v>
      </c>
      <c r="J38" s="165">
        <v>0.04</v>
      </c>
      <c r="K38" s="165">
        <v>94.36</v>
      </c>
      <c r="L38" s="165">
        <v>26.47</v>
      </c>
      <c r="M38" s="165">
        <v>60.98</v>
      </c>
      <c r="N38" s="165">
        <v>69.7</v>
      </c>
      <c r="O38" s="165">
        <v>0</v>
      </c>
      <c r="P38" s="165">
        <v>0.68</v>
      </c>
      <c r="Q38" s="165">
        <v>5</v>
      </c>
      <c r="R38" s="13"/>
      <c r="S38" s="13"/>
      <c r="T38" s="213"/>
      <c r="U38" s="13"/>
    </row>
    <row r="39" customFormat="1" spans="1:21">
      <c r="A39" s="142" t="s">
        <v>566</v>
      </c>
      <c r="B39" s="165">
        <v>36.01</v>
      </c>
      <c r="C39" s="165">
        <v>67.64</v>
      </c>
      <c r="D39" s="165">
        <v>65.08</v>
      </c>
      <c r="E39" s="165">
        <v>8.21</v>
      </c>
      <c r="F39" s="165">
        <v>3.59</v>
      </c>
      <c r="G39" s="165">
        <v>51.47</v>
      </c>
      <c r="H39" s="165">
        <v>20.18</v>
      </c>
      <c r="I39" s="165">
        <v>6.24</v>
      </c>
      <c r="J39" s="165">
        <v>0.13</v>
      </c>
      <c r="K39" s="165">
        <v>56.04</v>
      </c>
      <c r="L39" s="165">
        <v>26.73</v>
      </c>
      <c r="M39" s="165">
        <v>60.67</v>
      </c>
      <c r="N39" s="165">
        <v>133.8</v>
      </c>
      <c r="O39" s="165">
        <v>0</v>
      </c>
      <c r="P39" s="165">
        <v>0.68</v>
      </c>
      <c r="Q39" s="165">
        <v>5</v>
      </c>
      <c r="R39" s="13"/>
      <c r="S39" s="13"/>
      <c r="T39" s="213"/>
      <c r="U39" s="13"/>
    </row>
    <row r="40" customFormat="1" spans="1:21">
      <c r="A40" s="142" t="s">
        <v>567</v>
      </c>
      <c r="B40" s="165">
        <v>35.88</v>
      </c>
      <c r="C40" s="165">
        <v>68.12</v>
      </c>
      <c r="D40" s="165">
        <v>65.24</v>
      </c>
      <c r="E40" s="165">
        <v>8.47</v>
      </c>
      <c r="F40" s="165">
        <v>3.93</v>
      </c>
      <c r="G40" s="165">
        <v>51.47</v>
      </c>
      <c r="H40" s="165">
        <v>20.18</v>
      </c>
      <c r="I40" s="165">
        <v>6.28</v>
      </c>
      <c r="J40" s="165">
        <v>0.2</v>
      </c>
      <c r="K40" s="165">
        <v>290.36</v>
      </c>
      <c r="L40" s="165">
        <v>27.42</v>
      </c>
      <c r="M40" s="165">
        <v>57.31</v>
      </c>
      <c r="N40" s="165">
        <v>148.1</v>
      </c>
      <c r="O40" s="165">
        <v>0</v>
      </c>
      <c r="P40" s="165">
        <v>0.68</v>
      </c>
      <c r="Q40" s="165">
        <v>5</v>
      </c>
      <c r="R40" s="13"/>
      <c r="S40" s="13"/>
      <c r="T40" s="213"/>
      <c r="U40" s="13"/>
    </row>
    <row r="41" customFormat="1" spans="1:21">
      <c r="A41" s="142" t="s">
        <v>568</v>
      </c>
      <c r="B41" s="165">
        <v>35.48</v>
      </c>
      <c r="C41" s="165">
        <v>67.15</v>
      </c>
      <c r="D41" s="165">
        <v>64.41</v>
      </c>
      <c r="E41" s="165">
        <v>8.59</v>
      </c>
      <c r="F41" s="165">
        <v>4.27</v>
      </c>
      <c r="G41" s="165">
        <v>51.47</v>
      </c>
      <c r="H41" s="165">
        <v>20.18</v>
      </c>
      <c r="I41" s="165">
        <v>6.3</v>
      </c>
      <c r="J41" s="165">
        <v>0.59</v>
      </c>
      <c r="K41" s="165">
        <v>320.79</v>
      </c>
      <c r="L41" s="165">
        <v>27.71</v>
      </c>
      <c r="M41" s="165">
        <v>55.81</v>
      </c>
      <c r="N41" s="165">
        <v>107.7</v>
      </c>
      <c r="O41" s="165">
        <v>0</v>
      </c>
      <c r="P41" s="165">
        <v>0.68</v>
      </c>
      <c r="Q41" s="165">
        <v>5</v>
      </c>
      <c r="R41" s="13"/>
      <c r="S41" s="13"/>
      <c r="T41" s="213"/>
      <c r="U41" s="13"/>
    </row>
    <row r="42" customFormat="1" spans="1:21">
      <c r="A42" s="142" t="s">
        <v>569</v>
      </c>
      <c r="B42" s="165">
        <v>35.34</v>
      </c>
      <c r="C42" s="165">
        <v>64.75</v>
      </c>
      <c r="D42" s="165">
        <v>63.04</v>
      </c>
      <c r="E42" s="165">
        <v>8.56</v>
      </c>
      <c r="F42" s="165">
        <v>4.59</v>
      </c>
      <c r="G42" s="165">
        <v>51.68</v>
      </c>
      <c r="H42" s="165">
        <v>20.18</v>
      </c>
      <c r="I42" s="165">
        <v>6.33</v>
      </c>
      <c r="J42" s="165">
        <v>0.87</v>
      </c>
      <c r="K42" s="165">
        <v>35.56</v>
      </c>
      <c r="L42" s="165">
        <v>26.98</v>
      </c>
      <c r="M42" s="165">
        <v>56.46</v>
      </c>
      <c r="N42" s="165">
        <v>89.4</v>
      </c>
      <c r="O42" s="165">
        <v>0</v>
      </c>
      <c r="P42" s="165">
        <v>0.7</v>
      </c>
      <c r="Q42" s="165">
        <v>5</v>
      </c>
      <c r="R42" s="13"/>
      <c r="S42" s="13"/>
      <c r="T42" s="213"/>
      <c r="U42" s="13"/>
    </row>
    <row r="43" customFormat="1" spans="1:21">
      <c r="A43" s="142" t="s">
        <v>570</v>
      </c>
      <c r="B43" s="165">
        <v>35.83</v>
      </c>
      <c r="C43" s="165">
        <v>68.03</v>
      </c>
      <c r="D43" s="165">
        <v>65.15</v>
      </c>
      <c r="E43" s="165">
        <v>9.53</v>
      </c>
      <c r="F43" s="165">
        <v>4.2</v>
      </c>
      <c r="G43" s="165">
        <v>60.55</v>
      </c>
      <c r="H43" s="165">
        <v>20.27</v>
      </c>
      <c r="I43" s="165">
        <v>6.41</v>
      </c>
      <c r="J43" s="165">
        <v>0.59</v>
      </c>
      <c r="K43" s="165">
        <v>23.37</v>
      </c>
      <c r="L43" s="165">
        <v>27.07</v>
      </c>
      <c r="M43" s="165">
        <v>52.76</v>
      </c>
      <c r="N43" s="165">
        <v>159.3</v>
      </c>
      <c r="O43" s="165">
        <v>0</v>
      </c>
      <c r="P43" s="165">
        <v>0.73</v>
      </c>
      <c r="Q43" s="165">
        <v>5</v>
      </c>
      <c r="R43" s="13"/>
      <c r="S43" s="13"/>
      <c r="T43" s="213"/>
      <c r="U43" s="13"/>
    </row>
    <row r="44" customFormat="1" spans="1:21">
      <c r="A44" s="142" t="s">
        <v>571</v>
      </c>
      <c r="B44" s="165">
        <v>36.3</v>
      </c>
      <c r="C44" s="165">
        <v>67.48</v>
      </c>
      <c r="D44" s="165">
        <v>65.24</v>
      </c>
      <c r="E44" s="165">
        <v>10.1</v>
      </c>
      <c r="F44" s="165">
        <v>4.18</v>
      </c>
      <c r="G44" s="165">
        <v>60.55</v>
      </c>
      <c r="H44" s="165">
        <v>20.27</v>
      </c>
      <c r="I44" s="165">
        <v>6.56</v>
      </c>
      <c r="J44" s="165">
        <v>0.55</v>
      </c>
      <c r="K44" s="165">
        <v>338.23</v>
      </c>
      <c r="L44" s="165">
        <v>27.93</v>
      </c>
      <c r="M44" s="165">
        <v>48.79</v>
      </c>
      <c r="N44" s="165">
        <v>231.9</v>
      </c>
      <c r="O44" s="165">
        <v>0</v>
      </c>
      <c r="P44" s="165">
        <v>0.75</v>
      </c>
      <c r="Q44" s="165">
        <v>5</v>
      </c>
      <c r="R44" s="13"/>
      <c r="S44" s="13"/>
      <c r="T44" s="213"/>
      <c r="U44" s="13"/>
    </row>
    <row r="45" customFormat="1" spans="1:21">
      <c r="A45" s="142" t="s">
        <v>572</v>
      </c>
      <c r="B45" s="165">
        <v>36.44</v>
      </c>
      <c r="C45" s="165">
        <v>68.13</v>
      </c>
      <c r="D45" s="165">
        <v>65.69</v>
      </c>
      <c r="E45" s="165">
        <v>11.09</v>
      </c>
      <c r="F45" s="165">
        <v>4.28</v>
      </c>
      <c r="G45" s="165">
        <v>60.55</v>
      </c>
      <c r="H45" s="165">
        <v>20.27</v>
      </c>
      <c r="I45" s="165">
        <v>6.68</v>
      </c>
      <c r="J45" s="165">
        <v>0.57</v>
      </c>
      <c r="K45" s="165">
        <v>298.94</v>
      </c>
      <c r="L45" s="165">
        <v>28.8</v>
      </c>
      <c r="M45" s="165">
        <v>45.83</v>
      </c>
      <c r="N45" s="165">
        <v>330.4</v>
      </c>
      <c r="O45" s="165">
        <v>0</v>
      </c>
      <c r="P45" s="165">
        <v>0.78</v>
      </c>
      <c r="Q45" s="165">
        <v>5</v>
      </c>
      <c r="R45" s="13"/>
      <c r="S45" s="13"/>
      <c r="T45" s="213"/>
      <c r="U45" s="13"/>
    </row>
    <row r="46" customFormat="1" spans="1:21">
      <c r="A46" s="142" t="s">
        <v>573</v>
      </c>
      <c r="B46" s="165">
        <v>35.92</v>
      </c>
      <c r="C46" s="165">
        <v>66.4</v>
      </c>
      <c r="D46" s="165">
        <v>64.37</v>
      </c>
      <c r="E46" s="165">
        <v>14.23</v>
      </c>
      <c r="F46" s="165">
        <v>5.09</v>
      </c>
      <c r="G46" s="165">
        <v>63.09</v>
      </c>
      <c r="H46" s="165">
        <v>20.65</v>
      </c>
      <c r="I46" s="165">
        <v>6.79</v>
      </c>
      <c r="J46" s="165">
        <v>0.6</v>
      </c>
      <c r="K46" s="165">
        <v>310.44</v>
      </c>
      <c r="L46" s="165">
        <v>29.82</v>
      </c>
      <c r="M46" s="165">
        <v>44.26</v>
      </c>
      <c r="N46" s="165">
        <v>422.7</v>
      </c>
      <c r="O46" s="165">
        <v>0</v>
      </c>
      <c r="P46" s="165">
        <v>0.81</v>
      </c>
      <c r="Q46" s="165">
        <v>5</v>
      </c>
      <c r="R46" s="13"/>
      <c r="S46" s="13"/>
      <c r="T46" s="213"/>
      <c r="U46" s="13"/>
    </row>
    <row r="47" customFormat="1" spans="1:21">
      <c r="A47" s="142" t="s">
        <v>574</v>
      </c>
      <c r="B47" s="165">
        <v>36.39</v>
      </c>
      <c r="C47" s="165">
        <v>70.38</v>
      </c>
      <c r="D47" s="165">
        <v>66.83</v>
      </c>
      <c r="E47" s="165">
        <v>19.72</v>
      </c>
      <c r="F47" s="165">
        <v>5.45</v>
      </c>
      <c r="G47" s="165">
        <v>174.56</v>
      </c>
      <c r="H47" s="165">
        <v>33.08</v>
      </c>
      <c r="I47" s="165">
        <v>6.94</v>
      </c>
      <c r="J47" s="165">
        <v>0.82</v>
      </c>
      <c r="K47" s="165">
        <v>26.85</v>
      </c>
      <c r="L47" s="165">
        <v>30.71</v>
      </c>
      <c r="M47" s="165">
        <v>42.55</v>
      </c>
      <c r="N47" s="165">
        <v>459.4</v>
      </c>
      <c r="O47" s="165">
        <v>0</v>
      </c>
      <c r="P47" s="165">
        <v>0.86</v>
      </c>
      <c r="Q47" s="165">
        <v>5</v>
      </c>
      <c r="R47" s="13"/>
      <c r="S47" s="13"/>
      <c r="T47" s="213"/>
      <c r="U47" s="13"/>
    </row>
    <row r="48" customFormat="1" spans="1:21">
      <c r="A48" s="142" t="s">
        <v>575</v>
      </c>
      <c r="B48" s="165">
        <v>36.75</v>
      </c>
      <c r="C48" s="165">
        <v>66.35</v>
      </c>
      <c r="D48" s="165">
        <v>65.01</v>
      </c>
      <c r="E48" s="165">
        <v>25.74</v>
      </c>
      <c r="F48" s="165">
        <v>6.03</v>
      </c>
      <c r="G48" s="165">
        <v>174.56</v>
      </c>
      <c r="H48" s="165">
        <v>33.08</v>
      </c>
      <c r="I48" s="165">
        <v>7.13</v>
      </c>
      <c r="J48" s="165">
        <v>0.48</v>
      </c>
      <c r="K48" s="165">
        <v>308.82</v>
      </c>
      <c r="L48" s="165">
        <v>30.99</v>
      </c>
      <c r="M48" s="165">
        <v>38.48</v>
      </c>
      <c r="N48" s="165">
        <v>291.1</v>
      </c>
      <c r="O48" s="165">
        <v>0</v>
      </c>
      <c r="P48" s="165">
        <v>0.87</v>
      </c>
      <c r="Q48" s="165">
        <v>5</v>
      </c>
      <c r="R48" s="13"/>
      <c r="S48" s="13"/>
      <c r="T48" s="213"/>
      <c r="U48" s="13"/>
    </row>
    <row r="49" customFormat="1" spans="1:21">
      <c r="A49" s="142" t="s">
        <v>576</v>
      </c>
      <c r="B49" s="165">
        <v>34.19</v>
      </c>
      <c r="C49" s="165">
        <v>68.11</v>
      </c>
      <c r="D49" s="165">
        <v>63.88</v>
      </c>
      <c r="E49" s="165">
        <v>19.19</v>
      </c>
      <c r="F49" s="165">
        <v>8.14</v>
      </c>
      <c r="G49" s="165">
        <v>174.56</v>
      </c>
      <c r="H49" s="165">
        <v>33.08</v>
      </c>
      <c r="I49" s="165">
        <v>7.34</v>
      </c>
      <c r="J49" s="165">
        <v>0.17</v>
      </c>
      <c r="K49" s="165">
        <v>11.69</v>
      </c>
      <c r="L49" s="165">
        <v>31.19</v>
      </c>
      <c r="M49" s="165">
        <v>38.41</v>
      </c>
      <c r="N49" s="165">
        <v>206.7</v>
      </c>
      <c r="O49" s="165">
        <v>0</v>
      </c>
      <c r="P49" s="165">
        <v>0.87</v>
      </c>
      <c r="Q49" s="165">
        <v>5</v>
      </c>
      <c r="R49" s="13"/>
      <c r="S49" s="13"/>
      <c r="T49" s="213"/>
      <c r="U49" s="13"/>
    </row>
    <row r="50" customFormat="1" spans="1:21">
      <c r="A50" s="142" t="s">
        <v>577</v>
      </c>
      <c r="B50" s="165">
        <v>31.31</v>
      </c>
      <c r="C50" s="165">
        <v>66.43</v>
      </c>
      <c r="D50" s="165">
        <v>60.68</v>
      </c>
      <c r="E50" s="165">
        <v>24.45</v>
      </c>
      <c r="F50" s="165">
        <v>10.69</v>
      </c>
      <c r="G50" s="165">
        <v>174</v>
      </c>
      <c r="H50" s="165">
        <v>33.22</v>
      </c>
      <c r="I50" s="165">
        <v>7.41</v>
      </c>
      <c r="J50" s="165">
        <v>0.24</v>
      </c>
      <c r="K50" s="165">
        <v>292.8</v>
      </c>
      <c r="L50" s="165">
        <v>31.31</v>
      </c>
      <c r="M50" s="165">
        <v>39.8</v>
      </c>
      <c r="N50" s="165">
        <v>264.1</v>
      </c>
      <c r="O50" s="165">
        <v>0</v>
      </c>
      <c r="P50" s="165">
        <v>0.9</v>
      </c>
      <c r="Q50" s="165">
        <v>5</v>
      </c>
      <c r="R50" s="13"/>
      <c r="S50" s="13"/>
      <c r="T50" s="213"/>
      <c r="U50" s="13"/>
    </row>
    <row r="51" customFormat="1" spans="1:21">
      <c r="A51" s="142" t="s">
        <v>578</v>
      </c>
      <c r="B51" s="165">
        <v>29.13</v>
      </c>
      <c r="C51" s="165">
        <v>69.08</v>
      </c>
      <c r="D51" s="165">
        <v>60.33</v>
      </c>
      <c r="E51" s="165">
        <v>22.3</v>
      </c>
      <c r="F51" s="165">
        <v>9.07</v>
      </c>
      <c r="G51" s="165">
        <v>149.39</v>
      </c>
      <c r="H51" s="165">
        <v>42.88</v>
      </c>
      <c r="I51" s="165">
        <v>7.42</v>
      </c>
      <c r="J51" s="165">
        <v>0.37</v>
      </c>
      <c r="K51" s="165">
        <v>295.91</v>
      </c>
      <c r="L51" s="165">
        <v>32.39</v>
      </c>
      <c r="M51" s="165">
        <v>35.8</v>
      </c>
      <c r="N51" s="165">
        <v>505.9</v>
      </c>
      <c r="O51" s="165">
        <v>0</v>
      </c>
      <c r="P51" s="165">
        <v>0.9</v>
      </c>
      <c r="Q51" s="165">
        <v>5</v>
      </c>
      <c r="R51" s="13"/>
      <c r="S51" s="13"/>
      <c r="T51" s="213"/>
      <c r="U51" s="13"/>
    </row>
    <row r="52" customFormat="1" spans="1:21">
      <c r="A52" s="142" t="s">
        <v>579</v>
      </c>
      <c r="B52" s="165">
        <v>26.68</v>
      </c>
      <c r="C52" s="165">
        <v>63.06</v>
      </c>
      <c r="D52" s="165">
        <v>55.21</v>
      </c>
      <c r="E52" s="165">
        <v>16.41</v>
      </c>
      <c r="F52" s="165">
        <v>13.21</v>
      </c>
      <c r="G52" s="165">
        <v>149.39</v>
      </c>
      <c r="H52" s="165">
        <v>42.88</v>
      </c>
      <c r="I52" s="165">
        <v>7.5</v>
      </c>
      <c r="J52" s="165">
        <v>0.42</v>
      </c>
      <c r="K52" s="165">
        <v>288.72</v>
      </c>
      <c r="L52" s="165">
        <v>33.07</v>
      </c>
      <c r="M52" s="165">
        <v>34.13</v>
      </c>
      <c r="N52" s="165">
        <v>470.4</v>
      </c>
      <c r="O52" s="165">
        <v>0</v>
      </c>
      <c r="P52" s="165">
        <v>0.9</v>
      </c>
      <c r="Q52" s="165">
        <v>5</v>
      </c>
      <c r="R52" s="13"/>
      <c r="S52" s="13"/>
      <c r="T52" s="213"/>
      <c r="U52" s="13"/>
    </row>
    <row r="53" customFormat="1" spans="1:21">
      <c r="A53" s="142" t="s">
        <v>580</v>
      </c>
      <c r="B53" s="165">
        <v>22.72</v>
      </c>
      <c r="C53" s="165">
        <v>69.88</v>
      </c>
      <c r="D53" s="165">
        <v>55.6</v>
      </c>
      <c r="E53" s="165">
        <v>14.26</v>
      </c>
      <c r="F53" s="165">
        <v>10.62</v>
      </c>
      <c r="G53" s="165">
        <v>149.39</v>
      </c>
      <c r="H53" s="165">
        <v>42.88</v>
      </c>
      <c r="I53" s="165">
        <v>7.54</v>
      </c>
      <c r="J53" s="165">
        <v>0.24</v>
      </c>
      <c r="K53" s="165">
        <v>311.4</v>
      </c>
      <c r="L53" s="165">
        <v>33.27</v>
      </c>
      <c r="M53" s="165">
        <v>33.11</v>
      </c>
      <c r="N53" s="165">
        <v>522.7</v>
      </c>
      <c r="O53" s="165">
        <v>0</v>
      </c>
      <c r="P53" s="165">
        <v>0.92</v>
      </c>
      <c r="Q53" s="165">
        <v>5</v>
      </c>
      <c r="R53" s="13"/>
      <c r="S53" s="13"/>
      <c r="T53" s="213"/>
      <c r="U53" s="13"/>
    </row>
    <row r="54" customFormat="1" spans="1:21">
      <c r="A54" s="142" t="s">
        <v>581</v>
      </c>
      <c r="B54" s="165">
        <v>21.44</v>
      </c>
      <c r="C54" s="165">
        <v>71.56</v>
      </c>
      <c r="D54" s="165">
        <v>55.46</v>
      </c>
      <c r="E54" s="165">
        <v>12.18</v>
      </c>
      <c r="F54" s="165">
        <v>11.82</v>
      </c>
      <c r="G54" s="165">
        <v>148.16</v>
      </c>
      <c r="H54" s="165">
        <v>42.7</v>
      </c>
      <c r="I54" s="165">
        <v>7.59</v>
      </c>
      <c r="J54" s="165">
        <v>0.31</v>
      </c>
      <c r="K54" s="165">
        <v>338.37</v>
      </c>
      <c r="L54" s="165">
        <v>34.27</v>
      </c>
      <c r="M54" s="165">
        <v>30.75</v>
      </c>
      <c r="N54" s="165">
        <v>587.9</v>
      </c>
      <c r="O54" s="165">
        <v>0</v>
      </c>
      <c r="P54" s="165">
        <v>0.92</v>
      </c>
      <c r="Q54" s="165">
        <v>5</v>
      </c>
      <c r="R54" s="13"/>
      <c r="S54" s="13"/>
      <c r="T54" s="213"/>
      <c r="U54" s="13"/>
    </row>
    <row r="55" customFormat="1" spans="1:21">
      <c r="A55" s="142" t="s">
        <v>582</v>
      </c>
      <c r="B55" s="165">
        <v>18.65</v>
      </c>
      <c r="C55" s="165">
        <v>73.01</v>
      </c>
      <c r="D55" s="165">
        <v>53.97</v>
      </c>
      <c r="E55" s="165">
        <v>14.34</v>
      </c>
      <c r="F55" s="165">
        <v>11.18</v>
      </c>
      <c r="G55" s="165">
        <v>93.98</v>
      </c>
      <c r="H55" s="165">
        <v>36.7</v>
      </c>
      <c r="I55" s="165">
        <v>7.68</v>
      </c>
      <c r="J55" s="165">
        <v>0.52</v>
      </c>
      <c r="K55" s="165">
        <v>352.33</v>
      </c>
      <c r="L55" s="165">
        <v>33.85</v>
      </c>
      <c r="M55" s="165">
        <v>31.09</v>
      </c>
      <c r="N55" s="165">
        <v>343.9</v>
      </c>
      <c r="O55" s="165">
        <v>0</v>
      </c>
      <c r="P55" s="165">
        <v>0.93</v>
      </c>
      <c r="Q55" s="165">
        <v>5</v>
      </c>
      <c r="R55" s="13"/>
      <c r="S55" s="13"/>
      <c r="T55" s="213"/>
      <c r="U55" s="13"/>
    </row>
    <row r="56" customFormat="1" spans="1:21">
      <c r="A56" s="142" t="s">
        <v>583</v>
      </c>
      <c r="B56" s="165">
        <v>16.81</v>
      </c>
      <c r="C56" s="165">
        <v>77.32</v>
      </c>
      <c r="D56" s="165">
        <v>54.75</v>
      </c>
      <c r="E56" s="165">
        <v>16</v>
      </c>
      <c r="F56" s="165">
        <v>11.84</v>
      </c>
      <c r="G56" s="165">
        <v>93.98</v>
      </c>
      <c r="H56" s="165">
        <v>36.7</v>
      </c>
      <c r="I56" s="165">
        <v>7.69</v>
      </c>
      <c r="J56" s="165">
        <v>0.88</v>
      </c>
      <c r="K56" s="165">
        <v>34.58</v>
      </c>
      <c r="L56" s="165">
        <v>33.81</v>
      </c>
      <c r="M56" s="165">
        <v>32.67</v>
      </c>
      <c r="N56" s="165">
        <v>276.3</v>
      </c>
      <c r="O56" s="165">
        <v>0</v>
      </c>
      <c r="P56" s="165">
        <v>0.95</v>
      </c>
      <c r="Q56" s="165">
        <v>5</v>
      </c>
      <c r="R56" s="13"/>
      <c r="S56" s="13"/>
      <c r="T56" s="213"/>
      <c r="U56" s="13"/>
    </row>
    <row r="57" customFormat="1" spans="1:21">
      <c r="A57" s="142" t="s">
        <v>584</v>
      </c>
      <c r="B57" s="165">
        <v>16.23</v>
      </c>
      <c r="C57" s="165">
        <v>79.55</v>
      </c>
      <c r="D57" s="165">
        <v>55.79</v>
      </c>
      <c r="E57" s="165">
        <v>21.69</v>
      </c>
      <c r="F57" s="165">
        <v>7.78</v>
      </c>
      <c r="G57" s="165">
        <v>93.98</v>
      </c>
      <c r="H57" s="165">
        <v>36.7</v>
      </c>
      <c r="I57" s="165">
        <v>7.71</v>
      </c>
      <c r="J57" s="165">
        <v>1.36</v>
      </c>
      <c r="K57" s="165">
        <v>31.32</v>
      </c>
      <c r="L57" s="165">
        <v>32.69</v>
      </c>
      <c r="M57" s="165">
        <v>37.54</v>
      </c>
      <c r="N57" s="165">
        <v>305.1</v>
      </c>
      <c r="O57" s="165">
        <v>0</v>
      </c>
      <c r="P57" s="165">
        <v>0.98</v>
      </c>
      <c r="Q57" s="165">
        <v>5</v>
      </c>
      <c r="R57" s="13"/>
      <c r="S57" s="13"/>
      <c r="T57" s="213"/>
      <c r="U57" s="13"/>
    </row>
    <row r="58" customFormat="1" spans="1:21">
      <c r="A58" s="142" t="s">
        <v>585</v>
      </c>
      <c r="B58" s="165">
        <v>16.31</v>
      </c>
      <c r="C58" s="165">
        <v>79.73</v>
      </c>
      <c r="D58" s="165">
        <v>56.06</v>
      </c>
      <c r="E58" s="165">
        <v>23.6</v>
      </c>
      <c r="F58" s="165">
        <v>8.02</v>
      </c>
      <c r="G58" s="165">
        <v>95.45</v>
      </c>
      <c r="H58" s="165">
        <v>36.86</v>
      </c>
      <c r="I58" s="165">
        <v>7.86</v>
      </c>
      <c r="J58" s="165">
        <v>1.13</v>
      </c>
      <c r="K58" s="165">
        <v>37.72</v>
      </c>
      <c r="L58" s="165">
        <v>32.56</v>
      </c>
      <c r="M58" s="165">
        <v>36.31</v>
      </c>
      <c r="N58" s="165">
        <v>235.9</v>
      </c>
      <c r="O58" s="165">
        <v>0</v>
      </c>
      <c r="P58" s="165">
        <v>0.99</v>
      </c>
      <c r="Q58" s="165">
        <v>5</v>
      </c>
      <c r="R58" s="13"/>
      <c r="S58" s="13"/>
      <c r="T58" s="213"/>
      <c r="U58" s="13"/>
    </row>
    <row r="59" customFormat="1" spans="1:21">
      <c r="A59" s="142" t="s">
        <v>586</v>
      </c>
      <c r="B59" s="165">
        <v>17.18</v>
      </c>
      <c r="C59" s="165">
        <v>78.93</v>
      </c>
      <c r="D59" s="165">
        <v>56.18</v>
      </c>
      <c r="E59" s="165">
        <v>37.65</v>
      </c>
      <c r="F59" s="165">
        <v>11.21</v>
      </c>
      <c r="G59" s="165">
        <v>160.04</v>
      </c>
      <c r="H59" s="165">
        <v>41.95</v>
      </c>
      <c r="I59" s="165">
        <v>8.01</v>
      </c>
      <c r="J59" s="165">
        <v>1.06</v>
      </c>
      <c r="K59" s="165">
        <v>29.33</v>
      </c>
      <c r="L59" s="165">
        <v>32.62</v>
      </c>
      <c r="M59" s="165">
        <v>36.49</v>
      </c>
      <c r="N59" s="165">
        <v>329.5</v>
      </c>
      <c r="O59" s="165">
        <v>0</v>
      </c>
      <c r="P59" s="165">
        <v>1</v>
      </c>
      <c r="Q59" s="165">
        <v>5</v>
      </c>
      <c r="R59" s="13"/>
      <c r="S59" s="13"/>
      <c r="T59" s="213"/>
      <c r="U59" s="13"/>
    </row>
    <row r="60" customFormat="1" spans="1:21">
      <c r="A60" s="142" t="s">
        <v>587</v>
      </c>
      <c r="B60" s="165">
        <v>17.44</v>
      </c>
      <c r="C60" s="165">
        <v>79.08</v>
      </c>
      <c r="D60" s="165">
        <v>56.19</v>
      </c>
      <c r="E60" s="165">
        <v>32.41</v>
      </c>
      <c r="F60" s="165">
        <v>8.3</v>
      </c>
      <c r="G60" s="165">
        <v>160.04</v>
      </c>
      <c r="H60" s="165">
        <v>41.95</v>
      </c>
      <c r="I60" s="165">
        <v>7.99</v>
      </c>
      <c r="J60" s="165">
        <v>1.26</v>
      </c>
      <c r="K60" s="165">
        <v>52.12</v>
      </c>
      <c r="L60" s="165">
        <v>33.07</v>
      </c>
      <c r="M60" s="165">
        <v>34.53</v>
      </c>
      <c r="N60" s="165">
        <v>546.1</v>
      </c>
      <c r="O60" s="165">
        <v>0</v>
      </c>
      <c r="P60" s="165">
        <v>0.99</v>
      </c>
      <c r="Q60" s="165">
        <v>5</v>
      </c>
      <c r="R60" s="13"/>
      <c r="S60" s="13"/>
      <c r="T60" s="213"/>
      <c r="U60" s="13"/>
    </row>
    <row r="61" customFormat="1" spans="1:21">
      <c r="A61" s="142" t="s">
        <v>588</v>
      </c>
      <c r="B61" s="165">
        <v>17.45</v>
      </c>
      <c r="C61" s="165">
        <v>78.28</v>
      </c>
      <c r="D61" s="165">
        <v>56.43</v>
      </c>
      <c r="E61" s="165">
        <v>34.33</v>
      </c>
      <c r="F61" s="165">
        <v>9.95</v>
      </c>
      <c r="G61" s="165">
        <v>160.04</v>
      </c>
      <c r="H61" s="165">
        <v>41.95</v>
      </c>
      <c r="I61" s="165">
        <v>7.98</v>
      </c>
      <c r="J61" s="165">
        <v>1.29</v>
      </c>
      <c r="K61" s="165">
        <v>34.5</v>
      </c>
      <c r="L61" s="165">
        <v>33.94</v>
      </c>
      <c r="M61" s="165">
        <v>30.6</v>
      </c>
      <c r="N61" s="165">
        <v>518.5</v>
      </c>
      <c r="O61" s="165">
        <v>0</v>
      </c>
      <c r="P61" s="165">
        <v>1</v>
      </c>
      <c r="Q61" s="165">
        <v>5</v>
      </c>
      <c r="R61" s="13"/>
      <c r="S61" s="13"/>
      <c r="T61" s="213"/>
      <c r="U61" s="13"/>
    </row>
    <row r="62" customFormat="1" spans="1:21">
      <c r="A62" s="142" t="s">
        <v>589</v>
      </c>
      <c r="B62" s="165">
        <v>15.8</v>
      </c>
      <c r="C62" s="165">
        <v>73.73</v>
      </c>
      <c r="D62" s="165">
        <v>52.07</v>
      </c>
      <c r="E62" s="165">
        <v>26.14</v>
      </c>
      <c r="F62" s="165">
        <v>14.43</v>
      </c>
      <c r="G62" s="165">
        <v>159.8</v>
      </c>
      <c r="H62" s="165">
        <v>42.07</v>
      </c>
      <c r="I62" s="165">
        <v>8</v>
      </c>
      <c r="J62" s="165">
        <v>1.03</v>
      </c>
      <c r="K62" s="165">
        <v>28.75</v>
      </c>
      <c r="L62" s="165">
        <v>33.79</v>
      </c>
      <c r="M62" s="165">
        <v>29.63</v>
      </c>
      <c r="N62" s="165">
        <v>277.3</v>
      </c>
      <c r="O62" s="165">
        <v>0</v>
      </c>
      <c r="P62" s="165">
        <v>0.94</v>
      </c>
      <c r="Q62" s="165">
        <v>5</v>
      </c>
      <c r="R62" s="13"/>
      <c r="S62" s="13"/>
      <c r="T62" s="213"/>
      <c r="U62" s="13"/>
    </row>
    <row r="63" customFormat="1" spans="1:21">
      <c r="A63" s="142" t="s">
        <v>590</v>
      </c>
      <c r="B63" s="165">
        <v>14.32</v>
      </c>
      <c r="C63" s="165">
        <v>73.54</v>
      </c>
      <c r="D63" s="165">
        <v>50.78</v>
      </c>
      <c r="E63" s="165">
        <v>20.99</v>
      </c>
      <c r="F63" s="165">
        <v>15.13</v>
      </c>
      <c r="G63" s="165">
        <v>149.26</v>
      </c>
      <c r="H63" s="165">
        <v>46.04</v>
      </c>
      <c r="I63" s="165">
        <v>7.86</v>
      </c>
      <c r="J63" s="165">
        <v>0.83</v>
      </c>
      <c r="K63" s="165">
        <v>15.87</v>
      </c>
      <c r="L63" s="165">
        <v>33.5</v>
      </c>
      <c r="M63" s="165">
        <v>29.75</v>
      </c>
      <c r="N63" s="165">
        <v>258.5</v>
      </c>
      <c r="O63" s="165">
        <v>0</v>
      </c>
      <c r="P63" s="165">
        <v>0.93</v>
      </c>
      <c r="Q63" s="165">
        <v>5</v>
      </c>
      <c r="R63" s="13"/>
      <c r="S63" s="13"/>
      <c r="T63" s="213"/>
      <c r="U63" s="13"/>
    </row>
    <row r="64" customFormat="1" spans="1:21">
      <c r="A64" s="142" t="s">
        <v>591</v>
      </c>
      <c r="B64" s="165">
        <v>14.23</v>
      </c>
      <c r="C64" s="165">
        <v>73.28</v>
      </c>
      <c r="D64" s="165">
        <v>50.57</v>
      </c>
      <c r="E64" s="165">
        <v>15.66</v>
      </c>
      <c r="F64" s="165">
        <v>9.59</v>
      </c>
      <c r="G64" s="165">
        <v>149.26</v>
      </c>
      <c r="H64" s="165">
        <v>46.04</v>
      </c>
      <c r="I64" s="165">
        <v>7.52</v>
      </c>
      <c r="J64" s="165">
        <v>1.03</v>
      </c>
      <c r="K64" s="165">
        <v>50.18</v>
      </c>
      <c r="L64" s="165">
        <v>33.78</v>
      </c>
      <c r="M64" s="165">
        <v>29.64</v>
      </c>
      <c r="N64" s="165">
        <v>384.5</v>
      </c>
      <c r="O64" s="165">
        <v>0</v>
      </c>
      <c r="P64" s="165">
        <v>0.93</v>
      </c>
      <c r="Q64" s="165">
        <v>5</v>
      </c>
      <c r="R64" s="13"/>
      <c r="S64" s="13"/>
      <c r="T64" s="213"/>
      <c r="U64" s="13"/>
    </row>
    <row r="65" customFormat="1" spans="1:21">
      <c r="A65" s="142" t="s">
        <v>592</v>
      </c>
      <c r="B65" s="165">
        <v>13.17</v>
      </c>
      <c r="C65" s="165">
        <v>73.73</v>
      </c>
      <c r="D65" s="165">
        <v>49.95</v>
      </c>
      <c r="E65" s="165">
        <v>14.85</v>
      </c>
      <c r="F65" s="165">
        <v>13.33</v>
      </c>
      <c r="G65" s="165">
        <v>149.26</v>
      </c>
      <c r="H65" s="165">
        <v>46.04</v>
      </c>
      <c r="I65" s="165">
        <v>7.28</v>
      </c>
      <c r="J65" s="165">
        <v>0.91</v>
      </c>
      <c r="K65" s="165">
        <v>36.66</v>
      </c>
      <c r="L65" s="165">
        <v>35.19</v>
      </c>
      <c r="M65" s="165">
        <v>27</v>
      </c>
      <c r="N65" s="165">
        <v>703.5</v>
      </c>
      <c r="O65" s="165">
        <v>0</v>
      </c>
      <c r="P65" s="165">
        <v>0.88</v>
      </c>
      <c r="Q65" s="165">
        <v>5</v>
      </c>
      <c r="R65" s="13"/>
      <c r="S65" s="13"/>
      <c r="T65" s="213"/>
      <c r="U65" s="13"/>
    </row>
    <row r="66" customFormat="1" spans="1:21">
      <c r="A66" s="142" t="s">
        <v>593</v>
      </c>
      <c r="B66" s="165">
        <v>12.09</v>
      </c>
      <c r="C66" s="165">
        <v>74.47</v>
      </c>
      <c r="D66" s="165">
        <v>49.48</v>
      </c>
      <c r="E66" s="165">
        <v>13.49</v>
      </c>
      <c r="F66" s="165">
        <v>16.24</v>
      </c>
      <c r="G66" s="165">
        <v>147.76</v>
      </c>
      <c r="H66" s="165">
        <v>45.8</v>
      </c>
      <c r="I66" s="165">
        <v>7.19</v>
      </c>
      <c r="J66" s="165">
        <v>1.09</v>
      </c>
      <c r="K66" s="165">
        <v>27.59</v>
      </c>
      <c r="L66" s="165">
        <v>35.63</v>
      </c>
      <c r="M66" s="165">
        <v>26.54</v>
      </c>
      <c r="N66" s="165">
        <v>665.8</v>
      </c>
      <c r="O66" s="165">
        <v>0</v>
      </c>
      <c r="P66" s="165">
        <v>0.89</v>
      </c>
      <c r="Q66" s="165">
        <v>5</v>
      </c>
      <c r="R66" s="13"/>
      <c r="S66" s="13"/>
      <c r="T66" s="213"/>
      <c r="U66" s="13"/>
    </row>
    <row r="67" customFormat="1" spans="1:21">
      <c r="A67" s="142" t="s">
        <v>594</v>
      </c>
      <c r="B67" s="165">
        <v>11.11</v>
      </c>
      <c r="C67" s="165">
        <v>72.03</v>
      </c>
      <c r="D67" s="165">
        <v>47.42</v>
      </c>
      <c r="E67" s="165">
        <v>14.96</v>
      </c>
      <c r="F67" s="165">
        <v>17.15</v>
      </c>
      <c r="G67" s="165">
        <v>81.62</v>
      </c>
      <c r="H67" s="165">
        <v>37.98</v>
      </c>
      <c r="I67" s="165">
        <v>7.09</v>
      </c>
      <c r="J67" s="165">
        <v>0.74</v>
      </c>
      <c r="K67" s="165">
        <v>17.68</v>
      </c>
      <c r="L67" s="165">
        <v>36.16</v>
      </c>
      <c r="M67" s="165">
        <v>24.69</v>
      </c>
      <c r="N67" s="165">
        <v>636.1</v>
      </c>
      <c r="O67" s="165">
        <v>0</v>
      </c>
      <c r="P67" s="165">
        <v>0.86</v>
      </c>
      <c r="Q67" s="165">
        <v>5</v>
      </c>
      <c r="R67" s="13"/>
      <c r="S67" s="13"/>
      <c r="T67" s="213"/>
      <c r="U67" s="13"/>
    </row>
    <row r="68" customFormat="1" spans="1:21">
      <c r="A68" s="142" t="s">
        <v>595</v>
      </c>
      <c r="B68" s="165">
        <v>10.58</v>
      </c>
      <c r="C68" s="165">
        <v>73.18</v>
      </c>
      <c r="D68" s="165">
        <v>47.59</v>
      </c>
      <c r="E68" s="165">
        <v>13.53</v>
      </c>
      <c r="F68" s="165">
        <v>14</v>
      </c>
      <c r="G68" s="165">
        <v>81.62</v>
      </c>
      <c r="H68" s="165">
        <v>37.98</v>
      </c>
      <c r="I68" s="165">
        <v>6.85</v>
      </c>
      <c r="J68" s="165">
        <v>0.49</v>
      </c>
      <c r="K68" s="165">
        <v>337.45</v>
      </c>
      <c r="L68" s="165">
        <v>36.3</v>
      </c>
      <c r="M68" s="165">
        <v>24.32</v>
      </c>
      <c r="N68" s="165">
        <v>612.2</v>
      </c>
      <c r="O68" s="165">
        <v>0</v>
      </c>
      <c r="P68" s="165">
        <v>0.85</v>
      </c>
      <c r="Q68" s="165">
        <v>5</v>
      </c>
      <c r="R68" s="13"/>
      <c r="S68" s="13"/>
      <c r="T68" s="213"/>
      <c r="U68" s="13"/>
    </row>
    <row r="69" customFormat="1" spans="1:21">
      <c r="A69" s="142" t="s">
        <v>596</v>
      </c>
      <c r="B69" s="165">
        <v>9.68</v>
      </c>
      <c r="C69" s="165">
        <v>72.2</v>
      </c>
      <c r="D69" s="165">
        <v>46.36</v>
      </c>
      <c r="E69" s="165">
        <v>13.02</v>
      </c>
      <c r="F69" s="165">
        <v>17.83</v>
      </c>
      <c r="G69" s="165">
        <v>81.62</v>
      </c>
      <c r="H69" s="165">
        <v>37.98</v>
      </c>
      <c r="I69" s="165">
        <v>6.62</v>
      </c>
      <c r="J69" s="165">
        <v>1.09</v>
      </c>
      <c r="K69" s="165">
        <v>40.74</v>
      </c>
      <c r="L69" s="165">
        <v>36.13</v>
      </c>
      <c r="M69" s="165">
        <v>24.03</v>
      </c>
      <c r="N69" s="165">
        <v>423.9</v>
      </c>
      <c r="O69" s="165">
        <v>0</v>
      </c>
      <c r="P69" s="165">
        <v>0.84</v>
      </c>
      <c r="Q69" s="165">
        <v>5</v>
      </c>
      <c r="R69" s="13"/>
      <c r="S69" s="13"/>
      <c r="T69" s="213"/>
      <c r="U69" s="13"/>
    </row>
    <row r="70" customFormat="1" spans="1:21">
      <c r="A70" s="142" t="s">
        <v>597</v>
      </c>
      <c r="B70" s="165">
        <v>9.05</v>
      </c>
      <c r="C70" s="165">
        <v>71.3</v>
      </c>
      <c r="D70" s="165">
        <v>45.38</v>
      </c>
      <c r="E70" s="165">
        <v>12.55</v>
      </c>
      <c r="F70" s="165">
        <v>17.94</v>
      </c>
      <c r="G70" s="165">
        <v>81.44</v>
      </c>
      <c r="H70" s="165">
        <v>37.9</v>
      </c>
      <c r="I70" s="165">
        <v>6.61</v>
      </c>
      <c r="J70" s="165">
        <v>1.25</v>
      </c>
      <c r="K70" s="165">
        <v>51.33</v>
      </c>
      <c r="L70" s="165">
        <v>35.45</v>
      </c>
      <c r="M70" s="165">
        <v>24.26</v>
      </c>
      <c r="N70" s="165">
        <v>284.7</v>
      </c>
      <c r="O70" s="165">
        <v>0</v>
      </c>
      <c r="P70" s="165">
        <v>0.82</v>
      </c>
      <c r="Q70" s="165">
        <v>5</v>
      </c>
      <c r="R70" s="13"/>
      <c r="S70" s="13"/>
      <c r="T70" s="213"/>
      <c r="U70" s="13"/>
    </row>
    <row r="71" customFormat="1" spans="1:21">
      <c r="A71" s="142" t="s">
        <v>598</v>
      </c>
      <c r="B71" s="165">
        <v>10</v>
      </c>
      <c r="C71" s="165">
        <v>66.76</v>
      </c>
      <c r="D71" s="165">
        <v>43.77</v>
      </c>
      <c r="E71" s="165">
        <v>14.63</v>
      </c>
      <c r="F71" s="165">
        <v>20.79</v>
      </c>
      <c r="G71" s="165">
        <v>73.46</v>
      </c>
      <c r="H71" s="165">
        <v>33.03</v>
      </c>
      <c r="I71" s="165">
        <v>6.45</v>
      </c>
      <c r="J71" s="165">
        <v>0.99</v>
      </c>
      <c r="K71" s="165">
        <v>22.99</v>
      </c>
      <c r="L71" s="165">
        <v>35.19</v>
      </c>
      <c r="M71" s="165">
        <v>24.82</v>
      </c>
      <c r="N71" s="165">
        <v>230.4</v>
      </c>
      <c r="O71" s="165">
        <v>0</v>
      </c>
      <c r="P71" s="165">
        <v>0.79</v>
      </c>
      <c r="Q71" s="165">
        <v>5</v>
      </c>
      <c r="R71" s="13"/>
      <c r="S71" s="13"/>
      <c r="T71" s="213"/>
      <c r="U71" s="13"/>
    </row>
    <row r="72" customFormat="1" spans="1:21">
      <c r="A72" s="142" t="s">
        <v>599</v>
      </c>
      <c r="B72" s="165">
        <v>9.67</v>
      </c>
      <c r="C72" s="165">
        <v>64.14</v>
      </c>
      <c r="D72" s="165">
        <v>42.14</v>
      </c>
      <c r="E72" s="165">
        <v>17.29</v>
      </c>
      <c r="F72" s="165">
        <v>26.5</v>
      </c>
      <c r="G72" s="165">
        <v>73.46</v>
      </c>
      <c r="H72" s="165">
        <v>33.03</v>
      </c>
      <c r="I72" s="165">
        <v>6.16</v>
      </c>
      <c r="J72" s="165">
        <v>0.84</v>
      </c>
      <c r="K72" s="165">
        <v>28.24</v>
      </c>
      <c r="L72" s="165">
        <v>34.92</v>
      </c>
      <c r="M72" s="165">
        <v>24.75</v>
      </c>
      <c r="N72" s="165">
        <v>178.8</v>
      </c>
      <c r="O72" s="165">
        <v>0</v>
      </c>
      <c r="P72" s="165">
        <v>0.77</v>
      </c>
      <c r="Q72" s="165">
        <v>5</v>
      </c>
      <c r="R72" s="13"/>
      <c r="S72" s="13"/>
      <c r="T72" s="213"/>
      <c r="U72" s="13"/>
    </row>
    <row r="73" customFormat="1" spans="1:21">
      <c r="A73" s="142" t="s">
        <v>600</v>
      </c>
      <c r="B73" s="165">
        <v>9.54</v>
      </c>
      <c r="C73" s="165">
        <v>66.65</v>
      </c>
      <c r="D73" s="165">
        <v>43.34</v>
      </c>
      <c r="E73" s="165">
        <v>20.84</v>
      </c>
      <c r="F73" s="165">
        <v>26.97</v>
      </c>
      <c r="G73" s="165">
        <v>73.46</v>
      </c>
      <c r="H73" s="165">
        <v>33.03</v>
      </c>
      <c r="I73" s="165">
        <v>5.96</v>
      </c>
      <c r="J73" s="165">
        <v>0.85</v>
      </c>
      <c r="K73" s="165">
        <v>58.01</v>
      </c>
      <c r="L73" s="165">
        <v>34.84</v>
      </c>
      <c r="M73" s="165">
        <v>24.06</v>
      </c>
      <c r="N73" s="165">
        <v>123.6</v>
      </c>
      <c r="O73" s="165">
        <v>0</v>
      </c>
      <c r="P73" s="165">
        <v>0.76</v>
      </c>
      <c r="Q73" s="165">
        <v>5</v>
      </c>
      <c r="R73" s="13"/>
      <c r="S73" s="13"/>
      <c r="T73" s="213"/>
      <c r="U73" s="13"/>
    </row>
    <row r="74" customFormat="1" spans="1:21">
      <c r="A74" s="142" t="s">
        <v>601</v>
      </c>
      <c r="B74" s="165">
        <v>10.17</v>
      </c>
      <c r="C74" s="165">
        <v>64.69</v>
      </c>
      <c r="D74" s="165">
        <v>42.83</v>
      </c>
      <c r="E74" s="165">
        <v>24.29</v>
      </c>
      <c r="F74" s="165">
        <v>29.31</v>
      </c>
      <c r="G74" s="165">
        <v>73.2</v>
      </c>
      <c r="H74" s="165">
        <v>32.91</v>
      </c>
      <c r="I74" s="165">
        <v>5.76</v>
      </c>
      <c r="J74" s="165">
        <v>0.68</v>
      </c>
      <c r="K74" s="165">
        <v>51.54</v>
      </c>
      <c r="L74" s="165">
        <v>34.77</v>
      </c>
      <c r="M74" s="165">
        <v>23.85</v>
      </c>
      <c r="N74" s="165">
        <v>88.9</v>
      </c>
      <c r="O74" s="165">
        <v>0</v>
      </c>
      <c r="P74" s="165">
        <v>0.75</v>
      </c>
      <c r="Q74" s="165">
        <v>5</v>
      </c>
      <c r="R74" s="13"/>
      <c r="S74" s="13"/>
      <c r="T74" s="213"/>
      <c r="U74" s="13"/>
    </row>
    <row r="75" customFormat="1" spans="1:21">
      <c r="A75" s="142" t="s">
        <v>602</v>
      </c>
      <c r="B75" s="165">
        <v>10.21</v>
      </c>
      <c r="C75" s="165">
        <v>64.04</v>
      </c>
      <c r="D75" s="165">
        <v>42.52</v>
      </c>
      <c r="E75" s="165">
        <v>27.19</v>
      </c>
      <c r="F75" s="165">
        <v>29.71</v>
      </c>
      <c r="G75" s="165">
        <v>62.07</v>
      </c>
      <c r="H75" s="165">
        <v>29.03</v>
      </c>
      <c r="I75" s="165">
        <v>5.53</v>
      </c>
      <c r="J75" s="165">
        <v>0.37</v>
      </c>
      <c r="K75" s="165">
        <v>62.51</v>
      </c>
      <c r="L75" s="165">
        <v>34.57</v>
      </c>
      <c r="M75" s="165">
        <v>24.97</v>
      </c>
      <c r="N75" s="165">
        <v>58.6</v>
      </c>
      <c r="O75" s="165">
        <v>0</v>
      </c>
      <c r="P75" s="165">
        <v>0.73</v>
      </c>
      <c r="Q75" s="165">
        <v>5</v>
      </c>
      <c r="R75" s="13"/>
      <c r="S75" s="13"/>
      <c r="T75" s="213"/>
      <c r="U75" s="13"/>
    </row>
    <row r="76" customFormat="1" spans="1:21">
      <c r="A76" s="142" t="s">
        <v>603</v>
      </c>
      <c r="B76" s="165">
        <v>8.63</v>
      </c>
      <c r="C76" s="165">
        <v>59.94</v>
      </c>
      <c r="D76" s="165">
        <v>39.11</v>
      </c>
      <c r="E76" s="165">
        <v>25.29</v>
      </c>
      <c r="F76" s="165">
        <v>32.86</v>
      </c>
      <c r="G76" s="165">
        <v>62.07</v>
      </c>
      <c r="H76" s="165">
        <v>29.03</v>
      </c>
      <c r="I76" s="165">
        <v>5.26</v>
      </c>
      <c r="J76" s="165">
        <v>0.2</v>
      </c>
      <c r="K76" s="165">
        <v>82.13</v>
      </c>
      <c r="L76" s="165">
        <v>34.19</v>
      </c>
      <c r="M76" s="165">
        <v>26.72</v>
      </c>
      <c r="N76" s="165">
        <v>41.1</v>
      </c>
      <c r="O76" s="165">
        <v>0</v>
      </c>
      <c r="P76" s="165">
        <v>0.72</v>
      </c>
      <c r="Q76" s="165">
        <v>5</v>
      </c>
      <c r="R76" s="13"/>
      <c r="S76" s="13"/>
      <c r="T76" s="213"/>
      <c r="U76" s="13"/>
    </row>
    <row r="77" customFormat="1" spans="1:21">
      <c r="A77" s="142" t="s">
        <v>604</v>
      </c>
      <c r="B77" s="165">
        <v>11.52</v>
      </c>
      <c r="C77" s="165">
        <v>67.17</v>
      </c>
      <c r="D77" s="165">
        <v>45.2</v>
      </c>
      <c r="E77" s="165">
        <v>22.92</v>
      </c>
      <c r="F77" s="165">
        <v>19.22</v>
      </c>
      <c r="G77" s="165">
        <v>62.07</v>
      </c>
      <c r="H77" s="165">
        <v>29.03</v>
      </c>
      <c r="I77" s="165">
        <v>5.08</v>
      </c>
      <c r="J77" s="165">
        <v>0.51</v>
      </c>
      <c r="K77" s="165">
        <v>49.36</v>
      </c>
      <c r="L77" s="165">
        <v>33.92</v>
      </c>
      <c r="M77" s="165">
        <v>27.72</v>
      </c>
      <c r="N77" s="165">
        <v>57.9</v>
      </c>
      <c r="O77" s="165">
        <v>0</v>
      </c>
      <c r="P77" s="165">
        <v>0.8</v>
      </c>
      <c r="Q77" s="165">
        <v>5</v>
      </c>
      <c r="R77" s="13"/>
      <c r="S77" s="13"/>
      <c r="T77" s="213"/>
      <c r="U77" s="13"/>
    </row>
    <row r="78" customFormat="1" spans="1:21">
      <c r="A78" s="142" t="s">
        <v>605</v>
      </c>
      <c r="B78" s="165">
        <v>13.29</v>
      </c>
      <c r="C78" s="165">
        <v>68.42</v>
      </c>
      <c r="D78" s="165">
        <v>47.28</v>
      </c>
      <c r="E78" s="165">
        <v>24.03</v>
      </c>
      <c r="F78" s="165">
        <v>20.09</v>
      </c>
      <c r="G78" s="165">
        <v>62.88</v>
      </c>
      <c r="H78" s="165">
        <v>29.1</v>
      </c>
      <c r="I78" s="165">
        <v>5.28</v>
      </c>
      <c r="J78" s="165">
        <v>0.34</v>
      </c>
      <c r="K78" s="165">
        <v>72.66</v>
      </c>
      <c r="L78" s="165">
        <v>33.69</v>
      </c>
      <c r="M78" s="165">
        <v>28.73</v>
      </c>
      <c r="N78" s="165">
        <v>37.3</v>
      </c>
      <c r="O78" s="165">
        <v>0</v>
      </c>
      <c r="P78" s="165">
        <v>0.84</v>
      </c>
      <c r="Q78" s="165">
        <v>5</v>
      </c>
      <c r="R78" s="13"/>
      <c r="S78" s="13"/>
      <c r="T78" s="213"/>
      <c r="U78" s="13"/>
    </row>
    <row r="79" customFormat="1" spans="1:21">
      <c r="A79" s="142" t="s">
        <v>606</v>
      </c>
      <c r="B79" s="165">
        <v>9.45</v>
      </c>
      <c r="C79" s="165">
        <v>61</v>
      </c>
      <c r="D79" s="165">
        <v>40.32</v>
      </c>
      <c r="E79" s="165">
        <v>22.3</v>
      </c>
      <c r="F79" s="165">
        <v>23.58</v>
      </c>
      <c r="G79" s="165">
        <v>98.2</v>
      </c>
      <c r="H79" s="165">
        <v>31.39</v>
      </c>
      <c r="I79" s="165">
        <v>5.56</v>
      </c>
      <c r="J79" s="165">
        <v>0.27</v>
      </c>
      <c r="K79" s="165">
        <v>161.72</v>
      </c>
      <c r="L79" s="165">
        <v>32.73</v>
      </c>
      <c r="M79" s="165">
        <v>32.71</v>
      </c>
      <c r="N79" s="165">
        <v>9.5</v>
      </c>
      <c r="O79" s="165">
        <v>0</v>
      </c>
      <c r="P79" s="165">
        <v>0.75</v>
      </c>
      <c r="Q79" s="165">
        <v>5</v>
      </c>
      <c r="R79" s="13"/>
      <c r="S79" s="13"/>
      <c r="T79" s="213"/>
      <c r="U79" s="13"/>
    </row>
    <row r="80" customFormat="1" spans="1:21">
      <c r="A80" s="142" t="s">
        <v>607</v>
      </c>
      <c r="B80" s="165">
        <v>9.73</v>
      </c>
      <c r="C80" s="165">
        <v>62.48</v>
      </c>
      <c r="D80" s="165">
        <v>41.33</v>
      </c>
      <c r="E80" s="165">
        <v>21.5</v>
      </c>
      <c r="F80" s="165">
        <v>19.58</v>
      </c>
      <c r="G80" s="165">
        <v>98.2</v>
      </c>
      <c r="H80" s="165">
        <v>31.39</v>
      </c>
      <c r="I80" s="165">
        <v>5.73</v>
      </c>
      <c r="J80" s="165">
        <v>0.27</v>
      </c>
      <c r="K80" s="165">
        <v>156.68</v>
      </c>
      <c r="L80" s="165">
        <v>32.27</v>
      </c>
      <c r="M80" s="165">
        <v>33.52</v>
      </c>
      <c r="N80" s="165">
        <v>5.6</v>
      </c>
      <c r="O80" s="165">
        <v>0</v>
      </c>
      <c r="P80" s="165">
        <v>0.79</v>
      </c>
      <c r="Q80" s="165">
        <v>5</v>
      </c>
      <c r="R80" s="13"/>
      <c r="S80" s="13"/>
      <c r="T80" s="213"/>
      <c r="U80" s="13"/>
    </row>
    <row r="81" customFormat="1" spans="1:21">
      <c r="A81" s="142" t="s">
        <v>608</v>
      </c>
      <c r="B81" s="165">
        <v>12.28</v>
      </c>
      <c r="C81" s="165">
        <v>67.83</v>
      </c>
      <c r="D81" s="165">
        <v>46.16</v>
      </c>
      <c r="E81" s="165">
        <v>8.75</v>
      </c>
      <c r="F81" s="165">
        <v>11.49</v>
      </c>
      <c r="G81" s="165">
        <v>98.2</v>
      </c>
      <c r="H81" s="165">
        <v>31.39</v>
      </c>
      <c r="I81" s="165">
        <v>5.59</v>
      </c>
      <c r="J81" s="165">
        <v>0.22</v>
      </c>
      <c r="K81" s="165">
        <v>157.02</v>
      </c>
      <c r="L81" s="165">
        <v>31.93</v>
      </c>
      <c r="M81" s="165">
        <v>35.24</v>
      </c>
      <c r="N81" s="165">
        <v>3.5</v>
      </c>
      <c r="O81" s="165">
        <v>0</v>
      </c>
      <c r="P81" s="165">
        <v>0.84</v>
      </c>
      <c r="Q81" s="165">
        <v>5</v>
      </c>
      <c r="R81" s="13"/>
      <c r="S81" s="13"/>
      <c r="T81" s="213"/>
      <c r="U81" s="13"/>
    </row>
    <row r="82" customFormat="1" spans="1:21">
      <c r="A82" s="142" t="s">
        <v>609</v>
      </c>
      <c r="B82" s="165">
        <v>10.72</v>
      </c>
      <c r="C82" s="165">
        <v>65.6</v>
      </c>
      <c r="D82" s="165">
        <v>43.74</v>
      </c>
      <c r="E82" s="165">
        <v>15.39</v>
      </c>
      <c r="F82" s="165">
        <v>14.53</v>
      </c>
      <c r="G82" s="165">
        <v>97.97</v>
      </c>
      <c r="H82" s="165">
        <v>31.4</v>
      </c>
      <c r="I82" s="165">
        <v>5.66</v>
      </c>
      <c r="J82" s="165">
        <v>0.19</v>
      </c>
      <c r="K82" s="165">
        <v>170.88</v>
      </c>
      <c r="L82" s="165">
        <v>31.33</v>
      </c>
      <c r="M82" s="165">
        <v>38.94</v>
      </c>
      <c r="N82" s="165">
        <v>0</v>
      </c>
      <c r="O82" s="165">
        <v>0</v>
      </c>
      <c r="P82" s="165">
        <v>0.83</v>
      </c>
      <c r="Q82" s="165">
        <v>5</v>
      </c>
      <c r="R82" s="13"/>
      <c r="S82" s="13"/>
      <c r="T82" s="213"/>
      <c r="U82" s="13"/>
    </row>
    <row r="83" customFormat="1" spans="1:21">
      <c r="A83" s="142" t="s">
        <v>610</v>
      </c>
      <c r="B83" s="165">
        <v>10.43</v>
      </c>
      <c r="C83" s="165">
        <v>61.74</v>
      </c>
      <c r="D83" s="165">
        <v>41.49</v>
      </c>
      <c r="E83" s="165">
        <v>16.82</v>
      </c>
      <c r="F83" s="165">
        <v>16.7</v>
      </c>
      <c r="G83" s="165">
        <v>88.01</v>
      </c>
      <c r="H83" s="165">
        <v>31.8</v>
      </c>
      <c r="I83" s="165">
        <v>6.03</v>
      </c>
      <c r="J83" s="165">
        <v>0.23</v>
      </c>
      <c r="K83" s="165">
        <v>144.99</v>
      </c>
      <c r="L83" s="165">
        <v>30.79</v>
      </c>
      <c r="M83" s="165">
        <v>38.58</v>
      </c>
      <c r="N83" s="165">
        <v>0</v>
      </c>
      <c r="O83" s="165">
        <v>0</v>
      </c>
      <c r="P83" s="165">
        <v>0.83</v>
      </c>
      <c r="Q83" s="165">
        <v>5</v>
      </c>
      <c r="R83" s="13"/>
      <c r="S83" s="13"/>
      <c r="T83" s="213"/>
      <c r="U83" s="13"/>
    </row>
    <row r="84" customFormat="1" spans="1:21">
      <c r="A84" s="142" t="s">
        <v>611</v>
      </c>
      <c r="B84" s="165">
        <v>10.86</v>
      </c>
      <c r="C84" s="165">
        <v>57.66</v>
      </c>
      <c r="D84" s="165">
        <v>39.71</v>
      </c>
      <c r="E84" s="165">
        <v>15.11</v>
      </c>
      <c r="F84" s="165">
        <v>16.49</v>
      </c>
      <c r="G84" s="165">
        <v>88.01</v>
      </c>
      <c r="H84" s="165">
        <v>31.8</v>
      </c>
      <c r="I84" s="165">
        <v>6.2</v>
      </c>
      <c r="J84" s="165">
        <v>0.24</v>
      </c>
      <c r="K84" s="165">
        <v>144.21</v>
      </c>
      <c r="L84" s="165">
        <v>30.45</v>
      </c>
      <c r="M84" s="165">
        <v>40.45</v>
      </c>
      <c r="N84" s="165">
        <v>0</v>
      </c>
      <c r="O84" s="165">
        <v>0</v>
      </c>
      <c r="P84" s="165">
        <v>0.81</v>
      </c>
      <c r="Q84" s="165">
        <v>5</v>
      </c>
      <c r="R84" s="13"/>
      <c r="S84" s="13"/>
      <c r="T84" s="213"/>
      <c r="U84" s="13"/>
    </row>
    <row r="85" customFormat="1" spans="1:21">
      <c r="A85" s="142" t="s">
        <v>612</v>
      </c>
      <c r="B85" s="165">
        <v>11.68</v>
      </c>
      <c r="C85" s="165">
        <v>59.76</v>
      </c>
      <c r="D85" s="165">
        <v>41.46</v>
      </c>
      <c r="E85" s="165">
        <v>13.83</v>
      </c>
      <c r="F85" s="165">
        <v>12.03</v>
      </c>
      <c r="G85" s="165">
        <v>88.01</v>
      </c>
      <c r="H85" s="165">
        <v>31.8</v>
      </c>
      <c r="I85" s="165">
        <v>6.2</v>
      </c>
      <c r="J85" s="165">
        <v>0.25</v>
      </c>
      <c r="K85" s="165">
        <v>159.53</v>
      </c>
      <c r="L85" s="165">
        <v>29.96</v>
      </c>
      <c r="M85" s="165">
        <v>44.51</v>
      </c>
      <c r="N85" s="165">
        <v>0</v>
      </c>
      <c r="O85" s="165">
        <v>0</v>
      </c>
      <c r="P85" s="165">
        <v>0.83</v>
      </c>
      <c r="Q85" s="165">
        <v>5</v>
      </c>
      <c r="R85" s="13"/>
      <c r="S85" s="13"/>
      <c r="T85" s="213"/>
      <c r="U85" s="13"/>
    </row>
    <row r="86" customFormat="1" spans="1:21">
      <c r="A86" s="142" t="s">
        <v>613</v>
      </c>
      <c r="B86" s="165">
        <v>12.04</v>
      </c>
      <c r="C86" s="165">
        <v>59.83</v>
      </c>
      <c r="D86" s="165">
        <v>41.79</v>
      </c>
      <c r="E86" s="165">
        <v>13.4</v>
      </c>
      <c r="F86" s="165">
        <v>15.12</v>
      </c>
      <c r="G86" s="165">
        <v>87.76</v>
      </c>
      <c r="H86" s="165">
        <v>31.67</v>
      </c>
      <c r="I86" s="165">
        <v>6.45</v>
      </c>
      <c r="J86" s="165">
        <v>0.2</v>
      </c>
      <c r="K86" s="165">
        <v>155.82</v>
      </c>
      <c r="L86" s="165">
        <v>29.48</v>
      </c>
      <c r="M86" s="165">
        <v>42.83</v>
      </c>
      <c r="N86" s="165">
        <v>0</v>
      </c>
      <c r="O86" s="165">
        <v>0</v>
      </c>
      <c r="P86" s="165">
        <v>0.82</v>
      </c>
      <c r="Q86" s="165">
        <v>5</v>
      </c>
      <c r="R86" s="13"/>
      <c r="S86" s="13"/>
      <c r="T86" s="213"/>
      <c r="U86" s="13"/>
    </row>
    <row r="87" customFormat="1" spans="1:21">
      <c r="A87" s="142" t="s">
        <v>614</v>
      </c>
      <c r="B87" s="165">
        <v>13.09</v>
      </c>
      <c r="C87" s="165">
        <v>62.69</v>
      </c>
      <c r="D87" s="165">
        <v>44.12</v>
      </c>
      <c r="E87" s="165">
        <v>12.55</v>
      </c>
      <c r="F87" s="165">
        <v>8.8</v>
      </c>
      <c r="G87" s="165">
        <v>76.91</v>
      </c>
      <c r="H87" s="165">
        <v>27.63</v>
      </c>
      <c r="I87" s="165">
        <v>6.62</v>
      </c>
      <c r="J87" s="165">
        <v>0.22</v>
      </c>
      <c r="K87" s="165">
        <v>164.67</v>
      </c>
      <c r="L87" s="165">
        <v>29.09</v>
      </c>
      <c r="M87" s="165">
        <v>46.79</v>
      </c>
      <c r="N87" s="165">
        <v>0</v>
      </c>
      <c r="O87" s="165">
        <v>0</v>
      </c>
      <c r="P87" s="165">
        <v>0.83</v>
      </c>
      <c r="Q87" s="165">
        <v>5</v>
      </c>
      <c r="R87" s="13"/>
      <c r="S87" s="13"/>
      <c r="T87" s="213"/>
      <c r="U87" s="13"/>
    </row>
    <row r="88" customFormat="1" spans="1:21">
      <c r="A88" s="142" t="s">
        <v>615</v>
      </c>
      <c r="B88" s="165">
        <v>13.75</v>
      </c>
      <c r="C88" s="165">
        <v>62.14</v>
      </c>
      <c r="D88" s="165">
        <v>44.36</v>
      </c>
      <c r="E88" s="165">
        <v>10.99</v>
      </c>
      <c r="F88" s="165">
        <v>7.87</v>
      </c>
      <c r="G88" s="165">
        <v>76.91</v>
      </c>
      <c r="H88" s="165">
        <v>27.63</v>
      </c>
      <c r="I88" s="165">
        <v>6.39</v>
      </c>
      <c r="J88" s="165">
        <v>0.12</v>
      </c>
      <c r="K88" s="165">
        <v>228.67</v>
      </c>
      <c r="L88" s="165">
        <v>28.25</v>
      </c>
      <c r="M88" s="165">
        <v>47.65</v>
      </c>
      <c r="N88" s="165">
        <v>0</v>
      </c>
      <c r="O88" s="165">
        <v>0</v>
      </c>
      <c r="P88" s="165">
        <v>0.85</v>
      </c>
      <c r="Q88" s="165">
        <v>5</v>
      </c>
      <c r="R88" s="13"/>
      <c r="S88" s="13"/>
      <c r="T88" s="213"/>
      <c r="U88" s="13"/>
    </row>
    <row r="89" customFormat="1" spans="1:21">
      <c r="A89" s="142" t="s">
        <v>616</v>
      </c>
      <c r="B89" s="165">
        <v>14.02</v>
      </c>
      <c r="C89" s="165">
        <v>61.88</v>
      </c>
      <c r="D89" s="165">
        <v>44.44</v>
      </c>
      <c r="E89" s="165">
        <v>11.39</v>
      </c>
      <c r="F89" s="165">
        <v>8.37</v>
      </c>
      <c r="G89" s="165">
        <v>76.91</v>
      </c>
      <c r="H89" s="165">
        <v>27.63</v>
      </c>
      <c r="I89" s="165">
        <v>6.41</v>
      </c>
      <c r="J89" s="165">
        <v>0.14</v>
      </c>
      <c r="K89" s="165">
        <v>202.35</v>
      </c>
      <c r="L89" s="165">
        <v>28.06</v>
      </c>
      <c r="M89" s="165">
        <v>46.56</v>
      </c>
      <c r="N89" s="165">
        <v>0</v>
      </c>
      <c r="O89" s="165">
        <v>0</v>
      </c>
      <c r="P89" s="165">
        <v>0.84</v>
      </c>
      <c r="Q89" s="165">
        <v>5</v>
      </c>
      <c r="R89" s="13"/>
      <c r="S89" s="13"/>
      <c r="T89" s="213"/>
      <c r="U89" s="13"/>
    </row>
    <row r="90" customFormat="1" spans="1:21">
      <c r="A90" s="142" t="s">
        <v>617</v>
      </c>
      <c r="B90" s="165">
        <v>15.08</v>
      </c>
      <c r="C90" s="165">
        <v>63.9</v>
      </c>
      <c r="D90" s="165">
        <v>46.35</v>
      </c>
      <c r="E90" s="165">
        <v>10.21</v>
      </c>
      <c r="F90" s="165">
        <v>6.88</v>
      </c>
      <c r="G90" s="165">
        <v>77.16</v>
      </c>
      <c r="H90" s="165">
        <v>27.59</v>
      </c>
      <c r="I90" s="165">
        <v>6.57</v>
      </c>
      <c r="J90" s="165">
        <v>0.17</v>
      </c>
      <c r="K90" s="165">
        <v>173.15</v>
      </c>
      <c r="L90" s="165">
        <v>27.69</v>
      </c>
      <c r="M90" s="165">
        <v>48.24</v>
      </c>
      <c r="N90" s="165">
        <v>0</v>
      </c>
      <c r="O90" s="165">
        <v>0</v>
      </c>
      <c r="P90" s="165">
        <v>0.84</v>
      </c>
      <c r="Q90" s="165">
        <v>5</v>
      </c>
      <c r="R90" s="13"/>
      <c r="S90" s="13"/>
      <c r="T90" s="213"/>
      <c r="U90" s="13"/>
    </row>
    <row r="91" customFormat="1" spans="1:21">
      <c r="A91" s="142" t="s">
        <v>618</v>
      </c>
      <c r="B91" s="165">
        <v>16.34</v>
      </c>
      <c r="C91" s="165">
        <v>67.59</v>
      </c>
      <c r="D91" s="165">
        <v>49.29</v>
      </c>
      <c r="E91" s="165">
        <v>9.59</v>
      </c>
      <c r="F91" s="165">
        <v>5.18</v>
      </c>
      <c r="G91" s="165">
        <v>88.22</v>
      </c>
      <c r="H91" s="165">
        <v>26.29</v>
      </c>
      <c r="I91" s="165">
        <v>6.63</v>
      </c>
      <c r="J91" s="165">
        <v>0.15</v>
      </c>
      <c r="K91" s="165">
        <v>168.72</v>
      </c>
      <c r="L91" s="165">
        <v>27.21</v>
      </c>
      <c r="M91" s="165">
        <v>49.83</v>
      </c>
      <c r="N91" s="165">
        <v>0</v>
      </c>
      <c r="O91" s="165">
        <v>0</v>
      </c>
      <c r="P91" s="165">
        <v>0.85</v>
      </c>
      <c r="Q91" s="165">
        <v>5</v>
      </c>
      <c r="R91" s="13"/>
      <c r="S91" s="13"/>
      <c r="T91" s="213"/>
      <c r="U91" s="13"/>
    </row>
    <row r="92" customFormat="1" spans="1:21">
      <c r="A92" s="142" t="s">
        <v>619</v>
      </c>
      <c r="B92" s="165">
        <v>17.05</v>
      </c>
      <c r="C92" s="165">
        <v>69.78</v>
      </c>
      <c r="D92" s="165">
        <v>51.01</v>
      </c>
      <c r="E92" s="165">
        <v>9.05</v>
      </c>
      <c r="F92" s="165">
        <v>4.4</v>
      </c>
      <c r="G92" s="165">
        <v>88.22</v>
      </c>
      <c r="H92" s="165">
        <v>26.29</v>
      </c>
      <c r="I92" s="165">
        <v>6.72</v>
      </c>
      <c r="J92" s="165">
        <v>0.18</v>
      </c>
      <c r="K92" s="165">
        <v>212.77</v>
      </c>
      <c r="L92" s="165">
        <v>26.92</v>
      </c>
      <c r="M92" s="165">
        <v>50.31</v>
      </c>
      <c r="N92" s="165">
        <v>0</v>
      </c>
      <c r="O92" s="165">
        <v>0</v>
      </c>
      <c r="P92" s="165">
        <v>0.87</v>
      </c>
      <c r="Q92" s="165">
        <v>5</v>
      </c>
      <c r="R92" s="13"/>
      <c r="S92" s="13"/>
      <c r="T92" s="213"/>
      <c r="U92" s="13"/>
    </row>
    <row r="93" customFormat="1" spans="1:21">
      <c r="A93" s="142" t="s">
        <v>620</v>
      </c>
      <c r="B93" s="165">
        <v>17.38</v>
      </c>
      <c r="C93" s="165">
        <v>69.67</v>
      </c>
      <c r="D93" s="165">
        <v>51.21</v>
      </c>
      <c r="E93" s="165">
        <v>8.6</v>
      </c>
      <c r="F93" s="165">
        <v>4.15</v>
      </c>
      <c r="G93" s="165">
        <v>88.22</v>
      </c>
      <c r="H93" s="165">
        <v>26.29</v>
      </c>
      <c r="I93" s="165">
        <v>6.84</v>
      </c>
      <c r="J93" s="165">
        <v>0.09</v>
      </c>
      <c r="K93" s="165">
        <v>169.59</v>
      </c>
      <c r="L93" s="165">
        <v>26.68</v>
      </c>
      <c r="M93" s="165">
        <v>52.3</v>
      </c>
      <c r="N93" s="165">
        <v>0</v>
      </c>
      <c r="O93" s="165">
        <v>0</v>
      </c>
      <c r="P93" s="165">
        <v>0.87</v>
      </c>
      <c r="Q93" s="165">
        <v>5</v>
      </c>
      <c r="R93" s="13"/>
      <c r="S93" s="13"/>
      <c r="T93" s="213"/>
      <c r="U93" s="13"/>
    </row>
    <row r="94" customFormat="1" spans="1:21">
      <c r="A94" s="142" t="s">
        <v>621</v>
      </c>
      <c r="B94" s="165">
        <v>17.24</v>
      </c>
      <c r="C94" s="165">
        <v>66.81</v>
      </c>
      <c r="D94" s="165">
        <v>49.6</v>
      </c>
      <c r="E94" s="165">
        <v>8.53</v>
      </c>
      <c r="F94" s="165">
        <v>5.53</v>
      </c>
      <c r="G94" s="165">
        <v>87.9</v>
      </c>
      <c r="H94" s="165">
        <v>26.37</v>
      </c>
      <c r="I94" s="165">
        <v>6.9</v>
      </c>
      <c r="J94" s="165">
        <v>0.34</v>
      </c>
      <c r="K94" s="165">
        <v>225.86</v>
      </c>
      <c r="L94" s="165">
        <v>27.46</v>
      </c>
      <c r="M94" s="165">
        <v>51.78</v>
      </c>
      <c r="N94" s="165">
        <v>0</v>
      </c>
      <c r="O94" s="165">
        <v>0</v>
      </c>
      <c r="P94" s="165">
        <v>0.88</v>
      </c>
      <c r="Q94" s="165">
        <v>5</v>
      </c>
      <c r="R94" s="13"/>
      <c r="S94" s="13"/>
      <c r="T94" s="213"/>
      <c r="U94" s="13"/>
    </row>
    <row r="95" customFormat="1" spans="1:21">
      <c r="A95" s="142" t="s">
        <v>622</v>
      </c>
      <c r="B95" s="165">
        <v>15.93</v>
      </c>
      <c r="C95" s="165">
        <v>65.31</v>
      </c>
      <c r="D95" s="165">
        <v>47.78</v>
      </c>
      <c r="E95" s="165">
        <v>7.98</v>
      </c>
      <c r="F95" s="165">
        <v>6.8</v>
      </c>
      <c r="G95" s="165">
        <v>73.54</v>
      </c>
      <c r="H95" s="165">
        <v>29.01</v>
      </c>
      <c r="I95" s="165">
        <v>6.96</v>
      </c>
      <c r="J95" s="165">
        <v>0.29</v>
      </c>
      <c r="K95" s="165">
        <v>216.47</v>
      </c>
      <c r="L95" s="165">
        <v>27.7</v>
      </c>
      <c r="M95" s="165">
        <v>53.53</v>
      </c>
      <c r="N95" s="165">
        <v>0</v>
      </c>
      <c r="O95" s="165">
        <v>0</v>
      </c>
      <c r="P95" s="165">
        <v>0.86</v>
      </c>
      <c r="Q95" s="165">
        <v>5</v>
      </c>
      <c r="R95" s="13"/>
      <c r="S95" s="13"/>
      <c r="T95" s="213"/>
      <c r="U95" s="13"/>
    </row>
    <row r="96" customFormat="1" spans="1:26">
      <c r="A96" s="142" t="s">
        <v>623</v>
      </c>
      <c r="B96" s="165">
        <v>15.77</v>
      </c>
      <c r="C96" s="165">
        <v>64.54</v>
      </c>
      <c r="D96" s="165">
        <v>47.24</v>
      </c>
      <c r="E96" s="165">
        <v>7.71</v>
      </c>
      <c r="F96" s="165">
        <v>6.6</v>
      </c>
      <c r="G96" s="165">
        <v>73.54</v>
      </c>
      <c r="H96" s="165">
        <v>29.01</v>
      </c>
      <c r="I96" s="165">
        <v>6.96</v>
      </c>
      <c r="J96" s="165">
        <v>0.2</v>
      </c>
      <c r="K96" s="165">
        <v>199.56</v>
      </c>
      <c r="L96" s="165">
        <v>27.38</v>
      </c>
      <c r="M96" s="165">
        <v>55.84</v>
      </c>
      <c r="N96" s="165">
        <v>0</v>
      </c>
      <c r="O96" s="165">
        <v>0</v>
      </c>
      <c r="P96" s="165">
        <v>0.84</v>
      </c>
      <c r="Q96" s="165">
        <v>5</v>
      </c>
      <c r="R96" s="13"/>
      <c r="S96" s="13"/>
      <c r="T96" s="213"/>
      <c r="U96" s="13"/>
      <c r="Z96" s="222"/>
    </row>
    <row r="97" customFormat="1" spans="1:21">
      <c r="A97" s="142" t="s">
        <v>624</v>
      </c>
      <c r="B97" s="165">
        <v>15.83</v>
      </c>
      <c r="C97" s="165">
        <v>67.06</v>
      </c>
      <c r="D97" s="165">
        <v>48.61</v>
      </c>
      <c r="E97" s="165">
        <v>7.77</v>
      </c>
      <c r="F97" s="165">
        <v>5.72</v>
      </c>
      <c r="G97" s="165">
        <v>73.54</v>
      </c>
      <c r="H97" s="165">
        <v>29.01</v>
      </c>
      <c r="I97" s="165">
        <v>6.86</v>
      </c>
      <c r="J97" s="165">
        <v>0.17</v>
      </c>
      <c r="K97" s="165">
        <v>202.9</v>
      </c>
      <c r="L97" s="165">
        <v>27.08</v>
      </c>
      <c r="M97" s="165">
        <v>57.69</v>
      </c>
      <c r="N97" s="165">
        <v>0</v>
      </c>
      <c r="O97" s="165">
        <v>0</v>
      </c>
      <c r="P97" s="165">
        <v>0.83</v>
      </c>
      <c r="Q97" s="165">
        <v>5</v>
      </c>
      <c r="R97" s="13"/>
      <c r="S97" s="13"/>
      <c r="T97" s="213"/>
      <c r="U97" s="13"/>
    </row>
    <row r="98" customFormat="1" spans="1:21">
      <c r="A98" s="142" t="s">
        <v>625</v>
      </c>
      <c r="B98" s="165">
        <v>15.38</v>
      </c>
      <c r="C98" s="165">
        <v>67.44</v>
      </c>
      <c r="D98" s="165">
        <v>48.44</v>
      </c>
      <c r="E98" s="165">
        <v>7.51</v>
      </c>
      <c r="F98" s="165">
        <v>5.82</v>
      </c>
      <c r="G98" s="165">
        <v>73.13</v>
      </c>
      <c r="H98" s="165">
        <v>28.91</v>
      </c>
      <c r="I98" s="165">
        <v>6.72</v>
      </c>
      <c r="J98" s="165">
        <v>0.15</v>
      </c>
      <c r="K98" s="165">
        <v>165.15</v>
      </c>
      <c r="L98" s="165">
        <v>26.77</v>
      </c>
      <c r="M98" s="165">
        <v>59.45</v>
      </c>
      <c r="N98" s="165">
        <v>0</v>
      </c>
      <c r="O98" s="165">
        <v>0</v>
      </c>
      <c r="P98" s="165">
        <v>0.81</v>
      </c>
      <c r="Q98" s="165">
        <v>5</v>
      </c>
      <c r="R98" s="13"/>
      <c r="S98" s="13"/>
      <c r="T98" s="213"/>
      <c r="U98" s="13"/>
    </row>
    <row r="99" customFormat="1" spans="1:21">
      <c r="A99" s="142" t="s">
        <v>626</v>
      </c>
      <c r="B99" s="165">
        <v>14.71</v>
      </c>
      <c r="C99" s="165">
        <v>65.94</v>
      </c>
      <c r="D99" s="165">
        <v>47.12</v>
      </c>
      <c r="E99" s="165">
        <v>7.29</v>
      </c>
      <c r="F99" s="165">
        <v>5.37</v>
      </c>
      <c r="G99" s="165">
        <v>55.37</v>
      </c>
      <c r="H99" s="165">
        <v>25.79</v>
      </c>
      <c r="I99" s="165">
        <v>6.54</v>
      </c>
      <c r="J99" s="165">
        <v>0.23</v>
      </c>
      <c r="K99" s="165">
        <v>243.92</v>
      </c>
      <c r="L99" s="165">
        <v>26.42</v>
      </c>
      <c r="M99" s="165">
        <v>61.28</v>
      </c>
      <c r="N99" s="165">
        <v>0</v>
      </c>
      <c r="O99" s="165">
        <v>0</v>
      </c>
      <c r="P99" s="165">
        <v>0.8</v>
      </c>
      <c r="Q99" s="165">
        <v>5</v>
      </c>
      <c r="R99" s="13"/>
      <c r="S99" s="13"/>
      <c r="T99" s="213"/>
      <c r="U99" s="13"/>
    </row>
    <row r="100" customFormat="1" spans="1:33">
      <c r="A100" s="142" t="s">
        <v>627</v>
      </c>
      <c r="B100" s="165">
        <v>15.13</v>
      </c>
      <c r="C100" s="165">
        <v>68.64</v>
      </c>
      <c r="D100" s="165">
        <v>48.87</v>
      </c>
      <c r="E100" s="165">
        <v>7.37</v>
      </c>
      <c r="F100" s="165">
        <v>4.18</v>
      </c>
      <c r="G100" s="165">
        <v>55.37</v>
      </c>
      <c r="H100" s="165">
        <v>25.79</v>
      </c>
      <c r="I100" s="165">
        <v>6.37</v>
      </c>
      <c r="J100" s="165">
        <v>0.19</v>
      </c>
      <c r="K100" s="165">
        <v>224.22</v>
      </c>
      <c r="L100" s="165">
        <v>26.13</v>
      </c>
      <c r="M100" s="165">
        <v>62.91</v>
      </c>
      <c r="N100" s="165">
        <v>0</v>
      </c>
      <c r="O100" s="165">
        <v>0</v>
      </c>
      <c r="P100" s="165">
        <v>0.79</v>
      </c>
      <c r="Q100" s="165">
        <v>5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628</v>
      </c>
      <c r="B101" s="165">
        <v>15.06</v>
      </c>
      <c r="C101" s="165">
        <v>69.04</v>
      </c>
      <c r="D101" s="165">
        <v>49.02</v>
      </c>
      <c r="E101" s="165">
        <v>7.25</v>
      </c>
      <c r="F101" s="165">
        <v>4.16</v>
      </c>
      <c r="G101" s="165">
        <v>55.37</v>
      </c>
      <c r="H101" s="165">
        <v>25.79</v>
      </c>
      <c r="I101" s="165">
        <v>6.25</v>
      </c>
      <c r="J101" s="165">
        <v>0.16</v>
      </c>
      <c r="K101" s="165">
        <v>195.09</v>
      </c>
      <c r="L101" s="165">
        <v>25.92</v>
      </c>
      <c r="M101" s="165">
        <v>64.7</v>
      </c>
      <c r="N101" s="165">
        <v>0</v>
      </c>
      <c r="O101" s="165">
        <v>0</v>
      </c>
      <c r="P101" s="165">
        <v>0.77</v>
      </c>
      <c r="Q101" s="165">
        <v>5</v>
      </c>
      <c r="R101" s="13"/>
      <c r="S101" s="13"/>
      <c r="T101" s="213"/>
      <c r="U101" s="13"/>
    </row>
    <row r="102" customFormat="1" spans="1:21">
      <c r="A102" s="142" t="s">
        <v>629</v>
      </c>
      <c r="B102" s="165">
        <v>15.09</v>
      </c>
      <c r="C102" s="165">
        <v>68.97</v>
      </c>
      <c r="D102" s="165">
        <v>49.01</v>
      </c>
      <c r="E102" s="165">
        <v>7.26</v>
      </c>
      <c r="F102" s="165">
        <v>4.02</v>
      </c>
      <c r="G102" s="165">
        <v>54.91</v>
      </c>
      <c r="H102" s="165">
        <v>25.59</v>
      </c>
      <c r="I102" s="165">
        <v>6.13</v>
      </c>
      <c r="J102" s="165">
        <v>0.25</v>
      </c>
      <c r="K102" s="165">
        <v>198.61</v>
      </c>
      <c r="L102" s="165">
        <v>25.83</v>
      </c>
      <c r="M102" s="165">
        <v>65.89</v>
      </c>
      <c r="N102" s="165">
        <v>0</v>
      </c>
      <c r="O102" s="165">
        <v>0</v>
      </c>
      <c r="P102" s="165">
        <v>0.75</v>
      </c>
      <c r="Q102" s="165">
        <v>5</v>
      </c>
      <c r="R102" s="13"/>
      <c r="S102" s="13"/>
      <c r="T102" s="213"/>
      <c r="U102" s="13"/>
    </row>
    <row r="103" customFormat="1" spans="1:21">
      <c r="A103" s="142" t="s">
        <v>630</v>
      </c>
      <c r="B103" s="165">
        <v>15.02</v>
      </c>
      <c r="C103" s="165">
        <v>69.23</v>
      </c>
      <c r="D103" s="165">
        <v>49.09</v>
      </c>
      <c r="E103" s="165">
        <v>7.45</v>
      </c>
      <c r="F103" s="165">
        <v>4.07</v>
      </c>
      <c r="G103" s="165">
        <v>34.74</v>
      </c>
      <c r="H103" s="165">
        <v>19.34</v>
      </c>
      <c r="I103" s="165">
        <v>5.98</v>
      </c>
      <c r="J103" s="165">
        <v>0.27</v>
      </c>
      <c r="K103" s="165">
        <v>212.84</v>
      </c>
      <c r="L103" s="165">
        <v>25.68</v>
      </c>
      <c r="M103" s="165">
        <v>67.38</v>
      </c>
      <c r="N103" s="165">
        <v>0</v>
      </c>
      <c r="O103" s="165">
        <v>0</v>
      </c>
      <c r="P103" s="165">
        <v>0.74</v>
      </c>
      <c r="Q103" s="165">
        <v>5</v>
      </c>
      <c r="R103" s="13"/>
      <c r="S103" s="13"/>
      <c r="T103" s="213"/>
      <c r="U103" s="13"/>
    </row>
    <row r="104" customFormat="1" spans="1:21">
      <c r="A104" s="142" t="s">
        <v>631</v>
      </c>
      <c r="B104" s="165">
        <v>15.1</v>
      </c>
      <c r="C104" s="165">
        <v>69.01</v>
      </c>
      <c r="D104" s="165">
        <v>49.04</v>
      </c>
      <c r="E104" s="165">
        <v>7.09</v>
      </c>
      <c r="F104" s="165">
        <v>3.97</v>
      </c>
      <c r="G104" s="165">
        <v>34.74</v>
      </c>
      <c r="H104" s="165">
        <v>19.34</v>
      </c>
      <c r="I104" s="165">
        <v>5.83</v>
      </c>
      <c r="J104" s="165">
        <v>0.21</v>
      </c>
      <c r="K104" s="165">
        <v>199.56</v>
      </c>
      <c r="L104" s="165">
        <v>25.51</v>
      </c>
      <c r="M104" s="165">
        <v>68.39</v>
      </c>
      <c r="N104" s="165">
        <v>0</v>
      </c>
      <c r="O104" s="165">
        <v>0</v>
      </c>
      <c r="P104" s="165">
        <v>0.73</v>
      </c>
      <c r="Q104" s="165">
        <v>5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8.63</v>
      </c>
      <c r="C106" s="215">
        <f>MIN(C9:C104)</f>
        <v>57.66</v>
      </c>
      <c r="D106" s="215">
        <f t="shared" ref="D106:Q106" si="0">MIN(D9:D104)</f>
        <v>39.11</v>
      </c>
      <c r="E106" s="215">
        <f t="shared" si="0"/>
        <v>5.43</v>
      </c>
      <c r="F106" s="215">
        <f t="shared" si="0"/>
        <v>3.58</v>
      </c>
      <c r="G106" s="215">
        <f t="shared" si="0"/>
        <v>34.74</v>
      </c>
      <c r="H106" s="215">
        <f t="shared" si="0"/>
        <v>19.34</v>
      </c>
      <c r="I106" s="215">
        <f t="shared" si="0"/>
        <v>5.08</v>
      </c>
      <c r="J106" s="215">
        <f t="shared" si="0"/>
        <v>0.04</v>
      </c>
      <c r="K106" s="215">
        <f t="shared" si="0"/>
        <v>11.69</v>
      </c>
      <c r="L106" s="215">
        <f t="shared" si="0"/>
        <v>22.99</v>
      </c>
      <c r="M106" s="215">
        <f t="shared" si="0"/>
        <v>23.85</v>
      </c>
      <c r="N106" s="215">
        <f t="shared" si="0"/>
        <v>0</v>
      </c>
      <c r="O106" s="215">
        <f t="shared" si="0"/>
        <v>0</v>
      </c>
      <c r="P106" s="215">
        <f t="shared" si="0"/>
        <v>0.66</v>
      </c>
      <c r="Q106" s="215">
        <f t="shared" si="0"/>
        <v>5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36.75</v>
      </c>
      <c r="C107" s="216">
        <f t="shared" ref="C107:Q107" si="1">MAX(C9:C104)</f>
        <v>79.73</v>
      </c>
      <c r="D107" s="216">
        <f t="shared" si="1"/>
        <v>66.83</v>
      </c>
      <c r="E107" s="216">
        <f t="shared" si="1"/>
        <v>37.65</v>
      </c>
      <c r="F107" s="216">
        <f t="shared" si="1"/>
        <v>32.86</v>
      </c>
      <c r="G107" s="216">
        <f t="shared" si="1"/>
        <v>174.56</v>
      </c>
      <c r="H107" s="216">
        <f t="shared" si="1"/>
        <v>46.04</v>
      </c>
      <c r="I107" s="216">
        <f t="shared" si="1"/>
        <v>8.01</v>
      </c>
      <c r="J107" s="216">
        <f t="shared" si="1"/>
        <v>1.36</v>
      </c>
      <c r="K107" s="216">
        <f t="shared" si="1"/>
        <v>352.33</v>
      </c>
      <c r="L107" s="216">
        <f t="shared" si="1"/>
        <v>36.3</v>
      </c>
      <c r="M107" s="216">
        <f t="shared" si="1"/>
        <v>72.68</v>
      </c>
      <c r="N107" s="216">
        <f t="shared" si="1"/>
        <v>703.5</v>
      </c>
      <c r="O107" s="216">
        <f t="shared" si="1"/>
        <v>0</v>
      </c>
      <c r="P107" s="216">
        <f t="shared" si="1"/>
        <v>1</v>
      </c>
      <c r="Q107" s="216">
        <f t="shared" si="1"/>
        <v>5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21.7741666666667</v>
      </c>
      <c r="C108" s="215">
        <f t="shared" ref="C108:Q108" si="2">AVERAGE(C9:C104)</f>
        <v>68.4797916666667</v>
      </c>
      <c r="D108" s="215">
        <f t="shared" si="2"/>
        <v>54.13125</v>
      </c>
      <c r="E108" s="215">
        <f t="shared" si="2"/>
        <v>13.105625</v>
      </c>
      <c r="F108" s="215">
        <f t="shared" si="2"/>
        <v>8.99916666666667</v>
      </c>
      <c r="G108" s="215">
        <f t="shared" si="2"/>
        <v>85.5072916666666</v>
      </c>
      <c r="H108" s="215">
        <f t="shared" si="2"/>
        <v>28.9690625</v>
      </c>
      <c r="I108" s="215">
        <f t="shared" si="2"/>
        <v>6.48166666666667</v>
      </c>
      <c r="J108" s="215">
        <f t="shared" si="2"/>
        <v>0.401354166666667</v>
      </c>
      <c r="K108" s="215">
        <f t="shared" si="2"/>
        <v>151.930729166667</v>
      </c>
      <c r="L108" s="215">
        <f t="shared" si="2"/>
        <v>28.7880208333333</v>
      </c>
      <c r="M108" s="215">
        <f t="shared" si="2"/>
        <v>49.1217708333333</v>
      </c>
      <c r="N108" s="215">
        <f t="shared" si="2"/>
        <v>134.085416666667</v>
      </c>
      <c r="O108" s="215">
        <f t="shared" si="2"/>
        <v>0</v>
      </c>
      <c r="P108" s="215">
        <f t="shared" si="2"/>
        <v>0.7959375</v>
      </c>
      <c r="Q108" s="215">
        <f t="shared" si="2"/>
        <v>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9.33009501465318</v>
      </c>
      <c r="C109" s="215">
        <f t="shared" ref="C109:Q109" si="3">STDEV(C9:C104)</f>
        <v>4.46219841479315</v>
      </c>
      <c r="D109" s="215">
        <f t="shared" si="3"/>
        <v>8.01677140027147</v>
      </c>
      <c r="E109" s="215">
        <f t="shared" si="3"/>
        <v>6.95914510970239</v>
      </c>
      <c r="F109" s="215">
        <f t="shared" si="3"/>
        <v>6.97978353859302</v>
      </c>
      <c r="G109" s="215">
        <f t="shared" si="3"/>
        <v>35.9092452977068</v>
      </c>
      <c r="H109" s="215">
        <f t="shared" si="3"/>
        <v>7.55196162430663</v>
      </c>
      <c r="I109" s="215">
        <f t="shared" si="3"/>
        <v>0.689692023818819</v>
      </c>
      <c r="J109" s="215">
        <f t="shared" si="3"/>
        <v>0.34313299490574</v>
      </c>
      <c r="K109" s="215">
        <f t="shared" si="3"/>
        <v>91.9565001880299</v>
      </c>
      <c r="L109" s="215">
        <f t="shared" si="3"/>
        <v>4.2110875254416</v>
      </c>
      <c r="M109" s="215">
        <f t="shared" si="3"/>
        <v>16.1605988681889</v>
      </c>
      <c r="N109" s="215">
        <f t="shared" si="3"/>
        <v>195.524215745729</v>
      </c>
      <c r="O109" s="215">
        <f t="shared" si="3"/>
        <v>0</v>
      </c>
      <c r="P109" s="215">
        <f t="shared" si="3"/>
        <v>0.090397695883538</v>
      </c>
      <c r="Q109" s="215">
        <f t="shared" si="3"/>
        <v>0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7" activePane="bottomRight" state="frozen"/>
      <selection/>
      <selection pane="topRight"/>
      <selection pane="bottomLeft"/>
      <selection pane="bottomRight" activeCell="D99" sqref="D99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07/04/2023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632</v>
      </c>
      <c r="B9" s="165">
        <v>15.28</v>
      </c>
      <c r="C9" s="165">
        <v>70.69</v>
      </c>
      <c r="D9" s="165">
        <v>50.06</v>
      </c>
      <c r="E9" s="165">
        <v>6.79</v>
      </c>
      <c r="F9" s="165">
        <v>3.8</v>
      </c>
      <c r="G9" s="165">
        <v>34.74</v>
      </c>
      <c r="H9" s="165">
        <v>19.34</v>
      </c>
      <c r="I9" s="165">
        <v>5.73</v>
      </c>
      <c r="J9" s="165">
        <v>0.14</v>
      </c>
      <c r="K9" s="165">
        <v>208.14</v>
      </c>
      <c r="L9" s="165">
        <v>25.26</v>
      </c>
      <c r="M9" s="165">
        <v>69.61</v>
      </c>
      <c r="N9" s="165">
        <v>0</v>
      </c>
      <c r="O9" s="165">
        <v>0</v>
      </c>
      <c r="P9" s="165">
        <v>0.72</v>
      </c>
      <c r="Q9" s="165">
        <v>5</v>
      </c>
      <c r="R9" s="13"/>
      <c r="S9" s="13"/>
      <c r="T9" s="213"/>
      <c r="U9" s="13"/>
    </row>
    <row r="10" customFormat="1" spans="1:21">
      <c r="A10" s="142" t="s">
        <v>633</v>
      </c>
      <c r="B10" s="165">
        <v>15.16</v>
      </c>
      <c r="C10" s="165">
        <v>69.3</v>
      </c>
      <c r="D10" s="165">
        <v>49.24</v>
      </c>
      <c r="E10" s="165">
        <v>6.57</v>
      </c>
      <c r="F10" s="165">
        <v>3.72</v>
      </c>
      <c r="G10" s="165">
        <v>34.61</v>
      </c>
      <c r="H10" s="165">
        <v>19.36</v>
      </c>
      <c r="I10" s="165">
        <v>5.6</v>
      </c>
      <c r="J10" s="165">
        <v>0.16</v>
      </c>
      <c r="K10" s="165">
        <v>182.18</v>
      </c>
      <c r="L10" s="165">
        <v>25.31</v>
      </c>
      <c r="M10" s="165">
        <v>69.42</v>
      </c>
      <c r="N10" s="165">
        <v>0</v>
      </c>
      <c r="O10" s="165">
        <v>0</v>
      </c>
      <c r="P10" s="165">
        <v>0.7</v>
      </c>
      <c r="Q10" s="165">
        <v>5</v>
      </c>
      <c r="R10" s="13"/>
      <c r="S10" s="13"/>
      <c r="T10" s="213"/>
      <c r="U10" s="13"/>
    </row>
    <row r="11" customFormat="1" spans="1:21">
      <c r="A11" s="142" t="s">
        <v>634</v>
      </c>
      <c r="B11" s="165">
        <v>15.27</v>
      </c>
      <c r="C11" s="165">
        <v>69.7</v>
      </c>
      <c r="D11" s="165">
        <v>49.54</v>
      </c>
      <c r="E11" s="165">
        <v>7.31</v>
      </c>
      <c r="F11" s="165">
        <v>3.76</v>
      </c>
      <c r="G11" s="165">
        <v>28.58</v>
      </c>
      <c r="H11" s="165">
        <v>20</v>
      </c>
      <c r="I11" s="165">
        <v>5.44</v>
      </c>
      <c r="J11" s="165">
        <v>0.2</v>
      </c>
      <c r="K11" s="165">
        <v>155.83</v>
      </c>
      <c r="L11" s="165">
        <v>25.08</v>
      </c>
      <c r="M11" s="165">
        <v>70.56</v>
      </c>
      <c r="N11" s="165">
        <v>0</v>
      </c>
      <c r="O11" s="165">
        <v>0</v>
      </c>
      <c r="P11" s="165">
        <v>0.69</v>
      </c>
      <c r="Q11" s="165">
        <v>5</v>
      </c>
      <c r="R11" s="13"/>
      <c r="S11" s="13"/>
      <c r="T11" s="213"/>
      <c r="U11" s="13"/>
    </row>
    <row r="12" customFormat="1" spans="1:21">
      <c r="A12" s="142" t="s">
        <v>635</v>
      </c>
      <c r="B12" s="165">
        <v>15.49</v>
      </c>
      <c r="C12" s="165">
        <v>69.35</v>
      </c>
      <c r="D12" s="165">
        <v>49.53</v>
      </c>
      <c r="E12" s="165">
        <v>6.59</v>
      </c>
      <c r="F12" s="165">
        <v>3.77</v>
      </c>
      <c r="G12" s="165">
        <v>28.58</v>
      </c>
      <c r="H12" s="165">
        <v>20</v>
      </c>
      <c r="I12" s="165">
        <v>5.31</v>
      </c>
      <c r="J12" s="165">
        <v>0.17</v>
      </c>
      <c r="K12" s="165">
        <v>173.57</v>
      </c>
      <c r="L12" s="165">
        <v>24.74</v>
      </c>
      <c r="M12" s="165">
        <v>72.11</v>
      </c>
      <c r="N12" s="165">
        <v>0</v>
      </c>
      <c r="O12" s="165">
        <v>0</v>
      </c>
      <c r="P12" s="165">
        <v>0.67</v>
      </c>
      <c r="Q12" s="165">
        <v>5</v>
      </c>
      <c r="R12" s="13"/>
      <c r="S12" s="13"/>
      <c r="T12" s="213"/>
      <c r="U12" s="13"/>
    </row>
    <row r="13" customFormat="1" spans="1:21">
      <c r="A13" s="142" t="s">
        <v>636</v>
      </c>
      <c r="B13" s="165">
        <v>15.64</v>
      </c>
      <c r="C13" s="165">
        <v>69.19</v>
      </c>
      <c r="D13" s="165">
        <v>49.56</v>
      </c>
      <c r="E13" s="165">
        <v>7.06</v>
      </c>
      <c r="F13" s="165">
        <v>3.89</v>
      </c>
      <c r="G13" s="165">
        <v>28.58</v>
      </c>
      <c r="H13" s="165">
        <v>20</v>
      </c>
      <c r="I13" s="165">
        <v>5.24</v>
      </c>
      <c r="J13" s="165">
        <v>0.19</v>
      </c>
      <c r="K13" s="165">
        <v>182.49</v>
      </c>
      <c r="L13" s="165">
        <v>24.73</v>
      </c>
      <c r="M13" s="165">
        <v>72.07</v>
      </c>
      <c r="N13" s="165">
        <v>0</v>
      </c>
      <c r="O13" s="165">
        <v>0</v>
      </c>
      <c r="P13" s="165">
        <v>0.66</v>
      </c>
      <c r="Q13" s="165">
        <v>5</v>
      </c>
      <c r="R13" s="13"/>
      <c r="S13" s="13"/>
      <c r="T13" s="213"/>
      <c r="U13" s="13"/>
    </row>
    <row r="14" customFormat="1" spans="1:21">
      <c r="A14" s="142" t="s">
        <v>637</v>
      </c>
      <c r="B14" s="165">
        <v>15.76</v>
      </c>
      <c r="C14" s="165">
        <v>68.97</v>
      </c>
      <c r="D14" s="165">
        <v>49.55</v>
      </c>
      <c r="E14" s="165">
        <v>6.95</v>
      </c>
      <c r="F14" s="165">
        <v>3.81</v>
      </c>
      <c r="G14" s="165">
        <v>28.62</v>
      </c>
      <c r="H14" s="165">
        <v>19.94</v>
      </c>
      <c r="I14" s="165">
        <v>5.19</v>
      </c>
      <c r="J14" s="165">
        <v>0.25</v>
      </c>
      <c r="K14" s="165">
        <v>222.29</v>
      </c>
      <c r="L14" s="165">
        <v>24.57</v>
      </c>
      <c r="M14" s="165">
        <v>72.52</v>
      </c>
      <c r="N14" s="165">
        <v>0</v>
      </c>
      <c r="O14" s="165">
        <v>0</v>
      </c>
      <c r="P14" s="165">
        <v>0.65</v>
      </c>
      <c r="Q14" s="165">
        <v>5</v>
      </c>
      <c r="R14" s="13"/>
      <c r="S14" s="13"/>
      <c r="T14" s="213"/>
      <c r="U14" s="13"/>
    </row>
    <row r="15" customFormat="1" spans="1:21">
      <c r="A15" s="142" t="s">
        <v>638</v>
      </c>
      <c r="B15" s="165">
        <v>15.99</v>
      </c>
      <c r="C15" s="165">
        <v>66.1</v>
      </c>
      <c r="D15" s="165">
        <v>48.23</v>
      </c>
      <c r="E15" s="165">
        <v>6.88</v>
      </c>
      <c r="F15" s="165">
        <v>4.23</v>
      </c>
      <c r="G15" s="165">
        <v>30.29</v>
      </c>
      <c r="H15" s="165">
        <v>17.98</v>
      </c>
      <c r="I15" s="165">
        <v>5.09</v>
      </c>
      <c r="J15" s="165">
        <v>0.11</v>
      </c>
      <c r="K15" s="165">
        <v>208.98</v>
      </c>
      <c r="L15" s="165">
        <v>24.62</v>
      </c>
      <c r="M15" s="165">
        <v>71.4</v>
      </c>
      <c r="N15" s="165">
        <v>0</v>
      </c>
      <c r="O15" s="165">
        <v>0</v>
      </c>
      <c r="P15" s="165">
        <v>0.64</v>
      </c>
      <c r="Q15" s="165">
        <v>5</v>
      </c>
      <c r="R15" s="13"/>
      <c r="S15" s="13"/>
      <c r="T15" s="213"/>
      <c r="U15" s="13"/>
    </row>
    <row r="16" customFormat="1" spans="1:21">
      <c r="A16" s="142" t="s">
        <v>639</v>
      </c>
      <c r="B16" s="165">
        <v>16.59</v>
      </c>
      <c r="C16" s="165">
        <v>59.54</v>
      </c>
      <c r="D16" s="165">
        <v>45.29</v>
      </c>
      <c r="E16" s="165">
        <v>6.27</v>
      </c>
      <c r="F16" s="165">
        <v>4.4</v>
      </c>
      <c r="G16" s="165">
        <v>30.29</v>
      </c>
      <c r="H16" s="165">
        <v>17.98</v>
      </c>
      <c r="I16" s="165">
        <v>4.96</v>
      </c>
      <c r="J16" s="165">
        <v>0.36</v>
      </c>
      <c r="K16" s="165">
        <v>245.4</v>
      </c>
      <c r="L16" s="165">
        <v>24.52</v>
      </c>
      <c r="M16" s="165">
        <v>71.4</v>
      </c>
      <c r="N16" s="165">
        <v>0</v>
      </c>
      <c r="O16" s="165">
        <v>0</v>
      </c>
      <c r="P16" s="165">
        <v>0.61</v>
      </c>
      <c r="Q16" s="165">
        <v>5</v>
      </c>
      <c r="R16" s="13"/>
      <c r="S16" s="13"/>
      <c r="T16" s="213"/>
      <c r="U16" s="13"/>
    </row>
    <row r="17" customFormat="1" spans="1:21">
      <c r="A17" s="142" t="s">
        <v>640</v>
      </c>
      <c r="B17" s="165">
        <v>16.95</v>
      </c>
      <c r="C17" s="165">
        <v>63.46</v>
      </c>
      <c r="D17" s="165">
        <v>47.62</v>
      </c>
      <c r="E17" s="165">
        <v>4.98</v>
      </c>
      <c r="F17" s="165">
        <v>4.07</v>
      </c>
      <c r="G17" s="165">
        <v>30.29</v>
      </c>
      <c r="H17" s="165">
        <v>17.98</v>
      </c>
      <c r="I17" s="165">
        <v>4.87</v>
      </c>
      <c r="J17" s="165">
        <v>0.31</v>
      </c>
      <c r="K17" s="165">
        <v>245.09</v>
      </c>
      <c r="L17" s="165">
        <v>24.47</v>
      </c>
      <c r="M17" s="165">
        <v>71.58</v>
      </c>
      <c r="N17" s="165">
        <v>0</v>
      </c>
      <c r="O17" s="165">
        <v>0</v>
      </c>
      <c r="P17" s="165">
        <v>0.6</v>
      </c>
      <c r="Q17" s="165">
        <v>5</v>
      </c>
      <c r="R17" s="13"/>
      <c r="S17" s="13"/>
      <c r="T17" s="213"/>
      <c r="U17" s="13"/>
    </row>
    <row r="18" customFormat="1" spans="1:21">
      <c r="A18" s="142" t="s">
        <v>641</v>
      </c>
      <c r="B18" s="165">
        <v>17.4</v>
      </c>
      <c r="C18" s="165">
        <v>65.58</v>
      </c>
      <c r="D18" s="165">
        <v>49.09</v>
      </c>
      <c r="E18" s="165">
        <v>8.45</v>
      </c>
      <c r="F18" s="165">
        <v>3.87</v>
      </c>
      <c r="G18" s="165">
        <v>30</v>
      </c>
      <c r="H18" s="165">
        <v>17.87</v>
      </c>
      <c r="I18" s="165">
        <v>4.84</v>
      </c>
      <c r="J18" s="165">
        <v>0.13</v>
      </c>
      <c r="K18" s="165">
        <v>160.83</v>
      </c>
      <c r="L18" s="165">
        <v>24.41</v>
      </c>
      <c r="M18" s="165">
        <v>72.21</v>
      </c>
      <c r="N18" s="165">
        <v>0</v>
      </c>
      <c r="O18" s="165">
        <v>0</v>
      </c>
      <c r="P18" s="165">
        <v>0.59</v>
      </c>
      <c r="Q18" s="165">
        <v>5</v>
      </c>
      <c r="R18" s="13"/>
      <c r="S18" s="13"/>
      <c r="T18" s="213"/>
      <c r="U18" s="13"/>
    </row>
    <row r="19" customFormat="1" spans="1:21">
      <c r="A19" s="142" t="s">
        <v>642</v>
      </c>
      <c r="B19" s="165">
        <v>17.91</v>
      </c>
      <c r="C19" s="165">
        <v>66.56</v>
      </c>
      <c r="D19" s="165">
        <v>50.01</v>
      </c>
      <c r="E19" s="165">
        <v>8.6</v>
      </c>
      <c r="F19" s="165">
        <v>3.69</v>
      </c>
      <c r="G19" s="165">
        <v>17.19</v>
      </c>
      <c r="H19" s="165">
        <v>14.25</v>
      </c>
      <c r="I19" s="165">
        <v>4.78</v>
      </c>
      <c r="J19" s="165">
        <v>0.15</v>
      </c>
      <c r="K19" s="165">
        <v>123.99</v>
      </c>
      <c r="L19" s="165">
        <v>24.11</v>
      </c>
      <c r="M19" s="165">
        <v>73.59</v>
      </c>
      <c r="N19" s="165">
        <v>0</v>
      </c>
      <c r="O19" s="165">
        <v>0</v>
      </c>
      <c r="P19" s="165">
        <v>0.59</v>
      </c>
      <c r="Q19" s="165">
        <v>5</v>
      </c>
      <c r="R19" s="13"/>
      <c r="S19" s="13"/>
      <c r="T19" s="213"/>
      <c r="U19" s="13"/>
    </row>
    <row r="20" customFormat="1" spans="1:21">
      <c r="A20" s="142" t="s">
        <v>643</v>
      </c>
      <c r="B20" s="165">
        <v>18.39</v>
      </c>
      <c r="C20" s="165">
        <v>67.53</v>
      </c>
      <c r="D20" s="165">
        <v>50.9</v>
      </c>
      <c r="E20" s="165">
        <v>8.94</v>
      </c>
      <c r="F20" s="165">
        <v>3.61</v>
      </c>
      <c r="G20" s="165">
        <v>17.19</v>
      </c>
      <c r="H20" s="165">
        <v>14.25</v>
      </c>
      <c r="I20" s="165">
        <v>4.71</v>
      </c>
      <c r="J20" s="165">
        <v>0.1</v>
      </c>
      <c r="K20" s="165">
        <v>165.19</v>
      </c>
      <c r="L20" s="165">
        <v>23.76</v>
      </c>
      <c r="M20" s="165">
        <v>75.4</v>
      </c>
      <c r="N20" s="165">
        <v>0</v>
      </c>
      <c r="O20" s="165">
        <v>0</v>
      </c>
      <c r="P20" s="165">
        <v>0.59</v>
      </c>
      <c r="Q20" s="165">
        <v>5</v>
      </c>
      <c r="R20" s="13"/>
      <c r="S20" s="13"/>
      <c r="T20" s="213"/>
      <c r="U20" s="13"/>
    </row>
    <row r="21" customFormat="1" spans="1:21">
      <c r="A21" s="142" t="s">
        <v>644</v>
      </c>
      <c r="B21" s="165">
        <v>19.09</v>
      </c>
      <c r="C21" s="165">
        <v>66.84</v>
      </c>
      <c r="D21" s="165">
        <v>51.11</v>
      </c>
      <c r="E21" s="165">
        <v>8.93</v>
      </c>
      <c r="F21" s="165">
        <v>3.79</v>
      </c>
      <c r="G21" s="165">
        <v>17.19</v>
      </c>
      <c r="H21" s="165">
        <v>14.25</v>
      </c>
      <c r="I21" s="165">
        <v>4.67</v>
      </c>
      <c r="J21" s="165">
        <v>0.2</v>
      </c>
      <c r="K21" s="165">
        <v>170.46</v>
      </c>
      <c r="L21" s="165">
        <v>23.55</v>
      </c>
      <c r="M21" s="165">
        <v>76.84</v>
      </c>
      <c r="N21" s="165">
        <v>0</v>
      </c>
      <c r="O21" s="165">
        <v>0</v>
      </c>
      <c r="P21" s="165">
        <v>0.59</v>
      </c>
      <c r="Q21" s="165">
        <v>5</v>
      </c>
      <c r="R21" s="13"/>
      <c r="S21" s="13"/>
      <c r="T21" s="213"/>
      <c r="U21" s="13"/>
    </row>
    <row r="22" customFormat="1" spans="1:21">
      <c r="A22" s="142" t="s">
        <v>645</v>
      </c>
      <c r="B22" s="165">
        <v>19.78</v>
      </c>
      <c r="C22" s="165">
        <v>67.04</v>
      </c>
      <c r="D22" s="165">
        <v>51.76</v>
      </c>
      <c r="E22" s="165">
        <v>8.83</v>
      </c>
      <c r="F22" s="165">
        <v>3.76</v>
      </c>
      <c r="G22" s="165">
        <v>17.46</v>
      </c>
      <c r="H22" s="165">
        <v>14.29</v>
      </c>
      <c r="I22" s="165">
        <v>4.63</v>
      </c>
      <c r="J22" s="165">
        <v>0.15</v>
      </c>
      <c r="K22" s="165">
        <v>221.97</v>
      </c>
      <c r="L22" s="165">
        <v>23.1</v>
      </c>
      <c r="M22" s="165">
        <v>78.54</v>
      </c>
      <c r="N22" s="165">
        <v>0</v>
      </c>
      <c r="O22" s="165">
        <v>0</v>
      </c>
      <c r="P22" s="165">
        <v>0.58</v>
      </c>
      <c r="Q22" s="165">
        <v>5</v>
      </c>
      <c r="R22" s="13"/>
      <c r="S22" s="13"/>
      <c r="T22" s="213"/>
      <c r="U22" s="13"/>
    </row>
    <row r="23" customFormat="1" spans="1:21">
      <c r="A23" s="142" t="s">
        <v>646</v>
      </c>
      <c r="B23" s="165">
        <v>20.42</v>
      </c>
      <c r="C23" s="165">
        <v>67.04</v>
      </c>
      <c r="D23" s="165">
        <v>52.27</v>
      </c>
      <c r="E23" s="165">
        <v>8.63</v>
      </c>
      <c r="F23" s="165">
        <v>3.62</v>
      </c>
      <c r="G23" s="165">
        <v>29.27</v>
      </c>
      <c r="H23" s="165">
        <v>16.8</v>
      </c>
      <c r="I23" s="165">
        <v>4.6</v>
      </c>
      <c r="J23" s="165">
        <v>0.1</v>
      </c>
      <c r="K23" s="165">
        <v>180.68</v>
      </c>
      <c r="L23" s="165">
        <v>23.12</v>
      </c>
      <c r="M23" s="165">
        <v>78.17</v>
      </c>
      <c r="N23" s="165">
        <v>0</v>
      </c>
      <c r="O23" s="165">
        <v>0</v>
      </c>
      <c r="P23" s="165">
        <v>0.58</v>
      </c>
      <c r="Q23" s="165">
        <v>5</v>
      </c>
      <c r="R23" s="13"/>
      <c r="S23" s="13"/>
      <c r="T23" s="213"/>
      <c r="U23" s="13"/>
    </row>
    <row r="24" customFormat="1" spans="1:21">
      <c r="A24" s="142" t="s">
        <v>647</v>
      </c>
      <c r="B24" s="165">
        <v>21.6</v>
      </c>
      <c r="C24" s="165">
        <v>66.78</v>
      </c>
      <c r="D24" s="165">
        <v>53.09</v>
      </c>
      <c r="E24" s="165">
        <v>8.94</v>
      </c>
      <c r="F24" s="165">
        <v>3.8</v>
      </c>
      <c r="G24" s="165">
        <v>29.27</v>
      </c>
      <c r="H24" s="165">
        <v>16.8</v>
      </c>
      <c r="I24" s="165">
        <v>4.56</v>
      </c>
      <c r="J24" s="165">
        <v>0.25</v>
      </c>
      <c r="K24" s="165">
        <v>166.26</v>
      </c>
      <c r="L24" s="165">
        <v>23.13</v>
      </c>
      <c r="M24" s="165">
        <v>78.29</v>
      </c>
      <c r="N24" s="165">
        <v>0</v>
      </c>
      <c r="O24" s="165">
        <v>0</v>
      </c>
      <c r="P24" s="165">
        <v>0.57</v>
      </c>
      <c r="Q24" s="165">
        <v>5</v>
      </c>
      <c r="R24" s="13"/>
      <c r="S24" s="13"/>
      <c r="T24" s="213"/>
      <c r="U24" s="13"/>
    </row>
    <row r="25" customFormat="1" spans="1:21">
      <c r="A25" s="142" t="s">
        <v>648</v>
      </c>
      <c r="B25" s="165">
        <v>22.37</v>
      </c>
      <c r="C25" s="165">
        <v>66.29</v>
      </c>
      <c r="D25" s="165">
        <v>53.44</v>
      </c>
      <c r="E25" s="165">
        <v>8.94</v>
      </c>
      <c r="F25" s="165">
        <v>3.73</v>
      </c>
      <c r="G25" s="165">
        <v>29.27</v>
      </c>
      <c r="H25" s="165">
        <v>16.8</v>
      </c>
      <c r="I25" s="165">
        <v>4.54</v>
      </c>
      <c r="J25" s="165">
        <v>0.42</v>
      </c>
      <c r="K25" s="165">
        <v>155.44</v>
      </c>
      <c r="L25" s="165">
        <v>22.65</v>
      </c>
      <c r="M25" s="165">
        <v>79.92</v>
      </c>
      <c r="N25" s="165">
        <v>0</v>
      </c>
      <c r="O25" s="165">
        <v>0</v>
      </c>
      <c r="P25" s="165">
        <v>0.57</v>
      </c>
      <c r="Q25" s="165">
        <v>5</v>
      </c>
      <c r="R25" s="13"/>
      <c r="S25" s="13"/>
      <c r="T25" s="213"/>
      <c r="U25" s="13"/>
    </row>
    <row r="26" customFormat="1" spans="1:21">
      <c r="A26" s="142" t="s">
        <v>649</v>
      </c>
      <c r="B26" s="165">
        <v>22.73</v>
      </c>
      <c r="C26" s="165">
        <v>66.55</v>
      </c>
      <c r="D26" s="165">
        <v>53.87</v>
      </c>
      <c r="E26" s="165">
        <v>8.68</v>
      </c>
      <c r="F26" s="165">
        <v>3.6</v>
      </c>
      <c r="G26" s="165">
        <v>29.22</v>
      </c>
      <c r="H26" s="165">
        <v>16.78</v>
      </c>
      <c r="I26" s="165">
        <v>4.49</v>
      </c>
      <c r="J26" s="165">
        <v>0.24</v>
      </c>
      <c r="K26" s="165">
        <v>91.25</v>
      </c>
      <c r="L26" s="165">
        <v>22.63</v>
      </c>
      <c r="M26" s="165">
        <v>78.96</v>
      </c>
      <c r="N26" s="165">
        <v>0</v>
      </c>
      <c r="O26" s="165">
        <v>0</v>
      </c>
      <c r="P26" s="165">
        <v>0.56</v>
      </c>
      <c r="Q26" s="165">
        <v>5</v>
      </c>
      <c r="R26" s="13"/>
      <c r="S26" s="13"/>
      <c r="T26" s="213"/>
      <c r="U26" s="13"/>
    </row>
    <row r="27" customFormat="1" spans="1:21">
      <c r="A27" s="142" t="s">
        <v>650</v>
      </c>
      <c r="B27" s="165">
        <v>24.24</v>
      </c>
      <c r="C27" s="165">
        <v>67.67</v>
      </c>
      <c r="D27" s="165">
        <v>55.67</v>
      </c>
      <c r="E27" s="165">
        <v>8.99</v>
      </c>
      <c r="F27" s="165">
        <v>3.5</v>
      </c>
      <c r="G27" s="165">
        <v>27.06</v>
      </c>
      <c r="H27" s="165">
        <v>15.22</v>
      </c>
      <c r="I27" s="165">
        <v>4.43</v>
      </c>
      <c r="J27" s="165">
        <v>0.62</v>
      </c>
      <c r="K27" s="165">
        <v>71.65</v>
      </c>
      <c r="L27" s="165">
        <v>22.88</v>
      </c>
      <c r="M27" s="165">
        <v>77.31</v>
      </c>
      <c r="N27" s="165">
        <v>0</v>
      </c>
      <c r="O27" s="165">
        <v>0</v>
      </c>
      <c r="P27" s="165">
        <v>0.56</v>
      </c>
      <c r="Q27" s="165">
        <v>5</v>
      </c>
      <c r="R27" s="13"/>
      <c r="S27" s="13"/>
      <c r="T27" s="213"/>
      <c r="U27" s="13"/>
    </row>
    <row r="28" customFormat="1" spans="1:21">
      <c r="A28" s="142" t="s">
        <v>651</v>
      </c>
      <c r="B28" s="165">
        <v>26.41</v>
      </c>
      <c r="C28" s="165">
        <v>67.09</v>
      </c>
      <c r="D28" s="165">
        <v>57.1</v>
      </c>
      <c r="E28" s="165">
        <v>8.86</v>
      </c>
      <c r="F28" s="165">
        <v>3.55</v>
      </c>
      <c r="G28" s="165">
        <v>27.06</v>
      </c>
      <c r="H28" s="165">
        <v>15.22</v>
      </c>
      <c r="I28" s="165">
        <v>4.41</v>
      </c>
      <c r="J28" s="165">
        <v>0.35</v>
      </c>
      <c r="K28" s="165">
        <v>100.61</v>
      </c>
      <c r="L28" s="165">
        <v>23.11</v>
      </c>
      <c r="M28" s="165">
        <v>76.32</v>
      </c>
      <c r="N28" s="165">
        <v>0</v>
      </c>
      <c r="O28" s="165">
        <v>0</v>
      </c>
      <c r="P28" s="165">
        <v>0.56</v>
      </c>
      <c r="Q28" s="165">
        <v>5</v>
      </c>
      <c r="R28" s="13"/>
      <c r="S28" s="13"/>
      <c r="T28" s="213"/>
      <c r="U28" s="13"/>
    </row>
    <row r="29" customFormat="1" spans="1:21">
      <c r="A29" s="142" t="s">
        <v>652</v>
      </c>
      <c r="B29" s="165">
        <v>27.45</v>
      </c>
      <c r="C29" s="165">
        <v>67.91</v>
      </c>
      <c r="D29" s="165">
        <v>58.37</v>
      </c>
      <c r="E29" s="165">
        <v>8.82</v>
      </c>
      <c r="F29" s="165">
        <v>3.61</v>
      </c>
      <c r="G29" s="165">
        <v>27.06</v>
      </c>
      <c r="H29" s="165">
        <v>15.22</v>
      </c>
      <c r="I29" s="165">
        <v>4.39</v>
      </c>
      <c r="J29" s="165">
        <v>0.42</v>
      </c>
      <c r="K29" s="165">
        <v>85.49</v>
      </c>
      <c r="L29" s="165">
        <v>23.21</v>
      </c>
      <c r="M29" s="165">
        <v>76.7</v>
      </c>
      <c r="N29" s="165">
        <v>0</v>
      </c>
      <c r="O29" s="165">
        <v>0</v>
      </c>
      <c r="P29" s="165">
        <v>0.56</v>
      </c>
      <c r="Q29" s="165">
        <v>5</v>
      </c>
      <c r="R29" s="13"/>
      <c r="S29" s="13"/>
      <c r="T29" s="213"/>
      <c r="U29" s="13"/>
    </row>
    <row r="30" customFormat="1" spans="1:21">
      <c r="A30" s="142" t="s">
        <v>653</v>
      </c>
      <c r="B30" s="165">
        <v>28.19</v>
      </c>
      <c r="C30" s="165">
        <v>67.38</v>
      </c>
      <c r="D30" s="165">
        <v>58.68</v>
      </c>
      <c r="E30" s="165">
        <v>9</v>
      </c>
      <c r="F30" s="165">
        <v>3.48</v>
      </c>
      <c r="G30" s="165">
        <v>27.3</v>
      </c>
      <c r="H30" s="165">
        <v>15.26</v>
      </c>
      <c r="I30" s="165">
        <v>4.39</v>
      </c>
      <c r="J30" s="165">
        <v>0.29</v>
      </c>
      <c r="K30" s="165">
        <v>118.3</v>
      </c>
      <c r="L30" s="165">
        <v>22.95</v>
      </c>
      <c r="M30" s="165">
        <v>78.54</v>
      </c>
      <c r="N30" s="165">
        <v>0</v>
      </c>
      <c r="O30" s="165">
        <v>0</v>
      </c>
      <c r="P30" s="165">
        <v>0.56</v>
      </c>
      <c r="Q30" s="165">
        <v>5</v>
      </c>
      <c r="R30" s="13"/>
      <c r="S30" s="13"/>
      <c r="T30" s="213"/>
      <c r="U30" s="13"/>
    </row>
    <row r="31" customFormat="1" spans="1:21">
      <c r="A31" s="142" t="s">
        <v>654</v>
      </c>
      <c r="B31" s="165">
        <v>28.65</v>
      </c>
      <c r="C31" s="165">
        <v>67.69</v>
      </c>
      <c r="D31" s="165">
        <v>59.21</v>
      </c>
      <c r="E31" s="165">
        <v>8.83</v>
      </c>
      <c r="F31" s="165">
        <v>3.57</v>
      </c>
      <c r="G31" s="165">
        <v>37.72</v>
      </c>
      <c r="H31" s="165">
        <v>16.67</v>
      </c>
      <c r="I31" s="165">
        <v>4.37</v>
      </c>
      <c r="J31" s="165">
        <v>0.13</v>
      </c>
      <c r="K31" s="165">
        <v>113.12</v>
      </c>
      <c r="L31" s="165">
        <v>22.6</v>
      </c>
      <c r="M31" s="165">
        <v>80.03</v>
      </c>
      <c r="N31" s="165">
        <v>0</v>
      </c>
      <c r="O31" s="165">
        <v>0</v>
      </c>
      <c r="P31" s="165">
        <v>0.55</v>
      </c>
      <c r="Q31" s="165">
        <v>5</v>
      </c>
      <c r="R31" s="13"/>
      <c r="S31" s="13"/>
      <c r="T31" s="213"/>
      <c r="U31" s="13"/>
    </row>
    <row r="32" customFormat="1" spans="1:21">
      <c r="A32" s="142" t="s">
        <v>655</v>
      </c>
      <c r="B32" s="165">
        <v>28.93</v>
      </c>
      <c r="C32" s="165">
        <v>66.96</v>
      </c>
      <c r="D32" s="165">
        <v>59.06</v>
      </c>
      <c r="E32" s="165">
        <v>8.79</v>
      </c>
      <c r="F32" s="165">
        <v>3.63</v>
      </c>
      <c r="G32" s="165">
        <v>37.72</v>
      </c>
      <c r="H32" s="165">
        <v>16.67</v>
      </c>
      <c r="I32" s="165">
        <v>4.4</v>
      </c>
      <c r="J32" s="165">
        <v>0.25</v>
      </c>
      <c r="K32" s="165">
        <v>197.76</v>
      </c>
      <c r="L32" s="165">
        <v>22.39</v>
      </c>
      <c r="M32" s="165">
        <v>80.57</v>
      </c>
      <c r="N32" s="165">
        <v>0.5</v>
      </c>
      <c r="O32" s="165">
        <v>0</v>
      </c>
      <c r="P32" s="165">
        <v>0.55</v>
      </c>
      <c r="Q32" s="165">
        <v>5</v>
      </c>
      <c r="R32" s="13"/>
      <c r="S32" s="13"/>
      <c r="T32" s="213"/>
      <c r="U32" s="13"/>
    </row>
    <row r="33" customFormat="1" spans="1:21">
      <c r="A33" s="142" t="s">
        <v>656</v>
      </c>
      <c r="B33" s="165">
        <v>29.27</v>
      </c>
      <c r="C33" s="165">
        <v>66.9</v>
      </c>
      <c r="D33" s="165">
        <v>59.3</v>
      </c>
      <c r="E33" s="165">
        <v>9.04</v>
      </c>
      <c r="F33" s="165">
        <v>3.69</v>
      </c>
      <c r="G33" s="165">
        <v>37.72</v>
      </c>
      <c r="H33" s="165">
        <v>16.67</v>
      </c>
      <c r="I33" s="165">
        <v>4.48</v>
      </c>
      <c r="J33" s="165">
        <v>0.1</v>
      </c>
      <c r="K33" s="165">
        <v>132.29</v>
      </c>
      <c r="L33" s="165">
        <v>22.24</v>
      </c>
      <c r="M33" s="165">
        <v>81.43</v>
      </c>
      <c r="N33" s="165">
        <v>9.6</v>
      </c>
      <c r="O33" s="165">
        <v>0</v>
      </c>
      <c r="P33" s="165">
        <v>0.56</v>
      </c>
      <c r="Q33" s="165">
        <v>5</v>
      </c>
      <c r="R33" s="13"/>
      <c r="S33" s="13"/>
      <c r="T33" s="213"/>
      <c r="U33" s="13"/>
    </row>
    <row r="34" customFormat="1" spans="1:21">
      <c r="A34" s="142" t="s">
        <v>657</v>
      </c>
      <c r="B34" s="165">
        <v>29.54</v>
      </c>
      <c r="C34" s="165">
        <v>68.11</v>
      </c>
      <c r="D34" s="165">
        <v>60.15</v>
      </c>
      <c r="E34" s="165">
        <v>8.89</v>
      </c>
      <c r="F34" s="165">
        <v>3.66</v>
      </c>
      <c r="G34" s="165">
        <v>38.25</v>
      </c>
      <c r="H34" s="165">
        <v>16.73</v>
      </c>
      <c r="I34" s="165">
        <v>4.52</v>
      </c>
      <c r="J34" s="165">
        <v>0.19</v>
      </c>
      <c r="K34" s="165">
        <v>163.18</v>
      </c>
      <c r="L34" s="165">
        <v>22.63</v>
      </c>
      <c r="M34" s="165">
        <v>79.51</v>
      </c>
      <c r="N34" s="165">
        <v>22.7</v>
      </c>
      <c r="O34" s="165">
        <v>0</v>
      </c>
      <c r="P34" s="165">
        <v>0.56</v>
      </c>
      <c r="Q34" s="165">
        <v>5</v>
      </c>
      <c r="R34" s="13"/>
      <c r="S34" s="13"/>
      <c r="T34" s="213"/>
      <c r="U34" s="13"/>
    </row>
    <row r="35" customFormat="1" spans="1:21">
      <c r="A35" s="142" t="s">
        <v>658</v>
      </c>
      <c r="B35" s="165">
        <v>29.66</v>
      </c>
      <c r="C35" s="165">
        <v>68.99</v>
      </c>
      <c r="D35" s="165">
        <v>60.7</v>
      </c>
      <c r="E35" s="165">
        <v>8.63</v>
      </c>
      <c r="F35" s="165">
        <v>3.69</v>
      </c>
      <c r="G35" s="165">
        <v>61.37</v>
      </c>
      <c r="H35" s="165">
        <v>18.6</v>
      </c>
      <c r="I35" s="165">
        <v>4.55</v>
      </c>
      <c r="J35" s="165">
        <v>0.14</v>
      </c>
      <c r="K35" s="165">
        <v>136.83</v>
      </c>
      <c r="L35" s="165">
        <v>23.15</v>
      </c>
      <c r="M35" s="165">
        <v>76.93</v>
      </c>
      <c r="N35" s="165">
        <v>36</v>
      </c>
      <c r="O35" s="165">
        <v>0</v>
      </c>
      <c r="P35" s="165">
        <v>0.57</v>
      </c>
      <c r="Q35" s="165">
        <v>5</v>
      </c>
      <c r="R35" s="13"/>
      <c r="S35" s="13"/>
      <c r="T35" s="213"/>
      <c r="U35" s="13"/>
    </row>
    <row r="36" customFormat="1" spans="1:21">
      <c r="A36" s="142" t="s">
        <v>659</v>
      </c>
      <c r="B36" s="165">
        <v>29.44</v>
      </c>
      <c r="C36" s="165">
        <v>69.29</v>
      </c>
      <c r="D36" s="165">
        <v>60.69</v>
      </c>
      <c r="E36" s="165">
        <v>8.91</v>
      </c>
      <c r="F36" s="165">
        <v>3.78</v>
      </c>
      <c r="G36" s="165">
        <v>61.37</v>
      </c>
      <c r="H36" s="165">
        <v>18.6</v>
      </c>
      <c r="I36" s="165">
        <v>4.59</v>
      </c>
      <c r="J36" s="165">
        <v>0.34</v>
      </c>
      <c r="K36" s="165">
        <v>86.37</v>
      </c>
      <c r="L36" s="165">
        <v>23.92</v>
      </c>
      <c r="M36" s="165">
        <v>72.59</v>
      </c>
      <c r="N36" s="165">
        <v>48.9</v>
      </c>
      <c r="O36" s="165">
        <v>0</v>
      </c>
      <c r="P36" s="165">
        <v>0.57</v>
      </c>
      <c r="Q36" s="165">
        <v>5</v>
      </c>
      <c r="R36" s="13"/>
      <c r="S36" s="13"/>
      <c r="T36" s="213"/>
      <c r="U36" s="13"/>
    </row>
    <row r="37" customFormat="1" spans="1:21">
      <c r="A37" s="142" t="s">
        <v>660</v>
      </c>
      <c r="B37" s="165">
        <v>28.91</v>
      </c>
      <c r="C37" s="165">
        <v>69.86</v>
      </c>
      <c r="D37" s="165">
        <v>60.56</v>
      </c>
      <c r="E37" s="165">
        <v>8.71</v>
      </c>
      <c r="F37" s="165">
        <v>3.77</v>
      </c>
      <c r="G37" s="165">
        <v>61.37</v>
      </c>
      <c r="H37" s="165">
        <v>18.6</v>
      </c>
      <c r="I37" s="165">
        <v>4.61</v>
      </c>
      <c r="J37" s="165">
        <v>0.16</v>
      </c>
      <c r="K37" s="165">
        <v>129.24</v>
      </c>
      <c r="L37" s="165">
        <v>24.56</v>
      </c>
      <c r="M37" s="165">
        <v>70.12</v>
      </c>
      <c r="N37" s="165">
        <v>61.4</v>
      </c>
      <c r="O37" s="165">
        <v>0</v>
      </c>
      <c r="P37" s="165">
        <v>0.56</v>
      </c>
      <c r="Q37" s="165">
        <v>5</v>
      </c>
      <c r="R37" s="13"/>
      <c r="S37" s="13"/>
      <c r="T37" s="213"/>
      <c r="U37" s="13"/>
    </row>
    <row r="38" customFormat="1" spans="1:21">
      <c r="A38" s="142" t="s">
        <v>661</v>
      </c>
      <c r="B38" s="165">
        <v>28.47</v>
      </c>
      <c r="C38" s="165">
        <v>70.01</v>
      </c>
      <c r="D38" s="165">
        <v>60.28</v>
      </c>
      <c r="E38" s="165">
        <v>8.77</v>
      </c>
      <c r="F38" s="165">
        <v>3.78</v>
      </c>
      <c r="G38" s="165">
        <v>61.04</v>
      </c>
      <c r="H38" s="165">
        <v>18.54</v>
      </c>
      <c r="I38" s="165">
        <v>4.6</v>
      </c>
      <c r="J38" s="165">
        <v>0.27</v>
      </c>
      <c r="K38" s="165">
        <v>143.95</v>
      </c>
      <c r="L38" s="165">
        <v>25.57</v>
      </c>
      <c r="M38" s="165">
        <v>65.52</v>
      </c>
      <c r="N38" s="165">
        <v>87.8</v>
      </c>
      <c r="O38" s="165">
        <v>0</v>
      </c>
      <c r="P38" s="165">
        <v>0.57</v>
      </c>
      <c r="Q38" s="165">
        <v>5</v>
      </c>
      <c r="R38" s="13"/>
      <c r="S38" s="13"/>
      <c r="T38" s="213"/>
      <c r="U38" s="13"/>
    </row>
    <row r="39" customFormat="1" spans="1:21">
      <c r="A39" s="142" t="s">
        <v>662</v>
      </c>
      <c r="B39" s="165">
        <v>27.86</v>
      </c>
      <c r="C39" s="165">
        <v>70.41</v>
      </c>
      <c r="D39" s="165">
        <v>60</v>
      </c>
      <c r="E39" s="165">
        <v>8.75</v>
      </c>
      <c r="F39" s="165">
        <v>3.71</v>
      </c>
      <c r="G39" s="165">
        <v>46.59</v>
      </c>
      <c r="H39" s="165">
        <v>14.7</v>
      </c>
      <c r="I39" s="165">
        <v>4.57</v>
      </c>
      <c r="J39" s="165">
        <v>0.3</v>
      </c>
      <c r="K39" s="165">
        <v>79.16</v>
      </c>
      <c r="L39" s="165">
        <v>26.47</v>
      </c>
      <c r="M39" s="165">
        <v>61.96</v>
      </c>
      <c r="N39" s="165">
        <v>186</v>
      </c>
      <c r="O39" s="165">
        <v>0</v>
      </c>
      <c r="P39" s="165">
        <v>0.56</v>
      </c>
      <c r="Q39" s="165">
        <v>5</v>
      </c>
      <c r="R39" s="13"/>
      <c r="S39" s="13"/>
      <c r="T39" s="213"/>
      <c r="U39" s="13"/>
    </row>
    <row r="40" customFormat="1" spans="1:21">
      <c r="A40" s="142" t="s">
        <v>663</v>
      </c>
      <c r="B40" s="165">
        <v>27.14</v>
      </c>
      <c r="C40" s="165">
        <v>70.02</v>
      </c>
      <c r="D40" s="165">
        <v>59.22</v>
      </c>
      <c r="E40" s="165">
        <v>8.62</v>
      </c>
      <c r="F40" s="165">
        <v>3.78</v>
      </c>
      <c r="G40" s="165">
        <v>46.59</v>
      </c>
      <c r="H40" s="165">
        <v>14.7</v>
      </c>
      <c r="I40" s="165">
        <v>4.54</v>
      </c>
      <c r="J40" s="165">
        <v>0.3</v>
      </c>
      <c r="K40" s="165">
        <v>103.27</v>
      </c>
      <c r="L40" s="165">
        <v>27.43</v>
      </c>
      <c r="M40" s="165">
        <v>58</v>
      </c>
      <c r="N40" s="165">
        <v>238.8</v>
      </c>
      <c r="O40" s="165">
        <v>0</v>
      </c>
      <c r="P40" s="165">
        <v>0.56</v>
      </c>
      <c r="Q40" s="165">
        <v>5</v>
      </c>
      <c r="R40" s="13"/>
      <c r="S40" s="13"/>
      <c r="T40" s="213"/>
      <c r="U40" s="13"/>
    </row>
    <row r="41" customFormat="1" spans="1:21">
      <c r="A41" s="142" t="s">
        <v>664</v>
      </c>
      <c r="B41" s="165">
        <v>26.17</v>
      </c>
      <c r="C41" s="165">
        <v>69.99</v>
      </c>
      <c r="D41" s="165">
        <v>58.43</v>
      </c>
      <c r="E41" s="165">
        <v>8.5</v>
      </c>
      <c r="F41" s="165">
        <v>3.86</v>
      </c>
      <c r="G41" s="165">
        <v>46.59</v>
      </c>
      <c r="H41" s="165">
        <v>14.7</v>
      </c>
      <c r="I41" s="165">
        <v>4.51</v>
      </c>
      <c r="J41" s="165">
        <v>0.45</v>
      </c>
      <c r="K41" s="165">
        <v>89.99</v>
      </c>
      <c r="L41" s="165">
        <v>28.48</v>
      </c>
      <c r="M41" s="165">
        <v>54.21</v>
      </c>
      <c r="N41" s="165">
        <v>282.5</v>
      </c>
      <c r="O41" s="165">
        <v>0</v>
      </c>
      <c r="P41" s="165">
        <v>0.55</v>
      </c>
      <c r="Q41" s="165">
        <v>5</v>
      </c>
      <c r="R41" s="13"/>
      <c r="S41" s="13"/>
      <c r="T41" s="213"/>
      <c r="U41" s="13"/>
    </row>
    <row r="42" customFormat="1" spans="1:21">
      <c r="A42" s="142" t="s">
        <v>665</v>
      </c>
      <c r="B42" s="165">
        <v>25.19</v>
      </c>
      <c r="C42" s="165">
        <v>69.9</v>
      </c>
      <c r="D42" s="165">
        <v>57.6</v>
      </c>
      <c r="E42" s="165">
        <v>8.29</v>
      </c>
      <c r="F42" s="165">
        <v>4</v>
      </c>
      <c r="G42" s="165">
        <v>46.38</v>
      </c>
      <c r="H42" s="165">
        <v>14.73</v>
      </c>
      <c r="I42" s="165">
        <v>4.47</v>
      </c>
      <c r="J42" s="165">
        <v>0.01</v>
      </c>
      <c r="K42" s="165">
        <v>180.96</v>
      </c>
      <c r="L42" s="165">
        <v>29.19</v>
      </c>
      <c r="M42" s="165">
        <v>50.99</v>
      </c>
      <c r="N42" s="165">
        <v>226.9</v>
      </c>
      <c r="O42" s="165">
        <v>0</v>
      </c>
      <c r="P42" s="165">
        <v>0.55</v>
      </c>
      <c r="Q42" s="165">
        <v>5</v>
      </c>
      <c r="R42" s="13"/>
      <c r="S42" s="13"/>
      <c r="T42" s="213"/>
      <c r="U42" s="13"/>
    </row>
    <row r="43" customFormat="1" spans="1:21">
      <c r="A43" s="142" t="s">
        <v>666</v>
      </c>
      <c r="B43" s="165">
        <v>24.48</v>
      </c>
      <c r="C43" s="165">
        <v>70.23</v>
      </c>
      <c r="D43" s="165">
        <v>57.19</v>
      </c>
      <c r="E43" s="165">
        <v>8.3</v>
      </c>
      <c r="F43" s="165">
        <v>4.03</v>
      </c>
      <c r="G43" s="165">
        <v>37.12</v>
      </c>
      <c r="H43" s="165">
        <v>15.55</v>
      </c>
      <c r="I43" s="165">
        <v>4.41</v>
      </c>
      <c r="J43" s="165">
        <v>0.38</v>
      </c>
      <c r="K43" s="165">
        <v>86.47</v>
      </c>
      <c r="L43" s="165">
        <v>30.1</v>
      </c>
      <c r="M43" s="165">
        <v>47.48</v>
      </c>
      <c r="N43" s="165">
        <v>197.3</v>
      </c>
      <c r="O43" s="165">
        <v>0</v>
      </c>
      <c r="P43" s="165">
        <v>0.54</v>
      </c>
      <c r="Q43" s="165">
        <v>5</v>
      </c>
      <c r="R43" s="13"/>
      <c r="S43" s="13"/>
      <c r="T43" s="213"/>
      <c r="U43" s="13"/>
    </row>
    <row r="44" customFormat="1" spans="1:21">
      <c r="A44" s="142" t="s">
        <v>667</v>
      </c>
      <c r="B44" s="165">
        <v>23.57</v>
      </c>
      <c r="C44" s="165">
        <v>69.59</v>
      </c>
      <c r="D44" s="165">
        <v>56.14</v>
      </c>
      <c r="E44" s="165">
        <v>8.08</v>
      </c>
      <c r="F44" s="165">
        <v>4.1</v>
      </c>
      <c r="G44" s="165">
        <v>37.12</v>
      </c>
      <c r="H44" s="165">
        <v>15.55</v>
      </c>
      <c r="I44" s="165">
        <v>4.35</v>
      </c>
      <c r="J44" s="165">
        <v>0.15</v>
      </c>
      <c r="K44" s="165">
        <v>169.59</v>
      </c>
      <c r="L44" s="165">
        <v>31.26</v>
      </c>
      <c r="M44" s="165">
        <v>42.44</v>
      </c>
      <c r="N44" s="165">
        <v>182.9</v>
      </c>
      <c r="O44" s="165">
        <v>0</v>
      </c>
      <c r="P44" s="165">
        <v>0.54</v>
      </c>
      <c r="Q44" s="165">
        <v>5</v>
      </c>
      <c r="R44" s="13"/>
      <c r="S44" s="13"/>
      <c r="T44" s="213"/>
      <c r="U44" s="13"/>
    </row>
    <row r="45" customFormat="1" spans="1:21">
      <c r="A45" s="142" t="s">
        <v>668</v>
      </c>
      <c r="B45" s="165">
        <v>22.75</v>
      </c>
      <c r="C45" s="165">
        <v>70.4</v>
      </c>
      <c r="D45" s="165">
        <v>55.9</v>
      </c>
      <c r="E45" s="165">
        <v>8.12</v>
      </c>
      <c r="F45" s="165">
        <v>4.23</v>
      </c>
      <c r="G45" s="165">
        <v>37.12</v>
      </c>
      <c r="H45" s="165">
        <v>15.55</v>
      </c>
      <c r="I45" s="165">
        <v>4.33</v>
      </c>
      <c r="J45" s="165">
        <v>0.33</v>
      </c>
      <c r="K45" s="165">
        <v>40.71</v>
      </c>
      <c r="L45" s="165">
        <v>31.58</v>
      </c>
      <c r="M45" s="165">
        <v>40.89</v>
      </c>
      <c r="N45" s="165">
        <v>362.5</v>
      </c>
      <c r="O45" s="165">
        <v>0</v>
      </c>
      <c r="P45" s="165">
        <v>0.55</v>
      </c>
      <c r="Q45" s="165">
        <v>5</v>
      </c>
      <c r="R45" s="13"/>
      <c r="S45" s="13"/>
      <c r="T45" s="213"/>
      <c r="U45" s="13"/>
    </row>
    <row r="46" customFormat="1" spans="1:21">
      <c r="A46" s="142" t="s">
        <v>669</v>
      </c>
      <c r="B46" s="165">
        <v>22.2</v>
      </c>
      <c r="C46" s="165">
        <v>70.79</v>
      </c>
      <c r="D46" s="165">
        <v>55.66</v>
      </c>
      <c r="E46" s="165">
        <v>8.18</v>
      </c>
      <c r="F46" s="165">
        <v>4.66</v>
      </c>
      <c r="G46" s="165">
        <v>37.26</v>
      </c>
      <c r="H46" s="165">
        <v>15.58</v>
      </c>
      <c r="I46" s="165">
        <v>4.3</v>
      </c>
      <c r="J46" s="165">
        <v>0.67</v>
      </c>
      <c r="K46" s="165">
        <v>312.21</v>
      </c>
      <c r="L46" s="165">
        <v>31.8</v>
      </c>
      <c r="M46" s="165">
        <v>39.33</v>
      </c>
      <c r="N46" s="165">
        <v>507.9</v>
      </c>
      <c r="O46" s="165">
        <v>0</v>
      </c>
      <c r="P46" s="165">
        <v>0.56</v>
      </c>
      <c r="Q46" s="165">
        <v>5</v>
      </c>
      <c r="R46" s="13"/>
      <c r="S46" s="13"/>
      <c r="T46" s="213"/>
      <c r="U46" s="13"/>
    </row>
    <row r="47" customFormat="1" spans="1:21">
      <c r="A47" s="142" t="s">
        <v>670</v>
      </c>
      <c r="B47" s="165">
        <v>21.05</v>
      </c>
      <c r="C47" s="165">
        <v>71.33</v>
      </c>
      <c r="D47" s="165">
        <v>55.02</v>
      </c>
      <c r="E47" s="165">
        <v>8.38</v>
      </c>
      <c r="F47" s="165">
        <v>5.4</v>
      </c>
      <c r="G47" s="165">
        <v>43.27</v>
      </c>
      <c r="H47" s="165">
        <v>17.84</v>
      </c>
      <c r="I47" s="165">
        <v>4.3</v>
      </c>
      <c r="J47" s="165">
        <v>0.27</v>
      </c>
      <c r="K47" s="165">
        <v>19.15</v>
      </c>
      <c r="L47" s="165">
        <v>32.2</v>
      </c>
      <c r="M47" s="165">
        <v>37.79</v>
      </c>
      <c r="N47" s="165">
        <v>568.3</v>
      </c>
      <c r="O47" s="165">
        <v>0</v>
      </c>
      <c r="P47" s="165">
        <v>0.56</v>
      </c>
      <c r="Q47" s="165">
        <v>5</v>
      </c>
      <c r="R47" s="13"/>
      <c r="S47" s="13"/>
      <c r="T47" s="213"/>
      <c r="U47" s="13"/>
    </row>
    <row r="48" customFormat="1" spans="1:21">
      <c r="A48" s="142" t="s">
        <v>671</v>
      </c>
      <c r="B48" s="165">
        <v>20.04</v>
      </c>
      <c r="C48" s="165">
        <v>71.29</v>
      </c>
      <c r="D48" s="165">
        <v>54.19</v>
      </c>
      <c r="E48" s="165">
        <v>8.42</v>
      </c>
      <c r="F48" s="165">
        <v>5.73</v>
      </c>
      <c r="G48" s="165">
        <v>43.27</v>
      </c>
      <c r="H48" s="165">
        <v>17.84</v>
      </c>
      <c r="I48" s="165">
        <v>4.28</v>
      </c>
      <c r="J48" s="165">
        <v>0.67</v>
      </c>
      <c r="K48" s="165">
        <v>286.26</v>
      </c>
      <c r="L48" s="165">
        <v>32.2</v>
      </c>
      <c r="M48" s="165">
        <v>37.43</v>
      </c>
      <c r="N48" s="165">
        <v>448.8</v>
      </c>
      <c r="O48" s="165">
        <v>0</v>
      </c>
      <c r="P48" s="165">
        <v>0.57</v>
      </c>
      <c r="Q48" s="165">
        <v>5</v>
      </c>
      <c r="R48" s="13"/>
      <c r="S48" s="13"/>
      <c r="T48" s="213"/>
      <c r="U48" s="13"/>
    </row>
    <row r="49" customFormat="1" spans="1:21">
      <c r="A49" s="142" t="s">
        <v>672</v>
      </c>
      <c r="B49" s="165">
        <v>18.61</v>
      </c>
      <c r="C49" s="165">
        <v>67.62</v>
      </c>
      <c r="D49" s="165">
        <v>51.13</v>
      </c>
      <c r="E49" s="165">
        <v>5.23</v>
      </c>
      <c r="F49" s="165">
        <v>6.24</v>
      </c>
      <c r="G49" s="165">
        <v>43.27</v>
      </c>
      <c r="H49" s="165">
        <v>17.84</v>
      </c>
      <c r="I49" s="165">
        <v>4.28</v>
      </c>
      <c r="J49" s="165">
        <v>0.62</v>
      </c>
      <c r="K49" s="165">
        <v>239.2</v>
      </c>
      <c r="L49" s="165">
        <v>32.91</v>
      </c>
      <c r="M49" s="165">
        <v>36.5</v>
      </c>
      <c r="N49" s="165">
        <v>503.1</v>
      </c>
      <c r="O49" s="165">
        <v>0</v>
      </c>
      <c r="P49" s="165">
        <v>0.56</v>
      </c>
      <c r="Q49" s="165">
        <v>5</v>
      </c>
      <c r="R49" s="13"/>
      <c r="S49" s="13"/>
      <c r="T49" s="213"/>
      <c r="U49" s="13"/>
    </row>
    <row r="50" customFormat="1" spans="1:21">
      <c r="A50" s="142" t="s">
        <v>673</v>
      </c>
      <c r="B50" s="165">
        <v>16.9</v>
      </c>
      <c r="C50" s="165">
        <v>71.68</v>
      </c>
      <c r="D50" s="165">
        <v>51.88</v>
      </c>
      <c r="E50" s="165">
        <v>8.37</v>
      </c>
      <c r="F50" s="165">
        <v>5.66</v>
      </c>
      <c r="G50" s="165">
        <v>43.17</v>
      </c>
      <c r="H50" s="165">
        <v>17.77</v>
      </c>
      <c r="I50" s="165">
        <v>4.3</v>
      </c>
      <c r="J50" s="165">
        <v>0.59</v>
      </c>
      <c r="K50" s="165">
        <v>260.79</v>
      </c>
      <c r="L50" s="165">
        <v>33.6</v>
      </c>
      <c r="M50" s="165">
        <v>34.3</v>
      </c>
      <c r="N50" s="165">
        <v>444.7</v>
      </c>
      <c r="O50" s="165">
        <v>0</v>
      </c>
      <c r="P50" s="165">
        <v>0.57</v>
      </c>
      <c r="Q50" s="165">
        <v>5</v>
      </c>
      <c r="R50" s="13"/>
      <c r="S50" s="13"/>
      <c r="T50" s="213"/>
      <c r="U50" s="13"/>
    </row>
    <row r="51" customFormat="1" spans="1:21">
      <c r="A51" s="142" t="s">
        <v>674</v>
      </c>
      <c r="B51" s="165">
        <v>14.83</v>
      </c>
      <c r="C51" s="165">
        <v>67.76</v>
      </c>
      <c r="D51" s="165">
        <v>48.17</v>
      </c>
      <c r="E51" s="165">
        <v>8.62</v>
      </c>
      <c r="F51" s="165">
        <v>7.53</v>
      </c>
      <c r="G51" s="165">
        <v>38.62</v>
      </c>
      <c r="H51" s="165">
        <v>15.47</v>
      </c>
      <c r="I51" s="165">
        <v>4.31</v>
      </c>
      <c r="J51" s="165">
        <v>0.36</v>
      </c>
      <c r="K51" s="165">
        <v>70.84</v>
      </c>
      <c r="L51" s="165">
        <v>33.86</v>
      </c>
      <c r="M51" s="165">
        <v>33.67</v>
      </c>
      <c r="N51" s="165">
        <v>598.1</v>
      </c>
      <c r="O51" s="165">
        <v>0</v>
      </c>
      <c r="P51" s="165">
        <v>0.57</v>
      </c>
      <c r="Q51" s="165">
        <v>5</v>
      </c>
      <c r="R51" s="13"/>
      <c r="S51" s="13"/>
      <c r="T51" s="213"/>
      <c r="U51" s="13"/>
    </row>
    <row r="52" customFormat="1" spans="1:21">
      <c r="A52" s="142" t="s">
        <v>675</v>
      </c>
      <c r="B52" s="165">
        <v>13.02</v>
      </c>
      <c r="C52" s="165">
        <v>72.92</v>
      </c>
      <c r="D52" s="165">
        <v>49.41</v>
      </c>
      <c r="E52" s="165">
        <v>8.64</v>
      </c>
      <c r="F52" s="165">
        <v>6.9</v>
      </c>
      <c r="G52" s="165">
        <v>38.62</v>
      </c>
      <c r="H52" s="165">
        <v>15.47</v>
      </c>
      <c r="I52" s="165">
        <v>4.3</v>
      </c>
      <c r="J52" s="165">
        <v>0.58</v>
      </c>
      <c r="K52" s="165">
        <v>245.8</v>
      </c>
      <c r="L52" s="165">
        <v>34.13</v>
      </c>
      <c r="M52" s="165">
        <v>33.47</v>
      </c>
      <c r="N52" s="165">
        <v>551.2</v>
      </c>
      <c r="O52" s="165">
        <v>0</v>
      </c>
      <c r="P52" s="165">
        <v>0.58</v>
      </c>
      <c r="Q52" s="165">
        <v>5</v>
      </c>
      <c r="R52" s="13"/>
      <c r="S52" s="13"/>
      <c r="T52" s="213"/>
      <c r="U52" s="13"/>
    </row>
    <row r="53" customFormat="1" spans="1:21">
      <c r="A53" s="142" t="s">
        <v>676</v>
      </c>
      <c r="B53" s="165">
        <v>11.5</v>
      </c>
      <c r="C53" s="165">
        <v>70.16</v>
      </c>
      <c r="D53" s="165">
        <v>46.75</v>
      </c>
      <c r="E53" s="165">
        <v>8.41</v>
      </c>
      <c r="F53" s="165">
        <v>5.84</v>
      </c>
      <c r="G53" s="165">
        <v>38.62</v>
      </c>
      <c r="H53" s="165">
        <v>15.47</v>
      </c>
      <c r="I53" s="165">
        <v>4.33</v>
      </c>
      <c r="J53" s="165">
        <v>0.55</v>
      </c>
      <c r="K53" s="165">
        <v>173.42</v>
      </c>
      <c r="L53" s="165">
        <v>35.28</v>
      </c>
      <c r="M53" s="165">
        <v>31.05</v>
      </c>
      <c r="N53" s="165">
        <v>499.3</v>
      </c>
      <c r="O53" s="165">
        <v>0</v>
      </c>
      <c r="P53" s="165">
        <v>0.58</v>
      </c>
      <c r="Q53" s="165">
        <v>5</v>
      </c>
      <c r="R53" s="13"/>
      <c r="S53" s="13"/>
      <c r="T53" s="213"/>
      <c r="U53" s="13"/>
    </row>
    <row r="54" customFormat="1" spans="1:21">
      <c r="A54" s="142" t="s">
        <v>677</v>
      </c>
      <c r="B54" s="165">
        <v>8.98</v>
      </c>
      <c r="C54" s="165">
        <v>58.5</v>
      </c>
      <c r="D54" s="165">
        <v>38.64</v>
      </c>
      <c r="E54" s="165">
        <v>9.93</v>
      </c>
      <c r="F54" s="165">
        <v>19.28</v>
      </c>
      <c r="G54" s="165">
        <v>38.71</v>
      </c>
      <c r="H54" s="165">
        <v>15.51</v>
      </c>
      <c r="I54" s="165">
        <v>4.38</v>
      </c>
      <c r="J54" s="165">
        <v>0.35</v>
      </c>
      <c r="K54" s="165">
        <v>213.38</v>
      </c>
      <c r="L54" s="165">
        <v>35.09</v>
      </c>
      <c r="M54" s="165">
        <v>31.65</v>
      </c>
      <c r="N54" s="165">
        <v>599.3</v>
      </c>
      <c r="O54" s="165">
        <v>0</v>
      </c>
      <c r="P54" s="165">
        <v>0.58</v>
      </c>
      <c r="Q54" s="165">
        <v>5</v>
      </c>
      <c r="R54" s="13"/>
      <c r="S54" s="13"/>
      <c r="T54" s="213"/>
      <c r="U54" s="13"/>
    </row>
    <row r="55" customFormat="1" spans="1:21">
      <c r="A55" s="142" t="s">
        <v>678</v>
      </c>
      <c r="B55" s="165">
        <v>8.34</v>
      </c>
      <c r="C55" s="165">
        <v>56.94</v>
      </c>
      <c r="D55" s="165">
        <v>37.31</v>
      </c>
      <c r="E55" s="165">
        <v>11.42</v>
      </c>
      <c r="F55" s="165">
        <v>19.67</v>
      </c>
      <c r="G55" s="165">
        <v>42.55</v>
      </c>
      <c r="H55" s="165">
        <v>16.89</v>
      </c>
      <c r="I55" s="165">
        <v>4.37</v>
      </c>
      <c r="J55" s="165">
        <v>0.26</v>
      </c>
      <c r="K55" s="165">
        <v>281.99</v>
      </c>
      <c r="L55" s="165">
        <v>35.06</v>
      </c>
      <c r="M55" s="165">
        <v>31.43</v>
      </c>
      <c r="N55" s="165">
        <v>617.9</v>
      </c>
      <c r="O55" s="165">
        <v>0</v>
      </c>
      <c r="P55" s="165">
        <v>0.58</v>
      </c>
      <c r="Q55" s="165">
        <v>5</v>
      </c>
      <c r="R55" s="13"/>
      <c r="S55" s="13"/>
      <c r="T55" s="213"/>
      <c r="U55" s="13"/>
    </row>
    <row r="56" customFormat="1" spans="1:21">
      <c r="A56" s="142" t="s">
        <v>679</v>
      </c>
      <c r="B56" s="165">
        <v>8.24</v>
      </c>
      <c r="C56" s="165">
        <v>59.89</v>
      </c>
      <c r="D56" s="165">
        <v>38.77</v>
      </c>
      <c r="E56" s="165">
        <v>10.86</v>
      </c>
      <c r="F56" s="165">
        <v>12.17</v>
      </c>
      <c r="G56" s="165">
        <v>42.55</v>
      </c>
      <c r="H56" s="165">
        <v>16.89</v>
      </c>
      <c r="I56" s="165">
        <v>4.3</v>
      </c>
      <c r="J56" s="165">
        <v>0.79</v>
      </c>
      <c r="K56" s="165">
        <v>290.96</v>
      </c>
      <c r="L56" s="165">
        <v>35.13</v>
      </c>
      <c r="M56" s="165">
        <v>31.14</v>
      </c>
      <c r="N56" s="165">
        <v>685.1</v>
      </c>
      <c r="O56" s="165">
        <v>0</v>
      </c>
      <c r="P56" s="165">
        <v>0.57</v>
      </c>
      <c r="Q56" s="165">
        <v>5</v>
      </c>
      <c r="R56" s="13"/>
      <c r="S56" s="13"/>
      <c r="T56" s="213"/>
      <c r="U56" s="13"/>
    </row>
    <row r="57" customFormat="1" spans="1:21">
      <c r="A57" s="142" t="s">
        <v>680</v>
      </c>
      <c r="B57" s="165">
        <v>7.67</v>
      </c>
      <c r="C57" s="165">
        <v>60.36</v>
      </c>
      <c r="D57" s="165">
        <v>38.56</v>
      </c>
      <c r="E57" s="165">
        <v>10.69</v>
      </c>
      <c r="F57" s="165">
        <v>20.6</v>
      </c>
      <c r="G57" s="165">
        <v>42.55</v>
      </c>
      <c r="H57" s="165">
        <v>16.89</v>
      </c>
      <c r="I57" s="165">
        <v>4.32</v>
      </c>
      <c r="J57" s="165">
        <v>0.55</v>
      </c>
      <c r="K57" s="165">
        <v>298.05</v>
      </c>
      <c r="L57" s="165">
        <v>35.43</v>
      </c>
      <c r="M57" s="165">
        <v>30.54</v>
      </c>
      <c r="N57" s="165">
        <v>655.8</v>
      </c>
      <c r="O57" s="165">
        <v>0</v>
      </c>
      <c r="P57" s="165">
        <v>0.58</v>
      </c>
      <c r="Q57" s="165">
        <v>5</v>
      </c>
      <c r="R57" s="13"/>
      <c r="S57" s="13"/>
      <c r="T57" s="213"/>
      <c r="U57" s="13"/>
    </row>
    <row r="58" customFormat="1" spans="1:21">
      <c r="A58" s="142" t="s">
        <v>681</v>
      </c>
      <c r="B58" s="165">
        <v>6.94</v>
      </c>
      <c r="C58" s="165">
        <v>59.41</v>
      </c>
      <c r="D58" s="165">
        <v>37.48</v>
      </c>
      <c r="E58" s="165">
        <v>12.39</v>
      </c>
      <c r="F58" s="165">
        <v>23.87</v>
      </c>
      <c r="G58" s="165">
        <v>42.51</v>
      </c>
      <c r="H58" s="165">
        <v>17</v>
      </c>
      <c r="I58" s="165">
        <v>4.45</v>
      </c>
      <c r="J58" s="165">
        <v>0.24</v>
      </c>
      <c r="K58" s="165">
        <v>253.4</v>
      </c>
      <c r="L58" s="165">
        <v>35.55</v>
      </c>
      <c r="M58" s="165">
        <v>30.08</v>
      </c>
      <c r="N58" s="165">
        <v>675.5</v>
      </c>
      <c r="O58" s="165">
        <v>0</v>
      </c>
      <c r="P58" s="165">
        <v>0.59</v>
      </c>
      <c r="Q58" s="165">
        <v>5</v>
      </c>
      <c r="R58" s="13"/>
      <c r="S58" s="13"/>
      <c r="T58" s="213"/>
      <c r="U58" s="13"/>
    </row>
    <row r="59" customFormat="1" spans="1:21">
      <c r="A59" s="142" t="s">
        <v>682</v>
      </c>
      <c r="B59" s="165">
        <v>6.24</v>
      </c>
      <c r="C59" s="165">
        <v>56.77</v>
      </c>
      <c r="D59" s="165">
        <v>35.54</v>
      </c>
      <c r="E59" s="165">
        <v>13.83</v>
      </c>
      <c r="F59" s="165">
        <v>31.78</v>
      </c>
      <c r="G59" s="165">
        <v>40.7</v>
      </c>
      <c r="H59" s="165">
        <v>20.48</v>
      </c>
      <c r="I59" s="165">
        <v>4.47</v>
      </c>
      <c r="J59" s="165">
        <v>0.29</v>
      </c>
      <c r="K59" s="165">
        <v>281.61</v>
      </c>
      <c r="L59" s="165">
        <v>36.4</v>
      </c>
      <c r="M59" s="165">
        <v>28.85</v>
      </c>
      <c r="N59" s="165">
        <v>707.9</v>
      </c>
      <c r="O59" s="165">
        <v>0</v>
      </c>
      <c r="P59" s="165">
        <v>0.59</v>
      </c>
      <c r="Q59" s="165">
        <v>5</v>
      </c>
      <c r="R59" s="13"/>
      <c r="S59" s="13"/>
      <c r="T59" s="213"/>
      <c r="U59" s="13"/>
    </row>
    <row r="60" customFormat="1" spans="1:21">
      <c r="A60" s="142" t="s">
        <v>683</v>
      </c>
      <c r="B60" s="165">
        <v>6.11</v>
      </c>
      <c r="C60" s="165">
        <v>60.09</v>
      </c>
      <c r="D60" s="165">
        <v>37.17</v>
      </c>
      <c r="E60" s="165">
        <v>12.44</v>
      </c>
      <c r="F60" s="165">
        <v>17.84</v>
      </c>
      <c r="G60" s="165">
        <v>40.7</v>
      </c>
      <c r="H60" s="165">
        <v>20.48</v>
      </c>
      <c r="I60" s="165">
        <v>4.42</v>
      </c>
      <c r="J60" s="165">
        <v>0.52</v>
      </c>
      <c r="K60" s="165">
        <v>244.32</v>
      </c>
      <c r="L60" s="165">
        <v>36.06</v>
      </c>
      <c r="M60" s="165">
        <v>29.27</v>
      </c>
      <c r="N60" s="165">
        <v>586.4</v>
      </c>
      <c r="O60" s="165">
        <v>0</v>
      </c>
      <c r="P60" s="165">
        <v>0.6</v>
      </c>
      <c r="Q60" s="165">
        <v>5</v>
      </c>
      <c r="R60" s="13"/>
      <c r="S60" s="13"/>
      <c r="T60" s="213"/>
      <c r="U60" s="13"/>
    </row>
    <row r="61" customFormat="1" spans="1:21">
      <c r="A61" s="142" t="s">
        <v>684</v>
      </c>
      <c r="B61" s="165">
        <v>5.49</v>
      </c>
      <c r="C61" s="165">
        <v>54.49</v>
      </c>
      <c r="D61" s="165">
        <v>33.75</v>
      </c>
      <c r="E61" s="165">
        <v>13.48</v>
      </c>
      <c r="F61" s="165">
        <v>31.43</v>
      </c>
      <c r="G61" s="165">
        <v>40.7</v>
      </c>
      <c r="H61" s="165">
        <v>20.48</v>
      </c>
      <c r="I61" s="165">
        <v>4.54</v>
      </c>
      <c r="J61" s="165">
        <v>0.37</v>
      </c>
      <c r="K61" s="165">
        <v>240.91</v>
      </c>
      <c r="L61" s="165">
        <v>36.94</v>
      </c>
      <c r="M61" s="165">
        <v>27.95</v>
      </c>
      <c r="N61" s="165">
        <v>530</v>
      </c>
      <c r="O61" s="165">
        <v>0</v>
      </c>
      <c r="P61" s="165">
        <v>0.58</v>
      </c>
      <c r="Q61" s="165">
        <v>5</v>
      </c>
      <c r="R61" s="13"/>
      <c r="S61" s="13"/>
      <c r="T61" s="213"/>
      <c r="U61" s="13"/>
    </row>
    <row r="62" customFormat="1" spans="1:21">
      <c r="A62" s="142" t="s">
        <v>685</v>
      </c>
      <c r="B62" s="165">
        <v>5.33</v>
      </c>
      <c r="C62" s="165">
        <v>53.33</v>
      </c>
      <c r="D62" s="165">
        <v>33.01</v>
      </c>
      <c r="E62" s="165">
        <v>14.54</v>
      </c>
      <c r="F62" s="165">
        <v>42.11</v>
      </c>
      <c r="G62" s="165">
        <v>40.78</v>
      </c>
      <c r="H62" s="165">
        <v>20.59</v>
      </c>
      <c r="I62" s="165">
        <v>4.62</v>
      </c>
      <c r="J62" s="165">
        <v>0.26</v>
      </c>
      <c r="K62" s="165">
        <v>21.63</v>
      </c>
      <c r="L62" s="165">
        <v>36.76</v>
      </c>
      <c r="M62" s="165">
        <v>27.71</v>
      </c>
      <c r="N62" s="165">
        <v>546.8</v>
      </c>
      <c r="O62" s="165">
        <v>0</v>
      </c>
      <c r="P62" s="165">
        <v>0.58</v>
      </c>
      <c r="Q62" s="165">
        <v>5</v>
      </c>
      <c r="R62" s="13"/>
      <c r="S62" s="13"/>
      <c r="T62" s="213"/>
      <c r="U62" s="13"/>
    </row>
    <row r="63" customFormat="1" spans="1:21">
      <c r="A63" s="142" t="s">
        <v>686</v>
      </c>
      <c r="B63" s="165">
        <v>5.18</v>
      </c>
      <c r="C63" s="165">
        <v>53.65</v>
      </c>
      <c r="D63" s="165">
        <v>33.06</v>
      </c>
      <c r="E63" s="165">
        <v>16.43</v>
      </c>
      <c r="F63" s="165">
        <v>40.5</v>
      </c>
      <c r="G63" s="165">
        <v>44.39</v>
      </c>
      <c r="H63" s="165">
        <v>24.1</v>
      </c>
      <c r="I63" s="165">
        <v>4.58</v>
      </c>
      <c r="J63" s="165">
        <v>0.35</v>
      </c>
      <c r="K63" s="165">
        <v>18.14</v>
      </c>
      <c r="L63" s="165">
        <v>37.19</v>
      </c>
      <c r="M63" s="165">
        <v>26.64</v>
      </c>
      <c r="N63" s="165">
        <v>607.8</v>
      </c>
      <c r="O63" s="165">
        <v>0</v>
      </c>
      <c r="P63" s="165">
        <v>0.57</v>
      </c>
      <c r="Q63" s="165">
        <v>5</v>
      </c>
      <c r="R63" s="13"/>
      <c r="S63" s="13"/>
      <c r="T63" s="213"/>
      <c r="U63" s="13"/>
    </row>
    <row r="64" customFormat="1" spans="1:21">
      <c r="A64" s="142" t="s">
        <v>687</v>
      </c>
      <c r="B64" s="165">
        <v>5.41</v>
      </c>
      <c r="C64" s="165">
        <v>54.08</v>
      </c>
      <c r="D64" s="165">
        <v>33.47</v>
      </c>
      <c r="E64" s="165">
        <v>15.34</v>
      </c>
      <c r="F64" s="165">
        <v>35.54</v>
      </c>
      <c r="G64" s="165">
        <v>44.39</v>
      </c>
      <c r="H64" s="165">
        <v>24.1</v>
      </c>
      <c r="I64" s="165">
        <v>4.45</v>
      </c>
      <c r="J64" s="165">
        <v>0.53</v>
      </c>
      <c r="K64" s="165">
        <v>45.57</v>
      </c>
      <c r="L64" s="165">
        <v>37.24</v>
      </c>
      <c r="M64" s="165">
        <v>25.87</v>
      </c>
      <c r="N64" s="165">
        <v>595.6</v>
      </c>
      <c r="O64" s="165">
        <v>0</v>
      </c>
      <c r="P64" s="165">
        <v>0.57</v>
      </c>
      <c r="Q64" s="165">
        <v>5</v>
      </c>
      <c r="R64" s="13"/>
      <c r="S64" s="13"/>
      <c r="T64" s="213"/>
      <c r="U64" s="13"/>
    </row>
    <row r="65" customFormat="1" spans="1:21">
      <c r="A65" s="142" t="s">
        <v>688</v>
      </c>
      <c r="B65" s="165">
        <v>5.4</v>
      </c>
      <c r="C65" s="165">
        <v>54.57</v>
      </c>
      <c r="D65" s="165">
        <v>33.72</v>
      </c>
      <c r="E65" s="165">
        <v>14.74</v>
      </c>
      <c r="F65" s="165">
        <v>31.08</v>
      </c>
      <c r="G65" s="165">
        <v>44.39</v>
      </c>
      <c r="H65" s="165">
        <v>24.1</v>
      </c>
      <c r="I65" s="165">
        <v>4.39</v>
      </c>
      <c r="J65" s="165">
        <v>0.19</v>
      </c>
      <c r="K65" s="165">
        <v>123.2</v>
      </c>
      <c r="L65" s="165">
        <v>37.7</v>
      </c>
      <c r="M65" s="165">
        <v>25.48</v>
      </c>
      <c r="N65" s="165">
        <v>640.6</v>
      </c>
      <c r="O65" s="165">
        <v>0</v>
      </c>
      <c r="P65" s="165">
        <v>0.55</v>
      </c>
      <c r="Q65" s="165">
        <v>5</v>
      </c>
      <c r="R65" s="13"/>
      <c r="S65" s="13"/>
      <c r="T65" s="213"/>
      <c r="U65" s="13"/>
    </row>
    <row r="66" customFormat="1" spans="1:21">
      <c r="A66" s="142" t="s">
        <v>689</v>
      </c>
      <c r="B66" s="165">
        <v>5.4</v>
      </c>
      <c r="C66" s="165">
        <v>52.78</v>
      </c>
      <c r="D66" s="165">
        <v>32.78</v>
      </c>
      <c r="E66" s="165">
        <v>14.51</v>
      </c>
      <c r="F66" s="165">
        <v>33.46</v>
      </c>
      <c r="G66" s="165">
        <v>44.44</v>
      </c>
      <c r="H66" s="165">
        <v>23.91</v>
      </c>
      <c r="I66" s="165">
        <v>4.38</v>
      </c>
      <c r="J66" s="165">
        <v>0.5</v>
      </c>
      <c r="K66" s="165">
        <v>299.17</v>
      </c>
      <c r="L66" s="165">
        <v>37.71</v>
      </c>
      <c r="M66" s="165">
        <v>24.39</v>
      </c>
      <c r="N66" s="165">
        <v>613.3</v>
      </c>
      <c r="O66" s="165">
        <v>0</v>
      </c>
      <c r="P66" s="165">
        <v>0.56</v>
      </c>
      <c r="Q66" s="165">
        <v>5</v>
      </c>
      <c r="R66" s="13"/>
      <c r="S66" s="13"/>
      <c r="T66" s="213"/>
      <c r="U66" s="13"/>
    </row>
    <row r="67" customFormat="1" spans="1:21">
      <c r="A67" s="142" t="s">
        <v>690</v>
      </c>
      <c r="B67" s="165">
        <v>5.55</v>
      </c>
      <c r="C67" s="165">
        <v>53.37</v>
      </c>
      <c r="D67" s="165">
        <v>33.2</v>
      </c>
      <c r="E67" s="165">
        <v>13.45</v>
      </c>
      <c r="F67" s="165">
        <v>24.02</v>
      </c>
      <c r="G67" s="165">
        <v>46.42</v>
      </c>
      <c r="H67" s="165">
        <v>17.83</v>
      </c>
      <c r="I67" s="165">
        <v>4.46</v>
      </c>
      <c r="J67" s="165">
        <v>0.16</v>
      </c>
      <c r="K67" s="165">
        <v>275.37</v>
      </c>
      <c r="L67" s="165">
        <v>37.67</v>
      </c>
      <c r="M67" s="165">
        <v>24.26</v>
      </c>
      <c r="N67" s="165">
        <v>593.4</v>
      </c>
      <c r="O67" s="165">
        <v>0</v>
      </c>
      <c r="P67" s="165">
        <v>0.56</v>
      </c>
      <c r="Q67" s="165">
        <v>5</v>
      </c>
      <c r="R67" s="13"/>
      <c r="S67" s="13"/>
      <c r="T67" s="213"/>
      <c r="U67" s="13"/>
    </row>
    <row r="68" customFormat="1" spans="1:21">
      <c r="A68" s="142" t="s">
        <v>691</v>
      </c>
      <c r="B68" s="165">
        <v>5.47</v>
      </c>
      <c r="C68" s="165">
        <v>54.67</v>
      </c>
      <c r="D68" s="165">
        <v>33.82</v>
      </c>
      <c r="E68" s="165">
        <v>13.35</v>
      </c>
      <c r="F68" s="165">
        <v>25.27</v>
      </c>
      <c r="G68" s="165">
        <v>46.42</v>
      </c>
      <c r="H68" s="165">
        <v>17.83</v>
      </c>
      <c r="I68" s="165">
        <v>4.49</v>
      </c>
      <c r="J68" s="165">
        <v>0.18</v>
      </c>
      <c r="K68" s="165">
        <v>138.07</v>
      </c>
      <c r="L68" s="165">
        <v>37.97</v>
      </c>
      <c r="M68" s="165">
        <v>23.35</v>
      </c>
      <c r="N68" s="165">
        <v>511.4</v>
      </c>
      <c r="O68" s="165">
        <v>0</v>
      </c>
      <c r="P68" s="165">
        <v>0.55</v>
      </c>
      <c r="Q68" s="165">
        <v>5</v>
      </c>
      <c r="R68" s="13"/>
      <c r="S68" s="13"/>
      <c r="T68" s="213"/>
      <c r="U68" s="13"/>
    </row>
    <row r="69" customFormat="1" spans="1:21">
      <c r="A69" s="142" t="s">
        <v>692</v>
      </c>
      <c r="B69" s="165">
        <v>5.42</v>
      </c>
      <c r="C69" s="165">
        <v>52.59</v>
      </c>
      <c r="D69" s="165">
        <v>32.7</v>
      </c>
      <c r="E69" s="165">
        <v>13.24</v>
      </c>
      <c r="F69" s="165">
        <v>31.38</v>
      </c>
      <c r="G69" s="165">
        <v>46.42</v>
      </c>
      <c r="H69" s="165">
        <v>17.83</v>
      </c>
      <c r="I69" s="165">
        <v>4.43</v>
      </c>
      <c r="J69" s="165">
        <v>0.09</v>
      </c>
      <c r="K69" s="165">
        <v>190.97</v>
      </c>
      <c r="L69" s="165">
        <v>38.21</v>
      </c>
      <c r="M69" s="165">
        <v>23.12</v>
      </c>
      <c r="N69" s="165">
        <v>519.3</v>
      </c>
      <c r="O69" s="165">
        <v>0</v>
      </c>
      <c r="P69" s="165">
        <v>0.54</v>
      </c>
      <c r="Q69" s="165">
        <v>5</v>
      </c>
      <c r="R69" s="13"/>
      <c r="S69" s="13"/>
      <c r="T69" s="213"/>
      <c r="U69" s="13"/>
    </row>
    <row r="70" customFormat="1" spans="1:21">
      <c r="A70" s="142" t="s">
        <v>693</v>
      </c>
      <c r="B70" s="165">
        <v>5.26</v>
      </c>
      <c r="C70" s="165">
        <v>52.02</v>
      </c>
      <c r="D70" s="165">
        <v>32.27</v>
      </c>
      <c r="E70" s="165">
        <v>13.45</v>
      </c>
      <c r="F70" s="165">
        <v>30.24</v>
      </c>
      <c r="G70" s="165">
        <v>46.28</v>
      </c>
      <c r="H70" s="165">
        <v>17.81</v>
      </c>
      <c r="I70" s="165">
        <v>4.44</v>
      </c>
      <c r="J70" s="165">
        <v>0.57</v>
      </c>
      <c r="K70" s="165">
        <v>242.62</v>
      </c>
      <c r="L70" s="165">
        <v>37.78</v>
      </c>
      <c r="M70" s="165">
        <v>22.81</v>
      </c>
      <c r="N70" s="165">
        <v>486.6</v>
      </c>
      <c r="O70" s="165">
        <v>0</v>
      </c>
      <c r="P70" s="165">
        <v>0.54</v>
      </c>
      <c r="Q70" s="165">
        <v>5</v>
      </c>
      <c r="R70" s="13"/>
      <c r="S70" s="13"/>
      <c r="T70" s="213"/>
      <c r="U70" s="13"/>
    </row>
    <row r="71" customFormat="1" spans="1:21">
      <c r="A71" s="142" t="s">
        <v>694</v>
      </c>
      <c r="B71" s="165">
        <v>5.33</v>
      </c>
      <c r="C71" s="165">
        <v>50.62</v>
      </c>
      <c r="D71" s="165">
        <v>31.6</v>
      </c>
      <c r="E71" s="165">
        <v>13.65</v>
      </c>
      <c r="F71" s="165">
        <v>30.77</v>
      </c>
      <c r="G71" s="165">
        <v>39.85</v>
      </c>
      <c r="H71" s="165">
        <v>17.28</v>
      </c>
      <c r="I71" s="165">
        <v>4.38</v>
      </c>
      <c r="J71" s="165">
        <v>0.26</v>
      </c>
      <c r="K71" s="165">
        <v>208.35</v>
      </c>
      <c r="L71" s="165">
        <v>37.78</v>
      </c>
      <c r="M71" s="165">
        <v>21.31</v>
      </c>
      <c r="N71" s="165">
        <v>377</v>
      </c>
      <c r="O71" s="165">
        <v>0</v>
      </c>
      <c r="P71" s="165">
        <v>0.52</v>
      </c>
      <c r="Q71" s="165">
        <v>5</v>
      </c>
      <c r="R71" s="13"/>
      <c r="S71" s="13"/>
      <c r="T71" s="213"/>
      <c r="U71" s="13"/>
    </row>
    <row r="72" customFormat="1" spans="1:21">
      <c r="A72" s="142" t="s">
        <v>695</v>
      </c>
      <c r="B72" s="165">
        <v>5.46</v>
      </c>
      <c r="C72" s="165">
        <v>51.61</v>
      </c>
      <c r="D72" s="165">
        <v>32.22</v>
      </c>
      <c r="E72" s="165">
        <v>13.96</v>
      </c>
      <c r="F72" s="165">
        <v>36.55</v>
      </c>
      <c r="G72" s="165">
        <v>39.85</v>
      </c>
      <c r="H72" s="165">
        <v>17.28</v>
      </c>
      <c r="I72" s="165">
        <v>4.29</v>
      </c>
      <c r="J72" s="165">
        <v>0.26</v>
      </c>
      <c r="K72" s="165">
        <v>109.91</v>
      </c>
      <c r="L72" s="165">
        <v>38.31</v>
      </c>
      <c r="M72" s="165">
        <v>19.8</v>
      </c>
      <c r="N72" s="165">
        <v>404.7</v>
      </c>
      <c r="O72" s="165">
        <v>0</v>
      </c>
      <c r="P72" s="165">
        <v>0.52</v>
      </c>
      <c r="Q72" s="165">
        <v>5</v>
      </c>
      <c r="R72" s="13"/>
      <c r="S72" s="13"/>
      <c r="T72" s="213"/>
      <c r="U72" s="13"/>
    </row>
    <row r="73" customFormat="1" spans="1:21">
      <c r="A73" s="142" t="s">
        <v>696</v>
      </c>
      <c r="B73" s="165">
        <v>5.42</v>
      </c>
      <c r="C73" s="165">
        <v>50.31</v>
      </c>
      <c r="D73" s="165">
        <v>31.51</v>
      </c>
      <c r="E73" s="165">
        <v>13.89</v>
      </c>
      <c r="F73" s="165">
        <v>28.59</v>
      </c>
      <c r="G73" s="165">
        <v>39.85</v>
      </c>
      <c r="H73" s="165">
        <v>17.28</v>
      </c>
      <c r="I73" s="165">
        <v>4.17</v>
      </c>
      <c r="J73" s="165">
        <v>0.27</v>
      </c>
      <c r="K73" s="165">
        <v>192.66</v>
      </c>
      <c r="L73" s="165">
        <v>37.69</v>
      </c>
      <c r="M73" s="165">
        <v>21.63</v>
      </c>
      <c r="N73" s="165">
        <v>207.9</v>
      </c>
      <c r="O73" s="165">
        <v>0</v>
      </c>
      <c r="P73" s="165">
        <v>0.51</v>
      </c>
      <c r="Q73" s="165">
        <v>5</v>
      </c>
      <c r="R73" s="13"/>
      <c r="S73" s="13"/>
      <c r="T73" s="213"/>
      <c r="U73" s="13"/>
    </row>
    <row r="74" customFormat="1" spans="1:21">
      <c r="A74" s="142" t="s">
        <v>697</v>
      </c>
      <c r="B74" s="165">
        <v>5.66</v>
      </c>
      <c r="C74" s="165">
        <v>54.72</v>
      </c>
      <c r="D74" s="165">
        <v>34</v>
      </c>
      <c r="E74" s="165">
        <v>13.26</v>
      </c>
      <c r="F74" s="165">
        <v>26.81</v>
      </c>
      <c r="G74" s="165">
        <v>39.79</v>
      </c>
      <c r="H74" s="165">
        <v>17.33</v>
      </c>
      <c r="I74" s="165">
        <v>3.99</v>
      </c>
      <c r="J74" s="165">
        <v>0.28</v>
      </c>
      <c r="K74" s="165">
        <v>218.4</v>
      </c>
      <c r="L74" s="165">
        <v>37.12</v>
      </c>
      <c r="M74" s="165">
        <v>21.4</v>
      </c>
      <c r="N74" s="165">
        <v>224.9</v>
      </c>
      <c r="O74" s="165">
        <v>0</v>
      </c>
      <c r="P74" s="165">
        <v>0.52</v>
      </c>
      <c r="Q74" s="165">
        <v>5</v>
      </c>
      <c r="R74" s="13"/>
      <c r="S74" s="13"/>
      <c r="T74" s="213"/>
      <c r="U74" s="13"/>
    </row>
    <row r="75" customFormat="1" spans="1:21">
      <c r="A75" s="142" t="s">
        <v>698</v>
      </c>
      <c r="B75" s="165">
        <v>5.68</v>
      </c>
      <c r="C75" s="165">
        <v>57.08</v>
      </c>
      <c r="D75" s="165">
        <v>35.25</v>
      </c>
      <c r="E75" s="165">
        <v>12.85</v>
      </c>
      <c r="F75" s="165">
        <v>24.41</v>
      </c>
      <c r="G75" s="165">
        <v>37.22</v>
      </c>
      <c r="H75" s="165">
        <v>18.99</v>
      </c>
      <c r="I75" s="165">
        <v>4.1</v>
      </c>
      <c r="J75" s="165">
        <v>0.33</v>
      </c>
      <c r="K75" s="165">
        <v>234.54</v>
      </c>
      <c r="L75" s="165">
        <v>36.59</v>
      </c>
      <c r="M75" s="165">
        <v>22.47</v>
      </c>
      <c r="N75" s="165">
        <v>169.4</v>
      </c>
      <c r="O75" s="165">
        <v>0</v>
      </c>
      <c r="P75" s="165">
        <v>0.53</v>
      </c>
      <c r="Q75" s="165">
        <v>5</v>
      </c>
      <c r="R75" s="13"/>
      <c r="S75" s="13"/>
      <c r="T75" s="213"/>
      <c r="U75" s="13"/>
    </row>
    <row r="76" customFormat="1" spans="1:21">
      <c r="A76" s="142" t="s">
        <v>699</v>
      </c>
      <c r="B76" s="165">
        <v>5.61</v>
      </c>
      <c r="C76" s="165">
        <v>58.81</v>
      </c>
      <c r="D76" s="165">
        <v>36.1</v>
      </c>
      <c r="E76" s="165">
        <v>12.76</v>
      </c>
      <c r="F76" s="165">
        <v>23.92</v>
      </c>
      <c r="G76" s="165">
        <v>37.22</v>
      </c>
      <c r="H76" s="165">
        <v>18.99</v>
      </c>
      <c r="I76" s="165">
        <v>4.12</v>
      </c>
      <c r="J76" s="165">
        <v>0.27</v>
      </c>
      <c r="K76" s="165">
        <v>216.12</v>
      </c>
      <c r="L76" s="165">
        <v>36.51</v>
      </c>
      <c r="M76" s="165">
        <v>24.16</v>
      </c>
      <c r="N76" s="165">
        <v>118.3</v>
      </c>
      <c r="O76" s="165">
        <v>0</v>
      </c>
      <c r="P76" s="165">
        <v>0.52</v>
      </c>
      <c r="Q76" s="165">
        <v>5</v>
      </c>
      <c r="R76" s="13"/>
      <c r="S76" s="13"/>
      <c r="T76" s="213"/>
      <c r="U76" s="13"/>
    </row>
    <row r="77" customFormat="1" spans="1:21">
      <c r="A77" s="142" t="s">
        <v>700</v>
      </c>
      <c r="B77" s="165">
        <v>5.51</v>
      </c>
      <c r="C77" s="165">
        <v>58.63</v>
      </c>
      <c r="D77" s="165">
        <v>35.93</v>
      </c>
      <c r="E77" s="165">
        <v>12.19</v>
      </c>
      <c r="F77" s="165">
        <v>21.18</v>
      </c>
      <c r="G77" s="165">
        <v>37.22</v>
      </c>
      <c r="H77" s="165">
        <v>18.99</v>
      </c>
      <c r="I77" s="165">
        <v>4</v>
      </c>
      <c r="J77" s="165">
        <v>0.51</v>
      </c>
      <c r="K77" s="165">
        <v>239.1</v>
      </c>
      <c r="L77" s="165">
        <v>35.71</v>
      </c>
      <c r="M77" s="165">
        <v>25.82</v>
      </c>
      <c r="N77" s="165">
        <v>67.2</v>
      </c>
      <c r="O77" s="165">
        <v>0</v>
      </c>
      <c r="P77" s="165">
        <v>0.52</v>
      </c>
      <c r="Q77" s="165">
        <v>5</v>
      </c>
      <c r="R77" s="13"/>
      <c r="S77" s="13"/>
      <c r="T77" s="213"/>
      <c r="U77" s="13"/>
    </row>
    <row r="78" customFormat="1" spans="1:21">
      <c r="A78" s="142" t="s">
        <v>701</v>
      </c>
      <c r="B78" s="165">
        <v>5.22</v>
      </c>
      <c r="C78" s="165">
        <v>54.13</v>
      </c>
      <c r="D78" s="165">
        <v>33.34</v>
      </c>
      <c r="E78" s="165">
        <v>12.45</v>
      </c>
      <c r="F78" s="165">
        <v>28.63</v>
      </c>
      <c r="G78" s="165">
        <v>37.19</v>
      </c>
      <c r="H78" s="165">
        <v>18.93</v>
      </c>
      <c r="I78" s="165">
        <v>3.91</v>
      </c>
      <c r="J78" s="165">
        <v>0.41</v>
      </c>
      <c r="K78" s="165">
        <v>225.24</v>
      </c>
      <c r="L78" s="165">
        <v>35.17</v>
      </c>
      <c r="M78" s="165">
        <v>26.72</v>
      </c>
      <c r="N78" s="165">
        <v>24.7</v>
      </c>
      <c r="O78" s="165">
        <v>0</v>
      </c>
      <c r="P78" s="165">
        <v>0.51</v>
      </c>
      <c r="Q78" s="165">
        <v>5</v>
      </c>
      <c r="R78" s="13"/>
      <c r="S78" s="13"/>
      <c r="T78" s="213"/>
      <c r="U78" s="13"/>
    </row>
    <row r="79" customFormat="1" spans="1:21">
      <c r="A79" s="142" t="s">
        <v>702</v>
      </c>
      <c r="B79" s="165">
        <v>5.26</v>
      </c>
      <c r="C79" s="165">
        <v>59.07</v>
      </c>
      <c r="D79" s="165">
        <v>35.95</v>
      </c>
      <c r="E79" s="165">
        <v>12.16</v>
      </c>
      <c r="F79" s="165">
        <v>16.84</v>
      </c>
      <c r="G79" s="165">
        <v>35.92</v>
      </c>
      <c r="H79" s="165">
        <v>16.81</v>
      </c>
      <c r="I79" s="165">
        <v>3.94</v>
      </c>
      <c r="J79" s="165">
        <v>0.34</v>
      </c>
      <c r="K79" s="165">
        <v>229.19</v>
      </c>
      <c r="L79" s="165">
        <v>34.55</v>
      </c>
      <c r="M79" s="165">
        <v>26.88</v>
      </c>
      <c r="N79" s="165">
        <v>14.7</v>
      </c>
      <c r="O79" s="165">
        <v>0</v>
      </c>
      <c r="P79" s="165">
        <v>0.52</v>
      </c>
      <c r="Q79" s="165">
        <v>5</v>
      </c>
      <c r="R79" s="13"/>
      <c r="S79" s="13"/>
      <c r="T79" s="213"/>
      <c r="U79" s="13"/>
    </row>
    <row r="80" customFormat="1" spans="1:21">
      <c r="A80" s="142" t="s">
        <v>703</v>
      </c>
      <c r="B80" s="165">
        <v>5.59</v>
      </c>
      <c r="C80" s="165">
        <v>59.15</v>
      </c>
      <c r="D80" s="165">
        <v>36.26</v>
      </c>
      <c r="E80" s="165">
        <v>11.42</v>
      </c>
      <c r="F80" s="165">
        <v>17.7</v>
      </c>
      <c r="G80" s="165">
        <v>35.92</v>
      </c>
      <c r="H80" s="165">
        <v>16.81</v>
      </c>
      <c r="I80" s="165">
        <v>3.84</v>
      </c>
      <c r="J80" s="165">
        <v>0.33</v>
      </c>
      <c r="K80" s="165">
        <v>205.98</v>
      </c>
      <c r="L80" s="165">
        <v>34.19</v>
      </c>
      <c r="M80" s="165">
        <v>25.16</v>
      </c>
      <c r="N80" s="165">
        <v>1.5</v>
      </c>
      <c r="O80" s="165">
        <v>0</v>
      </c>
      <c r="P80" s="165">
        <v>0.51</v>
      </c>
      <c r="Q80" s="165">
        <v>5</v>
      </c>
      <c r="R80" s="13"/>
      <c r="S80" s="13"/>
      <c r="T80" s="213"/>
      <c r="U80" s="13"/>
    </row>
    <row r="81" customFormat="1" spans="1:21">
      <c r="A81" s="142" t="s">
        <v>704</v>
      </c>
      <c r="B81" s="165">
        <v>5.54</v>
      </c>
      <c r="C81" s="165">
        <v>56.54</v>
      </c>
      <c r="D81" s="165">
        <v>34.85</v>
      </c>
      <c r="E81" s="165">
        <v>5.65</v>
      </c>
      <c r="F81" s="165">
        <v>18.32</v>
      </c>
      <c r="G81" s="165">
        <v>35.92</v>
      </c>
      <c r="H81" s="165">
        <v>16.81</v>
      </c>
      <c r="I81" s="165">
        <v>3.83</v>
      </c>
      <c r="J81" s="165">
        <v>0.17</v>
      </c>
      <c r="K81" s="165">
        <v>206.23</v>
      </c>
      <c r="L81" s="165">
        <v>33.59</v>
      </c>
      <c r="M81" s="165">
        <v>26.23</v>
      </c>
      <c r="N81" s="165">
        <v>0</v>
      </c>
      <c r="O81" s="165">
        <v>0</v>
      </c>
      <c r="P81" s="165">
        <v>0.5</v>
      </c>
      <c r="Q81" s="165">
        <v>5</v>
      </c>
      <c r="R81" s="13"/>
      <c r="S81" s="13"/>
      <c r="T81" s="213"/>
      <c r="U81" s="13"/>
    </row>
    <row r="82" customFormat="1" spans="1:21">
      <c r="A82" s="142" t="s">
        <v>705</v>
      </c>
      <c r="B82" s="165">
        <v>5.43</v>
      </c>
      <c r="C82" s="165">
        <v>50</v>
      </c>
      <c r="D82" s="165">
        <v>31.35</v>
      </c>
      <c r="E82" s="165">
        <v>8.66</v>
      </c>
      <c r="F82" s="165">
        <v>27.13</v>
      </c>
      <c r="G82" s="165">
        <v>35.98</v>
      </c>
      <c r="H82" s="165">
        <v>16.79</v>
      </c>
      <c r="I82" s="165">
        <v>3.84</v>
      </c>
      <c r="J82" s="165">
        <v>0.18</v>
      </c>
      <c r="K82" s="165">
        <v>152.61</v>
      </c>
      <c r="L82" s="165">
        <v>33.14</v>
      </c>
      <c r="M82" s="165">
        <v>28.36</v>
      </c>
      <c r="N82" s="165">
        <v>0</v>
      </c>
      <c r="O82" s="165">
        <v>0</v>
      </c>
      <c r="P82" s="165">
        <v>0.5</v>
      </c>
      <c r="Q82" s="165">
        <v>5</v>
      </c>
      <c r="R82" s="13"/>
      <c r="S82" s="13"/>
      <c r="T82" s="213"/>
      <c r="U82" s="13"/>
    </row>
    <row r="83" customFormat="1" spans="1:21">
      <c r="A83" s="142" t="s">
        <v>706</v>
      </c>
      <c r="B83" s="165">
        <v>5.89</v>
      </c>
      <c r="C83" s="165">
        <v>54.12</v>
      </c>
      <c r="D83" s="165">
        <v>33.87</v>
      </c>
      <c r="E83" s="165">
        <v>8.97</v>
      </c>
      <c r="F83" s="165">
        <v>19.96</v>
      </c>
      <c r="G83" s="165">
        <v>38.51</v>
      </c>
      <c r="H83" s="165">
        <v>15.87</v>
      </c>
      <c r="I83" s="165">
        <v>3.69</v>
      </c>
      <c r="J83" s="165">
        <v>0.19</v>
      </c>
      <c r="K83" s="165">
        <v>161.76</v>
      </c>
      <c r="L83" s="165">
        <v>32.72</v>
      </c>
      <c r="M83" s="165">
        <v>30.6</v>
      </c>
      <c r="N83" s="165">
        <v>0</v>
      </c>
      <c r="O83" s="165">
        <v>0</v>
      </c>
      <c r="P83" s="165">
        <v>0.52</v>
      </c>
      <c r="Q83" s="165">
        <v>5</v>
      </c>
      <c r="R83" s="13"/>
      <c r="S83" s="13"/>
      <c r="T83" s="213"/>
      <c r="U83" s="13"/>
    </row>
    <row r="84" customFormat="1" spans="1:21">
      <c r="A84" s="142" t="s">
        <v>707</v>
      </c>
      <c r="B84" s="165">
        <v>5.94</v>
      </c>
      <c r="C84" s="165">
        <v>54.35</v>
      </c>
      <c r="D84" s="165">
        <v>34.03</v>
      </c>
      <c r="E84" s="165">
        <v>8.74</v>
      </c>
      <c r="F84" s="165">
        <v>18.84</v>
      </c>
      <c r="G84" s="165">
        <v>38.51</v>
      </c>
      <c r="H84" s="165">
        <v>15.87</v>
      </c>
      <c r="I84" s="165">
        <v>3.63</v>
      </c>
      <c r="J84" s="165">
        <v>0.16</v>
      </c>
      <c r="K84" s="165">
        <v>213.11</v>
      </c>
      <c r="L84" s="165">
        <v>32.32</v>
      </c>
      <c r="M84" s="165">
        <v>32.44</v>
      </c>
      <c r="N84" s="165">
        <v>0</v>
      </c>
      <c r="O84" s="165">
        <v>0</v>
      </c>
      <c r="P84" s="165">
        <v>0.52</v>
      </c>
      <c r="Q84" s="165">
        <v>5</v>
      </c>
      <c r="R84" s="13"/>
      <c r="S84" s="13"/>
      <c r="T84" s="213"/>
      <c r="U84" s="13"/>
    </row>
    <row r="85" customFormat="1" spans="1:21">
      <c r="A85" s="142" t="s">
        <v>708</v>
      </c>
      <c r="B85" s="165">
        <v>6.1</v>
      </c>
      <c r="C85" s="165">
        <v>53.87</v>
      </c>
      <c r="D85" s="165">
        <v>33.91</v>
      </c>
      <c r="E85" s="165">
        <v>9.19</v>
      </c>
      <c r="F85" s="165">
        <v>18.69</v>
      </c>
      <c r="G85" s="165">
        <v>38.51</v>
      </c>
      <c r="H85" s="165">
        <v>15.87</v>
      </c>
      <c r="I85" s="165">
        <v>3.81</v>
      </c>
      <c r="J85" s="165">
        <v>0.22</v>
      </c>
      <c r="K85" s="165">
        <v>222.24</v>
      </c>
      <c r="L85" s="165">
        <v>32.2</v>
      </c>
      <c r="M85" s="165">
        <v>33.67</v>
      </c>
      <c r="N85" s="165">
        <v>0</v>
      </c>
      <c r="O85" s="165">
        <v>0</v>
      </c>
      <c r="P85" s="165">
        <v>0.53</v>
      </c>
      <c r="Q85" s="165">
        <v>5</v>
      </c>
      <c r="R85" s="13"/>
      <c r="S85" s="13"/>
      <c r="T85" s="213"/>
      <c r="U85" s="13"/>
    </row>
    <row r="86" customFormat="1" spans="1:21">
      <c r="A86" s="142" t="s">
        <v>709</v>
      </c>
      <c r="B86" s="165">
        <v>7.85</v>
      </c>
      <c r="C86" s="165">
        <v>62.31</v>
      </c>
      <c r="D86" s="165">
        <v>39.73</v>
      </c>
      <c r="E86" s="165">
        <v>8.84</v>
      </c>
      <c r="F86" s="165">
        <v>10.02</v>
      </c>
      <c r="G86" s="165">
        <v>38.92</v>
      </c>
      <c r="H86" s="165">
        <v>15.91</v>
      </c>
      <c r="I86" s="165">
        <v>3.96</v>
      </c>
      <c r="J86" s="165">
        <v>2.75</v>
      </c>
      <c r="K86" s="165">
        <v>292.21</v>
      </c>
      <c r="L86" s="165">
        <v>31.46</v>
      </c>
      <c r="M86" s="165">
        <v>35.19</v>
      </c>
      <c r="N86" s="165">
        <v>0.5</v>
      </c>
      <c r="O86" s="165">
        <v>0</v>
      </c>
      <c r="P86" s="165">
        <v>0.55</v>
      </c>
      <c r="Q86" s="165">
        <v>5</v>
      </c>
      <c r="R86" s="13"/>
      <c r="S86" s="13"/>
      <c r="T86" s="213"/>
      <c r="U86" s="13"/>
    </row>
    <row r="87" customFormat="1" spans="1:21">
      <c r="A87" s="142" t="s">
        <v>710</v>
      </c>
      <c r="B87" s="165">
        <v>7.82</v>
      </c>
      <c r="C87" s="165">
        <v>63.47</v>
      </c>
      <c r="D87" s="165">
        <v>40.31</v>
      </c>
      <c r="E87" s="165">
        <v>8.3</v>
      </c>
      <c r="F87" s="165">
        <v>8.54</v>
      </c>
      <c r="G87" s="165">
        <v>56.7</v>
      </c>
      <c r="H87" s="165">
        <v>17.3</v>
      </c>
      <c r="I87" s="165">
        <v>4.04</v>
      </c>
      <c r="J87" s="165">
        <v>3.61</v>
      </c>
      <c r="K87" s="165">
        <v>302.98</v>
      </c>
      <c r="L87" s="165">
        <v>27.64</v>
      </c>
      <c r="M87" s="165">
        <v>46.78</v>
      </c>
      <c r="N87" s="165">
        <v>0</v>
      </c>
      <c r="O87" s="165">
        <v>0</v>
      </c>
      <c r="P87" s="165">
        <v>0.55</v>
      </c>
      <c r="Q87" s="165">
        <v>5</v>
      </c>
      <c r="R87" s="13"/>
      <c r="S87" s="13"/>
      <c r="T87" s="213"/>
      <c r="U87" s="13"/>
    </row>
    <row r="88" customFormat="1" spans="1:21">
      <c r="A88" s="142" t="s">
        <v>711</v>
      </c>
      <c r="B88" s="165">
        <v>7.65</v>
      </c>
      <c r="C88" s="165">
        <v>62.54</v>
      </c>
      <c r="D88" s="165">
        <v>39.68</v>
      </c>
      <c r="E88" s="165">
        <v>7.89</v>
      </c>
      <c r="F88" s="165">
        <v>7.42</v>
      </c>
      <c r="G88" s="165">
        <v>56.7</v>
      </c>
      <c r="H88" s="165">
        <v>17.3</v>
      </c>
      <c r="I88" s="165">
        <v>4.14</v>
      </c>
      <c r="J88" s="165">
        <v>2.9</v>
      </c>
      <c r="K88" s="165">
        <v>298.8</v>
      </c>
      <c r="L88" s="165">
        <v>27.12</v>
      </c>
      <c r="M88" s="165">
        <v>49.02</v>
      </c>
      <c r="N88" s="165">
        <v>0</v>
      </c>
      <c r="O88" s="165">
        <v>0</v>
      </c>
      <c r="P88" s="165">
        <v>0.56</v>
      </c>
      <c r="Q88" s="165">
        <v>5</v>
      </c>
      <c r="R88" s="13"/>
      <c r="S88" s="13"/>
      <c r="T88" s="213"/>
      <c r="U88" s="13"/>
    </row>
    <row r="89" customFormat="1" spans="1:21">
      <c r="A89" s="142" t="s">
        <v>712</v>
      </c>
      <c r="B89" s="165">
        <v>7.46</v>
      </c>
      <c r="C89" s="165">
        <v>61.19</v>
      </c>
      <c r="D89" s="165">
        <v>38.83</v>
      </c>
      <c r="E89" s="165">
        <v>7.76</v>
      </c>
      <c r="F89" s="165">
        <v>7.59</v>
      </c>
      <c r="G89" s="165">
        <v>56.7</v>
      </c>
      <c r="H89" s="165">
        <v>17.3</v>
      </c>
      <c r="I89" s="165">
        <v>4.09</v>
      </c>
      <c r="J89" s="165">
        <v>3.03</v>
      </c>
      <c r="K89" s="165">
        <v>299.39</v>
      </c>
      <c r="L89" s="165">
        <v>26.4</v>
      </c>
      <c r="M89" s="165">
        <v>51.49</v>
      </c>
      <c r="N89" s="165">
        <v>0</v>
      </c>
      <c r="O89" s="165">
        <v>0</v>
      </c>
      <c r="P89" s="165">
        <v>0.56</v>
      </c>
      <c r="Q89" s="165">
        <v>5</v>
      </c>
      <c r="R89" s="13"/>
      <c r="S89" s="13"/>
      <c r="T89" s="213"/>
      <c r="U89" s="13"/>
    </row>
    <row r="90" customFormat="1" spans="1:21">
      <c r="A90" s="142" t="s">
        <v>713</v>
      </c>
      <c r="B90" s="165">
        <v>7.22</v>
      </c>
      <c r="C90" s="165">
        <v>62.74</v>
      </c>
      <c r="D90" s="165">
        <v>39.45</v>
      </c>
      <c r="E90" s="165">
        <v>7.72</v>
      </c>
      <c r="F90" s="165">
        <v>7.25</v>
      </c>
      <c r="G90" s="165">
        <v>57.11</v>
      </c>
      <c r="H90" s="165">
        <v>17.33</v>
      </c>
      <c r="I90" s="165">
        <v>3.98</v>
      </c>
      <c r="J90" s="165">
        <v>2.67</v>
      </c>
      <c r="K90" s="165">
        <v>301.03</v>
      </c>
      <c r="L90" s="165">
        <v>26.12</v>
      </c>
      <c r="M90" s="165">
        <v>50.49</v>
      </c>
      <c r="N90" s="165">
        <v>0</v>
      </c>
      <c r="O90" s="165">
        <v>0</v>
      </c>
      <c r="P90" s="165">
        <v>0.55</v>
      </c>
      <c r="Q90" s="165">
        <v>5</v>
      </c>
      <c r="R90" s="13"/>
      <c r="S90" s="13"/>
      <c r="T90" s="213"/>
      <c r="U90" s="13"/>
    </row>
    <row r="91" customFormat="1" spans="1:21">
      <c r="A91" s="142" t="s">
        <v>714</v>
      </c>
      <c r="B91" s="165">
        <v>7.17</v>
      </c>
      <c r="C91" s="165">
        <v>60.99</v>
      </c>
      <c r="D91" s="165">
        <v>38.49</v>
      </c>
      <c r="E91" s="165">
        <v>7.3</v>
      </c>
      <c r="F91" s="165">
        <v>7.32</v>
      </c>
      <c r="G91" s="165">
        <v>74.87</v>
      </c>
      <c r="H91" s="165">
        <v>18.53</v>
      </c>
      <c r="I91" s="165">
        <v>3.88</v>
      </c>
      <c r="J91" s="165">
        <v>1.5</v>
      </c>
      <c r="K91" s="165">
        <v>315.83</v>
      </c>
      <c r="L91" s="165">
        <v>25.99</v>
      </c>
      <c r="M91" s="165">
        <v>50.43</v>
      </c>
      <c r="N91" s="165">
        <v>0</v>
      </c>
      <c r="O91" s="165">
        <v>0</v>
      </c>
      <c r="P91" s="165">
        <v>0.55</v>
      </c>
      <c r="Q91" s="165">
        <v>5</v>
      </c>
      <c r="R91" s="13"/>
      <c r="S91" s="13"/>
      <c r="T91" s="213"/>
      <c r="U91" s="13"/>
    </row>
    <row r="92" customFormat="1" spans="1:21">
      <c r="A92" s="142" t="s">
        <v>715</v>
      </c>
      <c r="B92" s="165">
        <v>7.33</v>
      </c>
      <c r="C92" s="165">
        <v>60.63</v>
      </c>
      <c r="D92" s="165">
        <v>38.43</v>
      </c>
      <c r="E92" s="165">
        <v>7.38</v>
      </c>
      <c r="F92" s="165">
        <v>8.96</v>
      </c>
      <c r="G92" s="165">
        <v>74.87</v>
      </c>
      <c r="H92" s="165">
        <v>18.53</v>
      </c>
      <c r="I92" s="165">
        <v>3.8</v>
      </c>
      <c r="J92" s="165">
        <v>1.06</v>
      </c>
      <c r="K92" s="165">
        <v>343.92</v>
      </c>
      <c r="L92" s="165">
        <v>25.88</v>
      </c>
      <c r="M92" s="165">
        <v>50.65</v>
      </c>
      <c r="N92" s="165">
        <v>0</v>
      </c>
      <c r="O92" s="165">
        <v>0</v>
      </c>
      <c r="P92" s="165">
        <v>0.55</v>
      </c>
      <c r="Q92" s="165">
        <v>5</v>
      </c>
      <c r="R92" s="13"/>
      <c r="S92" s="13"/>
      <c r="T92" s="213"/>
      <c r="U92" s="13"/>
    </row>
    <row r="93" customFormat="1" spans="1:21">
      <c r="A93" s="142" t="s">
        <v>716</v>
      </c>
      <c r="B93" s="165">
        <v>7.49</v>
      </c>
      <c r="C93" s="165">
        <v>61.09</v>
      </c>
      <c r="D93" s="165">
        <v>38.8</v>
      </c>
      <c r="E93" s="165">
        <v>7.58</v>
      </c>
      <c r="F93" s="165">
        <v>8.78</v>
      </c>
      <c r="G93" s="165">
        <v>74.87</v>
      </c>
      <c r="H93" s="165">
        <v>18.53</v>
      </c>
      <c r="I93" s="165">
        <v>3.8</v>
      </c>
      <c r="J93" s="165">
        <v>1.54</v>
      </c>
      <c r="K93" s="165">
        <v>13</v>
      </c>
      <c r="L93" s="165">
        <v>25.73</v>
      </c>
      <c r="M93" s="165">
        <v>50.71</v>
      </c>
      <c r="N93" s="165">
        <v>0</v>
      </c>
      <c r="O93" s="165">
        <v>0</v>
      </c>
      <c r="P93" s="165">
        <v>0.55</v>
      </c>
      <c r="Q93" s="165">
        <v>5</v>
      </c>
      <c r="R93" s="13"/>
      <c r="S93" s="13"/>
      <c r="T93" s="213"/>
      <c r="U93" s="13"/>
    </row>
    <row r="94" customFormat="1" spans="1:21">
      <c r="A94" s="142" t="s">
        <v>717</v>
      </c>
      <c r="B94" s="165">
        <v>7.85</v>
      </c>
      <c r="C94" s="165">
        <v>56.32</v>
      </c>
      <c r="D94" s="165">
        <v>36.59</v>
      </c>
      <c r="E94" s="165">
        <v>8.5</v>
      </c>
      <c r="F94" s="165">
        <v>10.02</v>
      </c>
      <c r="G94" s="165">
        <v>74.51</v>
      </c>
      <c r="H94" s="165">
        <v>18.46</v>
      </c>
      <c r="I94" s="165">
        <v>3.77</v>
      </c>
      <c r="J94" s="165">
        <v>2.6</v>
      </c>
      <c r="K94" s="165">
        <v>30.97</v>
      </c>
      <c r="L94" s="165">
        <v>25.64</v>
      </c>
      <c r="M94" s="165">
        <v>49.81</v>
      </c>
      <c r="N94" s="165">
        <v>0</v>
      </c>
      <c r="O94" s="165">
        <v>0</v>
      </c>
      <c r="P94" s="165">
        <v>0.52</v>
      </c>
      <c r="Q94" s="165">
        <v>5</v>
      </c>
      <c r="R94" s="13"/>
      <c r="S94" s="13"/>
      <c r="T94" s="213"/>
      <c r="U94" s="13"/>
    </row>
    <row r="95" customFormat="1" spans="1:21">
      <c r="A95" s="142" t="s">
        <v>718</v>
      </c>
      <c r="B95" s="165">
        <v>7.98</v>
      </c>
      <c r="C95" s="165">
        <v>56.94</v>
      </c>
      <c r="D95" s="165">
        <v>37.02</v>
      </c>
      <c r="E95" s="165">
        <v>8.03</v>
      </c>
      <c r="F95" s="165">
        <v>8.86</v>
      </c>
      <c r="G95" s="165">
        <v>59.04</v>
      </c>
      <c r="H95" s="165">
        <v>16.18</v>
      </c>
      <c r="I95" s="165">
        <v>3.68</v>
      </c>
      <c r="J95" s="165">
        <v>2.79</v>
      </c>
      <c r="K95" s="165">
        <v>35.95</v>
      </c>
      <c r="L95" s="165">
        <v>24.96</v>
      </c>
      <c r="M95" s="165">
        <v>54.05</v>
      </c>
      <c r="N95" s="165">
        <v>0</v>
      </c>
      <c r="O95" s="165">
        <v>0</v>
      </c>
      <c r="P95" s="165">
        <v>0.5</v>
      </c>
      <c r="Q95" s="165">
        <v>5</v>
      </c>
      <c r="R95" s="13"/>
      <c r="S95" s="13"/>
      <c r="T95" s="213"/>
      <c r="U95" s="13"/>
    </row>
    <row r="96" customFormat="1" spans="1:26">
      <c r="A96" s="142" t="s">
        <v>719</v>
      </c>
      <c r="B96" s="165">
        <v>7.85</v>
      </c>
      <c r="C96" s="165">
        <v>59.35</v>
      </c>
      <c r="D96" s="165">
        <v>38.18</v>
      </c>
      <c r="E96" s="165">
        <v>7.65</v>
      </c>
      <c r="F96" s="165">
        <v>8.79</v>
      </c>
      <c r="G96" s="165">
        <v>59.04</v>
      </c>
      <c r="H96" s="165">
        <v>16.18</v>
      </c>
      <c r="I96" s="165">
        <v>3.59</v>
      </c>
      <c r="J96" s="165">
        <v>2.29</v>
      </c>
      <c r="K96" s="165">
        <v>39.6</v>
      </c>
      <c r="L96" s="165">
        <v>24.75</v>
      </c>
      <c r="M96" s="165">
        <v>54.68</v>
      </c>
      <c r="N96" s="165">
        <v>0</v>
      </c>
      <c r="O96" s="165">
        <v>0</v>
      </c>
      <c r="P96" s="165">
        <v>0.5</v>
      </c>
      <c r="Q96" s="165">
        <v>5</v>
      </c>
      <c r="R96" s="13"/>
      <c r="S96" s="13"/>
      <c r="T96" s="213"/>
      <c r="U96" s="13"/>
      <c r="Z96" s="222"/>
    </row>
    <row r="97" customFormat="1" spans="1:21">
      <c r="A97" s="142" t="s">
        <v>720</v>
      </c>
      <c r="B97" s="165">
        <v>8.15</v>
      </c>
      <c r="C97" s="165">
        <v>61.71</v>
      </c>
      <c r="D97" s="165">
        <v>39.65</v>
      </c>
      <c r="E97" s="165">
        <v>7.52</v>
      </c>
      <c r="F97" s="165">
        <v>7.15</v>
      </c>
      <c r="G97" s="165">
        <v>59.04</v>
      </c>
      <c r="H97" s="165">
        <v>16.18</v>
      </c>
      <c r="I97" s="165">
        <v>3.49</v>
      </c>
      <c r="J97" s="165">
        <v>2.11</v>
      </c>
      <c r="K97" s="165">
        <v>39.83</v>
      </c>
      <c r="L97" s="165">
        <v>24.9</v>
      </c>
      <c r="M97" s="165">
        <v>54.02</v>
      </c>
      <c r="N97" s="165">
        <v>0</v>
      </c>
      <c r="O97" s="165">
        <v>0</v>
      </c>
      <c r="P97" s="165">
        <v>0.5</v>
      </c>
      <c r="Q97" s="165">
        <v>5</v>
      </c>
      <c r="R97" s="13"/>
      <c r="S97" s="13"/>
      <c r="T97" s="213"/>
      <c r="U97" s="13"/>
    </row>
    <row r="98" customFormat="1" spans="1:21">
      <c r="A98" s="142" t="s">
        <v>721</v>
      </c>
      <c r="B98" s="165">
        <v>8.5</v>
      </c>
      <c r="C98" s="165">
        <v>61.06</v>
      </c>
      <c r="D98" s="165">
        <v>39.59</v>
      </c>
      <c r="E98" s="165">
        <v>7.2</v>
      </c>
      <c r="F98" s="165">
        <v>8.32</v>
      </c>
      <c r="G98" s="165">
        <v>58.8</v>
      </c>
      <c r="H98" s="165">
        <v>16.1</v>
      </c>
      <c r="I98" s="165">
        <v>3.43</v>
      </c>
      <c r="J98" s="165">
        <v>1.72</v>
      </c>
      <c r="K98" s="165">
        <v>24.05</v>
      </c>
      <c r="L98" s="165">
        <v>25.17</v>
      </c>
      <c r="M98" s="165">
        <v>51.6</v>
      </c>
      <c r="N98" s="165">
        <v>0</v>
      </c>
      <c r="O98" s="165">
        <v>0</v>
      </c>
      <c r="P98" s="165">
        <v>0.49</v>
      </c>
      <c r="Q98" s="165">
        <v>5</v>
      </c>
      <c r="R98" s="13"/>
      <c r="S98" s="13"/>
      <c r="T98" s="213"/>
      <c r="U98" s="13"/>
    </row>
    <row r="99" customFormat="1" spans="1:21">
      <c r="A99" s="142" t="s">
        <v>722</v>
      </c>
      <c r="B99" s="165">
        <v>8.68</v>
      </c>
      <c r="C99" s="165">
        <v>61.14</v>
      </c>
      <c r="D99" s="165">
        <v>39.78</v>
      </c>
      <c r="E99" s="165">
        <v>7.6</v>
      </c>
      <c r="F99" s="165">
        <v>8.6</v>
      </c>
      <c r="G99" s="165">
        <v>48.34</v>
      </c>
      <c r="H99" s="165">
        <v>13.48</v>
      </c>
      <c r="I99" s="165">
        <v>3.36</v>
      </c>
      <c r="J99" s="165">
        <v>1.96</v>
      </c>
      <c r="K99" s="165">
        <v>38.62</v>
      </c>
      <c r="L99" s="165">
        <v>25.39</v>
      </c>
      <c r="M99" s="165">
        <v>49.4</v>
      </c>
      <c r="N99" s="165">
        <v>0</v>
      </c>
      <c r="O99" s="165">
        <v>0</v>
      </c>
      <c r="P99" s="165">
        <v>0.49</v>
      </c>
      <c r="Q99" s="165">
        <v>5</v>
      </c>
      <c r="R99" s="13"/>
      <c r="S99" s="13"/>
      <c r="T99" s="213"/>
      <c r="U99" s="13"/>
    </row>
    <row r="100" customFormat="1" spans="1:33">
      <c r="A100" s="142" t="s">
        <v>723</v>
      </c>
      <c r="B100" s="165">
        <v>8.64</v>
      </c>
      <c r="C100" s="165">
        <v>62</v>
      </c>
      <c r="D100" s="165">
        <v>40.2</v>
      </c>
      <c r="E100" s="165">
        <v>7.15</v>
      </c>
      <c r="F100" s="165">
        <v>6.72</v>
      </c>
      <c r="G100" s="165">
        <v>48.34</v>
      </c>
      <c r="H100" s="165">
        <v>13.48</v>
      </c>
      <c r="I100" s="165">
        <v>3.3</v>
      </c>
      <c r="J100" s="165">
        <v>1.64</v>
      </c>
      <c r="K100" s="165">
        <v>41.41</v>
      </c>
      <c r="L100" s="165">
        <v>25.39</v>
      </c>
      <c r="M100" s="165">
        <v>49.7</v>
      </c>
      <c r="N100" s="165">
        <v>0</v>
      </c>
      <c r="O100" s="165">
        <v>0</v>
      </c>
      <c r="P100" s="165">
        <v>0.48</v>
      </c>
      <c r="Q100" s="165">
        <v>5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724</v>
      </c>
      <c r="B101" s="165">
        <v>8.71</v>
      </c>
      <c r="C101" s="165">
        <v>61.95</v>
      </c>
      <c r="D101" s="165">
        <v>40.23</v>
      </c>
      <c r="E101" s="165">
        <v>6.61</v>
      </c>
      <c r="F101" s="165">
        <v>6.68</v>
      </c>
      <c r="G101" s="165">
        <v>48.34</v>
      </c>
      <c r="H101" s="165">
        <v>13.48</v>
      </c>
      <c r="I101" s="165">
        <v>3.29</v>
      </c>
      <c r="J101" s="165">
        <v>1.71</v>
      </c>
      <c r="K101" s="165">
        <v>42.83</v>
      </c>
      <c r="L101" s="165">
        <v>25.37</v>
      </c>
      <c r="M101" s="165">
        <v>50.34</v>
      </c>
      <c r="N101" s="165">
        <v>0</v>
      </c>
      <c r="O101" s="165">
        <v>0</v>
      </c>
      <c r="P101" s="165">
        <v>0.48</v>
      </c>
      <c r="Q101" s="165">
        <v>5</v>
      </c>
      <c r="R101" s="13"/>
      <c r="S101" s="13"/>
      <c r="T101" s="213"/>
      <c r="U101" s="13"/>
    </row>
    <row r="102" customFormat="1" spans="1:21">
      <c r="A102" s="142" t="s">
        <v>725</v>
      </c>
      <c r="B102" s="165">
        <v>8.92</v>
      </c>
      <c r="C102" s="165">
        <v>63.69</v>
      </c>
      <c r="D102" s="165">
        <v>41.31</v>
      </c>
      <c r="E102" s="165">
        <v>7.03</v>
      </c>
      <c r="F102" s="165">
        <v>6.16</v>
      </c>
      <c r="G102" s="165">
        <v>48.02</v>
      </c>
      <c r="H102" s="165">
        <v>13.39</v>
      </c>
      <c r="I102" s="165">
        <v>3.28</v>
      </c>
      <c r="J102" s="165">
        <v>1.53</v>
      </c>
      <c r="K102" s="165">
        <v>54.8</v>
      </c>
      <c r="L102" s="165">
        <v>25.32</v>
      </c>
      <c r="M102" s="165">
        <v>50.99</v>
      </c>
      <c r="N102" s="165">
        <v>0</v>
      </c>
      <c r="O102" s="165">
        <v>0</v>
      </c>
      <c r="P102" s="165">
        <v>0.48</v>
      </c>
      <c r="Q102" s="165">
        <v>5</v>
      </c>
      <c r="R102" s="13"/>
      <c r="S102" s="13"/>
      <c r="T102" s="213"/>
      <c r="U102" s="13"/>
    </row>
    <row r="103" customFormat="1" spans="1:21">
      <c r="A103" s="142" t="s">
        <v>726</v>
      </c>
      <c r="B103" s="165">
        <v>9.28</v>
      </c>
      <c r="C103" s="165">
        <v>64.11</v>
      </c>
      <c r="D103" s="165">
        <v>41.81</v>
      </c>
      <c r="E103" s="165">
        <v>7.22</v>
      </c>
      <c r="F103" s="165">
        <v>5.6</v>
      </c>
      <c r="G103" s="165">
        <v>33.79</v>
      </c>
      <c r="H103" s="165">
        <v>10.53</v>
      </c>
      <c r="I103" s="165">
        <v>3.28</v>
      </c>
      <c r="J103" s="165">
        <v>1.56</v>
      </c>
      <c r="K103" s="165">
        <v>60.77</v>
      </c>
      <c r="L103" s="165">
        <v>25.36</v>
      </c>
      <c r="M103" s="165">
        <v>50.02</v>
      </c>
      <c r="N103" s="165">
        <v>0</v>
      </c>
      <c r="O103" s="165">
        <v>0</v>
      </c>
      <c r="P103" s="165">
        <v>0.47</v>
      </c>
      <c r="Q103" s="165">
        <v>5</v>
      </c>
      <c r="R103" s="13"/>
      <c r="S103" s="13"/>
      <c r="T103" s="213"/>
      <c r="U103" s="13"/>
    </row>
    <row r="104" customFormat="1" spans="1:21">
      <c r="A104" s="142" t="s">
        <v>727</v>
      </c>
      <c r="B104" s="165">
        <v>9.58</v>
      </c>
      <c r="C104" s="165">
        <v>62.69</v>
      </c>
      <c r="D104" s="165">
        <v>41.31</v>
      </c>
      <c r="E104" s="165">
        <v>7.16</v>
      </c>
      <c r="F104" s="165">
        <v>6.44</v>
      </c>
      <c r="G104" s="165">
        <v>33.79</v>
      </c>
      <c r="H104" s="165">
        <v>10.53</v>
      </c>
      <c r="I104" s="165">
        <v>3.27</v>
      </c>
      <c r="J104" s="165">
        <v>0.96</v>
      </c>
      <c r="K104" s="165">
        <v>60.01</v>
      </c>
      <c r="L104" s="165">
        <v>25.52</v>
      </c>
      <c r="M104" s="165">
        <v>48.55</v>
      </c>
      <c r="N104" s="165">
        <v>0</v>
      </c>
      <c r="O104" s="165">
        <v>0</v>
      </c>
      <c r="P104" s="165">
        <v>0.47</v>
      </c>
      <c r="Q104" s="165">
        <v>5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5.18</v>
      </c>
      <c r="C106" s="215">
        <f>MIN(C9:C104)</f>
        <v>50</v>
      </c>
      <c r="D106" s="215">
        <f t="shared" ref="D106:Q106" si="0">MIN(D9:D104)</f>
        <v>31.35</v>
      </c>
      <c r="E106" s="215">
        <f t="shared" si="0"/>
        <v>4.98</v>
      </c>
      <c r="F106" s="215">
        <f t="shared" si="0"/>
        <v>3.48</v>
      </c>
      <c r="G106" s="215">
        <f t="shared" si="0"/>
        <v>17.19</v>
      </c>
      <c r="H106" s="215">
        <f t="shared" si="0"/>
        <v>10.53</v>
      </c>
      <c r="I106" s="215">
        <f t="shared" si="0"/>
        <v>3.27</v>
      </c>
      <c r="J106" s="215">
        <f t="shared" si="0"/>
        <v>0.01</v>
      </c>
      <c r="K106" s="215">
        <f t="shared" si="0"/>
        <v>13</v>
      </c>
      <c r="L106" s="215">
        <f t="shared" si="0"/>
        <v>22.24</v>
      </c>
      <c r="M106" s="215">
        <f t="shared" si="0"/>
        <v>19.8</v>
      </c>
      <c r="N106" s="215">
        <f t="shared" si="0"/>
        <v>0</v>
      </c>
      <c r="O106" s="215">
        <f t="shared" si="0"/>
        <v>0</v>
      </c>
      <c r="P106" s="215">
        <f t="shared" si="0"/>
        <v>0.47</v>
      </c>
      <c r="Q106" s="215">
        <f t="shared" si="0"/>
        <v>5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29.66</v>
      </c>
      <c r="C107" s="216">
        <f t="shared" ref="C107:Q107" si="1">MAX(C9:C104)</f>
        <v>72.92</v>
      </c>
      <c r="D107" s="216">
        <f t="shared" si="1"/>
        <v>60.7</v>
      </c>
      <c r="E107" s="216">
        <f t="shared" si="1"/>
        <v>16.43</v>
      </c>
      <c r="F107" s="216">
        <f t="shared" si="1"/>
        <v>42.11</v>
      </c>
      <c r="G107" s="216">
        <f t="shared" si="1"/>
        <v>74.87</v>
      </c>
      <c r="H107" s="216">
        <f t="shared" si="1"/>
        <v>24.1</v>
      </c>
      <c r="I107" s="216">
        <f t="shared" si="1"/>
        <v>5.73</v>
      </c>
      <c r="J107" s="216">
        <f t="shared" si="1"/>
        <v>3.61</v>
      </c>
      <c r="K107" s="216">
        <f t="shared" si="1"/>
        <v>343.92</v>
      </c>
      <c r="L107" s="216">
        <f t="shared" si="1"/>
        <v>38.31</v>
      </c>
      <c r="M107" s="216">
        <f t="shared" si="1"/>
        <v>81.43</v>
      </c>
      <c r="N107" s="216">
        <f t="shared" si="1"/>
        <v>707.9</v>
      </c>
      <c r="O107" s="216">
        <f t="shared" si="1"/>
        <v>0</v>
      </c>
      <c r="P107" s="216">
        <f t="shared" si="1"/>
        <v>0.72</v>
      </c>
      <c r="Q107" s="216">
        <f t="shared" si="1"/>
        <v>5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13.7551041666667</v>
      </c>
      <c r="C108" s="215">
        <f t="shared" ref="C108:Q108" si="2">AVERAGE(C9:C104)</f>
        <v>62.6552083333333</v>
      </c>
      <c r="D108" s="215">
        <f t="shared" si="2"/>
        <v>44.6398958333333</v>
      </c>
      <c r="E108" s="215">
        <f t="shared" si="2"/>
        <v>9.435625</v>
      </c>
      <c r="F108" s="215">
        <f t="shared" si="2"/>
        <v>12.146875</v>
      </c>
      <c r="G108" s="215">
        <f t="shared" si="2"/>
        <v>41.4941666666667</v>
      </c>
      <c r="H108" s="215">
        <f t="shared" si="2"/>
        <v>17.1538541666667</v>
      </c>
      <c r="I108" s="215">
        <f t="shared" si="2"/>
        <v>4.30239583333333</v>
      </c>
      <c r="J108" s="215">
        <f t="shared" si="2"/>
        <v>0.660729166666667</v>
      </c>
      <c r="K108" s="215">
        <f t="shared" si="2"/>
        <v>169.0359375</v>
      </c>
      <c r="L108" s="215">
        <f t="shared" si="2"/>
        <v>29.4692708333333</v>
      </c>
      <c r="M108" s="215">
        <f t="shared" si="2"/>
        <v>48.820625</v>
      </c>
      <c r="N108" s="215">
        <f t="shared" si="2"/>
        <v>185.923958333333</v>
      </c>
      <c r="O108" s="215">
        <f t="shared" si="2"/>
        <v>0</v>
      </c>
      <c r="P108" s="215">
        <f t="shared" si="2"/>
        <v>0.557604166666667</v>
      </c>
      <c r="Q108" s="215">
        <f t="shared" si="2"/>
        <v>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8.4164993341452</v>
      </c>
      <c r="C109" s="215">
        <f t="shared" ref="C109:Q109" si="3">STDEV(C9:C104)</f>
        <v>6.36108828477224</v>
      </c>
      <c r="D109" s="215">
        <f t="shared" si="3"/>
        <v>9.6362494882377</v>
      </c>
      <c r="E109" s="215">
        <f t="shared" si="3"/>
        <v>2.53994438915501</v>
      </c>
      <c r="F109" s="215">
        <f t="shared" si="3"/>
        <v>10.7523106268276</v>
      </c>
      <c r="G109" s="215">
        <f t="shared" si="3"/>
        <v>12.2075387981678</v>
      </c>
      <c r="H109" s="215">
        <f t="shared" si="3"/>
        <v>2.42985872224862</v>
      </c>
      <c r="I109" s="215">
        <f t="shared" si="3"/>
        <v>0.496040628199507</v>
      </c>
      <c r="J109" s="215">
        <f t="shared" si="3"/>
        <v>0.799548879111039</v>
      </c>
      <c r="K109" s="215">
        <f t="shared" si="3"/>
        <v>88.3822255359684</v>
      </c>
      <c r="L109" s="215">
        <f t="shared" si="3"/>
        <v>5.50377444549918</v>
      </c>
      <c r="M109" s="215">
        <f t="shared" si="3"/>
        <v>20.3574030921897</v>
      </c>
      <c r="N109" s="215">
        <f t="shared" si="3"/>
        <v>248.535218194754</v>
      </c>
      <c r="O109" s="215">
        <f t="shared" si="3"/>
        <v>0</v>
      </c>
      <c r="P109" s="215">
        <f t="shared" si="3"/>
        <v>0.0463111852276854</v>
      </c>
      <c r="Q109" s="215">
        <f t="shared" si="3"/>
        <v>0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8" activePane="bottomRight" state="frozen"/>
      <selection/>
      <selection pane="topRight"/>
      <selection pane="bottomLeft"/>
      <selection pane="bottomRight" activeCell="B110" sqref="B110:Q110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08/04/2023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728</v>
      </c>
      <c r="B9" s="165">
        <v>10.33</v>
      </c>
      <c r="C9" s="165">
        <v>61.89</v>
      </c>
      <c r="D9" s="165">
        <v>41.5</v>
      </c>
      <c r="E9" s="165">
        <v>6.85</v>
      </c>
      <c r="F9" s="165">
        <v>5.77</v>
      </c>
      <c r="G9" s="165">
        <v>33.79</v>
      </c>
      <c r="H9" s="165">
        <v>10.53</v>
      </c>
      <c r="I9" s="165">
        <v>3.27</v>
      </c>
      <c r="J9" s="165">
        <v>1.06</v>
      </c>
      <c r="K9" s="165">
        <v>60.81</v>
      </c>
      <c r="L9" s="165">
        <v>25.7</v>
      </c>
      <c r="M9" s="165">
        <v>47.24</v>
      </c>
      <c r="N9" s="165">
        <v>0</v>
      </c>
      <c r="O9" s="165">
        <v>0</v>
      </c>
      <c r="P9" s="165">
        <v>0.47</v>
      </c>
      <c r="Q9" s="165">
        <v>5</v>
      </c>
      <c r="R9" s="13"/>
      <c r="S9" s="13"/>
      <c r="T9" s="213"/>
      <c r="U9" s="13"/>
    </row>
    <row r="10" customFormat="1" spans="1:21">
      <c r="A10" s="142" t="s">
        <v>729</v>
      </c>
      <c r="B10" s="165">
        <v>10.51</v>
      </c>
      <c r="C10" s="165">
        <v>65.02</v>
      </c>
      <c r="D10" s="165">
        <v>43.27</v>
      </c>
      <c r="E10" s="165">
        <v>6.93</v>
      </c>
      <c r="F10" s="165">
        <v>5.37</v>
      </c>
      <c r="G10" s="165">
        <v>33.78</v>
      </c>
      <c r="H10" s="165">
        <v>10.55</v>
      </c>
      <c r="I10" s="165">
        <v>3.28</v>
      </c>
      <c r="J10" s="165">
        <v>0.88</v>
      </c>
      <c r="K10" s="165">
        <v>56.18</v>
      </c>
      <c r="L10" s="165">
        <v>25.8</v>
      </c>
      <c r="M10" s="165">
        <v>46.62</v>
      </c>
      <c r="N10" s="165">
        <v>0</v>
      </c>
      <c r="O10" s="165">
        <v>0</v>
      </c>
      <c r="P10" s="165">
        <v>0.47</v>
      </c>
      <c r="Q10" s="165">
        <v>5</v>
      </c>
      <c r="R10" s="13"/>
      <c r="S10" s="13"/>
      <c r="T10" s="213"/>
      <c r="U10" s="13"/>
    </row>
    <row r="11" customFormat="1" spans="1:21">
      <c r="A11" s="142" t="s">
        <v>730</v>
      </c>
      <c r="B11" s="165">
        <v>11.06</v>
      </c>
      <c r="C11" s="165">
        <v>66.17</v>
      </c>
      <c r="D11" s="165">
        <v>44.31</v>
      </c>
      <c r="E11" s="165">
        <v>7.33</v>
      </c>
      <c r="F11" s="165">
        <v>5.66</v>
      </c>
      <c r="G11" s="165">
        <v>33.56</v>
      </c>
      <c r="H11" s="165">
        <v>11.35</v>
      </c>
      <c r="I11" s="165">
        <v>3.28</v>
      </c>
      <c r="J11" s="165">
        <v>0.88</v>
      </c>
      <c r="K11" s="165">
        <v>63.44</v>
      </c>
      <c r="L11" s="165">
        <v>25.91</v>
      </c>
      <c r="M11" s="165">
        <v>45.88</v>
      </c>
      <c r="N11" s="165">
        <v>0</v>
      </c>
      <c r="O11" s="165">
        <v>0</v>
      </c>
      <c r="P11" s="165">
        <v>0.47</v>
      </c>
      <c r="Q11" s="165">
        <v>5</v>
      </c>
      <c r="R11" s="13"/>
      <c r="S11" s="13"/>
      <c r="T11" s="213"/>
      <c r="U11" s="13"/>
    </row>
    <row r="12" customFormat="1" spans="1:21">
      <c r="A12" s="101">
        <v>45024.0416666667</v>
      </c>
      <c r="B12" s="165">
        <v>11.49</v>
      </c>
      <c r="C12" s="165">
        <v>66.13</v>
      </c>
      <c r="D12" s="165">
        <v>44.64</v>
      </c>
      <c r="E12" s="165">
        <v>7.25</v>
      </c>
      <c r="F12" s="165">
        <v>5.87</v>
      </c>
      <c r="G12" s="165">
        <v>33.56</v>
      </c>
      <c r="H12" s="165">
        <v>11.35</v>
      </c>
      <c r="I12" s="165">
        <v>3.32</v>
      </c>
      <c r="J12" s="165">
        <v>1.01</v>
      </c>
      <c r="K12" s="165">
        <v>61.58</v>
      </c>
      <c r="L12" s="165">
        <v>26.15</v>
      </c>
      <c r="M12" s="165">
        <v>44.56</v>
      </c>
      <c r="N12" s="165">
        <v>0</v>
      </c>
      <c r="O12" s="165">
        <v>0</v>
      </c>
      <c r="P12" s="165">
        <v>0.46</v>
      </c>
      <c r="Q12" s="165">
        <v>5</v>
      </c>
      <c r="R12" s="13"/>
      <c r="S12" s="13"/>
      <c r="T12" s="213"/>
      <c r="U12" s="13"/>
    </row>
    <row r="13" customFormat="1" spans="1:21">
      <c r="A13" s="142" t="s">
        <v>731</v>
      </c>
      <c r="B13" s="165">
        <v>11.7</v>
      </c>
      <c r="C13" s="165">
        <v>65.91</v>
      </c>
      <c r="D13" s="165">
        <v>44.69</v>
      </c>
      <c r="E13" s="165">
        <v>7.28</v>
      </c>
      <c r="F13" s="165">
        <v>5.99</v>
      </c>
      <c r="G13" s="165">
        <v>33.56</v>
      </c>
      <c r="H13" s="165">
        <v>11.35</v>
      </c>
      <c r="I13" s="165">
        <v>3.36</v>
      </c>
      <c r="J13" s="165">
        <v>0.58</v>
      </c>
      <c r="K13" s="165">
        <v>74.68</v>
      </c>
      <c r="L13" s="165">
        <v>26.38</v>
      </c>
      <c r="M13" s="165">
        <v>43.58</v>
      </c>
      <c r="N13" s="165">
        <v>0</v>
      </c>
      <c r="O13" s="165">
        <v>0</v>
      </c>
      <c r="P13" s="165">
        <v>0.46</v>
      </c>
      <c r="Q13" s="165">
        <v>5</v>
      </c>
      <c r="R13" s="13"/>
      <c r="S13" s="13"/>
      <c r="T13" s="213"/>
      <c r="U13" s="13"/>
    </row>
    <row r="14" customFormat="1" spans="1:21">
      <c r="A14" s="142" t="s">
        <v>732</v>
      </c>
      <c r="B14" s="165">
        <v>11.63</v>
      </c>
      <c r="C14" s="165">
        <v>64.58</v>
      </c>
      <c r="D14" s="165">
        <v>43.94</v>
      </c>
      <c r="E14" s="165">
        <v>7.01</v>
      </c>
      <c r="F14" s="165">
        <v>5.21</v>
      </c>
      <c r="G14" s="165">
        <v>33.72</v>
      </c>
      <c r="H14" s="165">
        <v>11.29</v>
      </c>
      <c r="I14" s="165">
        <v>3.43</v>
      </c>
      <c r="J14" s="165">
        <v>0.29</v>
      </c>
      <c r="K14" s="165">
        <v>99.91</v>
      </c>
      <c r="L14" s="165">
        <v>26.39</v>
      </c>
      <c r="M14" s="165">
        <v>43.95</v>
      </c>
      <c r="N14" s="165">
        <v>0</v>
      </c>
      <c r="O14" s="165">
        <v>0</v>
      </c>
      <c r="P14" s="165">
        <v>0.46</v>
      </c>
      <c r="Q14" s="165">
        <v>5</v>
      </c>
      <c r="R14" s="13"/>
      <c r="S14" s="13"/>
      <c r="T14" s="213"/>
      <c r="U14" s="13"/>
    </row>
    <row r="15" customFormat="1" spans="1:21">
      <c r="A15" s="142" t="s">
        <v>733</v>
      </c>
      <c r="B15" s="165">
        <v>11.99</v>
      </c>
      <c r="C15" s="165">
        <v>66</v>
      </c>
      <c r="D15" s="165">
        <v>44.97</v>
      </c>
      <c r="E15" s="165">
        <v>6.76</v>
      </c>
      <c r="F15" s="165">
        <v>4.48</v>
      </c>
      <c r="G15" s="165">
        <v>40.68</v>
      </c>
      <c r="H15" s="165">
        <v>9.51</v>
      </c>
      <c r="I15" s="165">
        <v>3.46</v>
      </c>
      <c r="J15" s="165">
        <v>0.2</v>
      </c>
      <c r="K15" s="165">
        <v>136.71</v>
      </c>
      <c r="L15" s="165">
        <v>26.38</v>
      </c>
      <c r="M15" s="165">
        <v>43.94</v>
      </c>
      <c r="N15" s="165">
        <v>0</v>
      </c>
      <c r="O15" s="165">
        <v>0</v>
      </c>
      <c r="P15" s="165">
        <v>0.46</v>
      </c>
      <c r="Q15" s="165">
        <v>5</v>
      </c>
      <c r="R15" s="13"/>
      <c r="S15" s="13"/>
      <c r="T15" s="213"/>
      <c r="U15" s="13"/>
    </row>
    <row r="16" customFormat="1" spans="1:21">
      <c r="A16" s="142" t="s">
        <v>734</v>
      </c>
      <c r="B16" s="165">
        <v>12.15</v>
      </c>
      <c r="C16" s="165">
        <v>66.78</v>
      </c>
      <c r="D16" s="165">
        <v>45.51</v>
      </c>
      <c r="E16" s="165">
        <v>7.11</v>
      </c>
      <c r="F16" s="165">
        <v>4.37</v>
      </c>
      <c r="G16" s="165">
        <v>40.68</v>
      </c>
      <c r="H16" s="165">
        <v>9.51</v>
      </c>
      <c r="I16" s="165">
        <v>3.44</v>
      </c>
      <c r="J16" s="165">
        <v>0.36</v>
      </c>
      <c r="K16" s="165">
        <v>259.45</v>
      </c>
      <c r="L16" s="165">
        <v>26.23</v>
      </c>
      <c r="M16" s="165">
        <v>44.99</v>
      </c>
      <c r="N16" s="165">
        <v>0</v>
      </c>
      <c r="O16" s="165">
        <v>0</v>
      </c>
      <c r="P16" s="165">
        <v>0.46</v>
      </c>
      <c r="Q16" s="165">
        <v>5</v>
      </c>
      <c r="R16" s="13"/>
      <c r="S16" s="13"/>
      <c r="T16" s="213"/>
      <c r="U16" s="13"/>
    </row>
    <row r="17" customFormat="1" spans="1:21">
      <c r="A17" s="142" t="s">
        <v>735</v>
      </c>
      <c r="B17" s="165">
        <v>12.28</v>
      </c>
      <c r="C17" s="165">
        <v>68.19</v>
      </c>
      <c r="D17" s="165">
        <v>46.35</v>
      </c>
      <c r="E17" s="165">
        <v>5.14</v>
      </c>
      <c r="F17" s="165">
        <v>4.33</v>
      </c>
      <c r="G17" s="165">
        <v>40.68</v>
      </c>
      <c r="H17" s="165">
        <v>9.51</v>
      </c>
      <c r="I17" s="165">
        <v>3.44</v>
      </c>
      <c r="J17" s="165">
        <v>0.26</v>
      </c>
      <c r="K17" s="165">
        <v>222.99</v>
      </c>
      <c r="L17" s="165">
        <v>25.91</v>
      </c>
      <c r="M17" s="165">
        <v>46.82</v>
      </c>
      <c r="N17" s="165">
        <v>0</v>
      </c>
      <c r="O17" s="165">
        <v>0</v>
      </c>
      <c r="P17" s="165">
        <v>0.46</v>
      </c>
      <c r="Q17" s="165">
        <v>5</v>
      </c>
      <c r="R17" s="13"/>
      <c r="S17" s="13"/>
      <c r="T17" s="213"/>
      <c r="U17" s="13"/>
    </row>
    <row r="18" customFormat="1" spans="1:21">
      <c r="A18" s="142" t="s">
        <v>736</v>
      </c>
      <c r="B18" s="165">
        <v>12.09</v>
      </c>
      <c r="C18" s="165">
        <v>68.57</v>
      </c>
      <c r="D18" s="165">
        <v>46.4</v>
      </c>
      <c r="E18" s="165">
        <v>7.23</v>
      </c>
      <c r="F18" s="165">
        <v>4.53</v>
      </c>
      <c r="G18" s="165">
        <v>40.5</v>
      </c>
      <c r="H18" s="165">
        <v>9.52</v>
      </c>
      <c r="I18" s="165">
        <v>3.46</v>
      </c>
      <c r="J18" s="165">
        <v>0.09</v>
      </c>
      <c r="K18" s="165">
        <v>267.34</v>
      </c>
      <c r="L18" s="165">
        <v>25.95</v>
      </c>
      <c r="M18" s="165">
        <v>46.3</v>
      </c>
      <c r="N18" s="165">
        <v>0</v>
      </c>
      <c r="O18" s="165">
        <v>0</v>
      </c>
      <c r="P18" s="165">
        <v>0.47</v>
      </c>
      <c r="Q18" s="165">
        <v>5</v>
      </c>
      <c r="R18" s="13"/>
      <c r="S18" s="13"/>
      <c r="T18" s="213"/>
      <c r="U18" s="13"/>
    </row>
    <row r="19" customFormat="1" spans="1:21">
      <c r="A19" s="142" t="s">
        <v>737</v>
      </c>
      <c r="B19" s="165">
        <v>12.17</v>
      </c>
      <c r="C19" s="165">
        <v>69.25</v>
      </c>
      <c r="D19" s="165">
        <v>46.82</v>
      </c>
      <c r="E19" s="165">
        <v>7.97</v>
      </c>
      <c r="F19" s="165">
        <v>4.25</v>
      </c>
      <c r="G19" s="165">
        <v>32.62</v>
      </c>
      <c r="H19" s="165">
        <v>9.89</v>
      </c>
      <c r="I19" s="165">
        <v>3.44</v>
      </c>
      <c r="J19" s="165">
        <v>0.22</v>
      </c>
      <c r="K19" s="165">
        <v>159.69</v>
      </c>
      <c r="L19" s="165">
        <v>25.87</v>
      </c>
      <c r="M19" s="165">
        <v>48.32</v>
      </c>
      <c r="N19" s="165">
        <v>0</v>
      </c>
      <c r="O19" s="165">
        <v>0</v>
      </c>
      <c r="P19" s="165">
        <v>0.48</v>
      </c>
      <c r="Q19" s="165">
        <v>5</v>
      </c>
      <c r="R19" s="13"/>
      <c r="S19" s="13"/>
      <c r="T19" s="213"/>
      <c r="U19" s="13"/>
    </row>
    <row r="20" customFormat="1" spans="1:21">
      <c r="A20" s="142" t="s">
        <v>738</v>
      </c>
      <c r="B20" s="165">
        <v>12.33</v>
      </c>
      <c r="C20" s="165">
        <v>69.2</v>
      </c>
      <c r="D20" s="165">
        <v>46.91</v>
      </c>
      <c r="E20" s="165">
        <v>7.73</v>
      </c>
      <c r="F20" s="165">
        <v>4.29</v>
      </c>
      <c r="G20" s="165">
        <v>32.62</v>
      </c>
      <c r="H20" s="165">
        <v>9.89</v>
      </c>
      <c r="I20" s="165">
        <v>3.42</v>
      </c>
      <c r="J20" s="165">
        <v>0.22</v>
      </c>
      <c r="K20" s="165">
        <v>218.41</v>
      </c>
      <c r="L20" s="165">
        <v>25.2</v>
      </c>
      <c r="M20" s="165">
        <v>51.34</v>
      </c>
      <c r="N20" s="165">
        <v>0</v>
      </c>
      <c r="O20" s="165">
        <v>0</v>
      </c>
      <c r="P20" s="165">
        <v>0.47</v>
      </c>
      <c r="Q20" s="165">
        <v>5</v>
      </c>
      <c r="R20" s="13"/>
      <c r="S20" s="13"/>
      <c r="T20" s="213"/>
      <c r="U20" s="13"/>
    </row>
    <row r="21" customFormat="1" spans="1:21">
      <c r="A21" s="142" t="s">
        <v>739</v>
      </c>
      <c r="B21" s="165">
        <v>12.51</v>
      </c>
      <c r="C21" s="165">
        <v>69</v>
      </c>
      <c r="D21" s="165">
        <v>46.96</v>
      </c>
      <c r="E21" s="165">
        <v>7.46</v>
      </c>
      <c r="F21" s="165">
        <v>4.31</v>
      </c>
      <c r="G21" s="165">
        <v>32.62</v>
      </c>
      <c r="H21" s="165">
        <v>9.89</v>
      </c>
      <c r="I21" s="165">
        <v>3.42</v>
      </c>
      <c r="J21" s="165">
        <v>0.28</v>
      </c>
      <c r="K21" s="165">
        <v>242.99</v>
      </c>
      <c r="L21" s="165">
        <v>25</v>
      </c>
      <c r="M21" s="165">
        <v>52.41</v>
      </c>
      <c r="N21" s="165">
        <v>0</v>
      </c>
      <c r="O21" s="165">
        <v>0</v>
      </c>
      <c r="P21" s="165">
        <v>0.47</v>
      </c>
      <c r="Q21" s="165">
        <v>5</v>
      </c>
      <c r="R21" s="13"/>
      <c r="S21" s="13"/>
      <c r="T21" s="213"/>
      <c r="U21" s="13"/>
    </row>
    <row r="22" customFormat="1" spans="1:21">
      <c r="A22" s="142" t="s">
        <v>740</v>
      </c>
      <c r="B22" s="165">
        <v>12.76</v>
      </c>
      <c r="C22" s="165">
        <v>68.8</v>
      </c>
      <c r="D22" s="165">
        <v>47.05</v>
      </c>
      <c r="E22" s="165">
        <v>7.43</v>
      </c>
      <c r="F22" s="165">
        <v>4.25</v>
      </c>
      <c r="G22" s="165">
        <v>32.61</v>
      </c>
      <c r="H22" s="165">
        <v>9.97</v>
      </c>
      <c r="I22" s="165">
        <v>3.39</v>
      </c>
      <c r="J22" s="165">
        <v>0.46</v>
      </c>
      <c r="K22" s="165">
        <v>245.75</v>
      </c>
      <c r="L22" s="165">
        <v>24.78</v>
      </c>
      <c r="M22" s="165">
        <v>53.88</v>
      </c>
      <c r="N22" s="165">
        <v>0</v>
      </c>
      <c r="O22" s="165">
        <v>0</v>
      </c>
      <c r="P22" s="165">
        <v>0.47</v>
      </c>
      <c r="Q22" s="165">
        <v>5</v>
      </c>
      <c r="R22" s="13"/>
      <c r="S22" s="13"/>
      <c r="T22" s="213"/>
      <c r="U22" s="13"/>
    </row>
    <row r="23" customFormat="1" spans="1:21">
      <c r="A23" s="142" t="s">
        <v>741</v>
      </c>
      <c r="B23" s="165">
        <v>12.76</v>
      </c>
      <c r="C23" s="165">
        <v>69.2</v>
      </c>
      <c r="D23" s="165">
        <v>47.26</v>
      </c>
      <c r="E23" s="165">
        <v>7.45</v>
      </c>
      <c r="F23" s="165">
        <v>4.41</v>
      </c>
      <c r="G23" s="165">
        <v>32.19</v>
      </c>
      <c r="H23" s="165">
        <v>12.61</v>
      </c>
      <c r="I23" s="165">
        <v>3.37</v>
      </c>
      <c r="J23" s="165">
        <v>0.3</v>
      </c>
      <c r="K23" s="165">
        <v>229.76</v>
      </c>
      <c r="L23" s="165">
        <v>24.86</v>
      </c>
      <c r="M23" s="165">
        <v>54.22</v>
      </c>
      <c r="N23" s="165">
        <v>0</v>
      </c>
      <c r="O23" s="165">
        <v>0</v>
      </c>
      <c r="P23" s="165">
        <v>0.47</v>
      </c>
      <c r="Q23" s="165">
        <v>5</v>
      </c>
      <c r="R23" s="13"/>
      <c r="S23" s="13"/>
      <c r="T23" s="213"/>
      <c r="U23" s="13"/>
    </row>
    <row r="24" customFormat="1" spans="1:21">
      <c r="A24" s="142" t="s">
        <v>742</v>
      </c>
      <c r="B24" s="165">
        <v>12.64</v>
      </c>
      <c r="C24" s="165">
        <v>69.2</v>
      </c>
      <c r="D24" s="165">
        <v>47.16</v>
      </c>
      <c r="E24" s="165">
        <v>7.11</v>
      </c>
      <c r="F24" s="165">
        <v>4.3</v>
      </c>
      <c r="G24" s="165">
        <v>32.19</v>
      </c>
      <c r="H24" s="165">
        <v>12.61</v>
      </c>
      <c r="I24" s="165">
        <v>3.35</v>
      </c>
      <c r="J24" s="165">
        <v>0.38</v>
      </c>
      <c r="K24" s="165">
        <v>242.07</v>
      </c>
      <c r="L24" s="165">
        <v>24.54</v>
      </c>
      <c r="M24" s="165">
        <v>55.16</v>
      </c>
      <c r="N24" s="165">
        <v>0</v>
      </c>
      <c r="O24" s="165">
        <v>0</v>
      </c>
      <c r="P24" s="165">
        <v>0.47</v>
      </c>
      <c r="Q24" s="165">
        <v>5</v>
      </c>
      <c r="R24" s="13"/>
      <c r="S24" s="13"/>
      <c r="T24" s="213"/>
      <c r="U24" s="13"/>
    </row>
    <row r="25" customFormat="1" spans="1:21">
      <c r="A25" s="142" t="s">
        <v>743</v>
      </c>
      <c r="B25" s="165">
        <v>12.6</v>
      </c>
      <c r="C25" s="165">
        <v>68.88</v>
      </c>
      <c r="D25" s="165">
        <v>46.96</v>
      </c>
      <c r="E25" s="165">
        <v>6.81</v>
      </c>
      <c r="F25" s="165">
        <v>4.18</v>
      </c>
      <c r="G25" s="165">
        <v>32.19</v>
      </c>
      <c r="H25" s="165">
        <v>12.61</v>
      </c>
      <c r="I25" s="165">
        <v>3.36</v>
      </c>
      <c r="J25" s="165">
        <v>0.67</v>
      </c>
      <c r="K25" s="165">
        <v>259.32</v>
      </c>
      <c r="L25" s="165">
        <v>24.47</v>
      </c>
      <c r="M25" s="165">
        <v>55.26</v>
      </c>
      <c r="N25" s="165">
        <v>0</v>
      </c>
      <c r="O25" s="165">
        <v>0</v>
      </c>
      <c r="P25" s="165">
        <v>0.47</v>
      </c>
      <c r="Q25" s="165">
        <v>5</v>
      </c>
      <c r="R25" s="13"/>
      <c r="S25" s="13"/>
      <c r="T25" s="213"/>
      <c r="U25" s="13"/>
    </row>
    <row r="26" customFormat="1" spans="1:21">
      <c r="A26" s="142" t="s">
        <v>744</v>
      </c>
      <c r="B26" s="165">
        <v>12.46</v>
      </c>
      <c r="C26" s="165">
        <v>68.8</v>
      </c>
      <c r="D26" s="165">
        <v>46.81</v>
      </c>
      <c r="E26" s="165">
        <v>6.93</v>
      </c>
      <c r="F26" s="165">
        <v>4.29</v>
      </c>
      <c r="G26" s="165">
        <v>32.14</v>
      </c>
      <c r="H26" s="165">
        <v>12.57</v>
      </c>
      <c r="I26" s="165">
        <v>3.4</v>
      </c>
      <c r="J26" s="165">
        <v>0.73</v>
      </c>
      <c r="K26" s="165">
        <v>242.88</v>
      </c>
      <c r="L26" s="165">
        <v>24.24</v>
      </c>
      <c r="M26" s="165">
        <v>55.87</v>
      </c>
      <c r="N26" s="165">
        <v>0</v>
      </c>
      <c r="O26" s="165">
        <v>0</v>
      </c>
      <c r="P26" s="165">
        <v>0.47</v>
      </c>
      <c r="Q26" s="165">
        <v>5</v>
      </c>
      <c r="R26" s="13"/>
      <c r="S26" s="13"/>
      <c r="T26" s="213"/>
      <c r="U26" s="13"/>
    </row>
    <row r="27" customFormat="1" spans="1:21">
      <c r="A27" s="142" t="s">
        <v>745</v>
      </c>
      <c r="B27" s="165">
        <v>12.23</v>
      </c>
      <c r="C27" s="165">
        <v>68.66</v>
      </c>
      <c r="D27" s="165">
        <v>46.55</v>
      </c>
      <c r="E27" s="165">
        <v>7.23</v>
      </c>
      <c r="F27" s="165">
        <v>4.3</v>
      </c>
      <c r="G27" s="165">
        <v>29.94</v>
      </c>
      <c r="H27" s="165">
        <v>9.93</v>
      </c>
      <c r="I27" s="165">
        <v>3.41</v>
      </c>
      <c r="J27" s="165">
        <v>0.8</v>
      </c>
      <c r="K27" s="165">
        <v>243.37</v>
      </c>
      <c r="L27" s="165">
        <v>24</v>
      </c>
      <c r="M27" s="165">
        <v>57.35</v>
      </c>
      <c r="N27" s="165">
        <v>0</v>
      </c>
      <c r="O27" s="165">
        <v>0</v>
      </c>
      <c r="P27" s="165">
        <v>0.47</v>
      </c>
      <c r="Q27" s="165">
        <v>5</v>
      </c>
      <c r="R27" s="13"/>
      <c r="S27" s="13"/>
      <c r="T27" s="213"/>
      <c r="U27" s="13"/>
    </row>
    <row r="28" customFormat="1" spans="1:21">
      <c r="A28" s="142" t="s">
        <v>746</v>
      </c>
      <c r="B28" s="165">
        <v>11.74</v>
      </c>
      <c r="C28" s="165">
        <v>68.52</v>
      </c>
      <c r="D28" s="165">
        <v>46.09</v>
      </c>
      <c r="E28" s="165">
        <v>7.01</v>
      </c>
      <c r="F28" s="165">
        <v>4.44</v>
      </c>
      <c r="G28" s="165">
        <v>29.94</v>
      </c>
      <c r="H28" s="165">
        <v>9.93</v>
      </c>
      <c r="I28" s="165">
        <v>3.41</v>
      </c>
      <c r="J28" s="165">
        <v>0.76</v>
      </c>
      <c r="K28" s="165">
        <v>249.54</v>
      </c>
      <c r="L28" s="165">
        <v>23.77</v>
      </c>
      <c r="M28" s="165">
        <v>58.87</v>
      </c>
      <c r="N28" s="165">
        <v>0</v>
      </c>
      <c r="O28" s="165">
        <v>0</v>
      </c>
      <c r="P28" s="165">
        <v>0.47</v>
      </c>
      <c r="Q28" s="165">
        <v>5</v>
      </c>
      <c r="R28" s="13"/>
      <c r="S28" s="13"/>
      <c r="T28" s="213"/>
      <c r="U28" s="13"/>
    </row>
    <row r="29" customFormat="1" spans="1:21">
      <c r="A29" s="142" t="s">
        <v>747</v>
      </c>
      <c r="B29" s="165">
        <v>11.3</v>
      </c>
      <c r="C29" s="165">
        <v>68.28</v>
      </c>
      <c r="D29" s="165">
        <v>45.61</v>
      </c>
      <c r="E29" s="165">
        <v>6.67</v>
      </c>
      <c r="F29" s="165">
        <v>4.47</v>
      </c>
      <c r="G29" s="165">
        <v>29.94</v>
      </c>
      <c r="H29" s="165">
        <v>9.93</v>
      </c>
      <c r="I29" s="165">
        <v>3.43</v>
      </c>
      <c r="J29" s="165">
        <v>0.89</v>
      </c>
      <c r="K29" s="165">
        <v>255.74</v>
      </c>
      <c r="L29" s="165">
        <v>23.59</v>
      </c>
      <c r="M29" s="165">
        <v>59.87</v>
      </c>
      <c r="N29" s="165">
        <v>0</v>
      </c>
      <c r="O29" s="165">
        <v>0</v>
      </c>
      <c r="P29" s="165">
        <v>0.47</v>
      </c>
      <c r="Q29" s="165">
        <v>5</v>
      </c>
      <c r="R29" s="13"/>
      <c r="S29" s="13"/>
      <c r="T29" s="213"/>
      <c r="U29" s="13"/>
    </row>
    <row r="30" customFormat="1" spans="1:21">
      <c r="A30" s="142" t="s">
        <v>748</v>
      </c>
      <c r="B30" s="165">
        <v>10.99</v>
      </c>
      <c r="C30" s="165">
        <v>67.86</v>
      </c>
      <c r="D30" s="165">
        <v>45.14</v>
      </c>
      <c r="E30" s="165">
        <v>6.77</v>
      </c>
      <c r="F30" s="165">
        <v>4.41</v>
      </c>
      <c r="G30" s="165">
        <v>29.87</v>
      </c>
      <c r="H30" s="165">
        <v>9.95</v>
      </c>
      <c r="I30" s="165">
        <v>3.4</v>
      </c>
      <c r="J30" s="165">
        <v>0.73</v>
      </c>
      <c r="K30" s="165">
        <v>247.05</v>
      </c>
      <c r="L30" s="165">
        <v>23.6</v>
      </c>
      <c r="M30" s="165">
        <v>60.13</v>
      </c>
      <c r="N30" s="165">
        <v>0</v>
      </c>
      <c r="O30" s="165">
        <v>0</v>
      </c>
      <c r="P30" s="165">
        <v>0.47</v>
      </c>
      <c r="Q30" s="165">
        <v>5</v>
      </c>
      <c r="R30" s="13"/>
      <c r="S30" s="13"/>
      <c r="T30" s="213"/>
      <c r="U30" s="13"/>
    </row>
    <row r="31" customFormat="1" spans="1:21">
      <c r="A31" s="142" t="s">
        <v>749</v>
      </c>
      <c r="B31" s="165">
        <v>10.85</v>
      </c>
      <c r="C31" s="165">
        <v>67.86</v>
      </c>
      <c r="D31" s="165">
        <v>45.03</v>
      </c>
      <c r="E31" s="165">
        <v>6.6</v>
      </c>
      <c r="F31" s="165">
        <v>4.43</v>
      </c>
      <c r="G31" s="165">
        <v>26.92</v>
      </c>
      <c r="H31" s="165">
        <v>10.65</v>
      </c>
      <c r="I31" s="165">
        <v>3.38</v>
      </c>
      <c r="J31" s="165">
        <v>0.72</v>
      </c>
      <c r="K31" s="165">
        <v>252.18</v>
      </c>
      <c r="L31" s="165">
        <v>23.59</v>
      </c>
      <c r="M31" s="165">
        <v>60.44</v>
      </c>
      <c r="N31" s="165">
        <v>0</v>
      </c>
      <c r="O31" s="165">
        <v>0</v>
      </c>
      <c r="P31" s="165">
        <v>0.47</v>
      </c>
      <c r="Q31" s="165">
        <v>5</v>
      </c>
      <c r="R31" s="13"/>
      <c r="S31" s="13"/>
      <c r="T31" s="213"/>
      <c r="U31" s="13"/>
    </row>
    <row r="32" customFormat="1" spans="1:21">
      <c r="A32" s="142" t="s">
        <v>750</v>
      </c>
      <c r="B32" s="165">
        <v>10.88</v>
      </c>
      <c r="C32" s="165">
        <v>67.67</v>
      </c>
      <c r="D32" s="165">
        <v>44.95</v>
      </c>
      <c r="E32" s="165">
        <v>6.55</v>
      </c>
      <c r="F32" s="165">
        <v>4.29</v>
      </c>
      <c r="G32" s="165">
        <v>26.92</v>
      </c>
      <c r="H32" s="165">
        <v>10.65</v>
      </c>
      <c r="I32" s="165">
        <v>3.4</v>
      </c>
      <c r="J32" s="165">
        <v>0.75</v>
      </c>
      <c r="K32" s="165">
        <v>289.28</v>
      </c>
      <c r="L32" s="165">
        <v>23.78</v>
      </c>
      <c r="M32" s="165">
        <v>59.58</v>
      </c>
      <c r="N32" s="165">
        <v>0</v>
      </c>
      <c r="O32" s="165">
        <v>0</v>
      </c>
      <c r="P32" s="165">
        <v>0.47</v>
      </c>
      <c r="Q32" s="165">
        <v>5</v>
      </c>
      <c r="R32" s="13"/>
      <c r="S32" s="13"/>
      <c r="T32" s="213"/>
      <c r="U32" s="13"/>
    </row>
    <row r="33" customFormat="1" spans="1:21">
      <c r="A33" s="142" t="s">
        <v>751</v>
      </c>
      <c r="B33" s="165">
        <v>11.37</v>
      </c>
      <c r="C33" s="165">
        <v>67.84</v>
      </c>
      <c r="D33" s="165">
        <v>45.44</v>
      </c>
      <c r="E33" s="165">
        <v>6.73</v>
      </c>
      <c r="F33" s="165">
        <v>4.28</v>
      </c>
      <c r="G33" s="165">
        <v>26.92</v>
      </c>
      <c r="H33" s="165">
        <v>10.65</v>
      </c>
      <c r="I33" s="165">
        <v>3.41</v>
      </c>
      <c r="J33" s="165">
        <v>0.74</v>
      </c>
      <c r="K33" s="165">
        <v>288.84</v>
      </c>
      <c r="L33" s="165">
        <v>23.88</v>
      </c>
      <c r="M33" s="165">
        <v>59.12</v>
      </c>
      <c r="N33" s="165">
        <v>4.4</v>
      </c>
      <c r="O33" s="165">
        <v>0</v>
      </c>
      <c r="P33" s="165">
        <v>0.48</v>
      </c>
      <c r="Q33" s="165">
        <v>5</v>
      </c>
      <c r="R33" s="13"/>
      <c r="S33" s="13"/>
      <c r="T33" s="213"/>
      <c r="U33" s="13"/>
    </row>
    <row r="34" customFormat="1" spans="1:21">
      <c r="A34" s="142" t="s">
        <v>752</v>
      </c>
      <c r="B34" s="165">
        <v>12.2</v>
      </c>
      <c r="C34" s="165">
        <v>68.39</v>
      </c>
      <c r="D34" s="165">
        <v>46.39</v>
      </c>
      <c r="E34" s="165">
        <v>7.02</v>
      </c>
      <c r="F34" s="165">
        <v>4.12</v>
      </c>
      <c r="G34" s="165">
        <v>26.94</v>
      </c>
      <c r="H34" s="165">
        <v>10.76</v>
      </c>
      <c r="I34" s="165">
        <v>3.51</v>
      </c>
      <c r="J34" s="165">
        <v>0.64</v>
      </c>
      <c r="K34" s="165">
        <v>306.38</v>
      </c>
      <c r="L34" s="165">
        <v>23.93</v>
      </c>
      <c r="M34" s="165">
        <v>59.35</v>
      </c>
      <c r="N34" s="165">
        <v>25.4</v>
      </c>
      <c r="O34" s="165">
        <v>0</v>
      </c>
      <c r="P34" s="165">
        <v>0.52</v>
      </c>
      <c r="Q34" s="165">
        <v>5</v>
      </c>
      <c r="R34" s="13"/>
      <c r="S34" s="13"/>
      <c r="T34" s="213"/>
      <c r="U34" s="13"/>
    </row>
    <row r="35" customFormat="1" spans="1:21">
      <c r="A35" s="142" t="s">
        <v>753</v>
      </c>
      <c r="B35" s="165">
        <v>13.12</v>
      </c>
      <c r="C35" s="165">
        <v>69.19</v>
      </c>
      <c r="D35" s="165">
        <v>47.55</v>
      </c>
      <c r="E35" s="165">
        <v>7</v>
      </c>
      <c r="F35" s="165">
        <v>3.99</v>
      </c>
      <c r="G35" s="165">
        <v>28</v>
      </c>
      <c r="H35" s="165">
        <v>14.23</v>
      </c>
      <c r="I35" s="165">
        <v>3.87</v>
      </c>
      <c r="J35" s="165">
        <v>0.47</v>
      </c>
      <c r="K35" s="165">
        <v>280.19</v>
      </c>
      <c r="L35" s="165">
        <v>24.26</v>
      </c>
      <c r="M35" s="165">
        <v>57.73</v>
      </c>
      <c r="N35" s="165">
        <v>52.5</v>
      </c>
      <c r="O35" s="165">
        <v>0</v>
      </c>
      <c r="P35" s="165">
        <v>0.56</v>
      </c>
      <c r="Q35" s="165">
        <v>5</v>
      </c>
      <c r="R35" s="13"/>
      <c r="S35" s="13"/>
      <c r="T35" s="213"/>
      <c r="U35" s="13"/>
    </row>
    <row r="36" customFormat="1" spans="1:21">
      <c r="A36" s="142" t="s">
        <v>754</v>
      </c>
      <c r="B36" s="165">
        <v>13.86</v>
      </c>
      <c r="C36" s="165">
        <v>69.69</v>
      </c>
      <c r="D36" s="165">
        <v>48.4</v>
      </c>
      <c r="E36" s="165">
        <v>7.1</v>
      </c>
      <c r="F36" s="165">
        <v>3.96</v>
      </c>
      <c r="G36" s="165">
        <v>28</v>
      </c>
      <c r="H36" s="165">
        <v>14.23</v>
      </c>
      <c r="I36" s="165">
        <v>4.56</v>
      </c>
      <c r="J36" s="165">
        <v>0.39</v>
      </c>
      <c r="K36" s="165">
        <v>289.01</v>
      </c>
      <c r="L36" s="165">
        <v>24.76</v>
      </c>
      <c r="M36" s="165">
        <v>56.34</v>
      </c>
      <c r="N36" s="165">
        <v>82.9</v>
      </c>
      <c r="O36" s="165">
        <v>0</v>
      </c>
      <c r="P36" s="165">
        <v>0.58</v>
      </c>
      <c r="Q36" s="165">
        <v>5</v>
      </c>
      <c r="R36" s="13"/>
      <c r="S36" s="13"/>
      <c r="T36" s="213"/>
      <c r="U36" s="13"/>
    </row>
    <row r="37" customFormat="1" spans="1:21">
      <c r="A37" s="142" t="s">
        <v>755</v>
      </c>
      <c r="B37" s="165">
        <v>15.03</v>
      </c>
      <c r="C37" s="165">
        <v>65.44</v>
      </c>
      <c r="D37" s="165">
        <v>47.12</v>
      </c>
      <c r="E37" s="165">
        <v>7.18</v>
      </c>
      <c r="F37" s="165">
        <v>4.41</v>
      </c>
      <c r="G37" s="165">
        <v>28</v>
      </c>
      <c r="H37" s="165">
        <v>14.23</v>
      </c>
      <c r="I37" s="165">
        <v>5.23</v>
      </c>
      <c r="J37" s="165">
        <v>0.93</v>
      </c>
      <c r="K37" s="165">
        <v>308.94</v>
      </c>
      <c r="L37" s="165">
        <v>25.27</v>
      </c>
      <c r="M37" s="165">
        <v>54.47</v>
      </c>
      <c r="N37" s="165">
        <v>92.3</v>
      </c>
      <c r="O37" s="165">
        <v>0</v>
      </c>
      <c r="P37" s="165">
        <v>0.59</v>
      </c>
      <c r="Q37" s="165">
        <v>5</v>
      </c>
      <c r="R37" s="13"/>
      <c r="S37" s="13"/>
      <c r="T37" s="213"/>
      <c r="U37" s="13"/>
    </row>
    <row r="38" customFormat="1" spans="1:21">
      <c r="A38" s="142" t="s">
        <v>756</v>
      </c>
      <c r="B38" s="165">
        <v>16.05</v>
      </c>
      <c r="C38" s="165">
        <v>66.34</v>
      </c>
      <c r="D38" s="165">
        <v>48.41</v>
      </c>
      <c r="E38" s="165">
        <v>6.98</v>
      </c>
      <c r="F38" s="165">
        <v>4.33</v>
      </c>
      <c r="G38" s="165">
        <v>28.18</v>
      </c>
      <c r="H38" s="165">
        <v>14.23</v>
      </c>
      <c r="I38" s="165">
        <v>5.63</v>
      </c>
      <c r="J38" s="165">
        <v>0.92</v>
      </c>
      <c r="K38" s="165">
        <v>303.15</v>
      </c>
      <c r="L38" s="165">
        <v>25.46</v>
      </c>
      <c r="M38" s="165">
        <v>53.15</v>
      </c>
      <c r="N38" s="165">
        <v>80.2</v>
      </c>
      <c r="O38" s="165">
        <v>0</v>
      </c>
      <c r="P38" s="165">
        <v>0.59</v>
      </c>
      <c r="Q38" s="165">
        <v>5</v>
      </c>
      <c r="R38" s="13"/>
      <c r="S38" s="13"/>
      <c r="T38" s="213"/>
      <c r="U38" s="13"/>
    </row>
    <row r="39" customFormat="1" spans="1:21">
      <c r="A39" s="142" t="s">
        <v>757</v>
      </c>
      <c r="B39" s="165">
        <v>16.96</v>
      </c>
      <c r="C39" s="165">
        <v>68.55</v>
      </c>
      <c r="D39" s="165">
        <v>50.29</v>
      </c>
      <c r="E39" s="165">
        <v>7.62</v>
      </c>
      <c r="F39" s="165">
        <v>4.07</v>
      </c>
      <c r="G39" s="165">
        <v>36.08</v>
      </c>
      <c r="H39" s="165">
        <v>14</v>
      </c>
      <c r="I39" s="165">
        <v>5.88</v>
      </c>
      <c r="J39" s="165">
        <v>0.55</v>
      </c>
      <c r="K39" s="165">
        <v>43.72</v>
      </c>
      <c r="L39" s="165">
        <v>26.07</v>
      </c>
      <c r="M39" s="165">
        <v>52.9</v>
      </c>
      <c r="N39" s="165">
        <v>175.2</v>
      </c>
      <c r="O39" s="165">
        <v>0</v>
      </c>
      <c r="P39" s="165">
        <v>0.6</v>
      </c>
      <c r="Q39" s="165">
        <v>5</v>
      </c>
      <c r="R39" s="13"/>
      <c r="S39" s="13"/>
      <c r="T39" s="213"/>
      <c r="U39" s="13"/>
    </row>
    <row r="40" customFormat="1" spans="1:21">
      <c r="A40" s="142" t="s">
        <v>758</v>
      </c>
      <c r="B40" s="165">
        <v>18.09</v>
      </c>
      <c r="C40" s="165">
        <v>68.94</v>
      </c>
      <c r="D40" s="165">
        <v>51.4</v>
      </c>
      <c r="E40" s="165">
        <v>8.2</v>
      </c>
      <c r="F40" s="165">
        <v>4</v>
      </c>
      <c r="G40" s="165">
        <v>36.08</v>
      </c>
      <c r="H40" s="165">
        <v>14</v>
      </c>
      <c r="I40" s="165">
        <v>6.02</v>
      </c>
      <c r="J40" s="165">
        <v>0.81</v>
      </c>
      <c r="K40" s="165">
        <v>59.19</v>
      </c>
      <c r="L40" s="165">
        <v>26.38</v>
      </c>
      <c r="M40" s="165">
        <v>51.35</v>
      </c>
      <c r="N40" s="165">
        <v>85.2</v>
      </c>
      <c r="O40" s="165">
        <v>0</v>
      </c>
      <c r="P40" s="165">
        <v>0.62</v>
      </c>
      <c r="Q40" s="165">
        <v>5</v>
      </c>
      <c r="R40" s="13"/>
      <c r="S40" s="13"/>
      <c r="T40" s="213"/>
      <c r="U40" s="13"/>
    </row>
    <row r="41" customFormat="1" spans="1:21">
      <c r="A41" s="142" t="s">
        <v>759</v>
      </c>
      <c r="B41" s="165">
        <v>19.21</v>
      </c>
      <c r="C41" s="165">
        <v>68.94</v>
      </c>
      <c r="D41" s="165">
        <v>52.29</v>
      </c>
      <c r="E41" s="165">
        <v>7.96</v>
      </c>
      <c r="F41" s="165">
        <v>3.89</v>
      </c>
      <c r="G41" s="165">
        <v>36.08</v>
      </c>
      <c r="H41" s="165">
        <v>14</v>
      </c>
      <c r="I41" s="165">
        <v>6.26</v>
      </c>
      <c r="J41" s="165">
        <v>0.48</v>
      </c>
      <c r="K41" s="165">
        <v>47.43</v>
      </c>
      <c r="L41" s="165">
        <v>26.52</v>
      </c>
      <c r="M41" s="165">
        <v>50.41</v>
      </c>
      <c r="N41" s="165">
        <v>105</v>
      </c>
      <c r="O41" s="165">
        <v>0</v>
      </c>
      <c r="P41" s="165">
        <v>0.64</v>
      </c>
      <c r="Q41" s="165">
        <v>5</v>
      </c>
      <c r="R41" s="13"/>
      <c r="S41" s="13"/>
      <c r="T41" s="213"/>
      <c r="U41" s="13"/>
    </row>
    <row r="42" customFormat="1" spans="1:21">
      <c r="A42" s="142" t="s">
        <v>760</v>
      </c>
      <c r="B42" s="165">
        <v>20.02</v>
      </c>
      <c r="C42" s="165">
        <v>69.25</v>
      </c>
      <c r="D42" s="165">
        <v>53.11</v>
      </c>
      <c r="E42" s="165">
        <v>8.2</v>
      </c>
      <c r="F42" s="165">
        <v>4.13</v>
      </c>
      <c r="G42" s="165">
        <v>36.59</v>
      </c>
      <c r="H42" s="165">
        <v>14.29</v>
      </c>
      <c r="I42" s="165">
        <v>6.59</v>
      </c>
      <c r="J42" s="165">
        <v>0.43</v>
      </c>
      <c r="K42" s="165">
        <v>61.74</v>
      </c>
      <c r="L42" s="165">
        <v>27.36</v>
      </c>
      <c r="M42" s="165">
        <v>47.2</v>
      </c>
      <c r="N42" s="165">
        <v>234.2</v>
      </c>
      <c r="O42" s="165">
        <v>0</v>
      </c>
      <c r="P42" s="165">
        <v>0.65</v>
      </c>
      <c r="Q42" s="165">
        <v>5</v>
      </c>
      <c r="R42" s="13"/>
      <c r="S42" s="13"/>
      <c r="T42" s="213"/>
      <c r="U42" s="13"/>
    </row>
    <row r="43" customFormat="1" spans="1:21">
      <c r="A43" s="142" t="s">
        <v>761</v>
      </c>
      <c r="B43" s="165">
        <v>20.28</v>
      </c>
      <c r="C43" s="165">
        <v>69.9</v>
      </c>
      <c r="D43" s="165">
        <v>53.66</v>
      </c>
      <c r="E43" s="165">
        <v>8.14</v>
      </c>
      <c r="F43" s="165">
        <v>4.53</v>
      </c>
      <c r="G43" s="165">
        <v>59.23</v>
      </c>
      <c r="H43" s="165">
        <v>23.72</v>
      </c>
      <c r="I43" s="165">
        <v>6.81</v>
      </c>
      <c r="J43" s="165">
        <v>0.13</v>
      </c>
      <c r="K43" s="165">
        <v>313.42</v>
      </c>
      <c r="L43" s="165">
        <v>28.35</v>
      </c>
      <c r="M43" s="165">
        <v>44.03</v>
      </c>
      <c r="N43" s="165">
        <v>202.7</v>
      </c>
      <c r="O43" s="165">
        <v>0</v>
      </c>
      <c r="P43" s="165">
        <v>0.66</v>
      </c>
      <c r="Q43" s="165">
        <v>5</v>
      </c>
      <c r="R43" s="13"/>
      <c r="S43" s="13"/>
      <c r="T43" s="213"/>
      <c r="U43" s="13"/>
    </row>
    <row r="44" customFormat="1" spans="1:21">
      <c r="A44" s="142" t="s">
        <v>762</v>
      </c>
      <c r="B44" s="165">
        <v>20.19</v>
      </c>
      <c r="C44" s="165">
        <v>68.89</v>
      </c>
      <c r="D44" s="165">
        <v>53.06</v>
      </c>
      <c r="E44" s="165">
        <v>8.02</v>
      </c>
      <c r="F44" s="165">
        <v>5.36</v>
      </c>
      <c r="G44" s="165">
        <v>59.23</v>
      </c>
      <c r="H44" s="165">
        <v>23.72</v>
      </c>
      <c r="I44" s="165">
        <v>6.86</v>
      </c>
      <c r="J44" s="165">
        <v>0.26</v>
      </c>
      <c r="K44" s="165">
        <v>283.53</v>
      </c>
      <c r="L44" s="165">
        <v>28.71</v>
      </c>
      <c r="M44" s="165">
        <v>42.37</v>
      </c>
      <c r="N44" s="165">
        <v>213.7</v>
      </c>
      <c r="O44" s="165">
        <v>0</v>
      </c>
      <c r="P44" s="165">
        <v>0.66</v>
      </c>
      <c r="Q44" s="165">
        <v>5</v>
      </c>
      <c r="R44" s="13"/>
      <c r="S44" s="13"/>
      <c r="T44" s="213"/>
      <c r="U44" s="13"/>
    </row>
    <row r="45" customFormat="1" spans="1:21">
      <c r="A45" s="142" t="s">
        <v>763</v>
      </c>
      <c r="B45" s="165">
        <v>19.8</v>
      </c>
      <c r="C45" s="165">
        <v>68.12</v>
      </c>
      <c r="D45" s="165">
        <v>52.35</v>
      </c>
      <c r="E45" s="165">
        <v>8</v>
      </c>
      <c r="F45" s="165">
        <v>5.68</v>
      </c>
      <c r="G45" s="165">
        <v>59.23</v>
      </c>
      <c r="H45" s="165">
        <v>23.72</v>
      </c>
      <c r="I45" s="165">
        <v>6.86</v>
      </c>
      <c r="J45" s="165">
        <v>0.27</v>
      </c>
      <c r="K45" s="165">
        <v>267.1</v>
      </c>
      <c r="L45" s="165">
        <v>28.71</v>
      </c>
      <c r="M45" s="165">
        <v>43.12</v>
      </c>
      <c r="N45" s="165">
        <v>170.7</v>
      </c>
      <c r="O45" s="165">
        <v>0</v>
      </c>
      <c r="P45" s="165">
        <v>0.67</v>
      </c>
      <c r="Q45" s="165">
        <v>5</v>
      </c>
      <c r="R45" s="13"/>
      <c r="S45" s="13"/>
      <c r="T45" s="213"/>
      <c r="U45" s="13"/>
    </row>
    <row r="46" customFormat="1" spans="1:21">
      <c r="A46" s="142" t="s">
        <v>764</v>
      </c>
      <c r="B46" s="165">
        <v>19.75</v>
      </c>
      <c r="C46" s="165">
        <v>69.14</v>
      </c>
      <c r="D46" s="165">
        <v>52.84</v>
      </c>
      <c r="E46" s="165">
        <v>8.06</v>
      </c>
      <c r="F46" s="165">
        <v>4.46</v>
      </c>
      <c r="G46" s="165">
        <v>59.22</v>
      </c>
      <c r="H46" s="165">
        <v>23.75</v>
      </c>
      <c r="I46" s="165">
        <v>6.87</v>
      </c>
      <c r="J46" s="165">
        <v>0.59</v>
      </c>
      <c r="K46" s="165">
        <v>253.51</v>
      </c>
      <c r="L46" s="165">
        <v>28.54</v>
      </c>
      <c r="M46" s="165">
        <v>42.72</v>
      </c>
      <c r="N46" s="165">
        <v>126.1</v>
      </c>
      <c r="O46" s="165">
        <v>0</v>
      </c>
      <c r="P46" s="165">
        <v>0.68</v>
      </c>
      <c r="Q46" s="165">
        <v>5</v>
      </c>
      <c r="R46" s="13"/>
      <c r="S46" s="13"/>
      <c r="T46" s="213"/>
      <c r="U46" s="13"/>
    </row>
    <row r="47" customFormat="1" spans="1:21">
      <c r="A47" s="142" t="s">
        <v>765</v>
      </c>
      <c r="B47" s="165">
        <v>19.1</v>
      </c>
      <c r="C47" s="165">
        <v>69.33</v>
      </c>
      <c r="D47" s="165">
        <v>52.41</v>
      </c>
      <c r="E47" s="165">
        <v>8.49</v>
      </c>
      <c r="F47" s="165">
        <v>4.75</v>
      </c>
      <c r="G47" s="165">
        <v>58.61</v>
      </c>
      <c r="H47" s="165">
        <v>24.64</v>
      </c>
      <c r="I47" s="165">
        <v>6.91</v>
      </c>
      <c r="J47" s="165">
        <v>0.69</v>
      </c>
      <c r="K47" s="165">
        <v>250.72</v>
      </c>
      <c r="L47" s="165">
        <v>27.91</v>
      </c>
      <c r="M47" s="165">
        <v>43.98</v>
      </c>
      <c r="N47" s="165">
        <v>73.2</v>
      </c>
      <c r="O47" s="165">
        <v>0</v>
      </c>
      <c r="P47" s="165">
        <v>0.68</v>
      </c>
      <c r="Q47" s="165">
        <v>5</v>
      </c>
      <c r="R47" s="13"/>
      <c r="S47" s="13"/>
      <c r="T47" s="213"/>
      <c r="U47" s="13"/>
    </row>
    <row r="48" customFormat="1" spans="1:21">
      <c r="A48" s="142" t="s">
        <v>766</v>
      </c>
      <c r="B48" s="165">
        <v>18.78</v>
      </c>
      <c r="C48" s="165">
        <v>67.34</v>
      </c>
      <c r="D48" s="165">
        <v>51.11</v>
      </c>
      <c r="E48" s="165">
        <v>8.48</v>
      </c>
      <c r="F48" s="165">
        <v>5.31</v>
      </c>
      <c r="G48" s="165">
        <v>58.61</v>
      </c>
      <c r="H48" s="165">
        <v>24.64</v>
      </c>
      <c r="I48" s="165">
        <v>6.96</v>
      </c>
      <c r="J48" s="165">
        <v>1.13</v>
      </c>
      <c r="K48" s="165">
        <v>298.74</v>
      </c>
      <c r="L48" s="165">
        <v>27.42</v>
      </c>
      <c r="M48" s="165">
        <v>47.98</v>
      </c>
      <c r="N48" s="165">
        <v>56.5</v>
      </c>
      <c r="O48" s="165">
        <v>0</v>
      </c>
      <c r="P48" s="165">
        <v>0.68</v>
      </c>
      <c r="Q48" s="165">
        <v>5</v>
      </c>
      <c r="R48" s="13"/>
      <c r="S48" s="13"/>
      <c r="T48" s="213"/>
      <c r="U48" s="13"/>
    </row>
    <row r="49" customFormat="1" spans="1:21">
      <c r="A49" s="142" t="s">
        <v>767</v>
      </c>
      <c r="B49" s="165">
        <v>18.6</v>
      </c>
      <c r="C49" s="165">
        <v>69.61</v>
      </c>
      <c r="D49" s="165">
        <v>52.16</v>
      </c>
      <c r="E49" s="165">
        <v>5.93</v>
      </c>
      <c r="F49" s="165">
        <v>4.79</v>
      </c>
      <c r="G49" s="165">
        <v>58.61</v>
      </c>
      <c r="H49" s="165">
        <v>24.64</v>
      </c>
      <c r="I49" s="165">
        <v>6.96</v>
      </c>
      <c r="J49" s="165">
        <v>0.38</v>
      </c>
      <c r="K49" s="165">
        <v>244.43</v>
      </c>
      <c r="L49" s="165">
        <v>26.59</v>
      </c>
      <c r="M49" s="165">
        <v>55.19</v>
      </c>
      <c r="N49" s="165">
        <v>52.8</v>
      </c>
      <c r="O49" s="165">
        <v>0</v>
      </c>
      <c r="P49" s="165">
        <v>0.7</v>
      </c>
      <c r="Q49" s="165">
        <v>5</v>
      </c>
      <c r="R49" s="13"/>
      <c r="S49" s="13"/>
      <c r="T49" s="213"/>
      <c r="U49" s="13"/>
    </row>
    <row r="50" customFormat="1" spans="1:21">
      <c r="A50" s="142" t="s">
        <v>768</v>
      </c>
      <c r="B50" s="165">
        <v>18.44</v>
      </c>
      <c r="C50" s="165">
        <v>68.74</v>
      </c>
      <c r="D50" s="165">
        <v>51.57</v>
      </c>
      <c r="E50" s="165">
        <v>8.88</v>
      </c>
      <c r="F50" s="165">
        <v>6.45</v>
      </c>
      <c r="G50" s="165">
        <v>58.62</v>
      </c>
      <c r="H50" s="165">
        <v>24.59</v>
      </c>
      <c r="I50" s="165">
        <v>6.95</v>
      </c>
      <c r="J50" s="165">
        <v>0.34</v>
      </c>
      <c r="K50" s="165">
        <v>304.5</v>
      </c>
      <c r="L50" s="165">
        <v>26.78</v>
      </c>
      <c r="M50" s="165">
        <v>53.37</v>
      </c>
      <c r="N50" s="165">
        <v>55.1</v>
      </c>
      <c r="O50" s="165">
        <v>0</v>
      </c>
      <c r="P50" s="165">
        <v>0.71</v>
      </c>
      <c r="Q50" s="165">
        <v>5</v>
      </c>
      <c r="R50" s="13"/>
      <c r="S50" s="13"/>
      <c r="T50" s="213"/>
      <c r="U50" s="13"/>
    </row>
    <row r="51" customFormat="1" spans="1:21">
      <c r="A51" s="142" t="s">
        <v>769</v>
      </c>
      <c r="B51" s="165">
        <v>18.33</v>
      </c>
      <c r="C51" s="165">
        <v>68.68</v>
      </c>
      <c r="D51" s="165">
        <v>51.45</v>
      </c>
      <c r="E51" s="165">
        <v>9.39</v>
      </c>
      <c r="F51" s="165">
        <v>6</v>
      </c>
      <c r="G51" s="165">
        <v>58.71</v>
      </c>
      <c r="H51" s="165">
        <v>22.86</v>
      </c>
      <c r="I51" s="165">
        <v>6.93</v>
      </c>
      <c r="J51" s="165">
        <v>0.71</v>
      </c>
      <c r="K51" s="165">
        <v>299.14</v>
      </c>
      <c r="L51" s="165">
        <v>27.06</v>
      </c>
      <c r="M51" s="165">
        <v>50.41</v>
      </c>
      <c r="N51" s="165">
        <v>50.7</v>
      </c>
      <c r="O51" s="165">
        <v>0</v>
      </c>
      <c r="P51" s="165">
        <v>0.71</v>
      </c>
      <c r="Q51" s="165">
        <v>5</v>
      </c>
      <c r="R51" s="13"/>
      <c r="S51" s="13"/>
      <c r="T51" s="213"/>
      <c r="U51" s="13"/>
    </row>
    <row r="52" customFormat="1" spans="1:21">
      <c r="A52" s="142" t="s">
        <v>770</v>
      </c>
      <c r="B52" s="165">
        <v>18.53</v>
      </c>
      <c r="C52" s="165">
        <v>69.77</v>
      </c>
      <c r="D52" s="165">
        <v>52.19</v>
      </c>
      <c r="E52" s="165">
        <v>8.9</v>
      </c>
      <c r="F52" s="165">
        <v>4.76</v>
      </c>
      <c r="G52" s="165">
        <v>58.71</v>
      </c>
      <c r="H52" s="165">
        <v>22.86</v>
      </c>
      <c r="I52" s="165">
        <v>6.89</v>
      </c>
      <c r="J52" s="165">
        <v>1.31</v>
      </c>
      <c r="K52" s="165">
        <v>291.54</v>
      </c>
      <c r="L52" s="165">
        <v>27.07</v>
      </c>
      <c r="M52" s="165">
        <v>50.75</v>
      </c>
      <c r="N52" s="165">
        <v>68.4</v>
      </c>
      <c r="O52" s="165">
        <v>0</v>
      </c>
      <c r="P52" s="165">
        <v>0.73</v>
      </c>
      <c r="Q52" s="165">
        <v>5</v>
      </c>
      <c r="R52" s="13"/>
      <c r="S52" s="13"/>
      <c r="T52" s="213"/>
      <c r="U52" s="13"/>
    </row>
    <row r="53" customFormat="1" spans="1:21">
      <c r="A53" s="142" t="s">
        <v>771</v>
      </c>
      <c r="B53" s="165">
        <v>18.73</v>
      </c>
      <c r="C53" s="165">
        <v>68.26</v>
      </c>
      <c r="D53" s="165">
        <v>51.55</v>
      </c>
      <c r="E53" s="165">
        <v>9.01</v>
      </c>
      <c r="F53" s="165">
        <v>5.05</v>
      </c>
      <c r="G53" s="165">
        <v>58.71</v>
      </c>
      <c r="H53" s="165">
        <v>22.86</v>
      </c>
      <c r="I53" s="165">
        <v>6.9</v>
      </c>
      <c r="J53" s="165">
        <v>1.67</v>
      </c>
      <c r="K53" s="165">
        <v>302.27</v>
      </c>
      <c r="L53" s="165">
        <v>27.35</v>
      </c>
      <c r="M53" s="165">
        <v>48.05</v>
      </c>
      <c r="N53" s="165">
        <v>225.9</v>
      </c>
      <c r="O53" s="165">
        <v>0</v>
      </c>
      <c r="P53" s="165">
        <v>0.72</v>
      </c>
      <c r="Q53" s="165">
        <v>5</v>
      </c>
      <c r="R53" s="13"/>
      <c r="S53" s="13"/>
      <c r="T53" s="213"/>
      <c r="U53" s="13"/>
    </row>
    <row r="54" customFormat="1" spans="1:21">
      <c r="A54" s="142" t="s">
        <v>772</v>
      </c>
      <c r="B54" s="165">
        <v>18.48</v>
      </c>
      <c r="C54" s="165">
        <v>67.42</v>
      </c>
      <c r="D54" s="165">
        <v>50.92</v>
      </c>
      <c r="E54" s="165">
        <v>8.88</v>
      </c>
      <c r="F54" s="165">
        <v>5.37</v>
      </c>
      <c r="G54" s="165">
        <v>58.67</v>
      </c>
      <c r="H54" s="165">
        <v>22.83</v>
      </c>
      <c r="I54" s="165">
        <v>6.94</v>
      </c>
      <c r="J54" s="165">
        <v>2.18</v>
      </c>
      <c r="K54" s="165">
        <v>300.12</v>
      </c>
      <c r="L54" s="165">
        <v>27.67</v>
      </c>
      <c r="M54" s="165">
        <v>45.82</v>
      </c>
      <c r="N54" s="165">
        <v>243.8</v>
      </c>
      <c r="O54" s="165">
        <v>0</v>
      </c>
      <c r="P54" s="165">
        <v>0.72</v>
      </c>
      <c r="Q54" s="165">
        <v>5</v>
      </c>
      <c r="R54" s="13"/>
      <c r="S54" s="13"/>
      <c r="T54" s="213"/>
      <c r="U54" s="13"/>
    </row>
    <row r="55" customFormat="1" spans="1:21">
      <c r="A55" s="142" t="s">
        <v>773</v>
      </c>
      <c r="B55" s="165">
        <v>17.84</v>
      </c>
      <c r="C55" s="165">
        <v>67.02</v>
      </c>
      <c r="D55" s="165">
        <v>50.2</v>
      </c>
      <c r="E55" s="165">
        <v>9.24</v>
      </c>
      <c r="F55" s="165">
        <v>6.2</v>
      </c>
      <c r="G55" s="165">
        <v>56.82</v>
      </c>
      <c r="H55" s="165">
        <v>21.62</v>
      </c>
      <c r="I55" s="165">
        <v>6.9</v>
      </c>
      <c r="J55" s="165">
        <v>1.8</v>
      </c>
      <c r="K55" s="165">
        <v>296.05</v>
      </c>
      <c r="L55" s="165">
        <v>28.19</v>
      </c>
      <c r="M55" s="165">
        <v>43.99</v>
      </c>
      <c r="N55" s="165">
        <v>557</v>
      </c>
      <c r="O55" s="165">
        <v>0</v>
      </c>
      <c r="P55" s="165">
        <v>0.72</v>
      </c>
      <c r="Q55" s="165">
        <v>5</v>
      </c>
      <c r="R55" s="13"/>
      <c r="S55" s="13"/>
      <c r="T55" s="213"/>
      <c r="U55" s="13"/>
    </row>
    <row r="56" customFormat="1" spans="1:21">
      <c r="A56" s="142" t="s">
        <v>774</v>
      </c>
      <c r="B56" s="165">
        <v>17.1</v>
      </c>
      <c r="C56" s="165">
        <v>64.72</v>
      </c>
      <c r="D56" s="165">
        <v>48.4</v>
      </c>
      <c r="E56" s="165">
        <v>9.08</v>
      </c>
      <c r="F56" s="165">
        <v>7.25</v>
      </c>
      <c r="G56" s="165">
        <v>56.82</v>
      </c>
      <c r="H56" s="165">
        <v>21.62</v>
      </c>
      <c r="I56" s="165">
        <v>6.79</v>
      </c>
      <c r="J56" s="165">
        <v>1.78</v>
      </c>
      <c r="K56" s="165">
        <v>306.46</v>
      </c>
      <c r="L56" s="165">
        <v>29.32</v>
      </c>
      <c r="M56" s="165">
        <v>38.49</v>
      </c>
      <c r="N56" s="165">
        <v>592.7</v>
      </c>
      <c r="O56" s="165">
        <v>0</v>
      </c>
      <c r="P56" s="165">
        <v>0.72</v>
      </c>
      <c r="Q56" s="165">
        <v>5</v>
      </c>
      <c r="R56" s="13"/>
      <c r="S56" s="13"/>
      <c r="T56" s="213"/>
      <c r="U56" s="13"/>
    </row>
    <row r="57" customFormat="1" spans="1:21">
      <c r="A57" s="142" t="s">
        <v>775</v>
      </c>
      <c r="B57" s="165">
        <v>15.79</v>
      </c>
      <c r="C57" s="165">
        <v>64.73</v>
      </c>
      <c r="D57" s="165">
        <v>47.36</v>
      </c>
      <c r="E57" s="165">
        <v>8.84</v>
      </c>
      <c r="F57" s="165">
        <v>8.16</v>
      </c>
      <c r="G57" s="165">
        <v>56.82</v>
      </c>
      <c r="H57" s="165">
        <v>21.62</v>
      </c>
      <c r="I57" s="165">
        <v>6.68</v>
      </c>
      <c r="J57" s="165">
        <v>1.32</v>
      </c>
      <c r="K57" s="165">
        <v>334.42</v>
      </c>
      <c r="L57" s="165">
        <v>30.32</v>
      </c>
      <c r="M57" s="165">
        <v>35.95</v>
      </c>
      <c r="N57" s="165">
        <v>779.5</v>
      </c>
      <c r="O57" s="165">
        <v>0</v>
      </c>
      <c r="P57" s="165">
        <v>0.71</v>
      </c>
      <c r="Q57" s="165">
        <v>5</v>
      </c>
      <c r="R57" s="13"/>
      <c r="S57" s="13"/>
      <c r="T57" s="213"/>
      <c r="U57" s="13"/>
    </row>
    <row r="58" customFormat="1" spans="1:21">
      <c r="A58" s="142" t="s">
        <v>776</v>
      </c>
      <c r="B58" s="182" t="s">
        <v>12</v>
      </c>
      <c r="C58" s="182" t="s">
        <v>12</v>
      </c>
      <c r="D58" s="182" t="s">
        <v>12</v>
      </c>
      <c r="E58" s="182" t="s">
        <v>12</v>
      </c>
      <c r="F58" s="182" t="s">
        <v>12</v>
      </c>
      <c r="G58" s="182" t="s">
        <v>12</v>
      </c>
      <c r="H58" s="182" t="s">
        <v>12</v>
      </c>
      <c r="I58" s="165">
        <v>6.54</v>
      </c>
      <c r="J58" s="165">
        <v>1.16</v>
      </c>
      <c r="K58" s="165">
        <v>3.19</v>
      </c>
      <c r="L58" s="165">
        <v>30.59</v>
      </c>
      <c r="M58" s="165">
        <v>35.65</v>
      </c>
      <c r="N58" s="165">
        <v>558.3</v>
      </c>
      <c r="O58" s="165">
        <v>0</v>
      </c>
      <c r="P58" s="165">
        <v>0.62</v>
      </c>
      <c r="Q58" s="165">
        <v>5</v>
      </c>
      <c r="R58" s="13"/>
      <c r="S58" s="13"/>
      <c r="T58" s="213"/>
      <c r="U58" s="13"/>
    </row>
    <row r="59" customFormat="1" spans="1:21">
      <c r="A59" s="142" t="s">
        <v>777</v>
      </c>
      <c r="B59" s="182" t="s">
        <v>12</v>
      </c>
      <c r="C59" s="182" t="s">
        <v>12</v>
      </c>
      <c r="D59" s="182" t="s">
        <v>12</v>
      </c>
      <c r="E59" s="182" t="s">
        <v>12</v>
      </c>
      <c r="F59" s="165">
        <v>21.22</v>
      </c>
      <c r="G59" s="182" t="s">
        <v>12</v>
      </c>
      <c r="H59" s="182" t="s">
        <v>12</v>
      </c>
      <c r="I59" s="165">
        <v>6.31</v>
      </c>
      <c r="J59" s="165">
        <v>1.17</v>
      </c>
      <c r="K59" s="165">
        <v>1.4</v>
      </c>
      <c r="L59" s="165">
        <v>30.7</v>
      </c>
      <c r="M59" s="165">
        <v>35.38</v>
      </c>
      <c r="N59" s="165">
        <v>474.8</v>
      </c>
      <c r="O59" s="165">
        <v>0</v>
      </c>
      <c r="P59" s="165">
        <v>0.65</v>
      </c>
      <c r="Q59" s="165">
        <v>5</v>
      </c>
      <c r="R59" s="13"/>
      <c r="S59" s="13"/>
      <c r="T59" s="213"/>
      <c r="U59" s="13"/>
    </row>
    <row r="60" customFormat="1" spans="1:21">
      <c r="A60" s="142" t="s">
        <v>778</v>
      </c>
      <c r="B60" s="182" t="s">
        <v>12</v>
      </c>
      <c r="C60" s="182" t="s">
        <v>12</v>
      </c>
      <c r="D60" s="182" t="s">
        <v>12</v>
      </c>
      <c r="E60" s="182" t="s">
        <v>12</v>
      </c>
      <c r="F60" s="165">
        <v>22.62</v>
      </c>
      <c r="G60" s="182" t="s">
        <v>12</v>
      </c>
      <c r="H60" s="182" t="s">
        <v>12</v>
      </c>
      <c r="I60" s="165">
        <v>7.48</v>
      </c>
      <c r="J60" s="165">
        <v>1.33</v>
      </c>
      <c r="K60" s="165">
        <v>1.57</v>
      </c>
      <c r="L60" s="165">
        <v>30.39</v>
      </c>
      <c r="M60" s="165">
        <v>35.15</v>
      </c>
      <c r="N60" s="165">
        <v>440.8</v>
      </c>
      <c r="O60" s="165">
        <v>0</v>
      </c>
      <c r="P60" s="165">
        <v>0.63</v>
      </c>
      <c r="Q60" s="165">
        <v>5</v>
      </c>
      <c r="R60" s="13"/>
      <c r="S60" s="13"/>
      <c r="T60" s="213"/>
      <c r="U60" s="13"/>
    </row>
    <row r="61" customFormat="1" spans="1:21">
      <c r="A61" s="142" t="s">
        <v>779</v>
      </c>
      <c r="B61" s="165">
        <v>12.96</v>
      </c>
      <c r="C61" s="165">
        <v>43.35</v>
      </c>
      <c r="D61" s="165">
        <v>34.4</v>
      </c>
      <c r="E61" s="182" t="s">
        <v>12</v>
      </c>
      <c r="F61" s="165">
        <v>22.76</v>
      </c>
      <c r="G61" s="182" t="s">
        <v>12</v>
      </c>
      <c r="H61" s="182" t="s">
        <v>12</v>
      </c>
      <c r="I61" s="165">
        <v>10.89</v>
      </c>
      <c r="J61" s="165">
        <v>1.18</v>
      </c>
      <c r="K61" s="165">
        <v>318.6</v>
      </c>
      <c r="L61" s="165">
        <v>31.01</v>
      </c>
      <c r="M61" s="165">
        <v>34.87</v>
      </c>
      <c r="N61" s="165">
        <v>751.1</v>
      </c>
      <c r="O61" s="165">
        <v>0</v>
      </c>
      <c r="P61" s="165">
        <v>0.61</v>
      </c>
      <c r="Q61" s="204" t="s">
        <v>8</v>
      </c>
      <c r="R61" s="13"/>
      <c r="S61" s="13"/>
      <c r="T61" s="213"/>
      <c r="U61" s="13"/>
    </row>
    <row r="62" customFormat="1" spans="1:21">
      <c r="A62" s="142" t="s">
        <v>780</v>
      </c>
      <c r="B62" s="165">
        <v>15.68</v>
      </c>
      <c r="C62" s="165">
        <v>40.11</v>
      </c>
      <c r="D62" s="165">
        <v>34.88</v>
      </c>
      <c r="E62" s="182" t="s">
        <v>12</v>
      </c>
      <c r="F62" s="165">
        <v>24.82</v>
      </c>
      <c r="G62" s="182" t="s">
        <v>12</v>
      </c>
      <c r="H62" s="182" t="s">
        <v>12</v>
      </c>
      <c r="I62" s="165">
        <v>14.98</v>
      </c>
      <c r="J62" s="165">
        <v>1.6</v>
      </c>
      <c r="K62" s="165">
        <v>24.1</v>
      </c>
      <c r="L62" s="165">
        <v>31.08</v>
      </c>
      <c r="M62" s="165">
        <v>34.34</v>
      </c>
      <c r="N62" s="165">
        <v>505</v>
      </c>
      <c r="O62" s="165">
        <v>0</v>
      </c>
      <c r="P62" s="165">
        <v>0.78</v>
      </c>
      <c r="Q62" s="204" t="s">
        <v>8</v>
      </c>
      <c r="R62" s="13"/>
      <c r="S62" s="13"/>
      <c r="T62" s="213"/>
      <c r="U62" s="13"/>
    </row>
    <row r="63" customFormat="1" spans="1:21">
      <c r="A63" s="142" t="s">
        <v>781</v>
      </c>
      <c r="B63" s="165">
        <v>7.99</v>
      </c>
      <c r="C63" s="165">
        <v>47.97</v>
      </c>
      <c r="D63" s="165">
        <v>32.82</v>
      </c>
      <c r="E63" s="182" t="s">
        <v>12</v>
      </c>
      <c r="F63" s="165">
        <v>20.38</v>
      </c>
      <c r="G63" s="165">
        <v>80.35</v>
      </c>
      <c r="H63" s="165">
        <v>13.83</v>
      </c>
      <c r="I63" s="165">
        <v>19.12</v>
      </c>
      <c r="J63" s="165">
        <v>1.02</v>
      </c>
      <c r="K63" s="165">
        <v>9.93</v>
      </c>
      <c r="L63" s="165">
        <v>31.33</v>
      </c>
      <c r="M63" s="165">
        <v>32.28</v>
      </c>
      <c r="N63" s="165">
        <v>631.4</v>
      </c>
      <c r="O63" s="165">
        <v>0</v>
      </c>
      <c r="P63" s="165">
        <v>0.8</v>
      </c>
      <c r="Q63" s="204" t="s">
        <v>8</v>
      </c>
      <c r="R63" s="13"/>
      <c r="S63" s="13"/>
      <c r="T63" s="213"/>
      <c r="U63" s="13"/>
    </row>
    <row r="64" customFormat="1" spans="1:21">
      <c r="A64" s="142" t="s">
        <v>782</v>
      </c>
      <c r="B64" s="165">
        <v>7.48</v>
      </c>
      <c r="C64" s="165">
        <v>44.05</v>
      </c>
      <c r="D64" s="165">
        <v>30.36</v>
      </c>
      <c r="E64" s="182" t="s">
        <v>12</v>
      </c>
      <c r="F64" s="165">
        <v>20.92</v>
      </c>
      <c r="G64" s="165">
        <v>80.35</v>
      </c>
      <c r="H64" s="165">
        <v>13.83</v>
      </c>
      <c r="I64" s="165">
        <v>24.99</v>
      </c>
      <c r="J64" s="165">
        <v>1.96</v>
      </c>
      <c r="K64" s="165">
        <v>30.76</v>
      </c>
      <c r="L64" s="165">
        <v>31.81</v>
      </c>
      <c r="M64" s="165">
        <v>30.36</v>
      </c>
      <c r="N64" s="165">
        <v>608.6</v>
      </c>
      <c r="O64" s="165">
        <v>0</v>
      </c>
      <c r="P64" s="165">
        <v>0.73</v>
      </c>
      <c r="Q64" s="165">
        <v>2.54</v>
      </c>
      <c r="R64" s="13"/>
      <c r="S64" s="13"/>
      <c r="T64" s="213"/>
      <c r="U64" s="13"/>
    </row>
    <row r="65" customFormat="1" spans="1:21">
      <c r="A65" s="142" t="s">
        <v>783</v>
      </c>
      <c r="B65" s="165">
        <v>6.16</v>
      </c>
      <c r="C65" s="165">
        <v>47.53</v>
      </c>
      <c r="D65" s="165">
        <v>31.13</v>
      </c>
      <c r="E65" s="165">
        <v>8.21</v>
      </c>
      <c r="F65" s="165">
        <v>19.64</v>
      </c>
      <c r="G65" s="165">
        <v>80.35</v>
      </c>
      <c r="H65" s="165">
        <v>13.83</v>
      </c>
      <c r="I65" s="165">
        <v>32.59</v>
      </c>
      <c r="J65" s="165">
        <v>1.92</v>
      </c>
      <c r="K65" s="165">
        <v>33.34</v>
      </c>
      <c r="L65" s="165">
        <v>31.46</v>
      </c>
      <c r="M65" s="165">
        <v>30.35</v>
      </c>
      <c r="N65" s="165">
        <v>461.5</v>
      </c>
      <c r="O65" s="165">
        <v>0</v>
      </c>
      <c r="P65" s="165">
        <v>0.59</v>
      </c>
      <c r="Q65" s="165">
        <v>4.7</v>
      </c>
      <c r="R65" s="13"/>
      <c r="S65" s="13"/>
      <c r="T65" s="213"/>
      <c r="U65" s="13"/>
    </row>
    <row r="66" customFormat="1" spans="1:21">
      <c r="A66" s="142" t="s">
        <v>784</v>
      </c>
      <c r="B66" s="165">
        <v>5.26</v>
      </c>
      <c r="C66" s="165">
        <v>48.44</v>
      </c>
      <c r="D66" s="165">
        <v>30.88</v>
      </c>
      <c r="E66" s="165">
        <v>9.89</v>
      </c>
      <c r="F66" s="165">
        <v>24.75</v>
      </c>
      <c r="G66" s="165">
        <v>80.35</v>
      </c>
      <c r="H66" s="165">
        <v>13.83</v>
      </c>
      <c r="I66" s="165">
        <v>41.5</v>
      </c>
      <c r="J66" s="165">
        <v>2.13</v>
      </c>
      <c r="K66" s="165">
        <v>36.4</v>
      </c>
      <c r="L66" s="165">
        <v>31.52</v>
      </c>
      <c r="M66" s="165">
        <v>30.47</v>
      </c>
      <c r="N66" s="165">
        <v>444.3</v>
      </c>
      <c r="O66" s="165">
        <v>0</v>
      </c>
      <c r="P66" s="165">
        <v>0.55</v>
      </c>
      <c r="Q66" s="165">
        <v>4.78</v>
      </c>
      <c r="R66" s="13"/>
      <c r="S66" s="13"/>
      <c r="T66" s="213"/>
      <c r="U66" s="13"/>
    </row>
    <row r="67" customFormat="1" spans="1:21">
      <c r="A67" s="142" t="s">
        <v>785</v>
      </c>
      <c r="B67" s="165">
        <v>4.53</v>
      </c>
      <c r="C67" s="165">
        <v>50.19</v>
      </c>
      <c r="D67" s="165">
        <v>31.2</v>
      </c>
      <c r="E67" s="165">
        <v>9.17</v>
      </c>
      <c r="F67" s="165">
        <v>16.33</v>
      </c>
      <c r="G67" s="165">
        <v>75.36</v>
      </c>
      <c r="H67" s="165">
        <v>13.24</v>
      </c>
      <c r="I67" s="165">
        <v>41.02</v>
      </c>
      <c r="J67" s="165">
        <v>2.22</v>
      </c>
      <c r="K67" s="165">
        <v>33.2</v>
      </c>
      <c r="L67" s="165">
        <v>31.28</v>
      </c>
      <c r="M67" s="165">
        <v>30.39</v>
      </c>
      <c r="N67" s="165">
        <v>391.2</v>
      </c>
      <c r="O67" s="165">
        <v>0</v>
      </c>
      <c r="P67" s="165">
        <v>0.53</v>
      </c>
      <c r="Q67" s="165">
        <v>4.78</v>
      </c>
      <c r="R67" s="13"/>
      <c r="S67" s="13"/>
      <c r="T67" s="213"/>
      <c r="U67" s="13"/>
    </row>
    <row r="68" customFormat="1" spans="1:21">
      <c r="A68" s="142" t="s">
        <v>786</v>
      </c>
      <c r="B68" s="165">
        <v>4.83</v>
      </c>
      <c r="C68" s="165">
        <v>53.97</v>
      </c>
      <c r="D68" s="165">
        <v>33.42</v>
      </c>
      <c r="E68" s="165">
        <v>8.22</v>
      </c>
      <c r="F68" s="165">
        <v>12.31</v>
      </c>
      <c r="G68" s="165">
        <v>63.06</v>
      </c>
      <c r="H68" s="165">
        <v>12.31</v>
      </c>
      <c r="I68" s="165">
        <v>32.47</v>
      </c>
      <c r="J68" s="165">
        <v>1.94</v>
      </c>
      <c r="K68" s="165">
        <v>29.06</v>
      </c>
      <c r="L68" s="165">
        <v>30.83</v>
      </c>
      <c r="M68" s="165">
        <v>31.24</v>
      </c>
      <c r="N68" s="165">
        <v>247</v>
      </c>
      <c r="O68" s="165">
        <v>0</v>
      </c>
      <c r="P68" s="165">
        <v>0.53</v>
      </c>
      <c r="Q68" s="165">
        <v>4.84</v>
      </c>
      <c r="R68" s="13"/>
      <c r="S68" s="13"/>
      <c r="T68" s="213"/>
      <c r="U68" s="13"/>
    </row>
    <row r="69" customFormat="1" spans="1:21">
      <c r="A69" s="142" t="s">
        <v>787</v>
      </c>
      <c r="B69" s="165">
        <v>5.3</v>
      </c>
      <c r="C69" s="165">
        <v>57.09</v>
      </c>
      <c r="D69" s="165">
        <v>35.43</v>
      </c>
      <c r="E69" s="165">
        <v>7.68</v>
      </c>
      <c r="F69" s="165">
        <v>11.13</v>
      </c>
      <c r="G69" s="165">
        <v>63.06</v>
      </c>
      <c r="H69" s="165">
        <v>12.31</v>
      </c>
      <c r="I69" s="165">
        <v>27.66</v>
      </c>
      <c r="J69" s="165">
        <v>2.29</v>
      </c>
      <c r="K69" s="165">
        <v>36.2</v>
      </c>
      <c r="L69" s="165">
        <v>30.26</v>
      </c>
      <c r="M69" s="165">
        <v>31.35</v>
      </c>
      <c r="N69" s="165">
        <v>201.2</v>
      </c>
      <c r="O69" s="165">
        <v>0</v>
      </c>
      <c r="P69" s="165">
        <v>0.52</v>
      </c>
      <c r="Q69" s="165">
        <v>4.91</v>
      </c>
      <c r="R69" s="13"/>
      <c r="S69" s="13"/>
      <c r="T69" s="213"/>
      <c r="U69" s="13"/>
    </row>
    <row r="70" customFormat="1" spans="1:21">
      <c r="A70" s="142" t="s">
        <v>788</v>
      </c>
      <c r="B70" s="165">
        <v>5.86</v>
      </c>
      <c r="C70" s="165">
        <v>59.04</v>
      </c>
      <c r="D70" s="165">
        <v>36.9</v>
      </c>
      <c r="E70" s="165">
        <v>7.93</v>
      </c>
      <c r="F70" s="165">
        <v>11.66</v>
      </c>
      <c r="G70" s="165">
        <v>63.06</v>
      </c>
      <c r="H70" s="165">
        <v>12.31</v>
      </c>
      <c r="I70" s="165">
        <v>26.09</v>
      </c>
      <c r="J70" s="165">
        <v>2.09</v>
      </c>
      <c r="K70" s="165">
        <v>36.34</v>
      </c>
      <c r="L70" s="165">
        <v>30.28</v>
      </c>
      <c r="M70" s="165">
        <v>30.88</v>
      </c>
      <c r="N70" s="165">
        <v>331.6</v>
      </c>
      <c r="O70" s="165">
        <v>0</v>
      </c>
      <c r="P70" s="165">
        <v>0.5</v>
      </c>
      <c r="Q70" s="165">
        <v>4.99</v>
      </c>
      <c r="R70" s="13"/>
      <c r="S70" s="13"/>
      <c r="T70" s="213"/>
      <c r="U70" s="13"/>
    </row>
    <row r="71" customFormat="1" spans="1:21">
      <c r="A71" s="142" t="s">
        <v>789</v>
      </c>
      <c r="B71" s="165">
        <v>6.16</v>
      </c>
      <c r="C71" s="165">
        <v>59.8</v>
      </c>
      <c r="D71" s="165">
        <v>37.53</v>
      </c>
      <c r="E71" s="165">
        <v>9.13</v>
      </c>
      <c r="F71" s="165">
        <v>11.68</v>
      </c>
      <c r="G71" s="165">
        <v>61.9</v>
      </c>
      <c r="H71" s="165">
        <v>13.15</v>
      </c>
      <c r="I71" s="165">
        <v>24.61</v>
      </c>
      <c r="J71" s="165">
        <v>2.25</v>
      </c>
      <c r="K71" s="165">
        <v>38.64</v>
      </c>
      <c r="L71" s="165">
        <v>30.59</v>
      </c>
      <c r="M71" s="165">
        <v>29.91</v>
      </c>
      <c r="N71" s="165">
        <v>339</v>
      </c>
      <c r="O71" s="165">
        <v>0</v>
      </c>
      <c r="P71" s="165">
        <v>0.49</v>
      </c>
      <c r="Q71" s="165">
        <v>5.06</v>
      </c>
      <c r="R71" s="13"/>
      <c r="S71" s="13"/>
      <c r="T71" s="213"/>
      <c r="U71" s="13"/>
    </row>
    <row r="72" customFormat="1" spans="1:21">
      <c r="A72" s="142" t="s">
        <v>790</v>
      </c>
      <c r="B72" s="165">
        <v>6.51</v>
      </c>
      <c r="C72" s="165">
        <v>61.23</v>
      </c>
      <c r="D72" s="165">
        <v>38.57</v>
      </c>
      <c r="E72" s="165">
        <v>9.21</v>
      </c>
      <c r="F72" s="165">
        <v>11.34</v>
      </c>
      <c r="G72" s="165">
        <v>59.03</v>
      </c>
      <c r="H72" s="165">
        <v>14.49</v>
      </c>
      <c r="I72" s="165">
        <v>22.84</v>
      </c>
      <c r="J72" s="165">
        <v>2.31</v>
      </c>
      <c r="K72" s="165">
        <v>36.79</v>
      </c>
      <c r="L72" s="165">
        <v>30.22</v>
      </c>
      <c r="M72" s="165">
        <v>30.26</v>
      </c>
      <c r="N72" s="165">
        <v>189.6</v>
      </c>
      <c r="O72" s="165">
        <v>0</v>
      </c>
      <c r="P72" s="165">
        <v>0.5</v>
      </c>
      <c r="Q72" s="165">
        <v>5.1</v>
      </c>
      <c r="R72" s="13"/>
      <c r="S72" s="13"/>
      <c r="T72" s="213"/>
      <c r="U72" s="13"/>
    </row>
    <row r="73" customFormat="1" spans="1:21">
      <c r="A73" s="142" t="s">
        <v>791</v>
      </c>
      <c r="B73" s="165">
        <v>6.46</v>
      </c>
      <c r="C73" s="165">
        <v>60.58</v>
      </c>
      <c r="D73" s="165">
        <v>38.18</v>
      </c>
      <c r="E73" s="165">
        <v>8.62</v>
      </c>
      <c r="F73" s="165">
        <v>9.32</v>
      </c>
      <c r="G73" s="165">
        <v>59.03</v>
      </c>
      <c r="H73" s="165">
        <v>14.49</v>
      </c>
      <c r="I73" s="165">
        <v>21.54</v>
      </c>
      <c r="J73" s="165">
        <v>2.2</v>
      </c>
      <c r="K73" s="165">
        <v>36.8</v>
      </c>
      <c r="L73" s="165">
        <v>29.81</v>
      </c>
      <c r="M73" s="165">
        <v>31.62</v>
      </c>
      <c r="N73" s="165">
        <v>109.5</v>
      </c>
      <c r="O73" s="165">
        <v>0</v>
      </c>
      <c r="P73" s="165">
        <v>0.49</v>
      </c>
      <c r="Q73" s="165">
        <v>5.16</v>
      </c>
      <c r="R73" s="13"/>
      <c r="S73" s="13"/>
      <c r="T73" s="213"/>
      <c r="U73" s="13"/>
    </row>
    <row r="74" customFormat="1" spans="1:21">
      <c r="A74" s="142" t="s">
        <v>792</v>
      </c>
      <c r="B74" s="165">
        <v>6.58</v>
      </c>
      <c r="C74" s="165">
        <v>62.59</v>
      </c>
      <c r="D74" s="165">
        <v>39.33</v>
      </c>
      <c r="E74" s="165">
        <v>8.76</v>
      </c>
      <c r="F74" s="165">
        <v>9.58</v>
      </c>
      <c r="G74" s="165">
        <v>59.03</v>
      </c>
      <c r="H74" s="165">
        <v>14.49</v>
      </c>
      <c r="I74" s="165">
        <v>20.56</v>
      </c>
      <c r="J74" s="165">
        <v>1.9</v>
      </c>
      <c r="K74" s="165">
        <v>45.95</v>
      </c>
      <c r="L74" s="165">
        <v>29.64</v>
      </c>
      <c r="M74" s="165">
        <v>32.69</v>
      </c>
      <c r="N74" s="165">
        <v>163.1</v>
      </c>
      <c r="O74" s="165">
        <v>0</v>
      </c>
      <c r="P74" s="165">
        <v>0.48</v>
      </c>
      <c r="Q74" s="165">
        <v>5.18</v>
      </c>
      <c r="R74" s="13"/>
      <c r="S74" s="13"/>
      <c r="T74" s="213"/>
      <c r="U74" s="13"/>
    </row>
    <row r="75" customFormat="1" spans="1:21">
      <c r="A75" s="142" t="s">
        <v>793</v>
      </c>
      <c r="B75" s="165">
        <v>6.76</v>
      </c>
      <c r="C75" s="165">
        <v>63.68</v>
      </c>
      <c r="D75" s="165">
        <v>40.04</v>
      </c>
      <c r="E75" s="165">
        <v>9.02</v>
      </c>
      <c r="F75" s="165">
        <v>8.8</v>
      </c>
      <c r="G75" s="165">
        <v>58.91</v>
      </c>
      <c r="H75" s="165">
        <v>15.14</v>
      </c>
      <c r="I75" s="165">
        <v>19.73</v>
      </c>
      <c r="J75" s="165">
        <v>2.08</v>
      </c>
      <c r="K75" s="165">
        <v>54.68</v>
      </c>
      <c r="L75" s="165">
        <v>30.07</v>
      </c>
      <c r="M75" s="165">
        <v>31.74</v>
      </c>
      <c r="N75" s="165">
        <v>233.7</v>
      </c>
      <c r="O75" s="165">
        <v>0</v>
      </c>
      <c r="P75" s="165">
        <v>0.48</v>
      </c>
      <c r="Q75" s="165">
        <v>5.21</v>
      </c>
      <c r="R75" s="13"/>
      <c r="S75" s="13"/>
      <c r="T75" s="213"/>
      <c r="U75" s="13"/>
    </row>
    <row r="76" customFormat="1" spans="1:21">
      <c r="A76" s="142" t="s">
        <v>794</v>
      </c>
      <c r="B76" s="165">
        <v>7.17</v>
      </c>
      <c r="C76" s="165">
        <v>62.86</v>
      </c>
      <c r="D76" s="165">
        <v>39.94</v>
      </c>
      <c r="E76" s="165">
        <v>8.05</v>
      </c>
      <c r="F76" s="165">
        <v>8.68</v>
      </c>
      <c r="G76" s="165">
        <v>58.61</v>
      </c>
      <c r="H76" s="165">
        <v>16.21</v>
      </c>
      <c r="I76" s="165">
        <v>18.99</v>
      </c>
      <c r="J76" s="165">
        <v>2.09</v>
      </c>
      <c r="K76" s="165">
        <v>60.37</v>
      </c>
      <c r="L76" s="165">
        <v>29.58</v>
      </c>
      <c r="M76" s="165">
        <v>32.22</v>
      </c>
      <c r="N76" s="165">
        <v>88.9</v>
      </c>
      <c r="O76" s="165">
        <v>0</v>
      </c>
      <c r="P76" s="165">
        <v>0.48</v>
      </c>
      <c r="Q76" s="165">
        <v>5.2</v>
      </c>
      <c r="R76" s="13"/>
      <c r="S76" s="13"/>
      <c r="T76" s="213"/>
      <c r="U76" s="13"/>
    </row>
    <row r="77" customFormat="1" spans="1:21">
      <c r="A77" s="142" t="s">
        <v>795</v>
      </c>
      <c r="B77" s="165">
        <v>7.44</v>
      </c>
      <c r="C77" s="165">
        <v>62.49</v>
      </c>
      <c r="D77" s="165">
        <v>39.97</v>
      </c>
      <c r="E77" s="165">
        <v>8.55</v>
      </c>
      <c r="F77" s="165">
        <v>8.81</v>
      </c>
      <c r="G77" s="165">
        <v>58.61</v>
      </c>
      <c r="H77" s="165">
        <v>16.21</v>
      </c>
      <c r="I77" s="165">
        <v>17.99</v>
      </c>
      <c r="J77" s="165">
        <v>1.32</v>
      </c>
      <c r="K77" s="165">
        <v>65.91</v>
      </c>
      <c r="L77" s="165">
        <v>29.18</v>
      </c>
      <c r="M77" s="165">
        <v>33.34</v>
      </c>
      <c r="N77" s="165">
        <v>36.9</v>
      </c>
      <c r="O77" s="165">
        <v>0</v>
      </c>
      <c r="P77" s="165">
        <v>0.45</v>
      </c>
      <c r="Q77" s="165">
        <v>5.08</v>
      </c>
      <c r="R77" s="13"/>
      <c r="S77" s="13"/>
      <c r="T77" s="213"/>
      <c r="U77" s="13"/>
    </row>
    <row r="78" customFormat="1" spans="1:21">
      <c r="A78" s="142" t="s">
        <v>796</v>
      </c>
      <c r="B78" s="165">
        <v>7.88</v>
      </c>
      <c r="C78" s="165">
        <v>62.95</v>
      </c>
      <c r="D78" s="165">
        <v>40.56</v>
      </c>
      <c r="E78" s="165">
        <v>8.61</v>
      </c>
      <c r="F78" s="165">
        <v>8.77</v>
      </c>
      <c r="G78" s="165">
        <v>58.61</v>
      </c>
      <c r="H78" s="165">
        <v>16.21</v>
      </c>
      <c r="I78" s="165">
        <v>17.11</v>
      </c>
      <c r="J78" s="165">
        <v>1.35</v>
      </c>
      <c r="K78" s="165">
        <v>65.8</v>
      </c>
      <c r="L78" s="165">
        <v>29.06</v>
      </c>
      <c r="M78" s="165">
        <v>33.73</v>
      </c>
      <c r="N78" s="165">
        <v>63.6</v>
      </c>
      <c r="O78" s="165">
        <v>0</v>
      </c>
      <c r="P78" s="165">
        <v>0.45</v>
      </c>
      <c r="Q78" s="165">
        <v>5.03</v>
      </c>
      <c r="R78" s="13"/>
      <c r="S78" s="13"/>
      <c r="T78" s="213"/>
      <c r="U78" s="13"/>
    </row>
    <row r="79" customFormat="1" spans="1:21">
      <c r="A79" s="142" t="s">
        <v>797</v>
      </c>
      <c r="B79" s="165">
        <v>7.96</v>
      </c>
      <c r="C79" s="165">
        <v>63.41</v>
      </c>
      <c r="D79" s="165">
        <v>40.87</v>
      </c>
      <c r="E79" s="165">
        <v>9.83</v>
      </c>
      <c r="F79" s="165">
        <v>11.02</v>
      </c>
      <c r="G79" s="165">
        <v>57.67</v>
      </c>
      <c r="H79" s="165">
        <v>16.08</v>
      </c>
      <c r="I79" s="165">
        <v>16.33</v>
      </c>
      <c r="J79" s="165">
        <v>0.64</v>
      </c>
      <c r="K79" s="165">
        <v>75.82</v>
      </c>
      <c r="L79" s="165">
        <v>28.98</v>
      </c>
      <c r="M79" s="165">
        <v>34.25</v>
      </c>
      <c r="N79" s="165">
        <v>31.8</v>
      </c>
      <c r="O79" s="165">
        <v>0</v>
      </c>
      <c r="P79" s="165">
        <v>0.45</v>
      </c>
      <c r="Q79" s="165">
        <v>5.05</v>
      </c>
      <c r="R79" s="13"/>
      <c r="S79" s="13"/>
      <c r="T79" s="213"/>
      <c r="U79" s="13"/>
    </row>
    <row r="80" customFormat="1" spans="1:21">
      <c r="A80" s="142" t="s">
        <v>798</v>
      </c>
      <c r="B80" s="165">
        <v>8.03</v>
      </c>
      <c r="C80" s="165">
        <v>63.52</v>
      </c>
      <c r="D80" s="165">
        <v>40.98</v>
      </c>
      <c r="E80" s="165">
        <v>9.48</v>
      </c>
      <c r="F80" s="165">
        <v>9.36</v>
      </c>
      <c r="G80" s="165">
        <v>55.37</v>
      </c>
      <c r="H80" s="165">
        <v>15.89</v>
      </c>
      <c r="I80" s="165">
        <v>15.67</v>
      </c>
      <c r="J80" s="165">
        <v>1.06</v>
      </c>
      <c r="K80" s="165">
        <v>65.64</v>
      </c>
      <c r="L80" s="165">
        <v>28.73</v>
      </c>
      <c r="M80" s="165">
        <v>33.89</v>
      </c>
      <c r="N80" s="165">
        <v>11.4</v>
      </c>
      <c r="O80" s="165">
        <v>0</v>
      </c>
      <c r="P80" s="165">
        <v>0.44</v>
      </c>
      <c r="Q80" s="165">
        <v>5.06</v>
      </c>
      <c r="R80" s="13"/>
      <c r="S80" s="13"/>
      <c r="T80" s="213"/>
      <c r="U80" s="13"/>
    </row>
    <row r="81" customFormat="1" spans="1:21">
      <c r="A81" s="142" t="s">
        <v>799</v>
      </c>
      <c r="B81" s="165">
        <v>8.4</v>
      </c>
      <c r="C81" s="165">
        <v>64.6</v>
      </c>
      <c r="D81" s="165">
        <v>41.84</v>
      </c>
      <c r="E81" s="165">
        <v>8.52</v>
      </c>
      <c r="F81" s="165">
        <v>9.57</v>
      </c>
      <c r="G81" s="165">
        <v>55.37</v>
      </c>
      <c r="H81" s="165">
        <v>15.89</v>
      </c>
      <c r="I81" s="165">
        <v>14.77</v>
      </c>
      <c r="J81" s="165">
        <v>0.65</v>
      </c>
      <c r="K81" s="165">
        <v>71.77</v>
      </c>
      <c r="L81" s="165">
        <v>28.56</v>
      </c>
      <c r="M81" s="165">
        <v>33.72</v>
      </c>
      <c r="N81" s="165">
        <v>0.6</v>
      </c>
      <c r="O81" s="165">
        <v>0</v>
      </c>
      <c r="P81" s="165">
        <v>0.44</v>
      </c>
      <c r="Q81" s="165">
        <v>5.07</v>
      </c>
      <c r="R81" s="13"/>
      <c r="S81" s="13"/>
      <c r="T81" s="213"/>
      <c r="U81" s="13"/>
    </row>
    <row r="82" customFormat="1" spans="1:21">
      <c r="A82" s="142" t="s">
        <v>800</v>
      </c>
      <c r="B82" s="165">
        <v>8.99</v>
      </c>
      <c r="C82" s="165">
        <v>65.29</v>
      </c>
      <c r="D82" s="165">
        <v>42.67</v>
      </c>
      <c r="E82" s="165">
        <v>10.21</v>
      </c>
      <c r="F82" s="165">
        <v>8.45</v>
      </c>
      <c r="G82" s="165">
        <v>55.37</v>
      </c>
      <c r="H82" s="165">
        <v>15.89</v>
      </c>
      <c r="I82" s="165">
        <v>14.19</v>
      </c>
      <c r="J82" s="165">
        <v>0.91</v>
      </c>
      <c r="K82" s="165">
        <v>64.63</v>
      </c>
      <c r="L82" s="165">
        <v>28.22</v>
      </c>
      <c r="M82" s="165">
        <v>34.04</v>
      </c>
      <c r="N82" s="165">
        <v>0</v>
      </c>
      <c r="O82" s="165">
        <v>0</v>
      </c>
      <c r="P82" s="165">
        <v>0.45</v>
      </c>
      <c r="Q82" s="165">
        <v>5.11</v>
      </c>
      <c r="R82" s="13"/>
      <c r="S82" s="13"/>
      <c r="T82" s="213"/>
      <c r="U82" s="13"/>
    </row>
    <row r="83" customFormat="1" spans="1:21">
      <c r="A83" s="142" t="s">
        <v>801</v>
      </c>
      <c r="B83" s="165">
        <v>12.14</v>
      </c>
      <c r="C83" s="165">
        <v>67.34</v>
      </c>
      <c r="D83" s="165">
        <v>46.27</v>
      </c>
      <c r="E83" s="165">
        <v>11.79</v>
      </c>
      <c r="F83" s="165">
        <v>7.65</v>
      </c>
      <c r="G83" s="165">
        <v>55.81</v>
      </c>
      <c r="H83" s="165">
        <v>15.94</v>
      </c>
      <c r="I83" s="165">
        <v>13.87</v>
      </c>
      <c r="J83" s="165">
        <v>0.53</v>
      </c>
      <c r="K83" s="165">
        <v>37.1</v>
      </c>
      <c r="L83" s="165">
        <v>27.82</v>
      </c>
      <c r="M83" s="165">
        <v>35.39</v>
      </c>
      <c r="N83" s="165">
        <v>0</v>
      </c>
      <c r="O83" s="165">
        <v>0</v>
      </c>
      <c r="P83" s="165">
        <v>0.48</v>
      </c>
      <c r="Q83" s="165">
        <v>5.21</v>
      </c>
      <c r="R83" s="13"/>
      <c r="S83" s="13"/>
      <c r="T83" s="213"/>
      <c r="U83" s="13"/>
    </row>
    <row r="84" customFormat="1" spans="1:21">
      <c r="A84" s="142" t="s">
        <v>802</v>
      </c>
      <c r="B84" s="165">
        <v>14.07</v>
      </c>
      <c r="C84" s="165">
        <v>66.7</v>
      </c>
      <c r="D84" s="165">
        <v>47.48</v>
      </c>
      <c r="E84" s="165">
        <v>12.26</v>
      </c>
      <c r="F84" s="165">
        <v>6.85</v>
      </c>
      <c r="G84" s="165">
        <v>56.87</v>
      </c>
      <c r="H84" s="165">
        <v>16.13</v>
      </c>
      <c r="I84" s="165">
        <v>13.32</v>
      </c>
      <c r="J84" s="165">
        <v>0.36</v>
      </c>
      <c r="K84" s="165">
        <v>43.39</v>
      </c>
      <c r="L84" s="165">
        <v>27.54</v>
      </c>
      <c r="M84" s="165">
        <v>36.58</v>
      </c>
      <c r="N84" s="165">
        <v>0</v>
      </c>
      <c r="O84" s="165">
        <v>0</v>
      </c>
      <c r="P84" s="165">
        <v>0.52</v>
      </c>
      <c r="Q84" s="165">
        <v>5.33</v>
      </c>
      <c r="R84" s="13"/>
      <c r="S84" s="13"/>
      <c r="T84" s="213"/>
      <c r="U84" s="13"/>
    </row>
    <row r="85" customFormat="1" spans="1:21">
      <c r="A85" s="142" t="s">
        <v>803</v>
      </c>
      <c r="B85" s="165">
        <v>14.67</v>
      </c>
      <c r="C85" s="165">
        <v>67.77</v>
      </c>
      <c r="D85" s="165">
        <v>48.52</v>
      </c>
      <c r="E85" s="165">
        <v>10.37</v>
      </c>
      <c r="F85" s="165">
        <v>5.36</v>
      </c>
      <c r="G85" s="165">
        <v>56.87</v>
      </c>
      <c r="H85" s="165">
        <v>16.13</v>
      </c>
      <c r="I85" s="165">
        <v>12.78</v>
      </c>
      <c r="J85" s="165">
        <v>0.32</v>
      </c>
      <c r="K85" s="165">
        <v>57.98</v>
      </c>
      <c r="L85" s="165">
        <v>27.37</v>
      </c>
      <c r="M85" s="165">
        <v>38.31</v>
      </c>
      <c r="N85" s="165">
        <v>0</v>
      </c>
      <c r="O85" s="165">
        <v>0</v>
      </c>
      <c r="P85" s="165">
        <v>0.54</v>
      </c>
      <c r="Q85" s="165">
        <v>5.48</v>
      </c>
      <c r="R85" s="13"/>
      <c r="S85" s="13"/>
      <c r="T85" s="213"/>
      <c r="U85" s="13"/>
    </row>
    <row r="86" customFormat="1" spans="1:21">
      <c r="A86" s="142" t="s">
        <v>804</v>
      </c>
      <c r="B86" s="165">
        <v>15.63</v>
      </c>
      <c r="C86" s="165">
        <v>67.45</v>
      </c>
      <c r="D86" s="165">
        <v>49.13</v>
      </c>
      <c r="E86" s="165">
        <v>9.44</v>
      </c>
      <c r="F86" s="165">
        <v>4.74</v>
      </c>
      <c r="G86" s="165">
        <v>56.87</v>
      </c>
      <c r="H86" s="165">
        <v>16.13</v>
      </c>
      <c r="I86" s="165">
        <v>12.59</v>
      </c>
      <c r="J86" s="165">
        <v>0.19</v>
      </c>
      <c r="K86" s="165">
        <v>134.76</v>
      </c>
      <c r="L86" s="165">
        <v>26.79</v>
      </c>
      <c r="M86" s="165">
        <v>41.5</v>
      </c>
      <c r="N86" s="165">
        <v>0</v>
      </c>
      <c r="O86" s="165">
        <v>0</v>
      </c>
      <c r="P86" s="165">
        <v>0.52</v>
      </c>
      <c r="Q86" s="165">
        <v>5.59</v>
      </c>
      <c r="R86" s="13"/>
      <c r="S86" s="13"/>
      <c r="T86" s="213"/>
      <c r="U86" s="13"/>
    </row>
    <row r="87" customFormat="1" spans="1:21">
      <c r="A87" s="142" t="s">
        <v>805</v>
      </c>
      <c r="B87" s="165">
        <v>14.79</v>
      </c>
      <c r="C87" s="165">
        <v>66.03</v>
      </c>
      <c r="D87" s="165">
        <v>47.71</v>
      </c>
      <c r="E87" s="165">
        <v>9.84</v>
      </c>
      <c r="F87" s="165">
        <v>5.41</v>
      </c>
      <c r="G87" s="165">
        <v>59.93</v>
      </c>
      <c r="H87" s="165">
        <v>17.02</v>
      </c>
      <c r="I87" s="165">
        <v>12.66</v>
      </c>
      <c r="J87" s="165">
        <v>0.24</v>
      </c>
      <c r="K87" s="165">
        <v>167.39</v>
      </c>
      <c r="L87" s="165">
        <v>26.18</v>
      </c>
      <c r="M87" s="165">
        <v>46.17</v>
      </c>
      <c r="N87" s="165">
        <v>0</v>
      </c>
      <c r="O87" s="165">
        <v>0</v>
      </c>
      <c r="P87" s="165">
        <v>0.52</v>
      </c>
      <c r="Q87" s="165">
        <v>5.64</v>
      </c>
      <c r="R87" s="13"/>
      <c r="S87" s="13"/>
      <c r="T87" s="213"/>
      <c r="U87" s="13"/>
    </row>
    <row r="88" customFormat="1" spans="1:21">
      <c r="A88" s="142" t="s">
        <v>806</v>
      </c>
      <c r="B88" s="165">
        <v>15.72</v>
      </c>
      <c r="C88" s="165">
        <v>66.8</v>
      </c>
      <c r="D88" s="165">
        <v>48.86</v>
      </c>
      <c r="E88" s="165">
        <v>9.2</v>
      </c>
      <c r="F88" s="165">
        <v>4.87</v>
      </c>
      <c r="G88" s="165">
        <v>67.47</v>
      </c>
      <c r="H88" s="165">
        <v>18.43</v>
      </c>
      <c r="I88" s="165">
        <v>12.57</v>
      </c>
      <c r="J88" s="165">
        <v>0.25</v>
      </c>
      <c r="K88" s="165">
        <v>168.17</v>
      </c>
      <c r="L88" s="165">
        <v>25.81</v>
      </c>
      <c r="M88" s="165">
        <v>45.76</v>
      </c>
      <c r="N88" s="165">
        <v>0</v>
      </c>
      <c r="O88" s="165">
        <v>0</v>
      </c>
      <c r="P88" s="165">
        <v>0.54</v>
      </c>
      <c r="Q88" s="165">
        <v>5.61</v>
      </c>
      <c r="R88" s="13"/>
      <c r="S88" s="13"/>
      <c r="T88" s="213"/>
      <c r="U88" s="13"/>
    </row>
    <row r="89" customFormat="1" spans="1:21">
      <c r="A89" s="142" t="s">
        <v>807</v>
      </c>
      <c r="B89" s="165">
        <v>16.65</v>
      </c>
      <c r="C89" s="165">
        <v>67.15</v>
      </c>
      <c r="D89" s="165">
        <v>49.79</v>
      </c>
      <c r="E89" s="165">
        <v>8.46</v>
      </c>
      <c r="F89" s="165">
        <v>4.49</v>
      </c>
      <c r="G89" s="165">
        <v>67.47</v>
      </c>
      <c r="H89" s="165">
        <v>18.43</v>
      </c>
      <c r="I89" s="165">
        <v>12.31</v>
      </c>
      <c r="J89" s="165">
        <v>0.17</v>
      </c>
      <c r="K89" s="165">
        <v>163.58</v>
      </c>
      <c r="L89" s="165">
        <v>25.31</v>
      </c>
      <c r="M89" s="165">
        <v>47.11</v>
      </c>
      <c r="N89" s="165">
        <v>0</v>
      </c>
      <c r="O89" s="165">
        <v>0</v>
      </c>
      <c r="P89" s="165">
        <v>0.54</v>
      </c>
      <c r="Q89" s="165">
        <v>5.64</v>
      </c>
      <c r="R89" s="13"/>
      <c r="S89" s="13"/>
      <c r="T89" s="213"/>
      <c r="U89" s="13"/>
    </row>
    <row r="90" customFormat="1" spans="1:21">
      <c r="A90" s="142" t="s">
        <v>808</v>
      </c>
      <c r="B90" s="165">
        <v>17.32</v>
      </c>
      <c r="C90" s="165">
        <v>67.14</v>
      </c>
      <c r="D90" s="165">
        <v>50.32</v>
      </c>
      <c r="E90" s="165">
        <v>8.57</v>
      </c>
      <c r="F90" s="165">
        <v>4.27</v>
      </c>
      <c r="G90" s="165">
        <v>67.47</v>
      </c>
      <c r="H90" s="165">
        <v>18.43</v>
      </c>
      <c r="I90" s="165">
        <v>12.2</v>
      </c>
      <c r="J90" s="165">
        <v>0.13</v>
      </c>
      <c r="K90" s="165">
        <v>184.54</v>
      </c>
      <c r="L90" s="165">
        <v>25.21</v>
      </c>
      <c r="M90" s="165">
        <v>47.28</v>
      </c>
      <c r="N90" s="165">
        <v>0</v>
      </c>
      <c r="O90" s="165">
        <v>0</v>
      </c>
      <c r="P90" s="165">
        <v>0.54</v>
      </c>
      <c r="Q90" s="165">
        <v>5.67</v>
      </c>
      <c r="R90" s="13"/>
      <c r="S90" s="13"/>
      <c r="T90" s="213"/>
      <c r="U90" s="13"/>
    </row>
    <row r="91" customFormat="1" spans="1:21">
      <c r="A91" s="142" t="s">
        <v>809</v>
      </c>
      <c r="B91" s="165">
        <v>24.32</v>
      </c>
      <c r="C91" s="165">
        <v>68.73</v>
      </c>
      <c r="D91" s="165">
        <v>56.76</v>
      </c>
      <c r="E91" s="165">
        <v>8.58</v>
      </c>
      <c r="F91" s="165">
        <v>3.91</v>
      </c>
      <c r="G91" s="165">
        <v>69.94</v>
      </c>
      <c r="H91" s="165">
        <v>19.52</v>
      </c>
      <c r="I91" s="165">
        <v>12.09</v>
      </c>
      <c r="J91" s="165">
        <v>0.12</v>
      </c>
      <c r="K91" s="165">
        <v>84.34</v>
      </c>
      <c r="L91" s="165">
        <v>25.17</v>
      </c>
      <c r="M91" s="165">
        <v>47.78</v>
      </c>
      <c r="N91" s="165">
        <v>0</v>
      </c>
      <c r="O91" s="165">
        <v>0</v>
      </c>
      <c r="P91" s="165">
        <v>0.59</v>
      </c>
      <c r="Q91" s="165">
        <v>5.77</v>
      </c>
      <c r="R91" s="13"/>
      <c r="S91" s="13"/>
      <c r="T91" s="213"/>
      <c r="U91" s="13"/>
    </row>
    <row r="92" customFormat="1" spans="1:21">
      <c r="A92" s="142" t="s">
        <v>810</v>
      </c>
      <c r="B92" s="165">
        <v>26.7</v>
      </c>
      <c r="C92" s="165">
        <v>68.51</v>
      </c>
      <c r="D92" s="165">
        <v>58.56</v>
      </c>
      <c r="E92" s="165">
        <v>8.65</v>
      </c>
      <c r="F92" s="165">
        <v>4.1</v>
      </c>
      <c r="G92" s="165">
        <v>75.71</v>
      </c>
      <c r="H92" s="165">
        <v>21.3</v>
      </c>
      <c r="I92" s="165">
        <v>11.87</v>
      </c>
      <c r="J92" s="165">
        <v>0.55</v>
      </c>
      <c r="K92" s="165">
        <v>42.97</v>
      </c>
      <c r="L92" s="165">
        <v>25.49</v>
      </c>
      <c r="M92" s="165">
        <v>46.56</v>
      </c>
      <c r="N92" s="165">
        <v>0</v>
      </c>
      <c r="O92" s="165">
        <v>0</v>
      </c>
      <c r="P92" s="165">
        <v>0.61</v>
      </c>
      <c r="Q92" s="165">
        <v>5.99</v>
      </c>
      <c r="R92" s="13"/>
      <c r="S92" s="13"/>
      <c r="T92" s="213"/>
      <c r="U92" s="13"/>
    </row>
    <row r="93" customFormat="1" spans="1:21">
      <c r="A93" s="142" t="s">
        <v>811</v>
      </c>
      <c r="B93" s="165">
        <v>29.23</v>
      </c>
      <c r="C93" s="165">
        <v>69.28</v>
      </c>
      <c r="D93" s="165">
        <v>60.99</v>
      </c>
      <c r="E93" s="165">
        <v>8.76</v>
      </c>
      <c r="F93" s="165">
        <v>4.07</v>
      </c>
      <c r="G93" s="165">
        <v>75.71</v>
      </c>
      <c r="H93" s="165">
        <v>21.3</v>
      </c>
      <c r="I93" s="165">
        <v>11.75</v>
      </c>
      <c r="J93" s="165">
        <v>0.46</v>
      </c>
      <c r="K93" s="165">
        <v>54.01</v>
      </c>
      <c r="L93" s="165">
        <v>25.64</v>
      </c>
      <c r="M93" s="165">
        <v>46.88</v>
      </c>
      <c r="N93" s="165">
        <v>0</v>
      </c>
      <c r="O93" s="165">
        <v>0</v>
      </c>
      <c r="P93" s="165">
        <v>0.64</v>
      </c>
      <c r="Q93" s="165">
        <v>6.18</v>
      </c>
      <c r="R93" s="13"/>
      <c r="S93" s="13"/>
      <c r="T93" s="213"/>
      <c r="U93" s="13"/>
    </row>
    <row r="94" customFormat="1" spans="1:21">
      <c r="A94" s="142" t="s">
        <v>812</v>
      </c>
      <c r="B94" s="165">
        <v>30.32</v>
      </c>
      <c r="C94" s="165">
        <v>69.38</v>
      </c>
      <c r="D94" s="165">
        <v>61.91</v>
      </c>
      <c r="E94" s="165">
        <v>8.6</v>
      </c>
      <c r="F94" s="165">
        <v>3.99</v>
      </c>
      <c r="G94" s="165">
        <v>75.71</v>
      </c>
      <c r="H94" s="165">
        <v>21.3</v>
      </c>
      <c r="I94" s="165">
        <v>11.64</v>
      </c>
      <c r="J94" s="165">
        <v>0.59</v>
      </c>
      <c r="K94" s="165">
        <v>38.86</v>
      </c>
      <c r="L94" s="165">
        <v>25.5</v>
      </c>
      <c r="M94" s="165">
        <v>48.54</v>
      </c>
      <c r="N94" s="165">
        <v>0</v>
      </c>
      <c r="O94" s="165">
        <v>0</v>
      </c>
      <c r="P94" s="165">
        <v>0.65</v>
      </c>
      <c r="Q94" s="165">
        <v>6.36</v>
      </c>
      <c r="R94" s="13"/>
      <c r="S94" s="13"/>
      <c r="T94" s="213"/>
      <c r="U94" s="13"/>
    </row>
    <row r="95" customFormat="1" spans="1:21">
      <c r="A95" s="142" t="s">
        <v>813</v>
      </c>
      <c r="B95" s="165">
        <v>29.68</v>
      </c>
      <c r="C95" s="165">
        <v>69.97</v>
      </c>
      <c r="D95" s="165">
        <v>61.71</v>
      </c>
      <c r="E95" s="165">
        <v>8.18</v>
      </c>
      <c r="F95" s="165">
        <v>3.94</v>
      </c>
      <c r="G95" s="165">
        <v>80.68</v>
      </c>
      <c r="H95" s="165">
        <v>22.69</v>
      </c>
      <c r="I95" s="165">
        <v>11.44</v>
      </c>
      <c r="J95" s="165">
        <v>0.48</v>
      </c>
      <c r="K95" s="165">
        <v>62.06</v>
      </c>
      <c r="L95" s="165">
        <v>25.39</v>
      </c>
      <c r="M95" s="165">
        <v>49.99</v>
      </c>
      <c r="N95" s="165">
        <v>0</v>
      </c>
      <c r="O95" s="165">
        <v>0</v>
      </c>
      <c r="P95" s="165">
        <v>0.66</v>
      </c>
      <c r="Q95" s="165">
        <v>6.5</v>
      </c>
      <c r="R95" s="13"/>
      <c r="S95" s="13"/>
      <c r="T95" s="213"/>
      <c r="U95" s="13"/>
    </row>
    <row r="96" customFormat="1" spans="1:26">
      <c r="A96" s="142" t="s">
        <v>814</v>
      </c>
      <c r="B96" s="165">
        <v>30.52</v>
      </c>
      <c r="C96" s="165">
        <v>71.18</v>
      </c>
      <c r="D96" s="165">
        <v>63.01</v>
      </c>
      <c r="E96" s="165">
        <v>8.77</v>
      </c>
      <c r="F96" s="165">
        <v>3.8</v>
      </c>
      <c r="G96" s="165">
        <v>92.92</v>
      </c>
      <c r="H96" s="165">
        <v>24.87</v>
      </c>
      <c r="I96" s="165">
        <v>11.33</v>
      </c>
      <c r="J96" s="165">
        <v>0.33</v>
      </c>
      <c r="K96" s="165">
        <v>58.2</v>
      </c>
      <c r="L96" s="165">
        <v>25.44</v>
      </c>
      <c r="M96" s="165">
        <v>51.11</v>
      </c>
      <c r="N96" s="165">
        <v>0</v>
      </c>
      <c r="O96" s="165">
        <v>0</v>
      </c>
      <c r="P96" s="165">
        <v>0.69</v>
      </c>
      <c r="Q96" s="165">
        <v>6.67</v>
      </c>
      <c r="R96" s="13"/>
      <c r="S96" s="13"/>
      <c r="T96" s="213"/>
      <c r="U96" s="13"/>
      <c r="Z96" s="222"/>
    </row>
    <row r="97" customFormat="1" spans="1:21">
      <c r="A97" s="142" t="s">
        <v>815</v>
      </c>
      <c r="B97" s="165">
        <v>31.35</v>
      </c>
      <c r="C97" s="165">
        <v>71.28</v>
      </c>
      <c r="D97" s="165">
        <v>63.73</v>
      </c>
      <c r="E97" s="165">
        <v>8.91</v>
      </c>
      <c r="F97" s="165">
        <v>3.95</v>
      </c>
      <c r="G97" s="165">
        <v>92.92</v>
      </c>
      <c r="H97" s="165">
        <v>24.87</v>
      </c>
      <c r="I97" s="165">
        <v>11.3</v>
      </c>
      <c r="J97" s="165">
        <v>0.35</v>
      </c>
      <c r="K97" s="165">
        <v>23.04</v>
      </c>
      <c r="L97" s="165">
        <v>25.34</v>
      </c>
      <c r="M97" s="165">
        <v>52.23</v>
      </c>
      <c r="N97" s="165">
        <v>0</v>
      </c>
      <c r="O97" s="165">
        <v>0</v>
      </c>
      <c r="P97" s="165">
        <v>0.73</v>
      </c>
      <c r="Q97" s="165">
        <v>6.78</v>
      </c>
      <c r="R97" s="13"/>
      <c r="S97" s="13"/>
      <c r="T97" s="213"/>
      <c r="U97" s="13"/>
    </row>
    <row r="98" customFormat="1" spans="1:21">
      <c r="A98" s="142" t="s">
        <v>816</v>
      </c>
      <c r="B98" s="165">
        <v>32.01</v>
      </c>
      <c r="C98" s="165">
        <v>71.42</v>
      </c>
      <c r="D98" s="165">
        <v>64.34</v>
      </c>
      <c r="E98" s="165">
        <v>8.44</v>
      </c>
      <c r="F98" s="165">
        <v>3.92</v>
      </c>
      <c r="G98" s="165">
        <v>92.92</v>
      </c>
      <c r="H98" s="165">
        <v>24.87</v>
      </c>
      <c r="I98" s="165">
        <v>11.21</v>
      </c>
      <c r="J98" s="165">
        <v>0.4</v>
      </c>
      <c r="K98" s="165">
        <v>59.96</v>
      </c>
      <c r="L98" s="165">
        <v>25.25</v>
      </c>
      <c r="M98" s="165">
        <v>53.24</v>
      </c>
      <c r="N98" s="165">
        <v>0</v>
      </c>
      <c r="O98" s="165">
        <v>0</v>
      </c>
      <c r="P98" s="165">
        <v>0.75</v>
      </c>
      <c r="Q98" s="165">
        <v>6.88</v>
      </c>
      <c r="R98" s="13"/>
      <c r="S98" s="13"/>
      <c r="T98" s="213"/>
      <c r="U98" s="13"/>
    </row>
    <row r="99" customFormat="1" spans="1:21">
      <c r="A99" s="142" t="s">
        <v>817</v>
      </c>
      <c r="B99" s="165">
        <v>32.76</v>
      </c>
      <c r="C99" s="165">
        <v>72.06</v>
      </c>
      <c r="D99" s="165">
        <v>65.27</v>
      </c>
      <c r="E99" s="165">
        <v>8.78</v>
      </c>
      <c r="F99" s="165">
        <v>3.82</v>
      </c>
      <c r="G99" s="165">
        <v>96.7</v>
      </c>
      <c r="H99" s="165">
        <v>26.91</v>
      </c>
      <c r="I99" s="165">
        <v>11.08</v>
      </c>
      <c r="J99" s="165">
        <v>0.07</v>
      </c>
      <c r="K99" s="165">
        <v>167.21</v>
      </c>
      <c r="L99" s="165">
        <v>25.37</v>
      </c>
      <c r="M99" s="165">
        <v>53.76</v>
      </c>
      <c r="N99" s="165">
        <v>0</v>
      </c>
      <c r="O99" s="165">
        <v>0</v>
      </c>
      <c r="P99" s="165">
        <v>0.76</v>
      </c>
      <c r="Q99" s="165">
        <v>6.94</v>
      </c>
      <c r="R99" s="13"/>
      <c r="S99" s="13"/>
      <c r="T99" s="213"/>
      <c r="U99" s="13"/>
    </row>
    <row r="100" customFormat="1" spans="1:33">
      <c r="A100" s="142" t="s">
        <v>818</v>
      </c>
      <c r="B100" s="165">
        <v>33.14</v>
      </c>
      <c r="C100" s="165">
        <v>72.23</v>
      </c>
      <c r="D100" s="165">
        <v>65.67</v>
      </c>
      <c r="E100" s="165">
        <v>8.75</v>
      </c>
      <c r="F100" s="165">
        <v>3.89</v>
      </c>
      <c r="G100" s="165">
        <v>105.53</v>
      </c>
      <c r="H100" s="165">
        <v>30.14</v>
      </c>
      <c r="I100" s="165">
        <v>10.96</v>
      </c>
      <c r="J100" s="165">
        <v>0.34</v>
      </c>
      <c r="K100" s="165">
        <v>169.66</v>
      </c>
      <c r="L100" s="165">
        <v>25.35</v>
      </c>
      <c r="M100" s="165">
        <v>54.49</v>
      </c>
      <c r="N100" s="165">
        <v>0</v>
      </c>
      <c r="O100" s="165">
        <v>0</v>
      </c>
      <c r="P100" s="165">
        <v>0.78</v>
      </c>
      <c r="Q100" s="165">
        <v>6.96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819</v>
      </c>
      <c r="B101" s="165">
        <v>33</v>
      </c>
      <c r="C101" s="165">
        <v>72.23</v>
      </c>
      <c r="D101" s="165">
        <v>65.55</v>
      </c>
      <c r="E101" s="165">
        <v>8.63</v>
      </c>
      <c r="F101" s="165">
        <v>3.71</v>
      </c>
      <c r="G101" s="165">
        <v>105.53</v>
      </c>
      <c r="H101" s="165">
        <v>30.14</v>
      </c>
      <c r="I101" s="165">
        <v>10.85</v>
      </c>
      <c r="J101" s="165">
        <v>0.3</v>
      </c>
      <c r="K101" s="165">
        <v>160.72</v>
      </c>
      <c r="L101" s="165">
        <v>25.14</v>
      </c>
      <c r="M101" s="165">
        <v>55.33</v>
      </c>
      <c r="N101" s="165">
        <v>0</v>
      </c>
      <c r="O101" s="165">
        <v>0</v>
      </c>
      <c r="P101" s="165">
        <v>0.79</v>
      </c>
      <c r="Q101" s="165">
        <v>6.97</v>
      </c>
      <c r="R101" s="13"/>
      <c r="S101" s="13"/>
      <c r="T101" s="213"/>
      <c r="U101" s="13"/>
    </row>
    <row r="102" customFormat="1" spans="1:21">
      <c r="A102" s="142" t="s">
        <v>820</v>
      </c>
      <c r="B102" s="165">
        <v>32.68</v>
      </c>
      <c r="C102" s="165">
        <v>72.05</v>
      </c>
      <c r="D102" s="165">
        <v>65.21</v>
      </c>
      <c r="E102" s="165">
        <v>8</v>
      </c>
      <c r="F102" s="165">
        <v>3.69</v>
      </c>
      <c r="G102" s="165">
        <v>105.53</v>
      </c>
      <c r="H102" s="165">
        <v>30.14</v>
      </c>
      <c r="I102" s="165">
        <v>10.77</v>
      </c>
      <c r="J102" s="165">
        <v>0.21</v>
      </c>
      <c r="K102" s="165">
        <v>158.32</v>
      </c>
      <c r="L102" s="165">
        <v>25.21</v>
      </c>
      <c r="M102" s="165">
        <v>55.55</v>
      </c>
      <c r="N102" s="165">
        <v>0</v>
      </c>
      <c r="O102" s="165">
        <v>0</v>
      </c>
      <c r="P102" s="165">
        <v>0.8</v>
      </c>
      <c r="Q102" s="165">
        <v>6.95</v>
      </c>
      <c r="R102" s="13"/>
      <c r="S102" s="13"/>
      <c r="T102" s="213"/>
      <c r="U102" s="13"/>
    </row>
    <row r="103" customFormat="1" spans="1:21">
      <c r="A103" s="142" t="s">
        <v>821</v>
      </c>
      <c r="B103" s="165">
        <v>32.38</v>
      </c>
      <c r="C103" s="165">
        <v>72.15</v>
      </c>
      <c r="D103" s="165">
        <v>65.02</v>
      </c>
      <c r="E103" s="165">
        <v>8.45</v>
      </c>
      <c r="F103" s="165">
        <v>3.74</v>
      </c>
      <c r="G103" s="165">
        <v>106.51</v>
      </c>
      <c r="H103" s="165">
        <v>30.31</v>
      </c>
      <c r="I103" s="165">
        <v>10.68</v>
      </c>
      <c r="J103" s="165">
        <v>0.21</v>
      </c>
      <c r="K103" s="165">
        <v>170.67</v>
      </c>
      <c r="L103" s="165">
        <v>24.97</v>
      </c>
      <c r="M103" s="165">
        <v>57.29</v>
      </c>
      <c r="N103" s="165">
        <v>0</v>
      </c>
      <c r="O103" s="165">
        <v>0</v>
      </c>
      <c r="P103" s="165">
        <v>0.81</v>
      </c>
      <c r="Q103" s="165">
        <v>6.95</v>
      </c>
      <c r="R103" s="13"/>
      <c r="S103" s="13"/>
      <c r="T103" s="213"/>
      <c r="U103" s="13"/>
    </row>
    <row r="104" customFormat="1" spans="1:21">
      <c r="A104" s="142" t="s">
        <v>822</v>
      </c>
      <c r="B104" s="165">
        <v>32.52</v>
      </c>
      <c r="C104" s="165">
        <v>72.04</v>
      </c>
      <c r="D104" s="165">
        <v>65.07</v>
      </c>
      <c r="E104" s="165">
        <v>8.59</v>
      </c>
      <c r="F104" s="165">
        <v>3.74</v>
      </c>
      <c r="G104" s="165">
        <v>108.91</v>
      </c>
      <c r="H104" s="165">
        <v>30.6</v>
      </c>
      <c r="I104" s="165">
        <v>10.53</v>
      </c>
      <c r="J104" s="165">
        <v>0.17</v>
      </c>
      <c r="K104" s="165">
        <v>170.02</v>
      </c>
      <c r="L104" s="165">
        <v>24.83</v>
      </c>
      <c r="M104" s="165">
        <v>57.26</v>
      </c>
      <c r="N104" s="165">
        <v>0</v>
      </c>
      <c r="O104" s="165">
        <v>0</v>
      </c>
      <c r="P104" s="165">
        <v>0.83</v>
      </c>
      <c r="Q104" s="165">
        <v>6.95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4.53</v>
      </c>
      <c r="C106" s="215">
        <f>MIN(C9:C104)</f>
        <v>40.11</v>
      </c>
      <c r="D106" s="215">
        <f t="shared" ref="D106:Q106" si="0">MIN(D9:D104)</f>
        <v>30.36</v>
      </c>
      <c r="E106" s="215">
        <f t="shared" si="0"/>
        <v>5.14</v>
      </c>
      <c r="F106" s="215">
        <f t="shared" si="0"/>
        <v>3.69</v>
      </c>
      <c r="G106" s="215">
        <f t="shared" si="0"/>
        <v>26.92</v>
      </c>
      <c r="H106" s="215">
        <f t="shared" si="0"/>
        <v>9.51</v>
      </c>
      <c r="I106" s="215">
        <f t="shared" si="0"/>
        <v>3.27</v>
      </c>
      <c r="J106" s="215">
        <f t="shared" si="0"/>
        <v>0.07</v>
      </c>
      <c r="K106" s="215">
        <f t="shared" si="0"/>
        <v>1.4</v>
      </c>
      <c r="L106" s="215">
        <f t="shared" si="0"/>
        <v>23.59</v>
      </c>
      <c r="M106" s="215">
        <f t="shared" si="0"/>
        <v>29.91</v>
      </c>
      <c r="N106" s="215">
        <f t="shared" si="0"/>
        <v>0</v>
      </c>
      <c r="O106" s="215">
        <f t="shared" si="0"/>
        <v>0</v>
      </c>
      <c r="P106" s="215">
        <f t="shared" si="0"/>
        <v>0.44</v>
      </c>
      <c r="Q106" s="215">
        <f t="shared" si="0"/>
        <v>2.54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33.14</v>
      </c>
      <c r="C107" s="216">
        <f t="shared" ref="C107:Q107" si="1">MAX(C9:C104)</f>
        <v>72.23</v>
      </c>
      <c r="D107" s="216">
        <f t="shared" si="1"/>
        <v>65.67</v>
      </c>
      <c r="E107" s="216">
        <f t="shared" si="1"/>
        <v>12.26</v>
      </c>
      <c r="F107" s="216">
        <f t="shared" si="1"/>
        <v>24.82</v>
      </c>
      <c r="G107" s="216">
        <f t="shared" si="1"/>
        <v>108.91</v>
      </c>
      <c r="H107" s="216">
        <f t="shared" si="1"/>
        <v>30.6</v>
      </c>
      <c r="I107" s="216">
        <f t="shared" si="1"/>
        <v>41.5</v>
      </c>
      <c r="J107" s="216">
        <f t="shared" si="1"/>
        <v>2.31</v>
      </c>
      <c r="K107" s="216">
        <f t="shared" si="1"/>
        <v>334.42</v>
      </c>
      <c r="L107" s="216">
        <f t="shared" si="1"/>
        <v>31.81</v>
      </c>
      <c r="M107" s="216">
        <f t="shared" si="1"/>
        <v>60.44</v>
      </c>
      <c r="N107" s="216">
        <f t="shared" si="1"/>
        <v>779.5</v>
      </c>
      <c r="O107" s="216">
        <f t="shared" si="1"/>
        <v>0</v>
      </c>
      <c r="P107" s="216">
        <f t="shared" si="1"/>
        <v>0.83</v>
      </c>
      <c r="Q107" s="216">
        <f t="shared" si="1"/>
        <v>6.97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15.4310752688172</v>
      </c>
      <c r="C108" s="215">
        <f t="shared" ref="C108:Q108" si="2">AVERAGE(C9:C104)</f>
        <v>65.5730107526882</v>
      </c>
      <c r="D108" s="215">
        <f t="shared" si="2"/>
        <v>47.7343010752688</v>
      </c>
      <c r="E108" s="215">
        <f t="shared" si="2"/>
        <v>8.19157303370787</v>
      </c>
      <c r="F108" s="215">
        <f t="shared" si="2"/>
        <v>7.15084210526316</v>
      </c>
      <c r="G108" s="215">
        <f t="shared" si="2"/>
        <v>55.4081318681319</v>
      </c>
      <c r="H108" s="215">
        <f t="shared" si="2"/>
        <v>16.7592307692308</v>
      </c>
      <c r="I108" s="215">
        <f t="shared" si="2"/>
        <v>10.5339583333333</v>
      </c>
      <c r="J108" s="215">
        <f t="shared" si="2"/>
        <v>0.853958333333333</v>
      </c>
      <c r="K108" s="215">
        <f t="shared" si="2"/>
        <v>152.807291666667</v>
      </c>
      <c r="L108" s="215">
        <f t="shared" si="2"/>
        <v>27.0548958333333</v>
      </c>
      <c r="M108" s="215">
        <f t="shared" si="2"/>
        <v>45.2817708333333</v>
      </c>
      <c r="N108" s="215">
        <f t="shared" si="2"/>
        <v>122.09375</v>
      </c>
      <c r="O108" s="215">
        <f t="shared" si="2"/>
        <v>0</v>
      </c>
      <c r="P108" s="215">
        <f t="shared" si="2"/>
        <v>0.577708333333333</v>
      </c>
      <c r="Q108" s="215">
        <f t="shared" si="2"/>
        <v>5.26741935483871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7.73663791465866</v>
      </c>
      <c r="C109" s="215">
        <f t="shared" ref="C109:Q109" si="3">STDEV(C9:C104)</f>
        <v>6.57547829057956</v>
      </c>
      <c r="D109" s="215">
        <f t="shared" si="3"/>
        <v>8.59056476832595</v>
      </c>
      <c r="E109" s="215">
        <f t="shared" si="3"/>
        <v>1.15885611593777</v>
      </c>
      <c r="F109" s="215">
        <f t="shared" si="3"/>
        <v>5.19714337721355</v>
      </c>
      <c r="G109" s="215">
        <f t="shared" si="3"/>
        <v>21.8802600996163</v>
      </c>
      <c r="H109" s="215">
        <f t="shared" si="3"/>
        <v>5.94463422494404</v>
      </c>
      <c r="I109" s="215">
        <f t="shared" si="3"/>
        <v>8.2342080409353</v>
      </c>
      <c r="J109" s="215">
        <f t="shared" si="3"/>
        <v>0.654550837021552</v>
      </c>
      <c r="K109" s="215">
        <f t="shared" si="3"/>
        <v>108.145287455827</v>
      </c>
      <c r="L109" s="215">
        <f t="shared" si="3"/>
        <v>2.32143648576827</v>
      </c>
      <c r="M109" s="215">
        <f t="shared" si="3"/>
        <v>9.35495117934789</v>
      </c>
      <c r="N109" s="215">
        <f t="shared" si="3"/>
        <v>194.236323131602</v>
      </c>
      <c r="O109" s="215">
        <f t="shared" si="3"/>
        <v>0</v>
      </c>
      <c r="P109" s="215">
        <f t="shared" si="3"/>
        <v>0.113615039466536</v>
      </c>
      <c r="Q109" s="215">
        <f t="shared" si="3"/>
        <v>0.672677814258231</v>
      </c>
      <c r="R109" s="220"/>
      <c r="S109" s="220"/>
      <c r="T109" s="220"/>
      <c r="U109" s="220"/>
    </row>
    <row r="110" spans="1:22">
      <c r="A110" s="214" t="s">
        <v>146</v>
      </c>
      <c r="B110" s="216">
        <v>96</v>
      </c>
      <c r="C110" s="216">
        <v>96</v>
      </c>
      <c r="D110" s="216">
        <v>96</v>
      </c>
      <c r="E110" s="216">
        <v>96</v>
      </c>
      <c r="F110" s="216">
        <v>96</v>
      </c>
      <c r="G110" s="216">
        <v>96</v>
      </c>
      <c r="H110" s="216">
        <v>96</v>
      </c>
      <c r="I110" s="216">
        <v>96</v>
      </c>
      <c r="J110" s="216">
        <v>96</v>
      </c>
      <c r="K110" s="216">
        <v>96</v>
      </c>
      <c r="L110" s="216">
        <v>96</v>
      </c>
      <c r="M110" s="216">
        <v>96</v>
      </c>
      <c r="N110" s="216">
        <v>96</v>
      </c>
      <c r="O110" s="216">
        <v>96</v>
      </c>
      <c r="P110" s="216">
        <v>96</v>
      </c>
      <c r="Q110" s="216"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4">IF(C110&gt;=87,"&gt;90%",IF(C110&lt;=87,"&lt;90%"))</f>
        <v>&gt;90%</v>
      </c>
      <c r="D111" s="178" t="str">
        <f t="shared" si="4"/>
        <v>&gt;90%</v>
      </c>
      <c r="E111" s="178" t="str">
        <f t="shared" si="4"/>
        <v>&gt;90%</v>
      </c>
      <c r="F111" s="178" t="str">
        <f t="shared" si="4"/>
        <v>&gt;90%</v>
      </c>
      <c r="G111" s="178" t="str">
        <f t="shared" si="4"/>
        <v>&gt;90%</v>
      </c>
      <c r="H111" s="178" t="str">
        <f t="shared" si="4"/>
        <v>&gt;90%</v>
      </c>
      <c r="I111" s="178" t="str">
        <f t="shared" si="4"/>
        <v>&gt;90%</v>
      </c>
      <c r="J111" s="178" t="str">
        <f t="shared" si="4"/>
        <v>&gt;90%</v>
      </c>
      <c r="K111" s="178" t="str">
        <f t="shared" si="4"/>
        <v>&gt;90%</v>
      </c>
      <c r="L111" s="178" t="str">
        <f t="shared" si="4"/>
        <v>&gt;90%</v>
      </c>
      <c r="M111" s="178" t="str">
        <f t="shared" si="4"/>
        <v>&gt;90%</v>
      </c>
      <c r="N111" s="178" t="str">
        <f t="shared" si="4"/>
        <v>&gt;90%</v>
      </c>
      <c r="O111" s="178" t="str">
        <f t="shared" si="4"/>
        <v>&gt;90%</v>
      </c>
      <c r="P111" s="178" t="str">
        <f t="shared" si="4"/>
        <v>&gt;90%</v>
      </c>
      <c r="Q111" s="178" t="str">
        <f t="shared" si="4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5">IF(C110&gt;=87,"OK",IF(C110&lt;=87,"LESS"))</f>
        <v>OK</v>
      </c>
      <c r="D112" s="178" t="str">
        <f t="shared" si="5"/>
        <v>OK</v>
      </c>
      <c r="E112" s="178" t="str">
        <f t="shared" si="5"/>
        <v>OK</v>
      </c>
      <c r="F112" s="178" t="str">
        <f t="shared" si="5"/>
        <v>OK</v>
      </c>
      <c r="G112" s="178" t="str">
        <f t="shared" si="5"/>
        <v>OK</v>
      </c>
      <c r="H112" s="178" t="str">
        <f t="shared" si="5"/>
        <v>OK</v>
      </c>
      <c r="I112" s="178" t="str">
        <f t="shared" si="5"/>
        <v>OK</v>
      </c>
      <c r="J112" s="178" t="str">
        <f t="shared" si="5"/>
        <v>OK</v>
      </c>
      <c r="K112" s="178" t="str">
        <f t="shared" si="5"/>
        <v>OK</v>
      </c>
      <c r="L112" s="178" t="str">
        <f t="shared" si="5"/>
        <v>OK</v>
      </c>
      <c r="M112" s="178" t="str">
        <f t="shared" si="5"/>
        <v>OK</v>
      </c>
      <c r="N112" s="178" t="str">
        <f t="shared" si="5"/>
        <v>OK</v>
      </c>
      <c r="O112" s="178" t="str">
        <f t="shared" si="5"/>
        <v>OK</v>
      </c>
      <c r="P112" s="178" t="str">
        <f t="shared" si="5"/>
        <v>OK</v>
      </c>
      <c r="Q112" s="178" t="str">
        <f t="shared" si="5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2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09/04/2023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823</v>
      </c>
      <c r="B9" s="165">
        <v>32.19</v>
      </c>
      <c r="C9" s="165">
        <v>72.36</v>
      </c>
      <c r="D9" s="165">
        <v>64.98</v>
      </c>
      <c r="E9" s="165">
        <v>8.15</v>
      </c>
      <c r="F9" s="165">
        <v>3.82</v>
      </c>
      <c r="G9" s="165">
        <v>108.91</v>
      </c>
      <c r="H9" s="165">
        <v>30.6</v>
      </c>
      <c r="I9" s="165">
        <v>10.41</v>
      </c>
      <c r="J9" s="165">
        <v>0.29</v>
      </c>
      <c r="K9" s="165">
        <v>172.66</v>
      </c>
      <c r="L9" s="165">
        <v>24.96</v>
      </c>
      <c r="M9" s="165">
        <v>57.21</v>
      </c>
      <c r="N9" s="165">
        <v>0</v>
      </c>
      <c r="O9" s="165">
        <v>0</v>
      </c>
      <c r="P9" s="165">
        <v>0.84</v>
      </c>
      <c r="Q9" s="165">
        <v>6.93</v>
      </c>
      <c r="R9" s="13"/>
      <c r="S9" s="13"/>
      <c r="T9" s="213"/>
      <c r="U9" s="13"/>
    </row>
    <row r="10" customFormat="1" spans="1:21">
      <c r="A10" s="142" t="s">
        <v>824</v>
      </c>
      <c r="B10" s="165">
        <v>31.88</v>
      </c>
      <c r="C10" s="165">
        <v>72.09</v>
      </c>
      <c r="D10" s="165">
        <v>64.58</v>
      </c>
      <c r="E10" s="165">
        <v>8.16</v>
      </c>
      <c r="F10" s="165">
        <v>3.74</v>
      </c>
      <c r="G10" s="165">
        <v>108.91</v>
      </c>
      <c r="H10" s="165">
        <v>30.6</v>
      </c>
      <c r="I10" s="165">
        <v>10.34</v>
      </c>
      <c r="J10" s="165">
        <v>0.1</v>
      </c>
      <c r="K10" s="165">
        <v>172.27</v>
      </c>
      <c r="L10" s="165">
        <v>24.81</v>
      </c>
      <c r="M10" s="165">
        <v>57.68</v>
      </c>
      <c r="N10" s="165">
        <v>0</v>
      </c>
      <c r="O10" s="165">
        <v>0</v>
      </c>
      <c r="P10" s="165">
        <v>0.85</v>
      </c>
      <c r="Q10" s="165">
        <v>6.93</v>
      </c>
      <c r="R10" s="13"/>
      <c r="S10" s="13"/>
      <c r="T10" s="213"/>
      <c r="U10" s="13"/>
    </row>
    <row r="11" customFormat="1" spans="1:21">
      <c r="A11" s="142" t="s">
        <v>825</v>
      </c>
      <c r="B11" s="165">
        <v>32.46</v>
      </c>
      <c r="C11" s="165">
        <v>72.04</v>
      </c>
      <c r="D11" s="165">
        <v>65.02</v>
      </c>
      <c r="E11" s="165">
        <v>8.55</v>
      </c>
      <c r="F11" s="165">
        <v>3.79</v>
      </c>
      <c r="G11" s="165">
        <v>108.42</v>
      </c>
      <c r="H11" s="165">
        <v>30.85</v>
      </c>
      <c r="I11" s="165">
        <v>10.28</v>
      </c>
      <c r="J11" s="165">
        <v>0.2</v>
      </c>
      <c r="K11" s="165">
        <v>102</v>
      </c>
      <c r="L11" s="165">
        <v>24.84</v>
      </c>
      <c r="M11" s="165">
        <v>57.1</v>
      </c>
      <c r="N11" s="165">
        <v>0</v>
      </c>
      <c r="O11" s="165">
        <v>0</v>
      </c>
      <c r="P11" s="165">
        <v>0.86</v>
      </c>
      <c r="Q11" s="165">
        <v>6.95</v>
      </c>
      <c r="R11" s="13"/>
      <c r="S11" s="13"/>
      <c r="T11" s="213"/>
      <c r="U11" s="13"/>
    </row>
    <row r="12" customFormat="1" spans="1:21">
      <c r="A12" s="142" t="s">
        <v>826</v>
      </c>
      <c r="B12" s="165">
        <v>34.25</v>
      </c>
      <c r="C12" s="165">
        <v>72.32</v>
      </c>
      <c r="D12" s="165">
        <v>66.6</v>
      </c>
      <c r="E12" s="165">
        <v>8.51</v>
      </c>
      <c r="F12" s="165">
        <v>3.8</v>
      </c>
      <c r="G12" s="165">
        <v>107.23</v>
      </c>
      <c r="H12" s="165">
        <v>31.81</v>
      </c>
      <c r="I12" s="165">
        <v>10.2</v>
      </c>
      <c r="J12" s="165">
        <v>0.15</v>
      </c>
      <c r="K12" s="165">
        <v>236.62</v>
      </c>
      <c r="L12" s="165">
        <v>24.6</v>
      </c>
      <c r="M12" s="165">
        <v>60.48</v>
      </c>
      <c r="N12" s="165">
        <v>0</v>
      </c>
      <c r="O12" s="165">
        <v>0</v>
      </c>
      <c r="P12" s="165">
        <v>0.88</v>
      </c>
      <c r="Q12" s="165">
        <v>7.05</v>
      </c>
      <c r="R12" s="13"/>
      <c r="S12" s="13"/>
      <c r="T12" s="213"/>
      <c r="U12" s="13"/>
    </row>
    <row r="13" customFormat="1" spans="1:21">
      <c r="A13" s="142" t="s">
        <v>827</v>
      </c>
      <c r="B13" s="165">
        <v>36.55</v>
      </c>
      <c r="C13" s="165">
        <v>72.61</v>
      </c>
      <c r="D13" s="165">
        <v>68.6</v>
      </c>
      <c r="E13" s="165">
        <v>8.16</v>
      </c>
      <c r="F13" s="165">
        <v>3.75</v>
      </c>
      <c r="G13" s="165">
        <v>107.23</v>
      </c>
      <c r="H13" s="165">
        <v>31.81</v>
      </c>
      <c r="I13" s="165">
        <v>10.13</v>
      </c>
      <c r="J13" s="165">
        <v>0.25</v>
      </c>
      <c r="K13" s="165">
        <v>37.67</v>
      </c>
      <c r="L13" s="165">
        <v>24.63</v>
      </c>
      <c r="M13" s="165">
        <v>58.46</v>
      </c>
      <c r="N13" s="165">
        <v>0</v>
      </c>
      <c r="O13" s="165">
        <v>0</v>
      </c>
      <c r="P13" s="165">
        <v>0.9</v>
      </c>
      <c r="Q13" s="165">
        <v>7.17</v>
      </c>
      <c r="R13" s="13"/>
      <c r="S13" s="13"/>
      <c r="T13" s="213"/>
      <c r="U13" s="13"/>
    </row>
    <row r="14" customFormat="1" spans="1:21">
      <c r="A14" s="142" t="s">
        <v>828</v>
      </c>
      <c r="B14" s="165">
        <v>39.1</v>
      </c>
      <c r="C14" s="165">
        <v>73.01</v>
      </c>
      <c r="D14" s="165">
        <v>70.85</v>
      </c>
      <c r="E14" s="165">
        <v>8.36</v>
      </c>
      <c r="F14" s="165">
        <v>3.64</v>
      </c>
      <c r="G14" s="165">
        <v>107.23</v>
      </c>
      <c r="H14" s="165">
        <v>31.81</v>
      </c>
      <c r="I14" s="165">
        <v>10.14</v>
      </c>
      <c r="J14" s="165">
        <v>0.17</v>
      </c>
      <c r="K14" s="165">
        <v>15.77</v>
      </c>
      <c r="L14" s="165">
        <v>24.72</v>
      </c>
      <c r="M14" s="165">
        <v>58.89</v>
      </c>
      <c r="N14" s="165">
        <v>0</v>
      </c>
      <c r="O14" s="165">
        <v>0</v>
      </c>
      <c r="P14" s="165">
        <v>0.94</v>
      </c>
      <c r="Q14" s="165">
        <v>7.3</v>
      </c>
      <c r="R14" s="13"/>
      <c r="S14" s="13"/>
      <c r="T14" s="213"/>
      <c r="U14" s="13"/>
    </row>
    <row r="15" customFormat="1" spans="1:21">
      <c r="A15" s="142" t="s">
        <v>829</v>
      </c>
      <c r="B15" s="165">
        <v>40.98</v>
      </c>
      <c r="C15" s="165">
        <v>73.15</v>
      </c>
      <c r="D15" s="165">
        <v>72.43</v>
      </c>
      <c r="E15" s="165">
        <v>8.55</v>
      </c>
      <c r="F15" s="165">
        <v>3.64</v>
      </c>
      <c r="G15" s="165">
        <v>109.58</v>
      </c>
      <c r="H15" s="165">
        <v>33.04</v>
      </c>
      <c r="I15" s="165">
        <v>10.15</v>
      </c>
      <c r="J15" s="165">
        <v>0.21</v>
      </c>
      <c r="K15" s="165">
        <v>16.02</v>
      </c>
      <c r="L15" s="165">
        <v>24.78</v>
      </c>
      <c r="M15" s="165">
        <v>58.7</v>
      </c>
      <c r="N15" s="165">
        <v>0</v>
      </c>
      <c r="O15" s="165">
        <v>0</v>
      </c>
      <c r="P15" s="165">
        <v>0.97</v>
      </c>
      <c r="Q15" s="165">
        <v>7.46</v>
      </c>
      <c r="R15" s="13"/>
      <c r="S15" s="13"/>
      <c r="T15" s="213"/>
      <c r="U15" s="13"/>
    </row>
    <row r="16" customFormat="1" spans="1:21">
      <c r="A16" s="142" t="s">
        <v>830</v>
      </c>
      <c r="B16" s="165">
        <v>42.43</v>
      </c>
      <c r="C16" s="165">
        <v>73.36</v>
      </c>
      <c r="D16" s="165">
        <v>73.71</v>
      </c>
      <c r="E16" s="165">
        <v>8.45</v>
      </c>
      <c r="F16" s="165">
        <v>3.59</v>
      </c>
      <c r="G16" s="165">
        <v>115.38</v>
      </c>
      <c r="H16" s="165">
        <v>34.99</v>
      </c>
      <c r="I16" s="165">
        <v>10.13</v>
      </c>
      <c r="J16" s="165">
        <v>0.52</v>
      </c>
      <c r="K16" s="165">
        <v>60.93</v>
      </c>
      <c r="L16" s="165">
        <v>24.67</v>
      </c>
      <c r="M16" s="165">
        <v>58.56</v>
      </c>
      <c r="N16" s="165">
        <v>0</v>
      </c>
      <c r="O16" s="165">
        <v>0</v>
      </c>
      <c r="P16" s="165">
        <v>1</v>
      </c>
      <c r="Q16" s="165">
        <v>7.56</v>
      </c>
      <c r="R16" s="13"/>
      <c r="S16" s="13"/>
      <c r="T16" s="213"/>
      <c r="U16" s="13"/>
    </row>
    <row r="17" customFormat="1" spans="1:21">
      <c r="A17" s="142" t="s">
        <v>831</v>
      </c>
      <c r="B17" s="165">
        <v>43.54</v>
      </c>
      <c r="C17" s="165">
        <v>73.5</v>
      </c>
      <c r="D17" s="165">
        <v>74.67</v>
      </c>
      <c r="E17" s="165">
        <v>7.6</v>
      </c>
      <c r="F17" s="165">
        <v>3.63</v>
      </c>
      <c r="G17" s="165">
        <v>115.38</v>
      </c>
      <c r="H17" s="165">
        <v>34.99</v>
      </c>
      <c r="I17" s="165">
        <v>10.13</v>
      </c>
      <c r="J17" s="165">
        <v>0.2</v>
      </c>
      <c r="K17" s="165">
        <v>94.47</v>
      </c>
      <c r="L17" s="165">
        <v>24.89</v>
      </c>
      <c r="M17" s="165">
        <v>57.45</v>
      </c>
      <c r="N17" s="165">
        <v>0</v>
      </c>
      <c r="O17" s="165">
        <v>0</v>
      </c>
      <c r="P17" s="165">
        <v>1.04</v>
      </c>
      <c r="Q17" s="165">
        <v>7.6</v>
      </c>
      <c r="R17" s="13"/>
      <c r="S17" s="13"/>
      <c r="T17" s="213"/>
      <c r="U17" s="13"/>
    </row>
    <row r="18" customFormat="1" spans="1:21">
      <c r="A18" s="142" t="s">
        <v>832</v>
      </c>
      <c r="B18" s="165">
        <v>43.98</v>
      </c>
      <c r="C18" s="165">
        <v>73.65</v>
      </c>
      <c r="D18" s="165">
        <v>75.1</v>
      </c>
      <c r="E18" s="165">
        <v>9</v>
      </c>
      <c r="F18" s="165">
        <v>3.63</v>
      </c>
      <c r="G18" s="165">
        <v>115.38</v>
      </c>
      <c r="H18" s="165">
        <v>34.99</v>
      </c>
      <c r="I18" s="165">
        <v>10.18</v>
      </c>
      <c r="J18" s="165">
        <v>0.11</v>
      </c>
      <c r="K18" s="165">
        <v>221.11</v>
      </c>
      <c r="L18" s="165">
        <v>24.7</v>
      </c>
      <c r="M18" s="165">
        <v>60.08</v>
      </c>
      <c r="N18" s="165">
        <v>0</v>
      </c>
      <c r="O18" s="165">
        <v>0</v>
      </c>
      <c r="P18" s="165">
        <v>1.06</v>
      </c>
      <c r="Q18" s="165">
        <v>7.69</v>
      </c>
      <c r="R18" s="13"/>
      <c r="S18" s="13"/>
      <c r="T18" s="213"/>
      <c r="U18" s="13"/>
    </row>
    <row r="19" customFormat="1" spans="1:21">
      <c r="A19" s="142" t="s">
        <v>833</v>
      </c>
      <c r="B19" s="165">
        <v>44.42</v>
      </c>
      <c r="C19" s="165">
        <v>71.54</v>
      </c>
      <c r="D19" s="165">
        <v>74.35</v>
      </c>
      <c r="E19" s="165">
        <v>8.91</v>
      </c>
      <c r="F19" s="165">
        <v>3.82</v>
      </c>
      <c r="G19" s="165">
        <v>119.52</v>
      </c>
      <c r="H19" s="165">
        <v>35.9</v>
      </c>
      <c r="I19" s="165">
        <v>10.3</v>
      </c>
      <c r="J19" s="165">
        <v>0.54</v>
      </c>
      <c r="K19" s="165">
        <v>16.58</v>
      </c>
      <c r="L19" s="165">
        <v>24.26</v>
      </c>
      <c r="M19" s="165">
        <v>61.36</v>
      </c>
      <c r="N19" s="165">
        <v>0</v>
      </c>
      <c r="O19" s="165">
        <v>0</v>
      </c>
      <c r="P19" s="165">
        <v>1.07</v>
      </c>
      <c r="Q19" s="165">
        <v>7.64</v>
      </c>
      <c r="R19" s="13"/>
      <c r="S19" s="13"/>
      <c r="T19" s="213"/>
      <c r="U19" s="13"/>
    </row>
    <row r="20" customFormat="1" spans="1:21">
      <c r="A20" s="142" t="s">
        <v>834</v>
      </c>
      <c r="B20" s="165">
        <v>45.04</v>
      </c>
      <c r="C20" s="165">
        <v>69.28</v>
      </c>
      <c r="D20" s="165">
        <v>73.67</v>
      </c>
      <c r="E20" s="165">
        <v>8.95</v>
      </c>
      <c r="F20" s="165">
        <v>3.83</v>
      </c>
      <c r="G20" s="165">
        <v>129.74</v>
      </c>
      <c r="H20" s="165">
        <v>37.41</v>
      </c>
      <c r="I20" s="165">
        <v>10.38</v>
      </c>
      <c r="J20" s="165">
        <v>0.65</v>
      </c>
      <c r="K20" s="165">
        <v>30.71</v>
      </c>
      <c r="L20" s="165">
        <v>24.14</v>
      </c>
      <c r="M20" s="165">
        <v>61.22</v>
      </c>
      <c r="N20" s="165">
        <v>0</v>
      </c>
      <c r="O20" s="165">
        <v>0</v>
      </c>
      <c r="P20" s="165">
        <v>1.06</v>
      </c>
      <c r="Q20" s="165">
        <v>7.52</v>
      </c>
      <c r="R20" s="13"/>
      <c r="S20" s="13"/>
      <c r="T20" s="213"/>
      <c r="U20" s="13"/>
    </row>
    <row r="21" customFormat="1" spans="1:21">
      <c r="A21" s="142" t="s">
        <v>835</v>
      </c>
      <c r="B21" s="165">
        <v>45.32</v>
      </c>
      <c r="C21" s="165">
        <v>70.02</v>
      </c>
      <c r="D21" s="165">
        <v>74.27</v>
      </c>
      <c r="E21" s="165">
        <v>8.83</v>
      </c>
      <c r="F21" s="165">
        <v>3.68</v>
      </c>
      <c r="G21" s="165">
        <v>129.74</v>
      </c>
      <c r="H21" s="165">
        <v>37.41</v>
      </c>
      <c r="I21" s="165">
        <v>10.39</v>
      </c>
      <c r="J21" s="165">
        <v>1.13</v>
      </c>
      <c r="K21" s="165">
        <v>61.24</v>
      </c>
      <c r="L21" s="165">
        <v>24.14</v>
      </c>
      <c r="M21" s="165">
        <v>59.21</v>
      </c>
      <c r="N21" s="165">
        <v>0</v>
      </c>
      <c r="O21" s="165">
        <v>0</v>
      </c>
      <c r="P21" s="165">
        <v>1.05</v>
      </c>
      <c r="Q21" s="165">
        <v>7.48</v>
      </c>
      <c r="R21" s="13"/>
      <c r="S21" s="13"/>
      <c r="T21" s="213"/>
      <c r="U21" s="13"/>
    </row>
    <row r="22" customFormat="1" spans="1:21">
      <c r="A22" s="142" t="s">
        <v>836</v>
      </c>
      <c r="B22" s="165">
        <v>43.89</v>
      </c>
      <c r="C22" s="165">
        <v>70.18</v>
      </c>
      <c r="D22" s="165">
        <v>73.21</v>
      </c>
      <c r="E22" s="165">
        <v>9.19</v>
      </c>
      <c r="F22" s="165">
        <v>3.86</v>
      </c>
      <c r="G22" s="165">
        <v>129.74</v>
      </c>
      <c r="H22" s="165">
        <v>37.41</v>
      </c>
      <c r="I22" s="165">
        <v>10.37</v>
      </c>
      <c r="J22" s="165">
        <v>0.67</v>
      </c>
      <c r="K22" s="165">
        <v>45.8</v>
      </c>
      <c r="L22" s="165">
        <v>23.9</v>
      </c>
      <c r="M22" s="165">
        <v>58.76</v>
      </c>
      <c r="N22" s="165">
        <v>0</v>
      </c>
      <c r="O22" s="165">
        <v>0</v>
      </c>
      <c r="P22" s="165">
        <v>1.04</v>
      </c>
      <c r="Q22" s="165">
        <v>7.49</v>
      </c>
      <c r="R22" s="13"/>
      <c r="S22" s="13"/>
      <c r="T22" s="213"/>
      <c r="U22" s="13"/>
    </row>
    <row r="23" customFormat="1" spans="1:21">
      <c r="A23" s="142" t="s">
        <v>837</v>
      </c>
      <c r="B23" s="165">
        <v>43.61</v>
      </c>
      <c r="C23" s="165">
        <v>70.72</v>
      </c>
      <c r="D23" s="165">
        <v>73.27</v>
      </c>
      <c r="E23" s="165">
        <v>9.18</v>
      </c>
      <c r="F23" s="165">
        <v>3.82</v>
      </c>
      <c r="G23" s="165">
        <v>125.42</v>
      </c>
      <c r="H23" s="165">
        <v>36.65</v>
      </c>
      <c r="I23" s="165">
        <v>10.28</v>
      </c>
      <c r="J23" s="165">
        <v>0.47</v>
      </c>
      <c r="K23" s="165">
        <v>37.06</v>
      </c>
      <c r="L23" s="165">
        <v>23.74</v>
      </c>
      <c r="M23" s="165">
        <v>59.01</v>
      </c>
      <c r="N23" s="165">
        <v>0</v>
      </c>
      <c r="O23" s="165">
        <v>0</v>
      </c>
      <c r="P23" s="165">
        <v>1.03</v>
      </c>
      <c r="Q23" s="165">
        <v>7.49</v>
      </c>
      <c r="R23" s="13"/>
      <c r="S23" s="13"/>
      <c r="T23" s="213"/>
      <c r="U23" s="13"/>
    </row>
    <row r="24" customFormat="1" spans="1:21">
      <c r="A24" s="142" t="s">
        <v>838</v>
      </c>
      <c r="B24" s="165">
        <v>44.05</v>
      </c>
      <c r="C24" s="165">
        <v>70.86</v>
      </c>
      <c r="D24" s="165">
        <v>73.69</v>
      </c>
      <c r="E24" s="165">
        <v>9.07</v>
      </c>
      <c r="F24" s="165">
        <v>3.71</v>
      </c>
      <c r="G24" s="165">
        <v>114.78</v>
      </c>
      <c r="H24" s="165">
        <v>35.42</v>
      </c>
      <c r="I24" s="165">
        <v>10.12</v>
      </c>
      <c r="J24" s="165">
        <v>0.39</v>
      </c>
      <c r="K24" s="165">
        <v>21.29</v>
      </c>
      <c r="L24" s="165">
        <v>23.37</v>
      </c>
      <c r="M24" s="165">
        <v>60.89</v>
      </c>
      <c r="N24" s="165">
        <v>0</v>
      </c>
      <c r="O24" s="165">
        <v>0</v>
      </c>
      <c r="P24" s="165">
        <v>1.01</v>
      </c>
      <c r="Q24" s="165">
        <v>7.45</v>
      </c>
      <c r="R24" s="13"/>
      <c r="S24" s="13"/>
      <c r="T24" s="213"/>
      <c r="U24" s="13"/>
    </row>
    <row r="25" customFormat="1" spans="1:21">
      <c r="A25" s="142" t="s">
        <v>839</v>
      </c>
      <c r="B25" s="165">
        <v>44.28</v>
      </c>
      <c r="C25" s="165">
        <v>70.44</v>
      </c>
      <c r="D25" s="165">
        <v>73.66</v>
      </c>
      <c r="E25" s="165">
        <v>9.03</v>
      </c>
      <c r="F25" s="165">
        <v>3.69</v>
      </c>
      <c r="G25" s="165">
        <v>114.78</v>
      </c>
      <c r="H25" s="165">
        <v>35.42</v>
      </c>
      <c r="I25" s="165">
        <v>9.97</v>
      </c>
      <c r="J25" s="165">
        <v>0.21</v>
      </c>
      <c r="K25" s="165">
        <v>16.63</v>
      </c>
      <c r="L25" s="165">
        <v>23.18</v>
      </c>
      <c r="M25" s="165">
        <v>61.51</v>
      </c>
      <c r="N25" s="165">
        <v>0</v>
      </c>
      <c r="O25" s="165">
        <v>0</v>
      </c>
      <c r="P25" s="165">
        <v>0.99</v>
      </c>
      <c r="Q25" s="165">
        <v>7.41</v>
      </c>
      <c r="R25" s="13"/>
      <c r="S25" s="13"/>
      <c r="T25" s="213"/>
      <c r="U25" s="13"/>
    </row>
    <row r="26" customFormat="1" spans="1:21">
      <c r="A26" s="142" t="s">
        <v>840</v>
      </c>
      <c r="B26" s="165">
        <v>44.13</v>
      </c>
      <c r="C26" s="165">
        <v>69.74</v>
      </c>
      <c r="D26" s="165">
        <v>73.17</v>
      </c>
      <c r="E26" s="165">
        <v>8.86</v>
      </c>
      <c r="F26" s="165">
        <v>3.76</v>
      </c>
      <c r="G26" s="165">
        <v>114.78</v>
      </c>
      <c r="H26" s="165">
        <v>35.42</v>
      </c>
      <c r="I26" s="165">
        <v>9.8</v>
      </c>
      <c r="J26" s="165">
        <v>0.8</v>
      </c>
      <c r="K26" s="165">
        <v>34.28</v>
      </c>
      <c r="L26" s="165">
        <v>23.03</v>
      </c>
      <c r="M26" s="165">
        <v>61.85</v>
      </c>
      <c r="N26" s="165">
        <v>0</v>
      </c>
      <c r="O26" s="165">
        <v>0</v>
      </c>
      <c r="P26" s="165">
        <v>0.98</v>
      </c>
      <c r="Q26" s="165">
        <v>7.38</v>
      </c>
      <c r="R26" s="13"/>
      <c r="S26" s="13"/>
      <c r="T26" s="213"/>
      <c r="U26" s="13"/>
    </row>
    <row r="27" customFormat="1" spans="1:21">
      <c r="A27" s="142" t="s">
        <v>841</v>
      </c>
      <c r="B27" s="165">
        <v>43.77</v>
      </c>
      <c r="C27" s="165">
        <v>70.23</v>
      </c>
      <c r="D27" s="165">
        <v>73.14</v>
      </c>
      <c r="E27" s="165">
        <v>9.25</v>
      </c>
      <c r="F27" s="165">
        <v>3.77</v>
      </c>
      <c r="G27" s="165">
        <v>109.26</v>
      </c>
      <c r="H27" s="165">
        <v>33.73</v>
      </c>
      <c r="I27" s="165">
        <v>9.62</v>
      </c>
      <c r="J27" s="165">
        <v>0.68</v>
      </c>
      <c r="K27" s="165">
        <v>51.56</v>
      </c>
      <c r="L27" s="165">
        <v>22.98</v>
      </c>
      <c r="M27" s="165">
        <v>62.75</v>
      </c>
      <c r="N27" s="165">
        <v>0</v>
      </c>
      <c r="O27" s="165">
        <v>0</v>
      </c>
      <c r="P27" s="165">
        <v>0.97</v>
      </c>
      <c r="Q27" s="165">
        <v>7.34</v>
      </c>
      <c r="R27" s="13"/>
      <c r="S27" s="13"/>
      <c r="T27" s="213"/>
      <c r="U27" s="13"/>
    </row>
    <row r="28" customFormat="1" spans="1:21">
      <c r="A28" s="142" t="s">
        <v>842</v>
      </c>
      <c r="B28" s="165">
        <v>43.58</v>
      </c>
      <c r="C28" s="165">
        <v>69.94</v>
      </c>
      <c r="D28" s="165">
        <v>72.84</v>
      </c>
      <c r="E28" s="165">
        <v>8.56</v>
      </c>
      <c r="F28" s="165">
        <v>3.71</v>
      </c>
      <c r="G28" s="165">
        <v>95.65</v>
      </c>
      <c r="H28" s="165">
        <v>30.97</v>
      </c>
      <c r="I28" s="165">
        <v>9.44</v>
      </c>
      <c r="J28" s="165">
        <v>0.48</v>
      </c>
      <c r="K28" s="165">
        <v>72.7</v>
      </c>
      <c r="L28" s="165">
        <v>22.82</v>
      </c>
      <c r="M28" s="165">
        <v>64.08</v>
      </c>
      <c r="N28" s="165">
        <v>0</v>
      </c>
      <c r="O28" s="165">
        <v>0</v>
      </c>
      <c r="P28" s="165">
        <v>0.95</v>
      </c>
      <c r="Q28" s="165">
        <v>7.35</v>
      </c>
      <c r="R28" s="13"/>
      <c r="S28" s="13"/>
      <c r="T28" s="213"/>
      <c r="U28" s="13"/>
    </row>
    <row r="29" customFormat="1" spans="1:21">
      <c r="A29" s="142" t="s">
        <v>843</v>
      </c>
      <c r="B29" s="165">
        <v>43.74</v>
      </c>
      <c r="C29" s="165">
        <v>70.52</v>
      </c>
      <c r="D29" s="165">
        <v>73.27</v>
      </c>
      <c r="E29" s="165">
        <v>8.94</v>
      </c>
      <c r="F29" s="165">
        <v>3.52</v>
      </c>
      <c r="G29" s="165">
        <v>95.65</v>
      </c>
      <c r="H29" s="165">
        <v>30.97</v>
      </c>
      <c r="I29" s="165">
        <v>9.3</v>
      </c>
      <c r="J29" s="165">
        <v>0.45</v>
      </c>
      <c r="K29" s="165">
        <v>56.8</v>
      </c>
      <c r="L29" s="165">
        <v>22.75</v>
      </c>
      <c r="M29" s="165">
        <v>64.68</v>
      </c>
      <c r="N29" s="165">
        <v>0</v>
      </c>
      <c r="O29" s="165">
        <v>0</v>
      </c>
      <c r="P29" s="165">
        <v>0.96</v>
      </c>
      <c r="Q29" s="165">
        <v>7.34</v>
      </c>
      <c r="R29" s="13"/>
      <c r="S29" s="13"/>
      <c r="T29" s="213"/>
      <c r="U29" s="13"/>
    </row>
    <row r="30" customFormat="1" spans="1:21">
      <c r="A30" s="142" t="s">
        <v>844</v>
      </c>
      <c r="B30" s="165">
        <v>44.35</v>
      </c>
      <c r="C30" s="165">
        <v>70.28</v>
      </c>
      <c r="D30" s="165">
        <v>73.64</v>
      </c>
      <c r="E30" s="165">
        <v>9.31</v>
      </c>
      <c r="F30" s="165">
        <v>3.71</v>
      </c>
      <c r="G30" s="165">
        <v>95.65</v>
      </c>
      <c r="H30" s="165">
        <v>30.97</v>
      </c>
      <c r="I30" s="165">
        <v>9.18</v>
      </c>
      <c r="J30" s="165">
        <v>0.14</v>
      </c>
      <c r="K30" s="165">
        <v>80.53</v>
      </c>
      <c r="L30" s="165">
        <v>22.73</v>
      </c>
      <c r="M30" s="165">
        <v>65.39</v>
      </c>
      <c r="N30" s="165">
        <v>0</v>
      </c>
      <c r="O30" s="165">
        <v>0</v>
      </c>
      <c r="P30" s="165">
        <v>0.97</v>
      </c>
      <c r="Q30" s="165">
        <v>7.4</v>
      </c>
      <c r="R30" s="13"/>
      <c r="S30" s="13"/>
      <c r="T30" s="213"/>
      <c r="U30" s="13"/>
    </row>
    <row r="31" customFormat="1" spans="1:21">
      <c r="A31" s="142" t="s">
        <v>845</v>
      </c>
      <c r="B31" s="165">
        <v>44.66</v>
      </c>
      <c r="C31" s="165">
        <v>70.75</v>
      </c>
      <c r="D31" s="165">
        <v>74.13</v>
      </c>
      <c r="E31" s="165">
        <v>8.82</v>
      </c>
      <c r="F31" s="165">
        <v>3.57</v>
      </c>
      <c r="G31" s="165">
        <v>92.13</v>
      </c>
      <c r="H31" s="165">
        <v>30.35</v>
      </c>
      <c r="I31" s="165">
        <v>9.07</v>
      </c>
      <c r="J31" s="165">
        <v>0.38</v>
      </c>
      <c r="K31" s="165">
        <v>164.11</v>
      </c>
      <c r="L31" s="165">
        <v>22.56</v>
      </c>
      <c r="M31" s="165">
        <v>67.37</v>
      </c>
      <c r="N31" s="165">
        <v>0</v>
      </c>
      <c r="O31" s="165">
        <v>0</v>
      </c>
      <c r="P31" s="165">
        <v>0.98</v>
      </c>
      <c r="Q31" s="165">
        <v>7.43</v>
      </c>
      <c r="R31" s="13"/>
      <c r="S31" s="13"/>
      <c r="T31" s="213"/>
      <c r="U31" s="13"/>
    </row>
    <row r="32" customFormat="1" spans="1:21">
      <c r="A32" s="142" t="s">
        <v>846</v>
      </c>
      <c r="B32" s="165">
        <v>44.34</v>
      </c>
      <c r="C32" s="165">
        <v>69.98</v>
      </c>
      <c r="D32" s="165">
        <v>73.47</v>
      </c>
      <c r="E32" s="165">
        <v>9.31</v>
      </c>
      <c r="F32" s="165">
        <v>3.54</v>
      </c>
      <c r="G32" s="165">
        <v>83.47</v>
      </c>
      <c r="H32" s="165">
        <v>29.34</v>
      </c>
      <c r="I32" s="165">
        <v>8.96</v>
      </c>
      <c r="J32" s="165">
        <v>0.19</v>
      </c>
      <c r="K32" s="165">
        <v>61.43</v>
      </c>
      <c r="L32" s="165">
        <v>22.41</v>
      </c>
      <c r="M32" s="165">
        <v>67.37</v>
      </c>
      <c r="N32" s="165">
        <v>3.4</v>
      </c>
      <c r="O32" s="165">
        <v>0</v>
      </c>
      <c r="P32" s="165">
        <v>0.97</v>
      </c>
      <c r="Q32" s="165">
        <v>7.43</v>
      </c>
      <c r="R32" s="13"/>
      <c r="S32" s="13"/>
      <c r="T32" s="213"/>
      <c r="U32" s="13"/>
    </row>
    <row r="33" customFormat="1" spans="1:21">
      <c r="A33" s="142" t="s">
        <v>847</v>
      </c>
      <c r="B33" s="165">
        <v>44.19</v>
      </c>
      <c r="C33" s="165">
        <v>70.03</v>
      </c>
      <c r="D33" s="165">
        <v>73.38</v>
      </c>
      <c r="E33" s="165">
        <v>9.1</v>
      </c>
      <c r="F33" s="165">
        <v>3.61</v>
      </c>
      <c r="G33" s="165">
        <v>83.47</v>
      </c>
      <c r="H33" s="165">
        <v>29.34</v>
      </c>
      <c r="I33" s="165">
        <v>8.85</v>
      </c>
      <c r="J33" s="165">
        <v>0.32</v>
      </c>
      <c r="K33" s="165">
        <v>169.44</v>
      </c>
      <c r="L33" s="165">
        <v>22.61</v>
      </c>
      <c r="M33" s="165">
        <v>67.13</v>
      </c>
      <c r="N33" s="165">
        <v>11.6</v>
      </c>
      <c r="O33" s="165">
        <v>0</v>
      </c>
      <c r="P33" s="165">
        <v>0.96</v>
      </c>
      <c r="Q33" s="165">
        <v>7.37</v>
      </c>
      <c r="R33" s="13"/>
      <c r="S33" s="13"/>
      <c r="T33" s="213"/>
      <c r="U33" s="13"/>
    </row>
    <row r="34" customFormat="1" spans="1:21">
      <c r="A34" s="142" t="s">
        <v>848</v>
      </c>
      <c r="B34" s="165">
        <v>43.66</v>
      </c>
      <c r="C34" s="165">
        <v>69.1</v>
      </c>
      <c r="D34" s="165">
        <v>72.47</v>
      </c>
      <c r="E34" s="165">
        <v>8.81</v>
      </c>
      <c r="F34" s="165">
        <v>3.68</v>
      </c>
      <c r="G34" s="165">
        <v>83.47</v>
      </c>
      <c r="H34" s="165">
        <v>29.34</v>
      </c>
      <c r="I34" s="165">
        <v>8.74</v>
      </c>
      <c r="J34" s="165">
        <v>0.25</v>
      </c>
      <c r="K34" s="165">
        <v>180.63</v>
      </c>
      <c r="L34" s="165">
        <v>22.68</v>
      </c>
      <c r="M34" s="165">
        <v>66.95</v>
      </c>
      <c r="N34" s="165">
        <v>25.9</v>
      </c>
      <c r="O34" s="165">
        <v>0</v>
      </c>
      <c r="P34" s="165">
        <v>0.95</v>
      </c>
      <c r="Q34" s="165">
        <v>7.34</v>
      </c>
      <c r="R34" s="13"/>
      <c r="S34" s="13"/>
      <c r="T34" s="213"/>
      <c r="U34" s="13"/>
    </row>
    <row r="35" customFormat="1" spans="1:21">
      <c r="A35" s="142" t="s">
        <v>849</v>
      </c>
      <c r="B35" s="165">
        <v>42.94</v>
      </c>
      <c r="C35" s="165">
        <v>69.48</v>
      </c>
      <c r="D35" s="165">
        <v>72.09</v>
      </c>
      <c r="E35" s="165">
        <v>9.09</v>
      </c>
      <c r="F35" s="165">
        <v>3.57</v>
      </c>
      <c r="G35" s="165">
        <v>79.19</v>
      </c>
      <c r="H35" s="165">
        <v>29.47</v>
      </c>
      <c r="I35" s="165">
        <v>8.64</v>
      </c>
      <c r="J35" s="165">
        <v>0.16</v>
      </c>
      <c r="K35" s="165">
        <v>169.97</v>
      </c>
      <c r="L35" s="165">
        <v>22.97</v>
      </c>
      <c r="M35" s="165">
        <v>66.89</v>
      </c>
      <c r="N35" s="165">
        <v>47.8</v>
      </c>
      <c r="O35" s="165">
        <v>0</v>
      </c>
      <c r="P35" s="165">
        <v>0.94</v>
      </c>
      <c r="Q35" s="165">
        <v>7.29</v>
      </c>
      <c r="R35" s="13"/>
      <c r="S35" s="13"/>
      <c r="T35" s="213"/>
      <c r="U35" s="13"/>
    </row>
    <row r="36" customFormat="1" spans="1:21">
      <c r="A36" s="142" t="s">
        <v>850</v>
      </c>
      <c r="B36" s="165">
        <v>42.49</v>
      </c>
      <c r="C36" s="165">
        <v>69.83</v>
      </c>
      <c r="D36" s="165">
        <v>71.91</v>
      </c>
      <c r="E36" s="165">
        <v>9.05</v>
      </c>
      <c r="F36" s="165">
        <v>3.73</v>
      </c>
      <c r="G36" s="165">
        <v>68.66</v>
      </c>
      <c r="H36" s="165">
        <v>30.01</v>
      </c>
      <c r="I36" s="165">
        <v>8.53</v>
      </c>
      <c r="J36" s="165">
        <v>0.14</v>
      </c>
      <c r="K36" s="165">
        <v>128.09</v>
      </c>
      <c r="L36" s="165">
        <v>23.55</v>
      </c>
      <c r="M36" s="165">
        <v>64.25</v>
      </c>
      <c r="N36" s="165">
        <v>69.4</v>
      </c>
      <c r="O36" s="165">
        <v>0</v>
      </c>
      <c r="P36" s="165">
        <v>0.93</v>
      </c>
      <c r="Q36" s="165">
        <v>7.3</v>
      </c>
      <c r="R36" s="13"/>
      <c r="S36" s="13"/>
      <c r="T36" s="213"/>
      <c r="U36" s="13"/>
    </row>
    <row r="37" customFormat="1" spans="1:21">
      <c r="A37" s="142" t="s">
        <v>851</v>
      </c>
      <c r="B37" s="165">
        <v>41.8</v>
      </c>
      <c r="C37" s="165">
        <v>69.16</v>
      </c>
      <c r="D37" s="165">
        <v>71</v>
      </c>
      <c r="E37" s="165">
        <v>9.44</v>
      </c>
      <c r="F37" s="165">
        <v>3.77</v>
      </c>
      <c r="G37" s="165">
        <v>68.66</v>
      </c>
      <c r="H37" s="165">
        <v>30.01</v>
      </c>
      <c r="I37" s="165">
        <v>8.44</v>
      </c>
      <c r="J37" s="165">
        <v>0.44</v>
      </c>
      <c r="K37" s="165">
        <v>56.79</v>
      </c>
      <c r="L37" s="165">
        <v>24.23</v>
      </c>
      <c r="M37" s="165">
        <v>60.55</v>
      </c>
      <c r="N37" s="165">
        <v>79.2</v>
      </c>
      <c r="O37" s="165">
        <v>0</v>
      </c>
      <c r="P37" s="165">
        <v>0.91</v>
      </c>
      <c r="Q37" s="165">
        <v>7.24</v>
      </c>
      <c r="R37" s="13"/>
      <c r="S37" s="13"/>
      <c r="T37" s="213"/>
      <c r="U37" s="13"/>
    </row>
    <row r="38" customFormat="1" spans="1:21">
      <c r="A38" s="142" t="s">
        <v>852</v>
      </c>
      <c r="B38" s="165">
        <v>41.41</v>
      </c>
      <c r="C38" s="165">
        <v>70.86</v>
      </c>
      <c r="D38" s="165">
        <v>71.58</v>
      </c>
      <c r="E38" s="165">
        <v>9.38</v>
      </c>
      <c r="F38" s="165">
        <v>3.55</v>
      </c>
      <c r="G38" s="165">
        <v>68.66</v>
      </c>
      <c r="H38" s="165">
        <v>30.01</v>
      </c>
      <c r="I38" s="165">
        <v>8.34</v>
      </c>
      <c r="J38" s="165">
        <v>0.11</v>
      </c>
      <c r="K38" s="165">
        <v>231.23</v>
      </c>
      <c r="L38" s="165">
        <v>24.76</v>
      </c>
      <c r="M38" s="165">
        <v>58.82</v>
      </c>
      <c r="N38" s="165">
        <v>79.2</v>
      </c>
      <c r="O38" s="165">
        <v>0</v>
      </c>
      <c r="P38" s="165">
        <v>0.92</v>
      </c>
      <c r="Q38" s="165">
        <v>7.25</v>
      </c>
      <c r="R38" s="13"/>
      <c r="S38" s="13"/>
      <c r="T38" s="213"/>
      <c r="U38" s="13"/>
    </row>
    <row r="39" customFormat="1" spans="1:21">
      <c r="A39" s="142" t="s">
        <v>853</v>
      </c>
      <c r="B39" s="165">
        <v>40.58</v>
      </c>
      <c r="C39" s="165">
        <v>71.79</v>
      </c>
      <c r="D39" s="165">
        <v>71.4</v>
      </c>
      <c r="E39" s="165">
        <v>9.18</v>
      </c>
      <c r="F39" s="165">
        <v>3.75</v>
      </c>
      <c r="G39" s="165">
        <v>64.77</v>
      </c>
      <c r="H39" s="165">
        <v>28.78</v>
      </c>
      <c r="I39" s="165">
        <v>8.28</v>
      </c>
      <c r="J39" s="165">
        <v>0.21</v>
      </c>
      <c r="K39" s="165">
        <v>164.27</v>
      </c>
      <c r="L39" s="165">
        <v>25.95</v>
      </c>
      <c r="M39" s="165">
        <v>55.1</v>
      </c>
      <c r="N39" s="165">
        <v>182.2</v>
      </c>
      <c r="O39" s="165">
        <v>0</v>
      </c>
      <c r="P39" s="165">
        <v>0.92</v>
      </c>
      <c r="Q39" s="165">
        <v>7.35</v>
      </c>
      <c r="R39" s="13"/>
      <c r="S39" s="13"/>
      <c r="T39" s="213"/>
      <c r="U39" s="13"/>
    </row>
    <row r="40" customFormat="1" spans="1:21">
      <c r="A40" s="142" t="s">
        <v>854</v>
      </c>
      <c r="B40" s="165">
        <v>39.45</v>
      </c>
      <c r="C40" s="165">
        <v>71.98</v>
      </c>
      <c r="D40" s="165">
        <v>70.6</v>
      </c>
      <c r="E40" s="165">
        <v>9.73</v>
      </c>
      <c r="F40" s="165">
        <v>3.78</v>
      </c>
      <c r="G40" s="165">
        <v>55.19</v>
      </c>
      <c r="H40" s="165">
        <v>26.83</v>
      </c>
      <c r="I40" s="165">
        <v>8.21</v>
      </c>
      <c r="J40" s="165">
        <v>0.1</v>
      </c>
      <c r="K40" s="165">
        <v>160.14</v>
      </c>
      <c r="L40" s="165">
        <v>27.43</v>
      </c>
      <c r="M40" s="165">
        <v>47.61</v>
      </c>
      <c r="N40" s="165">
        <v>256.9</v>
      </c>
      <c r="O40" s="165">
        <v>0</v>
      </c>
      <c r="P40" s="165">
        <v>0.9</v>
      </c>
      <c r="Q40" s="165">
        <v>7.36</v>
      </c>
      <c r="R40" s="13"/>
      <c r="S40" s="13"/>
      <c r="T40" s="213"/>
      <c r="U40" s="13"/>
    </row>
    <row r="41" customFormat="1" spans="1:21">
      <c r="A41" s="142" t="s">
        <v>855</v>
      </c>
      <c r="B41" s="165">
        <v>37.83</v>
      </c>
      <c r="C41" s="165">
        <v>72.01</v>
      </c>
      <c r="D41" s="165">
        <v>69.31</v>
      </c>
      <c r="E41" s="165">
        <v>10.14</v>
      </c>
      <c r="F41" s="165">
        <v>3.88</v>
      </c>
      <c r="G41" s="165">
        <v>55.19</v>
      </c>
      <c r="H41" s="165">
        <v>26.83</v>
      </c>
      <c r="I41" s="165">
        <v>8.15</v>
      </c>
      <c r="J41" s="165">
        <v>0.44</v>
      </c>
      <c r="K41" s="165">
        <v>34.94</v>
      </c>
      <c r="L41" s="165">
        <v>28.61</v>
      </c>
      <c r="M41" s="165">
        <v>42.2</v>
      </c>
      <c r="N41" s="165">
        <v>276</v>
      </c>
      <c r="O41" s="165">
        <v>0</v>
      </c>
      <c r="P41" s="165">
        <v>0.89</v>
      </c>
      <c r="Q41" s="165">
        <v>7.27</v>
      </c>
      <c r="R41" s="13"/>
      <c r="S41" s="13"/>
      <c r="T41" s="213"/>
      <c r="U41" s="13"/>
    </row>
    <row r="42" customFormat="1" spans="1:21">
      <c r="A42" s="142" t="s">
        <v>856</v>
      </c>
      <c r="B42" s="165">
        <v>36.56</v>
      </c>
      <c r="C42" s="165">
        <v>72.8</v>
      </c>
      <c r="D42" s="165">
        <v>68.71</v>
      </c>
      <c r="E42" s="165">
        <v>9.55</v>
      </c>
      <c r="F42" s="165">
        <v>4.03</v>
      </c>
      <c r="G42" s="165">
        <v>55.19</v>
      </c>
      <c r="H42" s="165">
        <v>26.83</v>
      </c>
      <c r="I42" s="165">
        <v>8.07</v>
      </c>
      <c r="J42" s="165">
        <v>0.79</v>
      </c>
      <c r="K42" s="165">
        <v>301.18</v>
      </c>
      <c r="L42" s="165">
        <v>28.51</v>
      </c>
      <c r="M42" s="165">
        <v>41.72</v>
      </c>
      <c r="N42" s="165">
        <v>204.4</v>
      </c>
      <c r="O42" s="165">
        <v>0</v>
      </c>
      <c r="P42" s="165">
        <v>0.88</v>
      </c>
      <c r="Q42" s="165">
        <v>7.2</v>
      </c>
      <c r="R42" s="13"/>
      <c r="S42" s="13"/>
      <c r="T42" s="213"/>
      <c r="U42" s="13"/>
    </row>
    <row r="43" customFormat="1" spans="1:21">
      <c r="A43" s="142" t="s">
        <v>857</v>
      </c>
      <c r="B43" s="165">
        <v>34.97</v>
      </c>
      <c r="C43" s="165">
        <v>73.63</v>
      </c>
      <c r="D43" s="165">
        <v>67.86</v>
      </c>
      <c r="E43" s="165">
        <v>9.64</v>
      </c>
      <c r="F43" s="165">
        <v>4.37</v>
      </c>
      <c r="G43" s="165">
        <v>55.17</v>
      </c>
      <c r="H43" s="165">
        <v>26.17</v>
      </c>
      <c r="I43" s="165">
        <v>7.94</v>
      </c>
      <c r="J43" s="165">
        <v>0.65</v>
      </c>
      <c r="K43" s="165">
        <v>23.32</v>
      </c>
      <c r="L43" s="165">
        <v>29.05</v>
      </c>
      <c r="M43" s="165">
        <v>41.42</v>
      </c>
      <c r="N43" s="165">
        <v>189.7</v>
      </c>
      <c r="O43" s="165">
        <v>0</v>
      </c>
      <c r="P43" s="165">
        <v>0.87</v>
      </c>
      <c r="Q43" s="165">
        <v>7.16</v>
      </c>
      <c r="R43" s="13"/>
      <c r="S43" s="13"/>
      <c r="T43" s="213"/>
      <c r="U43" s="13"/>
    </row>
    <row r="44" customFormat="1" spans="1:21">
      <c r="A44" s="142" t="s">
        <v>858</v>
      </c>
      <c r="B44" s="165">
        <v>33.34</v>
      </c>
      <c r="C44" s="165">
        <v>74.01</v>
      </c>
      <c r="D44" s="165">
        <v>66.75</v>
      </c>
      <c r="E44" s="165">
        <v>9.74</v>
      </c>
      <c r="F44" s="165">
        <v>4.47</v>
      </c>
      <c r="G44" s="165">
        <v>55.1</v>
      </c>
      <c r="H44" s="165">
        <v>25.08</v>
      </c>
      <c r="I44" s="165">
        <v>7.81</v>
      </c>
      <c r="J44" s="165">
        <v>0.39</v>
      </c>
      <c r="K44" s="165">
        <v>302.04</v>
      </c>
      <c r="L44" s="165">
        <v>29.67</v>
      </c>
      <c r="M44" s="165">
        <v>38.72</v>
      </c>
      <c r="N44" s="165">
        <v>190.7</v>
      </c>
      <c r="O44" s="165">
        <v>0</v>
      </c>
      <c r="P44" s="165">
        <v>0.86</v>
      </c>
      <c r="Q44" s="165">
        <v>7.1</v>
      </c>
      <c r="R44" s="13"/>
      <c r="S44" s="13"/>
      <c r="T44" s="213"/>
      <c r="U44" s="13"/>
    </row>
    <row r="45" customFormat="1" spans="1:21">
      <c r="A45" s="142" t="s">
        <v>859</v>
      </c>
      <c r="B45" s="165">
        <v>31.34</v>
      </c>
      <c r="C45" s="165">
        <v>74.51</v>
      </c>
      <c r="D45" s="165">
        <v>65.41</v>
      </c>
      <c r="E45" s="165">
        <v>9.57</v>
      </c>
      <c r="F45" s="165">
        <v>4.45</v>
      </c>
      <c r="G45" s="165">
        <v>55.1</v>
      </c>
      <c r="H45" s="165">
        <v>25.08</v>
      </c>
      <c r="I45" s="165">
        <v>7.7</v>
      </c>
      <c r="J45" s="165">
        <v>0.23</v>
      </c>
      <c r="K45" s="165">
        <v>257.43</v>
      </c>
      <c r="L45" s="165">
        <v>30.47</v>
      </c>
      <c r="M45" s="165">
        <v>34.96</v>
      </c>
      <c r="N45" s="165">
        <v>301</v>
      </c>
      <c r="O45" s="165">
        <v>0</v>
      </c>
      <c r="P45" s="165">
        <v>0.84</v>
      </c>
      <c r="Q45" s="165">
        <v>7.01</v>
      </c>
      <c r="R45" s="13"/>
      <c r="S45" s="13"/>
      <c r="T45" s="213"/>
      <c r="U45" s="13"/>
    </row>
    <row r="46" customFormat="1" spans="1:21">
      <c r="A46" s="142" t="s">
        <v>860</v>
      </c>
      <c r="B46" s="165">
        <v>28.62</v>
      </c>
      <c r="C46" s="165">
        <v>72.51</v>
      </c>
      <c r="D46" s="165">
        <v>62.19</v>
      </c>
      <c r="E46" s="165">
        <v>9.81</v>
      </c>
      <c r="F46" s="165">
        <v>6.4</v>
      </c>
      <c r="G46" s="165">
        <v>55.1</v>
      </c>
      <c r="H46" s="165">
        <v>25.08</v>
      </c>
      <c r="I46" s="165">
        <v>7.61</v>
      </c>
      <c r="J46" s="165">
        <v>0.75</v>
      </c>
      <c r="K46" s="165">
        <v>63.27</v>
      </c>
      <c r="L46" s="165">
        <v>31.19</v>
      </c>
      <c r="M46" s="165">
        <v>33.33</v>
      </c>
      <c r="N46" s="165">
        <v>463.7</v>
      </c>
      <c r="O46" s="165">
        <v>0</v>
      </c>
      <c r="P46" s="165">
        <v>0.83</v>
      </c>
      <c r="Q46" s="165">
        <v>6.9</v>
      </c>
      <c r="R46" s="13"/>
      <c r="S46" s="13"/>
      <c r="T46" s="213"/>
      <c r="U46" s="13"/>
    </row>
    <row r="47" customFormat="1" spans="1:21">
      <c r="A47" s="142" t="s">
        <v>861</v>
      </c>
      <c r="B47" s="165">
        <v>26.43</v>
      </c>
      <c r="C47" s="165">
        <v>73.81</v>
      </c>
      <c r="D47" s="165">
        <v>61.11</v>
      </c>
      <c r="E47" s="165">
        <v>9.48</v>
      </c>
      <c r="F47" s="165">
        <v>5.78</v>
      </c>
      <c r="G47" s="165">
        <v>53.25</v>
      </c>
      <c r="H47" s="165">
        <v>24.75</v>
      </c>
      <c r="I47" s="165">
        <v>7.47</v>
      </c>
      <c r="J47" s="165">
        <v>0.25</v>
      </c>
      <c r="K47" s="165">
        <v>302.82</v>
      </c>
      <c r="L47" s="165">
        <v>31.83</v>
      </c>
      <c r="M47" s="165">
        <v>32.09</v>
      </c>
      <c r="N47" s="165">
        <v>518.4</v>
      </c>
      <c r="O47" s="165">
        <v>0</v>
      </c>
      <c r="P47" s="165">
        <v>0.81</v>
      </c>
      <c r="Q47" s="165">
        <v>6.79</v>
      </c>
      <c r="R47" s="13"/>
      <c r="S47" s="13"/>
      <c r="T47" s="213"/>
      <c r="U47" s="13"/>
    </row>
    <row r="48" customFormat="1" spans="1:21">
      <c r="A48" s="142" t="s">
        <v>862</v>
      </c>
      <c r="B48" s="165">
        <v>24.59</v>
      </c>
      <c r="C48" s="165">
        <v>75.92</v>
      </c>
      <c r="D48" s="165">
        <v>60.74</v>
      </c>
      <c r="E48" s="165">
        <v>9.45</v>
      </c>
      <c r="F48" s="165">
        <v>4.84</v>
      </c>
      <c r="G48" s="165">
        <v>48.68</v>
      </c>
      <c r="H48" s="165">
        <v>24.23</v>
      </c>
      <c r="I48" s="165">
        <v>7.31</v>
      </c>
      <c r="J48" s="165">
        <v>0.62</v>
      </c>
      <c r="K48" s="165">
        <v>234.67</v>
      </c>
      <c r="L48" s="165">
        <v>32.39</v>
      </c>
      <c r="M48" s="165">
        <v>31.55</v>
      </c>
      <c r="N48" s="165">
        <v>440</v>
      </c>
      <c r="O48" s="165">
        <v>0</v>
      </c>
      <c r="P48" s="165">
        <v>0.8</v>
      </c>
      <c r="Q48" s="165">
        <v>6.73</v>
      </c>
      <c r="R48" s="13"/>
      <c r="S48" s="13"/>
      <c r="T48" s="213"/>
      <c r="U48" s="13"/>
    </row>
    <row r="49" customFormat="1" spans="1:21">
      <c r="A49" s="142" t="s">
        <v>863</v>
      </c>
      <c r="B49" s="165">
        <v>22.48</v>
      </c>
      <c r="C49" s="165">
        <v>76.65</v>
      </c>
      <c r="D49" s="165">
        <v>59.42</v>
      </c>
      <c r="E49" s="165">
        <v>8.58</v>
      </c>
      <c r="F49" s="165">
        <v>4.61</v>
      </c>
      <c r="G49" s="165">
        <v>48.68</v>
      </c>
      <c r="H49" s="165">
        <v>24.23</v>
      </c>
      <c r="I49" s="165">
        <v>7.17</v>
      </c>
      <c r="J49" s="165">
        <v>0.64</v>
      </c>
      <c r="K49" s="165">
        <v>233.87</v>
      </c>
      <c r="L49" s="165">
        <v>32.5</v>
      </c>
      <c r="M49" s="165">
        <v>31.16</v>
      </c>
      <c r="N49" s="165">
        <v>564.6</v>
      </c>
      <c r="O49" s="165">
        <v>0</v>
      </c>
      <c r="P49" s="165">
        <v>0.78</v>
      </c>
      <c r="Q49" s="165">
        <v>6.56</v>
      </c>
      <c r="R49" s="13"/>
      <c r="S49" s="13"/>
      <c r="T49" s="213"/>
      <c r="U49" s="13"/>
    </row>
    <row r="50" customFormat="1" spans="1:21">
      <c r="A50" s="142" t="s">
        <v>864</v>
      </c>
      <c r="B50" s="165">
        <v>19.35</v>
      </c>
      <c r="C50" s="165">
        <v>75.6</v>
      </c>
      <c r="D50" s="165">
        <v>56.37</v>
      </c>
      <c r="E50" s="165">
        <v>9.98</v>
      </c>
      <c r="F50" s="165">
        <v>6.11</v>
      </c>
      <c r="G50" s="165">
        <v>48.68</v>
      </c>
      <c r="H50" s="165">
        <v>24.23</v>
      </c>
      <c r="I50" s="165">
        <v>7.08</v>
      </c>
      <c r="J50" s="165">
        <v>0.46</v>
      </c>
      <c r="K50" s="165">
        <v>232.45</v>
      </c>
      <c r="L50" s="165">
        <v>33.78</v>
      </c>
      <c r="M50" s="165">
        <v>29.5</v>
      </c>
      <c r="N50" s="165">
        <v>438.6</v>
      </c>
      <c r="O50" s="165">
        <v>0</v>
      </c>
      <c r="P50" s="165">
        <v>0.75</v>
      </c>
      <c r="Q50" s="165">
        <v>6.42</v>
      </c>
      <c r="R50" s="13"/>
      <c r="S50" s="13"/>
      <c r="T50" s="213"/>
      <c r="U50" s="13"/>
    </row>
    <row r="51" customFormat="1" spans="1:21">
      <c r="A51" s="142" t="s">
        <v>865</v>
      </c>
      <c r="B51" s="165">
        <v>16.12</v>
      </c>
      <c r="C51" s="165">
        <v>74.14</v>
      </c>
      <c r="D51" s="165">
        <v>53.01</v>
      </c>
      <c r="E51" s="165">
        <v>10.63</v>
      </c>
      <c r="F51" s="165">
        <v>7.59</v>
      </c>
      <c r="G51" s="165">
        <v>48.43</v>
      </c>
      <c r="H51" s="165">
        <v>23.88</v>
      </c>
      <c r="I51" s="165">
        <v>6.98</v>
      </c>
      <c r="J51" s="165">
        <v>0.73</v>
      </c>
      <c r="K51" s="165">
        <v>273.25</v>
      </c>
      <c r="L51" s="165">
        <v>33.57</v>
      </c>
      <c r="M51" s="165">
        <v>30</v>
      </c>
      <c r="N51" s="165">
        <v>669.8</v>
      </c>
      <c r="O51" s="165">
        <v>0</v>
      </c>
      <c r="P51" s="165">
        <v>0.74</v>
      </c>
      <c r="Q51" s="165">
        <v>6.29</v>
      </c>
      <c r="R51" s="13"/>
      <c r="S51" s="13"/>
      <c r="T51" s="213"/>
      <c r="U51" s="13"/>
    </row>
    <row r="52" customFormat="1" spans="1:21">
      <c r="A52" s="142" t="s">
        <v>866</v>
      </c>
      <c r="B52" s="165">
        <v>14.35</v>
      </c>
      <c r="C52" s="165">
        <v>76.22</v>
      </c>
      <c r="D52" s="165">
        <v>52.68</v>
      </c>
      <c r="E52" s="165">
        <v>10.93</v>
      </c>
      <c r="F52" s="165">
        <v>7.46</v>
      </c>
      <c r="G52" s="165">
        <v>47.8</v>
      </c>
      <c r="H52" s="165">
        <v>23.32</v>
      </c>
      <c r="I52" s="165">
        <v>6.82</v>
      </c>
      <c r="J52" s="165">
        <v>0.68</v>
      </c>
      <c r="K52" s="165">
        <v>260.74</v>
      </c>
      <c r="L52" s="165">
        <v>34.42</v>
      </c>
      <c r="M52" s="165">
        <v>28.92</v>
      </c>
      <c r="N52" s="165">
        <v>690.5</v>
      </c>
      <c r="O52" s="165">
        <v>0</v>
      </c>
      <c r="P52" s="165">
        <v>0.74</v>
      </c>
      <c r="Q52" s="165">
        <v>6.17</v>
      </c>
      <c r="R52" s="13"/>
      <c r="S52" s="13"/>
      <c r="T52" s="213"/>
      <c r="U52" s="13"/>
    </row>
    <row r="53" customFormat="1" spans="1:21">
      <c r="A53" s="142" t="s">
        <v>867</v>
      </c>
      <c r="B53" s="165">
        <v>11.73</v>
      </c>
      <c r="C53" s="165">
        <v>75.51</v>
      </c>
      <c r="D53" s="165">
        <v>50.21</v>
      </c>
      <c r="E53" s="165">
        <v>11.01</v>
      </c>
      <c r="F53" s="165">
        <v>10.2</v>
      </c>
      <c r="G53" s="165">
        <v>47.8</v>
      </c>
      <c r="H53" s="165">
        <v>23.32</v>
      </c>
      <c r="I53" s="165">
        <v>6.69</v>
      </c>
      <c r="J53" s="165">
        <v>0.75</v>
      </c>
      <c r="K53" s="165">
        <v>269.05</v>
      </c>
      <c r="L53" s="165">
        <v>34.48</v>
      </c>
      <c r="M53" s="165">
        <v>28.54</v>
      </c>
      <c r="N53" s="165">
        <v>659.4</v>
      </c>
      <c r="O53" s="165">
        <v>0</v>
      </c>
      <c r="P53" s="165">
        <v>0.72</v>
      </c>
      <c r="Q53" s="165">
        <v>6.03</v>
      </c>
      <c r="R53" s="13"/>
      <c r="S53" s="13"/>
      <c r="T53" s="213"/>
      <c r="U53" s="13"/>
    </row>
    <row r="54" customFormat="1" spans="1:21">
      <c r="A54" s="142" t="s">
        <v>868</v>
      </c>
      <c r="B54" s="165">
        <v>8.96</v>
      </c>
      <c r="C54" s="165">
        <v>72.23</v>
      </c>
      <c r="D54" s="165">
        <v>46.28</v>
      </c>
      <c r="E54" s="165">
        <v>11.95</v>
      </c>
      <c r="F54" s="165">
        <v>10.26</v>
      </c>
      <c r="G54" s="165">
        <v>47.8</v>
      </c>
      <c r="H54" s="165">
        <v>23.32</v>
      </c>
      <c r="I54" s="165">
        <v>6.63</v>
      </c>
      <c r="J54" s="165">
        <v>0.48</v>
      </c>
      <c r="K54" s="165">
        <v>243.22</v>
      </c>
      <c r="L54" s="165">
        <v>35.36</v>
      </c>
      <c r="M54" s="165">
        <v>26.77</v>
      </c>
      <c r="N54" s="165">
        <v>747</v>
      </c>
      <c r="O54" s="165">
        <v>0</v>
      </c>
      <c r="P54" s="165">
        <v>0.7</v>
      </c>
      <c r="Q54" s="165">
        <v>5.84</v>
      </c>
      <c r="R54" s="13"/>
      <c r="S54" s="13"/>
      <c r="T54" s="213"/>
      <c r="U54" s="13"/>
    </row>
    <row r="55" customFormat="1" spans="1:21">
      <c r="A55" s="142" t="s">
        <v>869</v>
      </c>
      <c r="B55" s="165">
        <v>7.88</v>
      </c>
      <c r="C55" s="165">
        <v>73.76</v>
      </c>
      <c r="D55" s="165">
        <v>46.21</v>
      </c>
      <c r="E55" s="165">
        <v>10.85</v>
      </c>
      <c r="F55" s="165">
        <v>10.35</v>
      </c>
      <c r="G55" s="165">
        <v>47.93</v>
      </c>
      <c r="H55" s="165">
        <v>23.6</v>
      </c>
      <c r="I55" s="165">
        <v>6.48</v>
      </c>
      <c r="J55" s="165">
        <v>0.87</v>
      </c>
      <c r="K55" s="165">
        <v>233.49</v>
      </c>
      <c r="L55" s="165">
        <v>35.72</v>
      </c>
      <c r="M55" s="165">
        <v>26.72</v>
      </c>
      <c r="N55" s="165">
        <v>753.1</v>
      </c>
      <c r="O55" s="165">
        <v>0</v>
      </c>
      <c r="P55" s="165">
        <v>0.68</v>
      </c>
      <c r="Q55" s="165">
        <v>5.72</v>
      </c>
      <c r="R55" s="13"/>
      <c r="S55" s="13"/>
      <c r="T55" s="213"/>
      <c r="U55" s="13"/>
    </row>
    <row r="56" customFormat="1" spans="1:21">
      <c r="A56" s="142" t="s">
        <v>870</v>
      </c>
      <c r="B56" s="165">
        <v>7</v>
      </c>
      <c r="C56" s="165">
        <v>70.22</v>
      </c>
      <c r="D56" s="165">
        <v>43.65</v>
      </c>
      <c r="E56" s="165">
        <v>11.07</v>
      </c>
      <c r="F56" s="165">
        <v>10.89</v>
      </c>
      <c r="G56" s="165">
        <v>48.24</v>
      </c>
      <c r="H56" s="165">
        <v>24.04</v>
      </c>
      <c r="I56" s="165">
        <v>6.32</v>
      </c>
      <c r="J56" s="165">
        <v>1.09</v>
      </c>
      <c r="K56" s="165">
        <v>255.79</v>
      </c>
      <c r="L56" s="165">
        <v>35.63</v>
      </c>
      <c r="M56" s="165">
        <v>26.77</v>
      </c>
      <c r="N56" s="165">
        <v>773.3</v>
      </c>
      <c r="O56" s="165">
        <v>0</v>
      </c>
      <c r="P56" s="165">
        <v>0.67</v>
      </c>
      <c r="Q56" s="165">
        <v>5.6</v>
      </c>
      <c r="R56" s="13"/>
      <c r="S56" s="13"/>
      <c r="T56" s="213"/>
      <c r="U56" s="13"/>
    </row>
    <row r="57" customFormat="1" spans="1:21">
      <c r="A57" s="142" t="s">
        <v>871</v>
      </c>
      <c r="B57" s="165">
        <v>6.2</v>
      </c>
      <c r="C57" s="165">
        <v>70.07</v>
      </c>
      <c r="D57" s="165">
        <v>42.93</v>
      </c>
      <c r="E57" s="165">
        <v>11.29</v>
      </c>
      <c r="F57" s="165">
        <v>10.98</v>
      </c>
      <c r="G57" s="165">
        <v>48.24</v>
      </c>
      <c r="H57" s="165">
        <v>24.04</v>
      </c>
      <c r="I57" s="165">
        <v>6.22</v>
      </c>
      <c r="J57" s="165">
        <v>0.4</v>
      </c>
      <c r="K57" s="165">
        <v>224.18</v>
      </c>
      <c r="L57" s="165">
        <v>36.07</v>
      </c>
      <c r="M57" s="165">
        <v>26.67</v>
      </c>
      <c r="N57" s="165">
        <v>769.3</v>
      </c>
      <c r="O57" s="165">
        <v>0</v>
      </c>
      <c r="P57" s="165">
        <v>0.65</v>
      </c>
      <c r="Q57" s="165">
        <v>5.5</v>
      </c>
      <c r="R57" s="13"/>
      <c r="S57" s="13"/>
      <c r="T57" s="213"/>
      <c r="U57" s="13"/>
    </row>
    <row r="58" customFormat="1" spans="1:21">
      <c r="A58" s="142" t="s">
        <v>872</v>
      </c>
      <c r="B58" s="165">
        <v>5.77</v>
      </c>
      <c r="C58" s="165">
        <v>62.6</v>
      </c>
      <c r="D58" s="165">
        <v>38.69</v>
      </c>
      <c r="E58" s="165">
        <v>12.84</v>
      </c>
      <c r="F58" s="165">
        <v>18.54</v>
      </c>
      <c r="G58" s="165">
        <v>48.24</v>
      </c>
      <c r="H58" s="165">
        <v>24.04</v>
      </c>
      <c r="I58" s="165">
        <v>6.11</v>
      </c>
      <c r="J58" s="165">
        <v>0.9</v>
      </c>
      <c r="K58" s="165">
        <v>247.56</v>
      </c>
      <c r="L58" s="165">
        <v>36.23</v>
      </c>
      <c r="M58" s="165">
        <v>25.91</v>
      </c>
      <c r="N58" s="165">
        <v>779.8</v>
      </c>
      <c r="O58" s="165">
        <v>0</v>
      </c>
      <c r="P58" s="165">
        <v>0.63</v>
      </c>
      <c r="Q58" s="165">
        <v>5.43</v>
      </c>
      <c r="R58" s="13"/>
      <c r="S58" s="13"/>
      <c r="T58" s="213"/>
      <c r="U58" s="13"/>
    </row>
    <row r="59" customFormat="1" spans="1:21">
      <c r="A59" s="142" t="s">
        <v>873</v>
      </c>
      <c r="B59" s="165">
        <v>5.94</v>
      </c>
      <c r="C59" s="165">
        <v>64.37</v>
      </c>
      <c r="D59" s="165">
        <v>39.75</v>
      </c>
      <c r="E59" s="165">
        <v>11.56</v>
      </c>
      <c r="F59" s="165">
        <v>16.84</v>
      </c>
      <c r="G59" s="165">
        <v>47.28</v>
      </c>
      <c r="H59" s="165">
        <v>23.88</v>
      </c>
      <c r="I59" s="165">
        <v>5.87</v>
      </c>
      <c r="J59" s="165">
        <v>0.8</v>
      </c>
      <c r="K59" s="165">
        <v>254.83</v>
      </c>
      <c r="L59" s="165">
        <v>36.16</v>
      </c>
      <c r="M59" s="165">
        <v>25.92</v>
      </c>
      <c r="N59" s="165">
        <v>788.7</v>
      </c>
      <c r="O59" s="165">
        <v>0</v>
      </c>
      <c r="P59" s="165">
        <v>0.62</v>
      </c>
      <c r="Q59" s="165">
        <v>5.32</v>
      </c>
      <c r="R59" s="13"/>
      <c r="S59" s="13"/>
      <c r="T59" s="213"/>
      <c r="U59" s="13"/>
    </row>
    <row r="60" customFormat="1" spans="1:21">
      <c r="A60" s="142" t="s">
        <v>874</v>
      </c>
      <c r="B60" s="165">
        <v>5.99</v>
      </c>
      <c r="C60" s="165">
        <v>62.2</v>
      </c>
      <c r="D60" s="165">
        <v>38.65</v>
      </c>
      <c r="E60" s="165">
        <v>11.88</v>
      </c>
      <c r="F60" s="165">
        <v>12.19</v>
      </c>
      <c r="G60" s="165">
        <v>44.93</v>
      </c>
      <c r="H60" s="165">
        <v>23.29</v>
      </c>
      <c r="I60" s="165">
        <v>5.68</v>
      </c>
      <c r="J60" s="165">
        <v>0.83</v>
      </c>
      <c r="K60" s="165">
        <v>236.73</v>
      </c>
      <c r="L60" s="165">
        <v>36.56</v>
      </c>
      <c r="M60" s="165">
        <v>24.42</v>
      </c>
      <c r="N60" s="165">
        <v>810.9</v>
      </c>
      <c r="O60" s="165">
        <v>0</v>
      </c>
      <c r="P60" s="165">
        <v>0.6</v>
      </c>
      <c r="Q60" s="165">
        <v>5.25</v>
      </c>
      <c r="R60" s="13"/>
      <c r="S60" s="13"/>
      <c r="T60" s="213"/>
      <c r="U60" s="13"/>
    </row>
    <row r="61" customFormat="1" spans="1:21">
      <c r="A61" s="142" t="s">
        <v>875</v>
      </c>
      <c r="B61" s="165">
        <v>6.04</v>
      </c>
      <c r="C61" s="165">
        <v>65.3</v>
      </c>
      <c r="D61" s="165">
        <v>40.32</v>
      </c>
      <c r="E61" s="165">
        <v>10.83</v>
      </c>
      <c r="F61" s="165">
        <v>10.26</v>
      </c>
      <c r="G61" s="165">
        <v>44.93</v>
      </c>
      <c r="H61" s="165">
        <v>23.29</v>
      </c>
      <c r="I61" s="165">
        <v>5.55</v>
      </c>
      <c r="J61" s="165">
        <v>0.92</v>
      </c>
      <c r="K61" s="165">
        <v>261.64</v>
      </c>
      <c r="L61" s="165">
        <v>36.23</v>
      </c>
      <c r="M61" s="165">
        <v>24.25</v>
      </c>
      <c r="N61" s="165">
        <v>448</v>
      </c>
      <c r="O61" s="165">
        <v>0</v>
      </c>
      <c r="P61" s="165">
        <v>0.6</v>
      </c>
      <c r="Q61" s="165">
        <v>5.16</v>
      </c>
      <c r="R61" s="13"/>
      <c r="S61" s="13"/>
      <c r="T61" s="213"/>
      <c r="U61" s="13"/>
    </row>
    <row r="62" customFormat="1" spans="1:21">
      <c r="A62" s="142" t="s">
        <v>876</v>
      </c>
      <c r="B62" s="165">
        <v>5.92</v>
      </c>
      <c r="C62" s="165">
        <v>60.26</v>
      </c>
      <c r="D62" s="165">
        <v>37.58</v>
      </c>
      <c r="E62" s="165">
        <v>11.68</v>
      </c>
      <c r="F62" s="165">
        <v>13.39</v>
      </c>
      <c r="G62" s="165">
        <v>44.93</v>
      </c>
      <c r="H62" s="165">
        <v>23.29</v>
      </c>
      <c r="I62" s="165">
        <v>5.52</v>
      </c>
      <c r="J62" s="165">
        <v>0.76</v>
      </c>
      <c r="K62" s="165">
        <v>243.1</v>
      </c>
      <c r="L62" s="165">
        <v>35.88</v>
      </c>
      <c r="M62" s="165">
        <v>25.27</v>
      </c>
      <c r="N62" s="165">
        <v>396.8</v>
      </c>
      <c r="O62" s="165">
        <v>0</v>
      </c>
      <c r="P62" s="165">
        <v>0.57</v>
      </c>
      <c r="Q62" s="165">
        <v>5.1</v>
      </c>
      <c r="R62" s="13"/>
      <c r="S62" s="13"/>
      <c r="T62" s="213"/>
      <c r="U62" s="13"/>
    </row>
    <row r="63" customFormat="1" spans="1:21">
      <c r="A63" s="142" t="s">
        <v>877</v>
      </c>
      <c r="B63" s="165">
        <v>5.88</v>
      </c>
      <c r="C63" s="165">
        <v>58.11</v>
      </c>
      <c r="D63" s="165">
        <v>36.43</v>
      </c>
      <c r="E63" s="165">
        <v>12.54</v>
      </c>
      <c r="F63" s="165">
        <v>23.01</v>
      </c>
      <c r="G63" s="165">
        <v>42.3</v>
      </c>
      <c r="H63" s="165">
        <v>21.75</v>
      </c>
      <c r="I63" s="165">
        <v>5.44</v>
      </c>
      <c r="J63" s="165">
        <v>0.96</v>
      </c>
      <c r="K63" s="165">
        <v>286.54</v>
      </c>
      <c r="L63" s="165">
        <v>35.97</v>
      </c>
      <c r="M63" s="165">
        <v>25.18</v>
      </c>
      <c r="N63" s="165">
        <v>718.2</v>
      </c>
      <c r="O63" s="165">
        <v>0</v>
      </c>
      <c r="P63" s="165">
        <v>0.56</v>
      </c>
      <c r="Q63" s="165">
        <v>5.07</v>
      </c>
      <c r="R63" s="13"/>
      <c r="S63" s="13"/>
      <c r="T63" s="213"/>
      <c r="U63" s="13"/>
    </row>
    <row r="64" customFormat="1" spans="1:21">
      <c r="A64" s="142" t="s">
        <v>878</v>
      </c>
      <c r="B64" s="165">
        <v>6.17</v>
      </c>
      <c r="C64" s="165">
        <v>59.67</v>
      </c>
      <c r="D64" s="165">
        <v>37.47</v>
      </c>
      <c r="E64" s="165">
        <v>13.69</v>
      </c>
      <c r="F64" s="165">
        <v>21.22</v>
      </c>
      <c r="G64" s="165">
        <v>35.84</v>
      </c>
      <c r="H64" s="165">
        <v>19.22</v>
      </c>
      <c r="I64" s="165">
        <v>5.34</v>
      </c>
      <c r="J64" s="165">
        <v>0.69</v>
      </c>
      <c r="K64" s="165">
        <v>292.05</v>
      </c>
      <c r="L64" s="165">
        <v>36.87</v>
      </c>
      <c r="M64" s="165">
        <v>23.92</v>
      </c>
      <c r="N64" s="165">
        <v>718.6</v>
      </c>
      <c r="O64" s="165">
        <v>0</v>
      </c>
      <c r="P64" s="165">
        <v>0.56</v>
      </c>
      <c r="Q64" s="165">
        <v>5.07</v>
      </c>
      <c r="R64" s="13"/>
      <c r="S64" s="13"/>
      <c r="T64" s="213"/>
      <c r="U64" s="13"/>
    </row>
    <row r="65" customFormat="1" spans="1:21">
      <c r="A65" s="142" t="s">
        <v>879</v>
      </c>
      <c r="B65" s="165">
        <v>5.98</v>
      </c>
      <c r="C65" s="165">
        <v>59.69</v>
      </c>
      <c r="D65" s="165">
        <v>37.33</v>
      </c>
      <c r="E65" s="165">
        <v>13.8</v>
      </c>
      <c r="F65" s="165">
        <v>21.53</v>
      </c>
      <c r="G65" s="165">
        <v>35.84</v>
      </c>
      <c r="H65" s="165">
        <v>19.22</v>
      </c>
      <c r="I65" s="165">
        <v>5.17</v>
      </c>
      <c r="J65" s="165">
        <v>0.39</v>
      </c>
      <c r="K65" s="165">
        <v>285.08</v>
      </c>
      <c r="L65" s="165">
        <v>37.16</v>
      </c>
      <c r="M65" s="165">
        <v>23.81</v>
      </c>
      <c r="N65" s="165">
        <v>659.7</v>
      </c>
      <c r="O65" s="165">
        <v>0</v>
      </c>
      <c r="P65" s="165">
        <v>0.59</v>
      </c>
      <c r="Q65" s="165">
        <v>5.05</v>
      </c>
      <c r="R65" s="13"/>
      <c r="S65" s="13"/>
      <c r="T65" s="213"/>
      <c r="U65" s="13"/>
    </row>
    <row r="66" customFormat="1" spans="1:21">
      <c r="A66" s="142" t="s">
        <v>880</v>
      </c>
      <c r="B66" s="165">
        <v>5.55</v>
      </c>
      <c r="C66" s="165">
        <v>55.49</v>
      </c>
      <c r="D66" s="165">
        <v>34.8</v>
      </c>
      <c r="E66" s="165">
        <v>15.67</v>
      </c>
      <c r="F66" s="165">
        <v>26.09</v>
      </c>
      <c r="G66" s="165">
        <v>35.84</v>
      </c>
      <c r="H66" s="165">
        <v>19.22</v>
      </c>
      <c r="I66" s="165">
        <v>5.13</v>
      </c>
      <c r="J66" s="165">
        <v>0.43</v>
      </c>
      <c r="K66" s="165">
        <v>182.84</v>
      </c>
      <c r="L66" s="165">
        <v>37.72</v>
      </c>
      <c r="M66" s="165">
        <v>23.52</v>
      </c>
      <c r="N66" s="165">
        <v>589.3</v>
      </c>
      <c r="O66" s="165">
        <v>0</v>
      </c>
      <c r="P66" s="165">
        <v>0.61</v>
      </c>
      <c r="Q66" s="165">
        <v>5.05</v>
      </c>
      <c r="R66" s="13"/>
      <c r="S66" s="13"/>
      <c r="T66" s="213"/>
      <c r="U66" s="13"/>
    </row>
    <row r="67" customFormat="1" spans="1:21">
      <c r="A67" s="142" t="s">
        <v>881</v>
      </c>
      <c r="B67" s="165">
        <v>5.65</v>
      </c>
      <c r="C67" s="165">
        <v>57.84</v>
      </c>
      <c r="D67" s="165">
        <v>36.11</v>
      </c>
      <c r="E67" s="165">
        <v>13.72</v>
      </c>
      <c r="F67" s="165">
        <v>21.55</v>
      </c>
      <c r="G67" s="165">
        <v>37.78</v>
      </c>
      <c r="H67" s="165">
        <v>19.81</v>
      </c>
      <c r="I67" s="165">
        <v>5.17</v>
      </c>
      <c r="J67" s="165">
        <v>0.56</v>
      </c>
      <c r="K67" s="165">
        <v>199.2</v>
      </c>
      <c r="L67" s="165">
        <v>37.94</v>
      </c>
      <c r="M67" s="165">
        <v>22.91</v>
      </c>
      <c r="N67" s="165">
        <v>581.2</v>
      </c>
      <c r="O67" s="165">
        <v>0</v>
      </c>
      <c r="P67" s="165">
        <v>0.62</v>
      </c>
      <c r="Q67" s="165">
        <v>4.99</v>
      </c>
      <c r="R67" s="13"/>
      <c r="S67" s="13"/>
      <c r="T67" s="213"/>
      <c r="U67" s="13"/>
    </row>
    <row r="68" customFormat="1" spans="1:21">
      <c r="A68" s="142" t="s">
        <v>882</v>
      </c>
      <c r="B68" s="165">
        <v>5.41</v>
      </c>
      <c r="C68" s="165">
        <v>55.83</v>
      </c>
      <c r="D68" s="165">
        <v>34.86</v>
      </c>
      <c r="E68" s="165">
        <v>14.12</v>
      </c>
      <c r="F68" s="165">
        <v>23.92</v>
      </c>
      <c r="G68" s="165">
        <v>42.56</v>
      </c>
      <c r="H68" s="165">
        <v>20.74</v>
      </c>
      <c r="I68" s="165">
        <v>5.25</v>
      </c>
      <c r="J68" s="165">
        <v>0.77</v>
      </c>
      <c r="K68" s="165">
        <v>244.14</v>
      </c>
      <c r="L68" s="165">
        <v>37.53</v>
      </c>
      <c r="M68" s="165">
        <v>23.41</v>
      </c>
      <c r="N68" s="165">
        <v>581.3</v>
      </c>
      <c r="O68" s="165">
        <v>0</v>
      </c>
      <c r="P68" s="165">
        <v>0.61</v>
      </c>
      <c r="Q68" s="165">
        <v>5</v>
      </c>
      <c r="R68" s="13"/>
      <c r="S68" s="13"/>
      <c r="T68" s="213"/>
      <c r="U68" s="13"/>
    </row>
    <row r="69" customFormat="1" spans="1:21">
      <c r="A69" s="142" t="s">
        <v>883</v>
      </c>
      <c r="B69" s="165">
        <v>5.54</v>
      </c>
      <c r="C69" s="165">
        <v>58.46</v>
      </c>
      <c r="D69" s="165">
        <v>36.34</v>
      </c>
      <c r="E69" s="165">
        <v>13.85</v>
      </c>
      <c r="F69" s="165">
        <v>21.15</v>
      </c>
      <c r="G69" s="165">
        <v>42.56</v>
      </c>
      <c r="H69" s="165">
        <v>20.74</v>
      </c>
      <c r="I69" s="165">
        <v>5.29</v>
      </c>
      <c r="J69" s="165">
        <v>0.8</v>
      </c>
      <c r="K69" s="165">
        <v>290.87</v>
      </c>
      <c r="L69" s="165">
        <v>37.24</v>
      </c>
      <c r="M69" s="165">
        <v>22.46</v>
      </c>
      <c r="N69" s="165">
        <v>563.3</v>
      </c>
      <c r="O69" s="165">
        <v>0</v>
      </c>
      <c r="P69" s="165">
        <v>0.6</v>
      </c>
      <c r="Q69" s="165">
        <v>4.94</v>
      </c>
      <c r="R69" s="13"/>
      <c r="S69" s="13"/>
      <c r="T69" s="213"/>
      <c r="U69" s="13"/>
    </row>
    <row r="70" customFormat="1" spans="1:21">
      <c r="A70" s="142" t="s">
        <v>884</v>
      </c>
      <c r="B70" s="165">
        <v>5.35</v>
      </c>
      <c r="C70" s="165">
        <v>56.54</v>
      </c>
      <c r="D70" s="165">
        <v>35.18</v>
      </c>
      <c r="E70" s="165">
        <v>14.09</v>
      </c>
      <c r="F70" s="165">
        <v>28.12</v>
      </c>
      <c r="G70" s="165">
        <v>42.56</v>
      </c>
      <c r="H70" s="165">
        <v>20.74</v>
      </c>
      <c r="I70" s="165">
        <v>5.31</v>
      </c>
      <c r="J70" s="165">
        <v>0.56</v>
      </c>
      <c r="K70" s="165">
        <v>265.65</v>
      </c>
      <c r="L70" s="165">
        <v>37.3</v>
      </c>
      <c r="M70" s="165">
        <v>22.21</v>
      </c>
      <c r="N70" s="165">
        <v>486.8</v>
      </c>
      <c r="O70" s="165">
        <v>0</v>
      </c>
      <c r="P70" s="165">
        <v>0.59</v>
      </c>
      <c r="Q70" s="165">
        <v>4.93</v>
      </c>
      <c r="R70" s="13"/>
      <c r="S70" s="13"/>
      <c r="T70" s="213"/>
      <c r="U70" s="13"/>
    </row>
    <row r="71" customFormat="1" spans="1:21">
      <c r="A71" s="142" t="s">
        <v>885</v>
      </c>
      <c r="B71" s="165">
        <v>5.59</v>
      </c>
      <c r="C71" s="165">
        <v>57.53</v>
      </c>
      <c r="D71" s="165">
        <v>35.9</v>
      </c>
      <c r="E71" s="165">
        <v>14.23</v>
      </c>
      <c r="F71" s="165">
        <v>21.21</v>
      </c>
      <c r="G71" s="165">
        <v>41.79</v>
      </c>
      <c r="H71" s="165">
        <v>19.72</v>
      </c>
      <c r="I71" s="165">
        <v>5.2</v>
      </c>
      <c r="J71" s="165">
        <v>1.27</v>
      </c>
      <c r="K71" s="165">
        <v>284.39</v>
      </c>
      <c r="L71" s="165">
        <v>36.8</v>
      </c>
      <c r="M71" s="165">
        <v>22.64</v>
      </c>
      <c r="N71" s="165">
        <v>428</v>
      </c>
      <c r="O71" s="165">
        <v>0</v>
      </c>
      <c r="P71" s="165">
        <v>0.59</v>
      </c>
      <c r="Q71" s="165">
        <v>4.91</v>
      </c>
      <c r="R71" s="13"/>
      <c r="S71" s="13"/>
      <c r="T71" s="213"/>
      <c r="U71" s="13"/>
    </row>
    <row r="72" customFormat="1" spans="1:21">
      <c r="A72" s="142" t="s">
        <v>886</v>
      </c>
      <c r="B72" s="165">
        <v>5.41</v>
      </c>
      <c r="C72" s="165">
        <v>55.76</v>
      </c>
      <c r="D72" s="165">
        <v>34.82</v>
      </c>
      <c r="E72" s="165">
        <v>13.39</v>
      </c>
      <c r="F72" s="165">
        <v>20.62</v>
      </c>
      <c r="G72" s="165">
        <v>39.89</v>
      </c>
      <c r="H72" s="165">
        <v>18.12</v>
      </c>
      <c r="I72" s="165">
        <v>5.11</v>
      </c>
      <c r="J72" s="165">
        <v>0.88</v>
      </c>
      <c r="K72" s="165">
        <v>237.63</v>
      </c>
      <c r="L72" s="165">
        <v>36.29</v>
      </c>
      <c r="M72" s="165">
        <v>23.39</v>
      </c>
      <c r="N72" s="165">
        <v>208.9</v>
      </c>
      <c r="O72" s="165">
        <v>0</v>
      </c>
      <c r="P72" s="165">
        <v>0.59</v>
      </c>
      <c r="Q72" s="165">
        <v>4.9</v>
      </c>
      <c r="R72" s="13"/>
      <c r="S72" s="13"/>
      <c r="T72" s="213"/>
      <c r="U72" s="13"/>
    </row>
    <row r="73" customFormat="1" spans="1:21">
      <c r="A73" s="142" t="s">
        <v>887</v>
      </c>
      <c r="B73" s="165">
        <v>5</v>
      </c>
      <c r="C73" s="165">
        <v>53.94</v>
      </c>
      <c r="D73" s="165">
        <v>33.54</v>
      </c>
      <c r="E73" s="165">
        <v>15.38</v>
      </c>
      <c r="F73" s="165">
        <v>37.49</v>
      </c>
      <c r="G73" s="165">
        <v>39.89</v>
      </c>
      <c r="H73" s="165">
        <v>18.12</v>
      </c>
      <c r="I73" s="165">
        <v>5.1</v>
      </c>
      <c r="J73" s="165">
        <v>0.44</v>
      </c>
      <c r="K73" s="165">
        <v>225.53</v>
      </c>
      <c r="L73" s="165">
        <v>35.91</v>
      </c>
      <c r="M73" s="165">
        <v>23.68</v>
      </c>
      <c r="N73" s="165">
        <v>237.9</v>
      </c>
      <c r="O73" s="165">
        <v>0</v>
      </c>
      <c r="P73" s="165">
        <v>0.58</v>
      </c>
      <c r="Q73" s="165">
        <v>4.86</v>
      </c>
      <c r="R73" s="13"/>
      <c r="S73" s="13"/>
      <c r="T73" s="213"/>
      <c r="U73" s="13"/>
    </row>
    <row r="74" customFormat="1" spans="1:21">
      <c r="A74" s="142" t="s">
        <v>888</v>
      </c>
      <c r="B74" s="165">
        <v>5.22</v>
      </c>
      <c r="C74" s="165">
        <v>52.47</v>
      </c>
      <c r="D74" s="165">
        <v>32.95</v>
      </c>
      <c r="E74" s="165">
        <v>17.82</v>
      </c>
      <c r="F74" s="165">
        <v>40.92</v>
      </c>
      <c r="G74" s="165">
        <v>39.89</v>
      </c>
      <c r="H74" s="165">
        <v>18.12</v>
      </c>
      <c r="I74" s="165">
        <v>5.02</v>
      </c>
      <c r="J74" s="165">
        <v>0.6</v>
      </c>
      <c r="K74" s="165">
        <v>257.46</v>
      </c>
      <c r="L74" s="165">
        <v>36.23</v>
      </c>
      <c r="M74" s="165">
        <v>23.23</v>
      </c>
      <c r="N74" s="165">
        <v>132.7</v>
      </c>
      <c r="O74" s="165">
        <v>0</v>
      </c>
      <c r="P74" s="165">
        <v>0.57</v>
      </c>
      <c r="Q74" s="165">
        <v>4.81</v>
      </c>
      <c r="R74" s="13"/>
      <c r="S74" s="13"/>
      <c r="T74" s="213"/>
      <c r="U74" s="13"/>
    </row>
    <row r="75" customFormat="1" spans="1:21">
      <c r="A75" s="142" t="s">
        <v>889</v>
      </c>
      <c r="B75" s="165">
        <v>4.97</v>
      </c>
      <c r="C75" s="165">
        <v>49</v>
      </c>
      <c r="D75" s="165">
        <v>30.94</v>
      </c>
      <c r="E75" s="165">
        <v>15.56</v>
      </c>
      <c r="F75" s="165">
        <v>46.18</v>
      </c>
      <c r="G75" s="165">
        <v>38.13</v>
      </c>
      <c r="H75" s="165">
        <v>18.44</v>
      </c>
      <c r="I75" s="165">
        <v>4.72</v>
      </c>
      <c r="J75" s="165">
        <v>0.56</v>
      </c>
      <c r="K75" s="165">
        <v>237.24</v>
      </c>
      <c r="L75" s="165">
        <v>35.35</v>
      </c>
      <c r="M75" s="165">
        <v>24.06</v>
      </c>
      <c r="N75" s="165">
        <v>84.3</v>
      </c>
      <c r="O75" s="165">
        <v>0</v>
      </c>
      <c r="P75" s="165">
        <v>0.55</v>
      </c>
      <c r="Q75" s="165">
        <v>4.75</v>
      </c>
      <c r="R75" s="13"/>
      <c r="S75" s="13"/>
      <c r="T75" s="213"/>
      <c r="U75" s="13"/>
    </row>
    <row r="76" customFormat="1" spans="1:21">
      <c r="A76" s="142" t="s">
        <v>890</v>
      </c>
      <c r="B76" s="165">
        <v>4.84</v>
      </c>
      <c r="C76" s="165">
        <v>47.04</v>
      </c>
      <c r="D76" s="165">
        <v>29.81</v>
      </c>
      <c r="E76" s="165">
        <v>17.89</v>
      </c>
      <c r="F76" s="165">
        <v>46.17</v>
      </c>
      <c r="G76" s="165">
        <v>33.8</v>
      </c>
      <c r="H76" s="165">
        <v>18.96</v>
      </c>
      <c r="I76" s="165">
        <v>4.55</v>
      </c>
      <c r="J76" s="165">
        <v>0.48</v>
      </c>
      <c r="K76" s="165">
        <v>225.47</v>
      </c>
      <c r="L76" s="165">
        <v>35.07</v>
      </c>
      <c r="M76" s="165">
        <v>24.64</v>
      </c>
      <c r="N76" s="165">
        <v>67</v>
      </c>
      <c r="O76" s="165">
        <v>0</v>
      </c>
      <c r="P76" s="165">
        <v>0.53</v>
      </c>
      <c r="Q76" s="165">
        <v>4.7</v>
      </c>
      <c r="R76" s="13"/>
      <c r="S76" s="13"/>
      <c r="T76" s="213"/>
      <c r="U76" s="13"/>
    </row>
    <row r="77" customFormat="1" spans="1:21">
      <c r="A77" s="142" t="s">
        <v>891</v>
      </c>
      <c r="B77" s="165">
        <v>4.97</v>
      </c>
      <c r="C77" s="165">
        <v>48.26</v>
      </c>
      <c r="D77" s="165">
        <v>30.55</v>
      </c>
      <c r="E77" s="165">
        <v>18.63</v>
      </c>
      <c r="F77" s="165">
        <v>39.23</v>
      </c>
      <c r="G77" s="165">
        <v>33.8</v>
      </c>
      <c r="H77" s="165">
        <v>18.96</v>
      </c>
      <c r="I77" s="165">
        <v>4.25</v>
      </c>
      <c r="J77" s="165">
        <v>0.17</v>
      </c>
      <c r="K77" s="165">
        <v>174.34</v>
      </c>
      <c r="L77" s="165">
        <v>35.09</v>
      </c>
      <c r="M77" s="165">
        <v>25.2</v>
      </c>
      <c r="N77" s="165">
        <v>49.1</v>
      </c>
      <c r="O77" s="165">
        <v>0</v>
      </c>
      <c r="P77" s="165">
        <v>0.57</v>
      </c>
      <c r="Q77" s="165">
        <v>4.63</v>
      </c>
      <c r="R77" s="13"/>
      <c r="S77" s="13"/>
      <c r="T77" s="213"/>
      <c r="U77" s="13"/>
    </row>
    <row r="78" customFormat="1" spans="1:21">
      <c r="A78" s="142" t="s">
        <v>892</v>
      </c>
      <c r="B78" s="165">
        <v>4.99</v>
      </c>
      <c r="C78" s="165">
        <v>50.51</v>
      </c>
      <c r="D78" s="165">
        <v>31.74</v>
      </c>
      <c r="E78" s="165">
        <v>18.75</v>
      </c>
      <c r="F78" s="165">
        <v>34.18</v>
      </c>
      <c r="G78" s="165">
        <v>33.8</v>
      </c>
      <c r="H78" s="165">
        <v>18.96</v>
      </c>
      <c r="I78" s="165">
        <v>4.21</v>
      </c>
      <c r="J78" s="165">
        <v>0.27</v>
      </c>
      <c r="K78" s="165">
        <v>173.37</v>
      </c>
      <c r="L78" s="165">
        <v>35.39</v>
      </c>
      <c r="M78" s="165">
        <v>25.16</v>
      </c>
      <c r="N78" s="165">
        <v>44.9</v>
      </c>
      <c r="O78" s="165">
        <v>0</v>
      </c>
      <c r="P78" s="165">
        <v>0.58</v>
      </c>
      <c r="Q78" s="165">
        <v>4.79</v>
      </c>
      <c r="R78" s="13"/>
      <c r="S78" s="13"/>
      <c r="T78" s="213"/>
      <c r="U78" s="13"/>
    </row>
    <row r="79" customFormat="1" spans="1:21">
      <c r="A79" s="142" t="s">
        <v>893</v>
      </c>
      <c r="B79" s="165">
        <v>4.95</v>
      </c>
      <c r="C79" s="165">
        <v>52.58</v>
      </c>
      <c r="D79" s="165">
        <v>32.79</v>
      </c>
      <c r="E79" s="165">
        <v>17</v>
      </c>
      <c r="F79" s="165">
        <v>32.52</v>
      </c>
      <c r="G79" s="165">
        <v>34.69</v>
      </c>
      <c r="H79" s="165">
        <v>19.01</v>
      </c>
      <c r="I79" s="165">
        <v>4.41</v>
      </c>
      <c r="J79" s="165">
        <v>0.28</v>
      </c>
      <c r="K79" s="165">
        <v>172.91</v>
      </c>
      <c r="L79" s="165">
        <v>35</v>
      </c>
      <c r="M79" s="165">
        <v>25.27</v>
      </c>
      <c r="N79" s="165">
        <v>34</v>
      </c>
      <c r="O79" s="165">
        <v>0</v>
      </c>
      <c r="P79" s="165">
        <v>0.57</v>
      </c>
      <c r="Q79" s="165">
        <v>4.82</v>
      </c>
      <c r="R79" s="13"/>
      <c r="S79" s="13"/>
      <c r="T79" s="213"/>
      <c r="U79" s="13"/>
    </row>
    <row r="80" customFormat="1" spans="1:21">
      <c r="A80" s="142" t="s">
        <v>894</v>
      </c>
      <c r="B80" s="165">
        <v>5</v>
      </c>
      <c r="C80" s="165">
        <v>48.98</v>
      </c>
      <c r="D80" s="165">
        <v>30.95</v>
      </c>
      <c r="E80" s="165">
        <v>18.57</v>
      </c>
      <c r="F80" s="165">
        <v>34.66</v>
      </c>
      <c r="G80" s="165">
        <v>36.87</v>
      </c>
      <c r="H80" s="165">
        <v>19.1</v>
      </c>
      <c r="I80" s="165">
        <v>4.49</v>
      </c>
      <c r="J80" s="165">
        <v>0.2</v>
      </c>
      <c r="K80" s="165">
        <v>160.72</v>
      </c>
      <c r="L80" s="165">
        <v>34.44</v>
      </c>
      <c r="M80" s="165">
        <v>27.05</v>
      </c>
      <c r="N80" s="165">
        <v>11.9</v>
      </c>
      <c r="O80" s="165">
        <v>0</v>
      </c>
      <c r="P80" s="165">
        <v>0.57</v>
      </c>
      <c r="Q80" s="165">
        <v>4.9</v>
      </c>
      <c r="R80" s="13"/>
      <c r="S80" s="13"/>
      <c r="T80" s="213"/>
      <c r="U80" s="13"/>
    </row>
    <row r="81" customFormat="1" spans="1:21">
      <c r="A81" s="142" t="s">
        <v>895</v>
      </c>
      <c r="B81" s="165">
        <v>5.01</v>
      </c>
      <c r="C81" s="165">
        <v>49.54</v>
      </c>
      <c r="D81" s="165">
        <v>31.25</v>
      </c>
      <c r="E81" s="165">
        <v>11.57</v>
      </c>
      <c r="F81" s="165">
        <v>29.8</v>
      </c>
      <c r="G81" s="165">
        <v>36.87</v>
      </c>
      <c r="H81" s="165">
        <v>19.1</v>
      </c>
      <c r="I81" s="165">
        <v>4.36</v>
      </c>
      <c r="J81" s="165">
        <v>0.12</v>
      </c>
      <c r="K81" s="165">
        <v>165.84</v>
      </c>
      <c r="L81" s="165">
        <v>33.36</v>
      </c>
      <c r="M81" s="165">
        <v>29.71</v>
      </c>
      <c r="N81" s="165">
        <v>0.1</v>
      </c>
      <c r="O81" s="165">
        <v>0</v>
      </c>
      <c r="P81" s="165">
        <v>0.59</v>
      </c>
      <c r="Q81" s="165">
        <v>4.85</v>
      </c>
      <c r="R81" s="13"/>
      <c r="S81" s="13"/>
      <c r="T81" s="213"/>
      <c r="U81" s="13"/>
    </row>
    <row r="82" customFormat="1" spans="1:21">
      <c r="A82" s="142" t="s">
        <v>896</v>
      </c>
      <c r="B82" s="165">
        <v>5.21</v>
      </c>
      <c r="C82" s="165">
        <v>55.19</v>
      </c>
      <c r="D82" s="165">
        <v>34.37</v>
      </c>
      <c r="E82" s="165">
        <v>12.18</v>
      </c>
      <c r="F82" s="165">
        <v>25.48</v>
      </c>
      <c r="G82" s="165">
        <v>36.87</v>
      </c>
      <c r="H82" s="165">
        <v>19.1</v>
      </c>
      <c r="I82" s="165">
        <v>4.31</v>
      </c>
      <c r="J82" s="165">
        <v>0.23</v>
      </c>
      <c r="K82" s="165">
        <v>158.9</v>
      </c>
      <c r="L82" s="165">
        <v>32.84</v>
      </c>
      <c r="M82" s="165">
        <v>31.49</v>
      </c>
      <c r="N82" s="165">
        <v>0</v>
      </c>
      <c r="O82" s="165">
        <v>0</v>
      </c>
      <c r="P82" s="165">
        <v>0.6</v>
      </c>
      <c r="Q82" s="165">
        <v>4.85</v>
      </c>
      <c r="R82" s="13"/>
      <c r="S82" s="13"/>
      <c r="T82" s="213"/>
      <c r="U82" s="13"/>
    </row>
    <row r="83" customFormat="1" spans="1:21">
      <c r="A83" s="142" t="s">
        <v>897</v>
      </c>
      <c r="B83" s="165">
        <v>5.43</v>
      </c>
      <c r="C83" s="165">
        <v>53.89</v>
      </c>
      <c r="D83" s="165">
        <v>33.86</v>
      </c>
      <c r="E83" s="165">
        <v>11.5</v>
      </c>
      <c r="F83" s="165">
        <v>23.78</v>
      </c>
      <c r="G83" s="165">
        <v>37.48</v>
      </c>
      <c r="H83" s="165">
        <v>19.06</v>
      </c>
      <c r="I83" s="165">
        <v>4.4</v>
      </c>
      <c r="J83" s="165">
        <v>0.23</v>
      </c>
      <c r="K83" s="165">
        <v>165.59</v>
      </c>
      <c r="L83" s="165">
        <v>32.08</v>
      </c>
      <c r="M83" s="165">
        <v>34.25</v>
      </c>
      <c r="N83" s="165">
        <v>0</v>
      </c>
      <c r="O83" s="165">
        <v>0</v>
      </c>
      <c r="P83" s="165">
        <v>0.61</v>
      </c>
      <c r="Q83" s="165">
        <v>4.91</v>
      </c>
      <c r="R83" s="13"/>
      <c r="S83" s="13"/>
      <c r="T83" s="213"/>
      <c r="U83" s="13"/>
    </row>
    <row r="84" customFormat="1" spans="1:21">
      <c r="A84" s="142" t="s">
        <v>898</v>
      </c>
      <c r="B84" s="165">
        <v>5.81</v>
      </c>
      <c r="C84" s="165">
        <v>55.35</v>
      </c>
      <c r="D84" s="165">
        <v>34.92</v>
      </c>
      <c r="E84" s="165">
        <v>11</v>
      </c>
      <c r="F84" s="165">
        <v>18.38</v>
      </c>
      <c r="G84" s="165">
        <v>38.9</v>
      </c>
      <c r="H84" s="165">
        <v>18.89</v>
      </c>
      <c r="I84" s="165">
        <v>4.6</v>
      </c>
      <c r="J84" s="165">
        <v>0.24</v>
      </c>
      <c r="K84" s="165">
        <v>150.09</v>
      </c>
      <c r="L84" s="165">
        <v>31.59</v>
      </c>
      <c r="M84" s="165">
        <v>37.39</v>
      </c>
      <c r="N84" s="165">
        <v>0</v>
      </c>
      <c r="O84" s="165">
        <v>0</v>
      </c>
      <c r="P84" s="165">
        <v>0.63</v>
      </c>
      <c r="Q84" s="165">
        <v>4.96</v>
      </c>
      <c r="R84" s="13"/>
      <c r="S84" s="13"/>
      <c r="T84" s="213"/>
      <c r="U84" s="13"/>
    </row>
    <row r="85" customFormat="1" spans="1:21">
      <c r="A85" s="142" t="s">
        <v>899</v>
      </c>
      <c r="B85" s="165">
        <v>6.25</v>
      </c>
      <c r="C85" s="165">
        <v>57.04</v>
      </c>
      <c r="D85" s="165">
        <v>36.17</v>
      </c>
      <c r="E85" s="165">
        <v>10.59</v>
      </c>
      <c r="F85" s="165">
        <v>14.88</v>
      </c>
      <c r="G85" s="165">
        <v>38.9</v>
      </c>
      <c r="H85" s="165">
        <v>18.89</v>
      </c>
      <c r="I85" s="165">
        <v>4.72</v>
      </c>
      <c r="J85" s="165">
        <v>0.17</v>
      </c>
      <c r="K85" s="165">
        <v>149.83</v>
      </c>
      <c r="L85" s="165">
        <v>31</v>
      </c>
      <c r="M85" s="165">
        <v>37.12</v>
      </c>
      <c r="N85" s="165">
        <v>0</v>
      </c>
      <c r="O85" s="165">
        <v>0</v>
      </c>
      <c r="P85" s="165">
        <v>0.65</v>
      </c>
      <c r="Q85" s="165">
        <v>5.01</v>
      </c>
      <c r="R85" s="13"/>
      <c r="S85" s="13"/>
      <c r="T85" s="213"/>
      <c r="U85" s="13"/>
    </row>
    <row r="86" customFormat="1" spans="1:21">
      <c r="A86" s="142" t="s">
        <v>900</v>
      </c>
      <c r="B86" s="165">
        <v>6.55</v>
      </c>
      <c r="C86" s="165">
        <v>58.67</v>
      </c>
      <c r="D86" s="165">
        <v>37.26</v>
      </c>
      <c r="E86" s="165">
        <v>9.67</v>
      </c>
      <c r="F86" s="165">
        <v>15.87</v>
      </c>
      <c r="G86" s="165">
        <v>38.9</v>
      </c>
      <c r="H86" s="165">
        <v>18.89</v>
      </c>
      <c r="I86" s="165">
        <v>4.87</v>
      </c>
      <c r="J86" s="165">
        <v>0.14</v>
      </c>
      <c r="K86" s="165">
        <v>184.27</v>
      </c>
      <c r="L86" s="165">
        <v>30.48</v>
      </c>
      <c r="M86" s="165">
        <v>37.6</v>
      </c>
      <c r="N86" s="165">
        <v>0</v>
      </c>
      <c r="O86" s="165">
        <v>0</v>
      </c>
      <c r="P86" s="165">
        <v>0.65</v>
      </c>
      <c r="Q86" s="165">
        <v>5.01</v>
      </c>
      <c r="R86" s="13"/>
      <c r="S86" s="13"/>
      <c r="T86" s="213"/>
      <c r="U86" s="13"/>
    </row>
    <row r="87" customFormat="1" spans="1:21">
      <c r="A87" s="142" t="s">
        <v>901</v>
      </c>
      <c r="B87" s="165">
        <v>6.41</v>
      </c>
      <c r="C87" s="165">
        <v>55.2</v>
      </c>
      <c r="D87" s="165">
        <v>35.33</v>
      </c>
      <c r="E87" s="165">
        <v>9.85</v>
      </c>
      <c r="F87" s="165">
        <v>15.19</v>
      </c>
      <c r="G87" s="165">
        <v>39.04</v>
      </c>
      <c r="H87" s="165">
        <v>18.19</v>
      </c>
      <c r="I87" s="165">
        <v>5.01</v>
      </c>
      <c r="J87" s="165">
        <v>0.2</v>
      </c>
      <c r="K87" s="165">
        <v>158.21</v>
      </c>
      <c r="L87" s="165">
        <v>30.46</v>
      </c>
      <c r="M87" s="165">
        <v>38.68</v>
      </c>
      <c r="N87" s="165">
        <v>0</v>
      </c>
      <c r="O87" s="165">
        <v>0</v>
      </c>
      <c r="P87" s="165">
        <v>0.66</v>
      </c>
      <c r="Q87" s="165">
        <v>5.09</v>
      </c>
      <c r="R87" s="13"/>
      <c r="S87" s="13"/>
      <c r="T87" s="213"/>
      <c r="U87" s="13"/>
    </row>
    <row r="88" customFormat="1" spans="1:21">
      <c r="A88" s="142" t="s">
        <v>902</v>
      </c>
      <c r="B88" s="165">
        <v>6.98</v>
      </c>
      <c r="C88" s="165">
        <v>58.94</v>
      </c>
      <c r="D88" s="165">
        <v>37.75</v>
      </c>
      <c r="E88" s="165">
        <v>9.5</v>
      </c>
      <c r="F88" s="165">
        <v>13.43</v>
      </c>
      <c r="G88" s="165">
        <v>39.39</v>
      </c>
      <c r="H88" s="165">
        <v>17.1</v>
      </c>
      <c r="I88" s="165">
        <v>5.08</v>
      </c>
      <c r="J88" s="165">
        <v>0.15</v>
      </c>
      <c r="K88" s="165">
        <v>168.04</v>
      </c>
      <c r="L88" s="165">
        <v>30.29</v>
      </c>
      <c r="M88" s="165">
        <v>41.39</v>
      </c>
      <c r="N88" s="165">
        <v>0</v>
      </c>
      <c r="O88" s="165">
        <v>0</v>
      </c>
      <c r="P88" s="165">
        <v>0.68</v>
      </c>
      <c r="Q88" s="165">
        <v>5.14</v>
      </c>
      <c r="R88" s="13"/>
      <c r="S88" s="13"/>
      <c r="T88" s="213"/>
      <c r="U88" s="13"/>
    </row>
    <row r="89" customFormat="1" spans="1:21">
      <c r="A89" s="142" t="s">
        <v>903</v>
      </c>
      <c r="B89" s="165">
        <v>10.89</v>
      </c>
      <c r="C89" s="165">
        <v>63.75</v>
      </c>
      <c r="D89" s="165">
        <v>43.39</v>
      </c>
      <c r="E89" s="165">
        <v>9.19</v>
      </c>
      <c r="F89" s="165">
        <v>7.79</v>
      </c>
      <c r="G89" s="165">
        <v>39.39</v>
      </c>
      <c r="H89" s="165">
        <v>17.1</v>
      </c>
      <c r="I89" s="165">
        <v>5.21</v>
      </c>
      <c r="J89" s="165">
        <v>0.08</v>
      </c>
      <c r="K89" s="165">
        <v>163.44</v>
      </c>
      <c r="L89" s="165">
        <v>30.53</v>
      </c>
      <c r="M89" s="165">
        <v>38.75</v>
      </c>
      <c r="N89" s="165">
        <v>0</v>
      </c>
      <c r="O89" s="165">
        <v>0</v>
      </c>
      <c r="P89" s="165">
        <v>0.74</v>
      </c>
      <c r="Q89" s="165">
        <v>5.15</v>
      </c>
      <c r="R89" s="13"/>
      <c r="S89" s="13"/>
      <c r="T89" s="213"/>
      <c r="U89" s="13"/>
    </row>
    <row r="90" customFormat="1" spans="1:21">
      <c r="A90" s="142" t="s">
        <v>904</v>
      </c>
      <c r="B90" s="165">
        <v>25.03</v>
      </c>
      <c r="C90" s="165">
        <v>70.18</v>
      </c>
      <c r="D90" s="165">
        <v>58.09</v>
      </c>
      <c r="E90" s="165">
        <v>9.13</v>
      </c>
      <c r="F90" s="165">
        <v>4.6</v>
      </c>
      <c r="G90" s="165">
        <v>39.39</v>
      </c>
      <c r="H90" s="165">
        <v>17.1</v>
      </c>
      <c r="I90" s="165">
        <v>5.32</v>
      </c>
      <c r="J90" s="165">
        <v>0.61</v>
      </c>
      <c r="K90" s="165">
        <v>37.66</v>
      </c>
      <c r="L90" s="165">
        <v>30.78</v>
      </c>
      <c r="M90" s="165">
        <v>37.84</v>
      </c>
      <c r="N90" s="165">
        <v>0</v>
      </c>
      <c r="O90" s="165">
        <v>0</v>
      </c>
      <c r="P90" s="165">
        <v>0.9</v>
      </c>
      <c r="Q90" s="165">
        <v>5.34</v>
      </c>
      <c r="R90" s="13"/>
      <c r="S90" s="13"/>
      <c r="T90" s="213"/>
      <c r="U90" s="13"/>
    </row>
    <row r="91" customFormat="1" spans="1:21">
      <c r="A91" s="142" t="s">
        <v>905</v>
      </c>
      <c r="B91" s="165">
        <v>16.16</v>
      </c>
      <c r="C91" s="165">
        <v>68.17</v>
      </c>
      <c r="D91" s="165">
        <v>49.93</v>
      </c>
      <c r="E91" s="165">
        <v>10.62</v>
      </c>
      <c r="F91" s="165">
        <v>6.38</v>
      </c>
      <c r="G91" s="165">
        <v>47.25</v>
      </c>
      <c r="H91" s="165">
        <v>18.55</v>
      </c>
      <c r="I91" s="165">
        <v>5.76</v>
      </c>
      <c r="J91" s="165">
        <v>1.27</v>
      </c>
      <c r="K91" s="165">
        <v>25.15</v>
      </c>
      <c r="L91" s="165">
        <v>29.86</v>
      </c>
      <c r="M91" s="165">
        <v>38.74</v>
      </c>
      <c r="N91" s="165">
        <v>0</v>
      </c>
      <c r="O91" s="165">
        <v>0</v>
      </c>
      <c r="P91" s="165">
        <v>0.77</v>
      </c>
      <c r="Q91" s="165">
        <v>5.77</v>
      </c>
      <c r="R91" s="13"/>
      <c r="S91" s="13"/>
      <c r="T91" s="213"/>
      <c r="U91" s="13"/>
    </row>
    <row r="92" customFormat="1" spans="1:21">
      <c r="A92" s="142" t="s">
        <v>906</v>
      </c>
      <c r="B92" s="165">
        <v>14.66</v>
      </c>
      <c r="C92" s="165">
        <v>67.22</v>
      </c>
      <c r="D92" s="165">
        <v>48.23</v>
      </c>
      <c r="E92" s="165">
        <v>11.59</v>
      </c>
      <c r="F92" s="165">
        <v>7.62</v>
      </c>
      <c r="G92" s="165">
        <v>65.61</v>
      </c>
      <c r="H92" s="165">
        <v>20.94</v>
      </c>
      <c r="I92" s="165">
        <v>6.02</v>
      </c>
      <c r="J92" s="165">
        <v>1.67</v>
      </c>
      <c r="K92" s="165">
        <v>26.12</v>
      </c>
      <c r="L92" s="165">
        <v>29.07</v>
      </c>
      <c r="M92" s="165">
        <v>39.55</v>
      </c>
      <c r="N92" s="165">
        <v>0</v>
      </c>
      <c r="O92" s="165">
        <v>0</v>
      </c>
      <c r="P92" s="165">
        <v>0.75</v>
      </c>
      <c r="Q92" s="165">
        <v>5.81</v>
      </c>
      <c r="R92" s="13"/>
      <c r="S92" s="13"/>
      <c r="T92" s="213"/>
      <c r="U92" s="13"/>
    </row>
    <row r="93" customFormat="1" spans="1:21">
      <c r="A93" s="142" t="s">
        <v>907</v>
      </c>
      <c r="B93" s="165">
        <v>14.32</v>
      </c>
      <c r="C93" s="165">
        <v>68.21</v>
      </c>
      <c r="D93" s="165">
        <v>48.47</v>
      </c>
      <c r="E93" s="165">
        <v>10.95</v>
      </c>
      <c r="F93" s="165">
        <v>7.25</v>
      </c>
      <c r="G93" s="165">
        <v>65.61</v>
      </c>
      <c r="H93" s="165">
        <v>20.94</v>
      </c>
      <c r="I93" s="165">
        <v>5.82</v>
      </c>
      <c r="J93" s="165">
        <v>1.29</v>
      </c>
      <c r="K93" s="165">
        <v>29.46</v>
      </c>
      <c r="L93" s="165">
        <v>28.56</v>
      </c>
      <c r="M93" s="165">
        <v>41.09</v>
      </c>
      <c r="N93" s="165">
        <v>0</v>
      </c>
      <c r="O93" s="165">
        <v>0</v>
      </c>
      <c r="P93" s="165">
        <v>0.74</v>
      </c>
      <c r="Q93" s="165">
        <v>5.75</v>
      </c>
      <c r="R93" s="13"/>
      <c r="S93" s="13"/>
      <c r="T93" s="213"/>
      <c r="U93" s="13"/>
    </row>
    <row r="94" customFormat="1" spans="1:21">
      <c r="A94" s="142" t="s">
        <v>908</v>
      </c>
      <c r="B94" s="165">
        <v>14.21</v>
      </c>
      <c r="C94" s="165">
        <v>69.29</v>
      </c>
      <c r="D94" s="165">
        <v>48.95</v>
      </c>
      <c r="E94" s="165">
        <v>9.61</v>
      </c>
      <c r="F94" s="165">
        <v>6.49</v>
      </c>
      <c r="G94" s="165">
        <v>65.61</v>
      </c>
      <c r="H94" s="165">
        <v>20.94</v>
      </c>
      <c r="I94" s="165">
        <v>5.65</v>
      </c>
      <c r="J94" s="165">
        <v>1.49</v>
      </c>
      <c r="K94" s="165">
        <v>36.4</v>
      </c>
      <c r="L94" s="165">
        <v>28.02</v>
      </c>
      <c r="M94" s="165">
        <v>43.38</v>
      </c>
      <c r="N94" s="165">
        <v>0</v>
      </c>
      <c r="O94" s="165">
        <v>0</v>
      </c>
      <c r="P94" s="165">
        <v>0.74</v>
      </c>
      <c r="Q94" s="165">
        <v>5.75</v>
      </c>
      <c r="R94" s="13"/>
      <c r="S94" s="13"/>
      <c r="T94" s="213"/>
      <c r="U94" s="13"/>
    </row>
    <row r="95" customFormat="1" spans="1:21">
      <c r="A95" s="142" t="s">
        <v>909</v>
      </c>
      <c r="B95" s="165">
        <v>13.97</v>
      </c>
      <c r="C95" s="165">
        <v>68.78</v>
      </c>
      <c r="D95" s="165">
        <v>48.49</v>
      </c>
      <c r="E95" s="165">
        <v>9</v>
      </c>
      <c r="F95" s="165">
        <v>7.5</v>
      </c>
      <c r="G95" s="165">
        <v>64.39</v>
      </c>
      <c r="H95" s="165">
        <v>20.79</v>
      </c>
      <c r="I95" s="165">
        <v>5.52</v>
      </c>
      <c r="J95" s="165">
        <v>1.47</v>
      </c>
      <c r="K95" s="165">
        <v>26.94</v>
      </c>
      <c r="L95" s="165">
        <v>27.54</v>
      </c>
      <c r="M95" s="165">
        <v>45.24</v>
      </c>
      <c r="N95" s="165">
        <v>0</v>
      </c>
      <c r="O95" s="165">
        <v>0</v>
      </c>
      <c r="P95" s="165">
        <v>0.72</v>
      </c>
      <c r="Q95" s="165">
        <v>5.75</v>
      </c>
      <c r="R95" s="13"/>
      <c r="S95" s="13"/>
      <c r="T95" s="213"/>
      <c r="U95" s="13"/>
    </row>
    <row r="96" customFormat="1" spans="1:26">
      <c r="A96" s="142" t="s">
        <v>910</v>
      </c>
      <c r="B96" s="165">
        <v>13.53</v>
      </c>
      <c r="C96" s="165">
        <v>68.25</v>
      </c>
      <c r="D96" s="165">
        <v>47.86</v>
      </c>
      <c r="E96" s="165">
        <v>8.87</v>
      </c>
      <c r="F96" s="165">
        <v>6.69</v>
      </c>
      <c r="G96" s="165">
        <v>61.38</v>
      </c>
      <c r="H96" s="165">
        <v>20.57</v>
      </c>
      <c r="I96" s="165">
        <v>5.37</v>
      </c>
      <c r="J96" s="165">
        <v>1.14</v>
      </c>
      <c r="K96" s="165">
        <v>31.8</v>
      </c>
      <c r="L96" s="165">
        <v>27.15</v>
      </c>
      <c r="M96" s="165">
        <v>46.02</v>
      </c>
      <c r="N96" s="165">
        <v>0</v>
      </c>
      <c r="O96" s="165">
        <v>0</v>
      </c>
      <c r="P96" s="165">
        <v>0.71</v>
      </c>
      <c r="Q96" s="165">
        <v>5.75</v>
      </c>
      <c r="R96" s="13"/>
      <c r="S96" s="13"/>
      <c r="T96" s="213"/>
      <c r="U96" s="13"/>
      <c r="Z96" s="222"/>
    </row>
    <row r="97" customFormat="1" spans="1:21">
      <c r="A97" s="142" t="s">
        <v>911</v>
      </c>
      <c r="B97" s="165">
        <v>13.48</v>
      </c>
      <c r="C97" s="165">
        <v>66.27</v>
      </c>
      <c r="D97" s="165">
        <v>46.79</v>
      </c>
      <c r="E97" s="165">
        <v>8.89</v>
      </c>
      <c r="F97" s="165">
        <v>7.45</v>
      </c>
      <c r="G97" s="165">
        <v>61.38</v>
      </c>
      <c r="H97" s="165">
        <v>20.57</v>
      </c>
      <c r="I97" s="165">
        <v>5.23</v>
      </c>
      <c r="J97" s="165">
        <v>0.85</v>
      </c>
      <c r="K97" s="165">
        <v>30.73</v>
      </c>
      <c r="L97" s="165">
        <v>26.9</v>
      </c>
      <c r="M97" s="165">
        <v>46.54</v>
      </c>
      <c r="N97" s="165">
        <v>0</v>
      </c>
      <c r="O97" s="165">
        <v>0</v>
      </c>
      <c r="P97" s="165">
        <v>0.69</v>
      </c>
      <c r="Q97" s="165">
        <v>5.67</v>
      </c>
      <c r="R97" s="13"/>
      <c r="S97" s="13"/>
      <c r="T97" s="213"/>
      <c r="U97" s="13"/>
    </row>
    <row r="98" customFormat="1" spans="1:21">
      <c r="A98" s="142" t="s">
        <v>912</v>
      </c>
      <c r="B98" s="165">
        <v>14.37</v>
      </c>
      <c r="C98" s="165">
        <v>64.95</v>
      </c>
      <c r="D98" s="165">
        <v>46.81</v>
      </c>
      <c r="E98" s="165">
        <v>7.48</v>
      </c>
      <c r="F98" s="165">
        <v>6.54</v>
      </c>
      <c r="G98" s="165">
        <v>61.38</v>
      </c>
      <c r="H98" s="165">
        <v>20.57</v>
      </c>
      <c r="I98" s="165">
        <v>5.11</v>
      </c>
      <c r="J98" s="165">
        <v>0.99</v>
      </c>
      <c r="K98" s="165">
        <v>46.01</v>
      </c>
      <c r="L98" s="165">
        <v>26.73</v>
      </c>
      <c r="M98" s="165">
        <v>46.7</v>
      </c>
      <c r="N98" s="165">
        <v>0</v>
      </c>
      <c r="O98" s="165">
        <v>0</v>
      </c>
      <c r="P98" s="165">
        <v>0.67</v>
      </c>
      <c r="Q98" s="165">
        <v>5.53</v>
      </c>
      <c r="R98" s="13"/>
      <c r="S98" s="13"/>
      <c r="T98" s="213"/>
      <c r="U98" s="13"/>
    </row>
    <row r="99" customFormat="1" spans="1:21">
      <c r="A99" s="142" t="s">
        <v>913</v>
      </c>
      <c r="B99" s="165">
        <v>14.74</v>
      </c>
      <c r="C99" s="165">
        <v>66.64</v>
      </c>
      <c r="D99" s="165">
        <v>47.99</v>
      </c>
      <c r="E99" s="165">
        <v>7.83</v>
      </c>
      <c r="F99" s="165">
        <v>6.47</v>
      </c>
      <c r="G99" s="165">
        <v>57.56</v>
      </c>
      <c r="H99" s="165">
        <v>19.06</v>
      </c>
      <c r="I99" s="165">
        <v>5.01</v>
      </c>
      <c r="J99" s="165">
        <v>0.94</v>
      </c>
      <c r="K99" s="165">
        <v>49.66</v>
      </c>
      <c r="L99" s="165">
        <v>26.63</v>
      </c>
      <c r="M99" s="165">
        <v>46.63</v>
      </c>
      <c r="N99" s="165">
        <v>0</v>
      </c>
      <c r="O99" s="165">
        <v>0</v>
      </c>
      <c r="P99" s="165">
        <v>0.65</v>
      </c>
      <c r="Q99" s="165">
        <v>5.49</v>
      </c>
      <c r="R99" s="13"/>
      <c r="S99" s="13"/>
      <c r="T99" s="213"/>
      <c r="U99" s="13"/>
    </row>
    <row r="100" customFormat="1" spans="1:33">
      <c r="A100" s="142" t="s">
        <v>914</v>
      </c>
      <c r="B100" s="165">
        <v>14.96</v>
      </c>
      <c r="C100" s="165">
        <v>67.69</v>
      </c>
      <c r="D100" s="165">
        <v>48.71</v>
      </c>
      <c r="E100" s="165">
        <v>8.74</v>
      </c>
      <c r="F100" s="165">
        <v>5.74</v>
      </c>
      <c r="G100" s="165">
        <v>48.14</v>
      </c>
      <c r="H100" s="165">
        <v>16.69</v>
      </c>
      <c r="I100" s="165">
        <v>4.93</v>
      </c>
      <c r="J100" s="165">
        <v>0.92</v>
      </c>
      <c r="K100" s="165">
        <v>51.46</v>
      </c>
      <c r="L100" s="165">
        <v>26.61</v>
      </c>
      <c r="M100" s="165">
        <v>46.34</v>
      </c>
      <c r="N100" s="165">
        <v>0</v>
      </c>
      <c r="O100" s="165">
        <v>0</v>
      </c>
      <c r="P100" s="165">
        <v>0.65</v>
      </c>
      <c r="Q100" s="165">
        <v>5.58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915</v>
      </c>
      <c r="B101" s="165">
        <v>16.15</v>
      </c>
      <c r="C101" s="165">
        <v>68.34</v>
      </c>
      <c r="D101" s="165">
        <v>50</v>
      </c>
      <c r="E101" s="165">
        <v>9.25</v>
      </c>
      <c r="F101" s="165">
        <v>5.3</v>
      </c>
      <c r="G101" s="165">
        <v>48.14</v>
      </c>
      <c r="H101" s="165">
        <v>16.69</v>
      </c>
      <c r="I101" s="165">
        <v>4.85</v>
      </c>
      <c r="J101" s="165">
        <v>0.29</v>
      </c>
      <c r="K101" s="165">
        <v>33.83</v>
      </c>
      <c r="L101" s="165">
        <v>26.47</v>
      </c>
      <c r="M101" s="165">
        <v>46.99</v>
      </c>
      <c r="N101" s="165">
        <v>0</v>
      </c>
      <c r="O101" s="165">
        <v>0</v>
      </c>
      <c r="P101" s="165">
        <v>0.63</v>
      </c>
      <c r="Q101" s="165">
        <v>5.57</v>
      </c>
      <c r="R101" s="13"/>
      <c r="S101" s="13"/>
      <c r="T101" s="213"/>
      <c r="U101" s="13"/>
    </row>
    <row r="102" customFormat="1" spans="1:21">
      <c r="A102" s="142" t="s">
        <v>916</v>
      </c>
      <c r="B102" s="165">
        <v>16.58</v>
      </c>
      <c r="C102" s="165">
        <v>69.04</v>
      </c>
      <c r="D102" s="165">
        <v>50.72</v>
      </c>
      <c r="E102" s="165">
        <v>7.94</v>
      </c>
      <c r="F102" s="165">
        <v>4.78</v>
      </c>
      <c r="G102" s="165">
        <v>48.14</v>
      </c>
      <c r="H102" s="165">
        <v>16.69</v>
      </c>
      <c r="I102" s="165">
        <v>4.76</v>
      </c>
      <c r="J102" s="165">
        <v>0.19</v>
      </c>
      <c r="K102" s="165">
        <v>136.41</v>
      </c>
      <c r="L102" s="165">
        <v>26.2</v>
      </c>
      <c r="M102" s="165">
        <v>49.61</v>
      </c>
      <c r="N102" s="165">
        <v>0</v>
      </c>
      <c r="O102" s="165">
        <v>0</v>
      </c>
      <c r="P102" s="165">
        <v>0.64</v>
      </c>
      <c r="Q102" s="165">
        <v>5.66</v>
      </c>
      <c r="R102" s="13"/>
      <c r="S102" s="13"/>
      <c r="T102" s="213"/>
      <c r="U102" s="13"/>
    </row>
    <row r="103" customFormat="1" spans="1:21">
      <c r="A103" s="142" t="s">
        <v>917</v>
      </c>
      <c r="B103" s="165">
        <v>16.98</v>
      </c>
      <c r="C103" s="165">
        <v>69.34</v>
      </c>
      <c r="D103" s="165">
        <v>51.19</v>
      </c>
      <c r="E103" s="165">
        <v>7.53</v>
      </c>
      <c r="F103" s="165">
        <v>4.58</v>
      </c>
      <c r="G103" s="165">
        <v>47.65</v>
      </c>
      <c r="H103" s="165">
        <v>16.97</v>
      </c>
      <c r="I103" s="165">
        <v>4.68</v>
      </c>
      <c r="J103" s="165">
        <v>0.15</v>
      </c>
      <c r="K103" s="165">
        <v>121.42</v>
      </c>
      <c r="L103" s="165">
        <v>25.84</v>
      </c>
      <c r="M103" s="165">
        <v>50.77</v>
      </c>
      <c r="N103" s="165">
        <v>0</v>
      </c>
      <c r="O103" s="165">
        <v>0</v>
      </c>
      <c r="P103" s="165">
        <v>0.63</v>
      </c>
      <c r="Q103" s="165">
        <v>5.7</v>
      </c>
      <c r="R103" s="13"/>
      <c r="S103" s="13"/>
      <c r="T103" s="213"/>
      <c r="U103" s="13"/>
    </row>
    <row r="104" customFormat="1" spans="1:21">
      <c r="A104" s="142" t="s">
        <v>918</v>
      </c>
      <c r="B104" s="165">
        <v>17.48</v>
      </c>
      <c r="C104" s="165">
        <v>68.62</v>
      </c>
      <c r="D104" s="165">
        <v>51.22</v>
      </c>
      <c r="E104" s="165">
        <v>7.08</v>
      </c>
      <c r="F104" s="165">
        <v>4.27</v>
      </c>
      <c r="G104" s="165">
        <v>46.52</v>
      </c>
      <c r="H104" s="165">
        <v>17.41</v>
      </c>
      <c r="I104" s="165">
        <v>4.69</v>
      </c>
      <c r="J104" s="165">
        <v>0.22</v>
      </c>
      <c r="K104" s="165">
        <v>169.4</v>
      </c>
      <c r="L104" s="165">
        <v>25.42</v>
      </c>
      <c r="M104" s="165">
        <v>53.71</v>
      </c>
      <c r="N104" s="165">
        <v>0</v>
      </c>
      <c r="O104" s="165">
        <v>0</v>
      </c>
      <c r="P104" s="165">
        <v>0.63</v>
      </c>
      <c r="Q104" s="165">
        <v>5.73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4.84</v>
      </c>
      <c r="C106" s="215">
        <f>MIN(C9:C104)</f>
        <v>47.04</v>
      </c>
      <c r="D106" s="215">
        <f t="shared" ref="D106:Q106" si="0">MIN(D9:D104)</f>
        <v>29.81</v>
      </c>
      <c r="E106" s="215">
        <f t="shared" si="0"/>
        <v>7.08</v>
      </c>
      <c r="F106" s="215">
        <f t="shared" si="0"/>
        <v>3.52</v>
      </c>
      <c r="G106" s="215">
        <f t="shared" si="0"/>
        <v>33.8</v>
      </c>
      <c r="H106" s="215">
        <f t="shared" si="0"/>
        <v>16.69</v>
      </c>
      <c r="I106" s="215">
        <f t="shared" si="0"/>
        <v>4.21</v>
      </c>
      <c r="J106" s="215">
        <f t="shared" si="0"/>
        <v>0.08</v>
      </c>
      <c r="K106" s="215">
        <f t="shared" si="0"/>
        <v>15.77</v>
      </c>
      <c r="L106" s="215">
        <f t="shared" si="0"/>
        <v>22.41</v>
      </c>
      <c r="M106" s="215">
        <f t="shared" si="0"/>
        <v>22.21</v>
      </c>
      <c r="N106" s="215">
        <f t="shared" si="0"/>
        <v>0</v>
      </c>
      <c r="O106" s="215">
        <f t="shared" si="0"/>
        <v>0</v>
      </c>
      <c r="P106" s="215">
        <f t="shared" si="0"/>
        <v>0.53</v>
      </c>
      <c r="Q106" s="215">
        <f t="shared" si="0"/>
        <v>4.63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45.32</v>
      </c>
      <c r="C107" s="216">
        <f t="shared" ref="C107:Q107" si="1">MAX(C9:C104)</f>
        <v>76.65</v>
      </c>
      <c r="D107" s="216">
        <f t="shared" si="1"/>
        <v>75.1</v>
      </c>
      <c r="E107" s="216">
        <f t="shared" si="1"/>
        <v>18.75</v>
      </c>
      <c r="F107" s="216">
        <f t="shared" si="1"/>
        <v>46.18</v>
      </c>
      <c r="G107" s="216">
        <f t="shared" si="1"/>
        <v>129.74</v>
      </c>
      <c r="H107" s="216">
        <f t="shared" si="1"/>
        <v>37.41</v>
      </c>
      <c r="I107" s="216">
        <f t="shared" si="1"/>
        <v>10.41</v>
      </c>
      <c r="J107" s="216">
        <f t="shared" si="1"/>
        <v>1.67</v>
      </c>
      <c r="K107" s="216">
        <f t="shared" si="1"/>
        <v>302.82</v>
      </c>
      <c r="L107" s="216">
        <f t="shared" si="1"/>
        <v>37.94</v>
      </c>
      <c r="M107" s="216">
        <f t="shared" si="1"/>
        <v>67.37</v>
      </c>
      <c r="N107" s="216">
        <f t="shared" si="1"/>
        <v>810.9</v>
      </c>
      <c r="O107" s="216">
        <f t="shared" si="1"/>
        <v>0</v>
      </c>
      <c r="P107" s="216">
        <f t="shared" si="1"/>
        <v>1.07</v>
      </c>
      <c r="Q107" s="216">
        <f t="shared" si="1"/>
        <v>7.69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22.1052083333333</v>
      </c>
      <c r="C108" s="215">
        <f t="shared" ref="C108:Q108" si="2">AVERAGE(C9:C104)</f>
        <v>66.1394791666667</v>
      </c>
      <c r="D108" s="215">
        <f t="shared" si="2"/>
        <v>53.63375</v>
      </c>
      <c r="E108" s="215">
        <f t="shared" si="2"/>
        <v>10.66875</v>
      </c>
      <c r="F108" s="215">
        <f t="shared" si="2"/>
        <v>11.483125</v>
      </c>
      <c r="G108" s="215">
        <f t="shared" si="2"/>
        <v>64.42125</v>
      </c>
      <c r="H108" s="215">
        <f t="shared" si="2"/>
        <v>24.710625</v>
      </c>
      <c r="I108" s="215">
        <f t="shared" si="2"/>
        <v>6.96791666666667</v>
      </c>
      <c r="J108" s="215">
        <f t="shared" si="2"/>
        <v>0.530208333333333</v>
      </c>
      <c r="K108" s="215">
        <f t="shared" si="2"/>
        <v>152.525625</v>
      </c>
      <c r="L108" s="215">
        <f t="shared" si="2"/>
        <v>29.6855208333333</v>
      </c>
      <c r="M108" s="215">
        <f t="shared" si="2"/>
        <v>42.3066666666666</v>
      </c>
      <c r="N108" s="215">
        <f t="shared" si="2"/>
        <v>196.109375</v>
      </c>
      <c r="O108" s="215">
        <f t="shared" si="2"/>
        <v>0</v>
      </c>
      <c r="P108" s="215">
        <f t="shared" si="2"/>
        <v>0.76875</v>
      </c>
      <c r="Q108" s="215">
        <f t="shared" si="2"/>
        <v>6.1440625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15.8855496718619</v>
      </c>
      <c r="C109" s="215">
        <f t="shared" ref="C109:Q109" si="3">STDEV(C9:C104)</f>
        <v>7.82483204726993</v>
      </c>
      <c r="D109" s="215">
        <f t="shared" si="3"/>
        <v>15.8294264450405</v>
      </c>
      <c r="E109" s="215">
        <f t="shared" si="3"/>
        <v>2.71999158280431</v>
      </c>
      <c r="F109" s="215">
        <f t="shared" si="3"/>
        <v>10.908416770887</v>
      </c>
      <c r="G109" s="215">
        <f t="shared" si="3"/>
        <v>29.2965762774244</v>
      </c>
      <c r="H109" s="215">
        <f t="shared" si="3"/>
        <v>6.17112048385995</v>
      </c>
      <c r="I109" s="215">
        <f t="shared" si="3"/>
        <v>2.1120834895114</v>
      </c>
      <c r="J109" s="215">
        <f t="shared" si="3"/>
        <v>0.3635873287314</v>
      </c>
      <c r="K109" s="215">
        <f t="shared" si="3"/>
        <v>93.2343595441362</v>
      </c>
      <c r="L109" s="215">
        <f t="shared" si="3"/>
        <v>5.11663723240005</v>
      </c>
      <c r="M109" s="215">
        <f t="shared" si="3"/>
        <v>15.2542566736851</v>
      </c>
      <c r="N109" s="215">
        <f t="shared" si="3"/>
        <v>274.937032438195</v>
      </c>
      <c r="O109" s="215">
        <f t="shared" si="3"/>
        <v>0</v>
      </c>
      <c r="P109" s="215">
        <f t="shared" si="3"/>
        <v>0.162417590439615</v>
      </c>
      <c r="Q109" s="215">
        <f t="shared" si="3"/>
        <v>1.04404030787785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10/04/2023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919</v>
      </c>
      <c r="B9" s="165">
        <v>18.19</v>
      </c>
      <c r="C9" s="165">
        <v>69.53</v>
      </c>
      <c r="D9" s="165">
        <v>52.27</v>
      </c>
      <c r="E9" s="165">
        <v>6.99</v>
      </c>
      <c r="F9" s="165">
        <v>4.06</v>
      </c>
      <c r="G9" s="165">
        <v>46.52</v>
      </c>
      <c r="H9" s="165">
        <v>17.41</v>
      </c>
      <c r="I9" s="165">
        <v>4.66</v>
      </c>
      <c r="J9" s="165">
        <v>0.26</v>
      </c>
      <c r="K9" s="165">
        <v>180.83</v>
      </c>
      <c r="L9" s="165">
        <v>24.95</v>
      </c>
      <c r="M9" s="165">
        <v>55.98</v>
      </c>
      <c r="N9" s="165">
        <v>0</v>
      </c>
      <c r="O9" s="165">
        <v>0</v>
      </c>
      <c r="P9" s="165">
        <v>0.62</v>
      </c>
      <c r="Q9" s="165">
        <v>5.71</v>
      </c>
      <c r="R9" s="13"/>
      <c r="S9" s="13"/>
      <c r="T9" s="213"/>
      <c r="U9" s="13"/>
    </row>
    <row r="10" customFormat="1" spans="1:21">
      <c r="A10" s="142" t="s">
        <v>920</v>
      </c>
      <c r="B10" s="165">
        <v>18.43</v>
      </c>
      <c r="C10" s="165">
        <v>68.77</v>
      </c>
      <c r="D10" s="165">
        <v>52.06</v>
      </c>
      <c r="E10" s="165">
        <v>6.83</v>
      </c>
      <c r="F10" s="165">
        <v>3.92</v>
      </c>
      <c r="G10" s="165">
        <v>46.52</v>
      </c>
      <c r="H10" s="165">
        <v>17.41</v>
      </c>
      <c r="I10" s="165">
        <v>4.64</v>
      </c>
      <c r="J10" s="165">
        <v>0.22</v>
      </c>
      <c r="K10" s="165">
        <v>204.25</v>
      </c>
      <c r="L10" s="165">
        <v>24.47</v>
      </c>
      <c r="M10" s="165">
        <v>57.4</v>
      </c>
      <c r="N10" s="165">
        <v>0</v>
      </c>
      <c r="O10" s="165">
        <v>0</v>
      </c>
      <c r="P10" s="165">
        <v>0.61</v>
      </c>
      <c r="Q10" s="165">
        <v>5.68</v>
      </c>
      <c r="R10" s="13"/>
      <c r="S10" s="13"/>
      <c r="T10" s="213"/>
      <c r="U10" s="13"/>
    </row>
    <row r="11" customFormat="1" spans="1:21">
      <c r="A11" s="142" t="s">
        <v>921</v>
      </c>
      <c r="B11" s="165">
        <v>18.07</v>
      </c>
      <c r="C11" s="165">
        <v>67.54</v>
      </c>
      <c r="D11" s="165">
        <v>51.13</v>
      </c>
      <c r="E11" s="165">
        <v>6.96</v>
      </c>
      <c r="F11" s="165">
        <v>4.35</v>
      </c>
      <c r="G11" s="165">
        <v>43.31</v>
      </c>
      <c r="H11" s="165">
        <v>16.32</v>
      </c>
      <c r="I11" s="165">
        <v>4.63</v>
      </c>
      <c r="J11" s="165">
        <v>0.34</v>
      </c>
      <c r="K11" s="165">
        <v>260.39</v>
      </c>
      <c r="L11" s="165">
        <v>24.43</v>
      </c>
      <c r="M11" s="165">
        <v>56.39</v>
      </c>
      <c r="N11" s="165">
        <v>0</v>
      </c>
      <c r="O11" s="165">
        <v>0</v>
      </c>
      <c r="P11" s="165">
        <v>0.61</v>
      </c>
      <c r="Q11" s="165">
        <v>5.7</v>
      </c>
      <c r="R11" s="13"/>
      <c r="S11" s="13"/>
      <c r="T11" s="213"/>
      <c r="U11" s="13"/>
    </row>
    <row r="12" customFormat="1" spans="1:21">
      <c r="A12" s="142" t="s">
        <v>922</v>
      </c>
      <c r="B12" s="165">
        <v>18.38</v>
      </c>
      <c r="C12" s="165">
        <v>67.03</v>
      </c>
      <c r="D12" s="165">
        <v>51.11</v>
      </c>
      <c r="E12" s="165">
        <v>6.84</v>
      </c>
      <c r="F12" s="165">
        <v>4.08</v>
      </c>
      <c r="G12" s="165">
        <v>35.43</v>
      </c>
      <c r="H12" s="165">
        <v>12.22</v>
      </c>
      <c r="I12" s="165">
        <v>4.57</v>
      </c>
      <c r="J12" s="165">
        <v>0.26</v>
      </c>
      <c r="K12" s="165">
        <v>171.56</v>
      </c>
      <c r="L12" s="165">
        <v>24.74</v>
      </c>
      <c r="M12" s="165">
        <v>55.46</v>
      </c>
      <c r="N12" s="165">
        <v>0</v>
      </c>
      <c r="O12" s="165">
        <v>0</v>
      </c>
      <c r="P12" s="165">
        <v>0.61</v>
      </c>
      <c r="Q12" s="165">
        <v>5.77</v>
      </c>
      <c r="R12" s="13"/>
      <c r="S12" s="13"/>
      <c r="T12" s="213"/>
      <c r="U12" s="13"/>
    </row>
    <row r="13" customFormat="1" spans="1:21">
      <c r="A13" s="142" t="s">
        <v>923</v>
      </c>
      <c r="B13" s="165">
        <v>19.48</v>
      </c>
      <c r="C13" s="165">
        <v>67.75</v>
      </c>
      <c r="D13" s="165">
        <v>52.37</v>
      </c>
      <c r="E13" s="165">
        <v>7.09</v>
      </c>
      <c r="F13" s="165">
        <v>3.79</v>
      </c>
      <c r="G13" s="165">
        <v>35.43</v>
      </c>
      <c r="H13" s="165">
        <v>12.22</v>
      </c>
      <c r="I13" s="165">
        <v>4.52</v>
      </c>
      <c r="J13" s="165">
        <v>0.19</v>
      </c>
      <c r="K13" s="165">
        <v>152.16</v>
      </c>
      <c r="L13" s="165">
        <v>24.42</v>
      </c>
      <c r="M13" s="165">
        <v>58.37</v>
      </c>
      <c r="N13" s="165">
        <v>0</v>
      </c>
      <c r="O13" s="165">
        <v>0</v>
      </c>
      <c r="P13" s="165">
        <v>0.6</v>
      </c>
      <c r="Q13" s="165">
        <v>5.75</v>
      </c>
      <c r="R13" s="13"/>
      <c r="S13" s="13"/>
      <c r="T13" s="213"/>
      <c r="U13" s="13"/>
    </row>
    <row r="14" customFormat="1" spans="1:21">
      <c r="A14" s="142" t="s">
        <v>924</v>
      </c>
      <c r="B14" s="165">
        <v>20.33</v>
      </c>
      <c r="C14" s="165">
        <v>67.59</v>
      </c>
      <c r="D14" s="165">
        <v>52.97</v>
      </c>
      <c r="E14" s="165">
        <v>6.84</v>
      </c>
      <c r="F14" s="165">
        <v>3.68</v>
      </c>
      <c r="G14" s="165">
        <v>35.43</v>
      </c>
      <c r="H14" s="165">
        <v>12.22</v>
      </c>
      <c r="I14" s="165">
        <v>4.5</v>
      </c>
      <c r="J14" s="165">
        <v>0.15</v>
      </c>
      <c r="K14" s="165">
        <v>45.21</v>
      </c>
      <c r="L14" s="165">
        <v>24.59</v>
      </c>
      <c r="M14" s="165">
        <v>56.37</v>
      </c>
      <c r="N14" s="165">
        <v>0</v>
      </c>
      <c r="O14" s="165">
        <v>0</v>
      </c>
      <c r="P14" s="165">
        <v>0.59</v>
      </c>
      <c r="Q14" s="165">
        <v>5.75</v>
      </c>
      <c r="R14" s="13"/>
      <c r="S14" s="13"/>
      <c r="T14" s="213"/>
      <c r="U14" s="13"/>
    </row>
    <row r="15" customFormat="1" spans="1:21">
      <c r="A15" s="142" t="s">
        <v>925</v>
      </c>
      <c r="B15" s="165">
        <v>21.33</v>
      </c>
      <c r="C15" s="165">
        <v>68.5</v>
      </c>
      <c r="D15" s="165">
        <v>54.25</v>
      </c>
      <c r="E15" s="165">
        <v>6.51</v>
      </c>
      <c r="F15" s="165">
        <v>3.71</v>
      </c>
      <c r="G15" s="165">
        <v>33.85</v>
      </c>
      <c r="H15" s="165">
        <v>12.16</v>
      </c>
      <c r="I15" s="165">
        <v>4.48</v>
      </c>
      <c r="J15" s="165">
        <v>0.19</v>
      </c>
      <c r="K15" s="165">
        <v>54.27</v>
      </c>
      <c r="L15" s="165">
        <v>24.68</v>
      </c>
      <c r="M15" s="165">
        <v>57.03</v>
      </c>
      <c r="N15" s="165">
        <v>0</v>
      </c>
      <c r="O15" s="165">
        <v>0</v>
      </c>
      <c r="P15" s="165">
        <v>0.6</v>
      </c>
      <c r="Q15" s="165">
        <v>5.83</v>
      </c>
      <c r="R15" s="13"/>
      <c r="S15" s="13"/>
      <c r="T15" s="213"/>
      <c r="U15" s="13"/>
    </row>
    <row r="16" customFormat="1" spans="1:21">
      <c r="A16" s="142" t="s">
        <v>926</v>
      </c>
      <c r="B16" s="165">
        <v>22.4</v>
      </c>
      <c r="C16" s="165">
        <v>67.6</v>
      </c>
      <c r="D16" s="165">
        <v>54.63</v>
      </c>
      <c r="E16" s="165">
        <v>6.65</v>
      </c>
      <c r="F16" s="165">
        <v>3.92</v>
      </c>
      <c r="G16" s="165">
        <v>29.98</v>
      </c>
      <c r="H16" s="165">
        <v>12.07</v>
      </c>
      <c r="I16" s="165">
        <v>4.44</v>
      </c>
      <c r="J16" s="165">
        <v>0.45</v>
      </c>
      <c r="K16" s="165">
        <v>34.64</v>
      </c>
      <c r="L16" s="165">
        <v>24.74</v>
      </c>
      <c r="M16" s="165">
        <v>55.27</v>
      </c>
      <c r="N16" s="165">
        <v>0</v>
      </c>
      <c r="O16" s="165">
        <v>0</v>
      </c>
      <c r="P16" s="165">
        <v>0.59</v>
      </c>
      <c r="Q16" s="165">
        <v>5.91</v>
      </c>
      <c r="R16" s="13"/>
      <c r="S16" s="13"/>
      <c r="T16" s="213"/>
      <c r="U16" s="13"/>
    </row>
    <row r="17" customFormat="1" spans="1:21">
      <c r="A17" s="142" t="s">
        <v>927</v>
      </c>
      <c r="B17" s="165">
        <v>23.37</v>
      </c>
      <c r="C17" s="165">
        <v>67.69</v>
      </c>
      <c r="D17" s="165">
        <v>55.46</v>
      </c>
      <c r="E17" s="165">
        <v>5.53</v>
      </c>
      <c r="F17" s="165">
        <v>3.96</v>
      </c>
      <c r="G17" s="165">
        <v>29.98</v>
      </c>
      <c r="H17" s="165">
        <v>12.07</v>
      </c>
      <c r="I17" s="165">
        <v>4.42</v>
      </c>
      <c r="J17" s="165">
        <v>0.52</v>
      </c>
      <c r="K17" s="165">
        <v>38.81</v>
      </c>
      <c r="L17" s="165">
        <v>24.85</v>
      </c>
      <c r="M17" s="165">
        <v>54.62</v>
      </c>
      <c r="N17" s="165">
        <v>0</v>
      </c>
      <c r="O17" s="165">
        <v>0</v>
      </c>
      <c r="P17" s="165">
        <v>0.58</v>
      </c>
      <c r="Q17" s="165">
        <v>5.96</v>
      </c>
      <c r="R17" s="13"/>
      <c r="S17" s="13"/>
      <c r="T17" s="213"/>
      <c r="U17" s="13"/>
    </row>
    <row r="18" customFormat="1" spans="1:21">
      <c r="A18" s="142" t="s">
        <v>928</v>
      </c>
      <c r="B18" s="165">
        <v>24.01</v>
      </c>
      <c r="C18" s="165">
        <v>67.67</v>
      </c>
      <c r="D18" s="165">
        <v>55.96</v>
      </c>
      <c r="E18" s="165">
        <v>6.66</v>
      </c>
      <c r="F18" s="165">
        <v>4</v>
      </c>
      <c r="G18" s="165">
        <v>29.98</v>
      </c>
      <c r="H18" s="165">
        <v>12.07</v>
      </c>
      <c r="I18" s="165">
        <v>4.42</v>
      </c>
      <c r="J18" s="165">
        <v>0.25</v>
      </c>
      <c r="K18" s="165">
        <v>21.75</v>
      </c>
      <c r="L18" s="165">
        <v>24.95</v>
      </c>
      <c r="M18" s="165">
        <v>53.7</v>
      </c>
      <c r="N18" s="165">
        <v>0</v>
      </c>
      <c r="O18" s="165">
        <v>0</v>
      </c>
      <c r="P18" s="165">
        <v>0.59</v>
      </c>
      <c r="Q18" s="165">
        <v>6</v>
      </c>
      <c r="R18" s="13"/>
      <c r="S18" s="13"/>
      <c r="T18" s="213"/>
      <c r="U18" s="13"/>
    </row>
    <row r="19" customFormat="1" spans="1:21">
      <c r="A19" s="142" t="s">
        <v>929</v>
      </c>
      <c r="B19" s="165">
        <v>24.54</v>
      </c>
      <c r="C19" s="165">
        <v>68.1</v>
      </c>
      <c r="D19" s="165">
        <v>56.61</v>
      </c>
      <c r="E19" s="165">
        <v>6.99</v>
      </c>
      <c r="F19" s="165">
        <v>3.92</v>
      </c>
      <c r="G19" s="165">
        <v>31.22</v>
      </c>
      <c r="H19" s="165">
        <v>11.51</v>
      </c>
      <c r="I19" s="165">
        <v>4.43</v>
      </c>
      <c r="J19" s="165">
        <v>0.17</v>
      </c>
      <c r="K19" s="165">
        <v>47.17</v>
      </c>
      <c r="L19" s="165">
        <v>24.87</v>
      </c>
      <c r="M19" s="165">
        <v>54.27</v>
      </c>
      <c r="N19" s="165">
        <v>0</v>
      </c>
      <c r="O19" s="165">
        <v>0</v>
      </c>
      <c r="P19" s="165">
        <v>0.61</v>
      </c>
      <c r="Q19" s="165">
        <v>6.04</v>
      </c>
      <c r="R19" s="13"/>
      <c r="S19" s="13"/>
      <c r="T19" s="213"/>
      <c r="U19" s="13"/>
    </row>
    <row r="20" customFormat="1" spans="1:21">
      <c r="A20" s="142" t="s">
        <v>930</v>
      </c>
      <c r="B20" s="165">
        <v>25.25</v>
      </c>
      <c r="C20" s="165">
        <v>68.31</v>
      </c>
      <c r="D20" s="165">
        <v>57.29</v>
      </c>
      <c r="E20" s="165">
        <v>6.78</v>
      </c>
      <c r="F20" s="165">
        <v>3.95</v>
      </c>
      <c r="G20" s="165">
        <v>34.27</v>
      </c>
      <c r="H20" s="165">
        <v>10.59</v>
      </c>
      <c r="I20" s="165">
        <v>4.46</v>
      </c>
      <c r="J20" s="165">
        <v>0.24</v>
      </c>
      <c r="K20" s="165">
        <v>157.92</v>
      </c>
      <c r="L20" s="165">
        <v>24.64</v>
      </c>
      <c r="M20" s="165">
        <v>56.7</v>
      </c>
      <c r="N20" s="165">
        <v>0</v>
      </c>
      <c r="O20" s="165">
        <v>0</v>
      </c>
      <c r="P20" s="165">
        <v>0.62</v>
      </c>
      <c r="Q20" s="165">
        <v>6.12</v>
      </c>
      <c r="R20" s="13"/>
      <c r="S20" s="13"/>
      <c r="T20" s="213"/>
      <c r="U20" s="13"/>
    </row>
    <row r="21" customFormat="1" spans="1:21">
      <c r="A21" s="142" t="s">
        <v>931</v>
      </c>
      <c r="B21" s="165">
        <v>25.5</v>
      </c>
      <c r="C21" s="165">
        <v>68.17</v>
      </c>
      <c r="D21" s="165">
        <v>57.41</v>
      </c>
      <c r="E21" s="165">
        <v>7.12</v>
      </c>
      <c r="F21" s="165">
        <v>3.91</v>
      </c>
      <c r="G21" s="165">
        <v>34.27</v>
      </c>
      <c r="H21" s="165">
        <v>10.59</v>
      </c>
      <c r="I21" s="165">
        <v>4.5</v>
      </c>
      <c r="J21" s="165">
        <v>0.24</v>
      </c>
      <c r="K21" s="165">
        <v>201.15</v>
      </c>
      <c r="L21" s="165">
        <v>24.28</v>
      </c>
      <c r="M21" s="165">
        <v>58.28</v>
      </c>
      <c r="N21" s="165">
        <v>0</v>
      </c>
      <c r="O21" s="165">
        <v>0</v>
      </c>
      <c r="P21" s="165">
        <v>0.64</v>
      </c>
      <c r="Q21" s="165">
        <v>6.16</v>
      </c>
      <c r="R21" s="13"/>
      <c r="S21" s="13"/>
      <c r="T21" s="213"/>
      <c r="U21" s="13"/>
    </row>
    <row r="22" customFormat="1" spans="1:21">
      <c r="A22" s="142" t="s">
        <v>932</v>
      </c>
      <c r="B22" s="165">
        <v>25.42</v>
      </c>
      <c r="C22" s="165">
        <v>69.53</v>
      </c>
      <c r="D22" s="165">
        <v>58.06</v>
      </c>
      <c r="E22" s="165">
        <v>6.98</v>
      </c>
      <c r="F22" s="165">
        <v>3.79</v>
      </c>
      <c r="G22" s="165">
        <v>34.27</v>
      </c>
      <c r="H22" s="165">
        <v>10.59</v>
      </c>
      <c r="I22" s="165">
        <v>4.56</v>
      </c>
      <c r="J22" s="165">
        <v>0.31</v>
      </c>
      <c r="K22" s="165">
        <v>161.77</v>
      </c>
      <c r="L22" s="165">
        <v>24.22</v>
      </c>
      <c r="M22" s="165">
        <v>58.61</v>
      </c>
      <c r="N22" s="165">
        <v>0</v>
      </c>
      <c r="O22" s="165">
        <v>0</v>
      </c>
      <c r="P22" s="165">
        <v>0.66</v>
      </c>
      <c r="Q22" s="165">
        <v>6.24</v>
      </c>
      <c r="R22" s="13"/>
      <c r="S22" s="13"/>
      <c r="T22" s="213"/>
      <c r="U22" s="13"/>
    </row>
    <row r="23" customFormat="1" spans="1:21">
      <c r="A23" s="142" t="s">
        <v>933</v>
      </c>
      <c r="B23" s="165">
        <v>25.21</v>
      </c>
      <c r="C23" s="165">
        <v>70.29</v>
      </c>
      <c r="D23" s="165">
        <v>58.29</v>
      </c>
      <c r="E23" s="165">
        <v>6.74</v>
      </c>
      <c r="F23" s="165">
        <v>3.82</v>
      </c>
      <c r="G23" s="165">
        <v>36.73</v>
      </c>
      <c r="H23" s="165">
        <v>12.34</v>
      </c>
      <c r="I23" s="165">
        <v>4.62</v>
      </c>
      <c r="J23" s="165">
        <v>0.15</v>
      </c>
      <c r="K23" s="165">
        <v>158.47</v>
      </c>
      <c r="L23" s="165">
        <v>23.97</v>
      </c>
      <c r="M23" s="165">
        <v>60.27</v>
      </c>
      <c r="N23" s="165">
        <v>0</v>
      </c>
      <c r="O23" s="165">
        <v>0</v>
      </c>
      <c r="P23" s="165">
        <v>0.68</v>
      </c>
      <c r="Q23" s="165">
        <v>6.26</v>
      </c>
      <c r="R23" s="13"/>
      <c r="S23" s="13"/>
      <c r="T23" s="213"/>
      <c r="U23" s="13"/>
    </row>
    <row r="24" customFormat="1" spans="1:21">
      <c r="A24" s="142" t="s">
        <v>934</v>
      </c>
      <c r="B24" s="165">
        <v>25.05</v>
      </c>
      <c r="C24" s="165">
        <v>70.47</v>
      </c>
      <c r="D24" s="165">
        <v>58.26</v>
      </c>
      <c r="E24" s="165">
        <v>6.99</v>
      </c>
      <c r="F24" s="165">
        <v>3.89</v>
      </c>
      <c r="G24" s="165">
        <v>42.79</v>
      </c>
      <c r="H24" s="165">
        <v>15.27</v>
      </c>
      <c r="I24" s="165">
        <v>4.66</v>
      </c>
      <c r="J24" s="165">
        <v>0.18</v>
      </c>
      <c r="K24" s="165">
        <v>186.73</v>
      </c>
      <c r="L24" s="165">
        <v>24.03</v>
      </c>
      <c r="M24" s="165">
        <v>60.21</v>
      </c>
      <c r="N24" s="165">
        <v>0</v>
      </c>
      <c r="O24" s="165">
        <v>0</v>
      </c>
      <c r="P24" s="165">
        <v>0.69</v>
      </c>
      <c r="Q24" s="165">
        <v>6.3</v>
      </c>
      <c r="R24" s="13"/>
      <c r="S24" s="13"/>
      <c r="T24" s="213"/>
      <c r="U24" s="13"/>
    </row>
    <row r="25" customFormat="1" spans="1:21">
      <c r="A25" s="142" t="s">
        <v>935</v>
      </c>
      <c r="B25" s="165">
        <v>24.9</v>
      </c>
      <c r="C25" s="165">
        <v>70.4</v>
      </c>
      <c r="D25" s="165">
        <v>58.1</v>
      </c>
      <c r="E25" s="165">
        <v>6.14</v>
      </c>
      <c r="F25" s="165">
        <v>3.81</v>
      </c>
      <c r="G25" s="165">
        <v>42.79</v>
      </c>
      <c r="H25" s="165">
        <v>15.27</v>
      </c>
      <c r="I25" s="165">
        <v>4.67</v>
      </c>
      <c r="J25" s="165">
        <v>0.2</v>
      </c>
      <c r="K25" s="165">
        <v>177.16</v>
      </c>
      <c r="L25" s="165">
        <v>24.24</v>
      </c>
      <c r="M25" s="165">
        <v>59</v>
      </c>
      <c r="N25" s="165">
        <v>0</v>
      </c>
      <c r="O25" s="165">
        <v>0</v>
      </c>
      <c r="P25" s="165">
        <v>0.7</v>
      </c>
      <c r="Q25" s="165">
        <v>6.28</v>
      </c>
      <c r="R25" s="13"/>
      <c r="S25" s="13"/>
      <c r="T25" s="213"/>
      <c r="U25" s="13"/>
    </row>
    <row r="26" customFormat="1" spans="1:21">
      <c r="A26" s="142" t="s">
        <v>936</v>
      </c>
      <c r="B26" s="165">
        <v>24.71</v>
      </c>
      <c r="C26" s="165">
        <v>70.11</v>
      </c>
      <c r="D26" s="165">
        <v>57.8</v>
      </c>
      <c r="E26" s="165">
        <v>6.49</v>
      </c>
      <c r="F26" s="165">
        <v>3.64</v>
      </c>
      <c r="G26" s="165">
        <v>42.79</v>
      </c>
      <c r="H26" s="165">
        <v>15.27</v>
      </c>
      <c r="I26" s="165">
        <v>4.72</v>
      </c>
      <c r="J26" s="165">
        <v>0.18</v>
      </c>
      <c r="K26" s="165">
        <v>205.63</v>
      </c>
      <c r="L26" s="165">
        <v>24.08</v>
      </c>
      <c r="M26" s="165">
        <v>60.99</v>
      </c>
      <c r="N26" s="165">
        <v>0</v>
      </c>
      <c r="O26" s="165">
        <v>0</v>
      </c>
      <c r="P26" s="165">
        <v>0.7</v>
      </c>
      <c r="Q26" s="165">
        <v>6.28</v>
      </c>
      <c r="R26" s="13"/>
      <c r="S26" s="13"/>
      <c r="T26" s="213"/>
      <c r="U26" s="13"/>
    </row>
    <row r="27" customFormat="1" spans="1:21">
      <c r="A27" s="142" t="s">
        <v>937</v>
      </c>
      <c r="B27" s="165">
        <v>24.66</v>
      </c>
      <c r="C27" s="165">
        <v>69.88</v>
      </c>
      <c r="D27" s="165">
        <v>57.64</v>
      </c>
      <c r="E27" s="165">
        <v>6.37</v>
      </c>
      <c r="F27" s="165">
        <v>3.65</v>
      </c>
      <c r="G27" s="165">
        <v>43.9</v>
      </c>
      <c r="H27" s="165">
        <v>15.94</v>
      </c>
      <c r="I27" s="165">
        <v>4.77</v>
      </c>
      <c r="J27" s="165">
        <v>0.3</v>
      </c>
      <c r="K27" s="165">
        <v>206.38</v>
      </c>
      <c r="L27" s="165">
        <v>24.13</v>
      </c>
      <c r="M27" s="165">
        <v>60.4</v>
      </c>
      <c r="N27" s="165">
        <v>0</v>
      </c>
      <c r="O27" s="165">
        <v>0</v>
      </c>
      <c r="P27" s="165">
        <v>0.7</v>
      </c>
      <c r="Q27" s="165">
        <v>6.28</v>
      </c>
      <c r="R27" s="13"/>
      <c r="S27" s="13"/>
      <c r="T27" s="213"/>
      <c r="U27" s="13"/>
    </row>
    <row r="28" customFormat="1" spans="1:21">
      <c r="A28" s="142" t="s">
        <v>938</v>
      </c>
      <c r="B28" s="165">
        <v>24.61</v>
      </c>
      <c r="C28" s="165">
        <v>70.16</v>
      </c>
      <c r="D28" s="165">
        <v>57.74</v>
      </c>
      <c r="E28" s="165">
        <v>6.97</v>
      </c>
      <c r="F28" s="165">
        <v>3.67</v>
      </c>
      <c r="G28" s="165">
        <v>46.61</v>
      </c>
      <c r="H28" s="165">
        <v>17.05</v>
      </c>
      <c r="I28" s="165">
        <v>4.76</v>
      </c>
      <c r="J28" s="165">
        <v>0.13</v>
      </c>
      <c r="K28" s="165">
        <v>198.25</v>
      </c>
      <c r="L28" s="165">
        <v>24.18</v>
      </c>
      <c r="M28" s="165">
        <v>60.39</v>
      </c>
      <c r="N28" s="165">
        <v>0</v>
      </c>
      <c r="O28" s="165">
        <v>0</v>
      </c>
      <c r="P28" s="165">
        <v>0.7</v>
      </c>
      <c r="Q28" s="165">
        <v>6.27</v>
      </c>
      <c r="R28" s="13"/>
      <c r="S28" s="13"/>
      <c r="T28" s="213"/>
      <c r="U28" s="13"/>
    </row>
    <row r="29" customFormat="1" spans="1:21">
      <c r="A29" s="142" t="s">
        <v>939</v>
      </c>
      <c r="B29" s="165">
        <v>24.58</v>
      </c>
      <c r="C29" s="165">
        <v>69.82</v>
      </c>
      <c r="D29" s="165">
        <v>57.55</v>
      </c>
      <c r="E29" s="165">
        <v>6.68</v>
      </c>
      <c r="F29" s="165">
        <v>3.75</v>
      </c>
      <c r="G29" s="165">
        <v>46.61</v>
      </c>
      <c r="H29" s="165">
        <v>17.05</v>
      </c>
      <c r="I29" s="165">
        <v>4.75</v>
      </c>
      <c r="J29" s="165">
        <v>0.21</v>
      </c>
      <c r="K29" s="165">
        <v>186.71</v>
      </c>
      <c r="L29" s="165">
        <v>24.53</v>
      </c>
      <c r="M29" s="165">
        <v>57.93</v>
      </c>
      <c r="N29" s="165">
        <v>0</v>
      </c>
      <c r="O29" s="165">
        <v>0</v>
      </c>
      <c r="P29" s="165">
        <v>0.7</v>
      </c>
      <c r="Q29" s="165">
        <v>6.26</v>
      </c>
      <c r="R29" s="13"/>
      <c r="S29" s="13"/>
      <c r="T29" s="213"/>
      <c r="U29" s="13"/>
    </row>
    <row r="30" customFormat="1" spans="1:21">
      <c r="A30" s="142" t="s">
        <v>940</v>
      </c>
      <c r="B30" s="165">
        <v>24.2</v>
      </c>
      <c r="C30" s="165">
        <v>69.96</v>
      </c>
      <c r="D30" s="165">
        <v>57.31</v>
      </c>
      <c r="E30" s="165">
        <v>6.32</v>
      </c>
      <c r="F30" s="165">
        <v>3.84</v>
      </c>
      <c r="G30" s="165">
        <v>46.61</v>
      </c>
      <c r="H30" s="165">
        <v>17.05</v>
      </c>
      <c r="I30" s="165">
        <v>4.73</v>
      </c>
      <c r="J30" s="165">
        <v>0.26</v>
      </c>
      <c r="K30" s="165">
        <v>166.38</v>
      </c>
      <c r="L30" s="165">
        <v>24.84</v>
      </c>
      <c r="M30" s="165">
        <v>57.25</v>
      </c>
      <c r="N30" s="165">
        <v>0</v>
      </c>
      <c r="O30" s="165">
        <v>0</v>
      </c>
      <c r="P30" s="165">
        <v>0.69</v>
      </c>
      <c r="Q30" s="165">
        <v>6.22</v>
      </c>
      <c r="R30" s="13"/>
      <c r="S30" s="13"/>
      <c r="T30" s="213"/>
      <c r="U30" s="13"/>
    </row>
    <row r="31" customFormat="1" spans="1:21">
      <c r="A31" s="142" t="s">
        <v>941</v>
      </c>
      <c r="B31" s="165">
        <v>23.93</v>
      </c>
      <c r="C31" s="165">
        <v>69.9</v>
      </c>
      <c r="D31" s="165">
        <v>57.06</v>
      </c>
      <c r="E31" s="165">
        <v>6.04</v>
      </c>
      <c r="F31" s="165">
        <v>3.71</v>
      </c>
      <c r="G31" s="165">
        <v>46.83</v>
      </c>
      <c r="H31" s="165">
        <v>15.99</v>
      </c>
      <c r="I31" s="165">
        <v>4.7</v>
      </c>
      <c r="J31" s="165">
        <v>0.14</v>
      </c>
      <c r="K31" s="165">
        <v>167.13</v>
      </c>
      <c r="L31" s="165">
        <v>24.67</v>
      </c>
      <c r="M31" s="165">
        <v>59.32</v>
      </c>
      <c r="N31" s="165">
        <v>0</v>
      </c>
      <c r="O31" s="165">
        <v>0</v>
      </c>
      <c r="P31" s="165">
        <v>0.68</v>
      </c>
      <c r="Q31" s="165">
        <v>6.22</v>
      </c>
      <c r="R31" s="13"/>
      <c r="S31" s="13"/>
      <c r="T31" s="213"/>
      <c r="U31" s="13"/>
    </row>
    <row r="32" customFormat="1" spans="1:21">
      <c r="A32" s="142" t="s">
        <v>942</v>
      </c>
      <c r="B32" s="165">
        <v>23.68</v>
      </c>
      <c r="C32" s="165">
        <v>70.22</v>
      </c>
      <c r="D32" s="165">
        <v>57.03</v>
      </c>
      <c r="E32" s="165">
        <v>6.14</v>
      </c>
      <c r="F32" s="165">
        <v>3.74</v>
      </c>
      <c r="G32" s="165">
        <v>47.36</v>
      </c>
      <c r="H32" s="165">
        <v>14.25</v>
      </c>
      <c r="I32" s="165">
        <v>4.67</v>
      </c>
      <c r="J32" s="165">
        <v>0.15</v>
      </c>
      <c r="K32" s="165">
        <v>167.11</v>
      </c>
      <c r="L32" s="165">
        <v>24.76</v>
      </c>
      <c r="M32" s="165">
        <v>58.56</v>
      </c>
      <c r="N32" s="165">
        <v>0.7</v>
      </c>
      <c r="O32" s="165">
        <v>0</v>
      </c>
      <c r="P32" s="165">
        <v>0.67</v>
      </c>
      <c r="Q32" s="165">
        <v>6.22</v>
      </c>
      <c r="R32" s="13"/>
      <c r="S32" s="13"/>
      <c r="T32" s="213"/>
      <c r="U32" s="13"/>
    </row>
    <row r="33" customFormat="1" spans="1:21">
      <c r="A33" s="142" t="s">
        <v>943</v>
      </c>
      <c r="B33" s="165">
        <v>23.42</v>
      </c>
      <c r="C33" s="165">
        <v>70.07</v>
      </c>
      <c r="D33" s="165">
        <v>56.74</v>
      </c>
      <c r="E33" s="165">
        <v>6.08</v>
      </c>
      <c r="F33" s="165">
        <v>3.59</v>
      </c>
      <c r="G33" s="165">
        <v>47.36</v>
      </c>
      <c r="H33" s="165">
        <v>14.25</v>
      </c>
      <c r="I33" s="165">
        <v>4.63</v>
      </c>
      <c r="J33" s="165">
        <v>0.24</v>
      </c>
      <c r="K33" s="165">
        <v>208.8</v>
      </c>
      <c r="L33" s="165">
        <v>24.72</v>
      </c>
      <c r="M33" s="165">
        <v>58.86</v>
      </c>
      <c r="N33" s="165">
        <v>15.3</v>
      </c>
      <c r="O33" s="165">
        <v>0</v>
      </c>
      <c r="P33" s="165">
        <v>0.67</v>
      </c>
      <c r="Q33" s="165">
        <v>6.18</v>
      </c>
      <c r="R33" s="13"/>
      <c r="S33" s="13"/>
      <c r="T33" s="213"/>
      <c r="U33" s="13"/>
    </row>
    <row r="34" customFormat="1" spans="1:21">
      <c r="A34" s="142" t="s">
        <v>944</v>
      </c>
      <c r="B34" s="165">
        <v>23.17</v>
      </c>
      <c r="C34" s="165">
        <v>70</v>
      </c>
      <c r="D34" s="165">
        <v>56.51</v>
      </c>
      <c r="E34" s="165">
        <v>5.99</v>
      </c>
      <c r="F34" s="165">
        <v>3.58</v>
      </c>
      <c r="G34" s="165">
        <v>47.36</v>
      </c>
      <c r="H34" s="165">
        <v>14.25</v>
      </c>
      <c r="I34" s="165">
        <v>4.58</v>
      </c>
      <c r="J34" s="165">
        <v>0.15</v>
      </c>
      <c r="K34" s="165">
        <v>194.74</v>
      </c>
      <c r="L34" s="165">
        <v>24.96</v>
      </c>
      <c r="M34" s="165">
        <v>58.52</v>
      </c>
      <c r="N34" s="165">
        <v>26</v>
      </c>
      <c r="O34" s="165">
        <v>0</v>
      </c>
      <c r="P34" s="165">
        <v>0.67</v>
      </c>
      <c r="Q34" s="165">
        <v>6.18</v>
      </c>
      <c r="R34" s="13"/>
      <c r="S34" s="13"/>
      <c r="T34" s="213"/>
      <c r="U34" s="13"/>
    </row>
    <row r="35" customFormat="1" spans="1:21">
      <c r="A35" s="142" t="s">
        <v>945</v>
      </c>
      <c r="B35" s="165">
        <v>23.03</v>
      </c>
      <c r="C35" s="165">
        <v>70.12</v>
      </c>
      <c r="D35" s="165">
        <v>56.46</v>
      </c>
      <c r="E35" s="165">
        <v>6.2</v>
      </c>
      <c r="F35" s="165">
        <v>3.67</v>
      </c>
      <c r="G35" s="165">
        <v>44.39</v>
      </c>
      <c r="H35" s="165">
        <v>14.44</v>
      </c>
      <c r="I35" s="165">
        <v>4.55</v>
      </c>
      <c r="J35" s="165">
        <v>0.25</v>
      </c>
      <c r="K35" s="165">
        <v>190.39</v>
      </c>
      <c r="L35" s="165">
        <v>25.44</v>
      </c>
      <c r="M35" s="165">
        <v>56.97</v>
      </c>
      <c r="N35" s="165">
        <v>19.8</v>
      </c>
      <c r="O35" s="165">
        <v>0</v>
      </c>
      <c r="P35" s="165">
        <v>0.65</v>
      </c>
      <c r="Q35" s="165">
        <v>6.16</v>
      </c>
      <c r="R35" s="13"/>
      <c r="S35" s="13"/>
      <c r="T35" s="213"/>
      <c r="U35" s="13"/>
    </row>
    <row r="36" customFormat="1" spans="1:21">
      <c r="A36" s="142" t="s">
        <v>946</v>
      </c>
      <c r="B36" s="165">
        <v>22.86</v>
      </c>
      <c r="C36" s="165">
        <v>70.36</v>
      </c>
      <c r="D36" s="165">
        <v>56.44</v>
      </c>
      <c r="E36" s="165">
        <v>6.34</v>
      </c>
      <c r="F36" s="165">
        <v>3.57</v>
      </c>
      <c r="G36" s="165">
        <v>37.1</v>
      </c>
      <c r="H36" s="165">
        <v>15.23</v>
      </c>
      <c r="I36" s="165">
        <v>4.55</v>
      </c>
      <c r="J36" s="165">
        <v>0.17</v>
      </c>
      <c r="K36" s="165">
        <v>219.29</v>
      </c>
      <c r="L36" s="165">
        <v>25.61</v>
      </c>
      <c r="M36" s="165">
        <v>55.26</v>
      </c>
      <c r="N36" s="165">
        <v>11.5</v>
      </c>
      <c r="O36" s="165">
        <v>0</v>
      </c>
      <c r="P36" s="165">
        <v>0.66</v>
      </c>
      <c r="Q36" s="165">
        <v>6.18</v>
      </c>
      <c r="R36" s="13"/>
      <c r="S36" s="13"/>
      <c r="T36" s="213"/>
      <c r="U36" s="13"/>
    </row>
    <row r="37" customFormat="1" spans="1:21">
      <c r="A37" s="142" t="s">
        <v>947</v>
      </c>
      <c r="B37" s="165">
        <v>22.66</v>
      </c>
      <c r="C37" s="165">
        <v>70.46</v>
      </c>
      <c r="D37" s="165">
        <v>56.34</v>
      </c>
      <c r="E37" s="165">
        <v>6.27</v>
      </c>
      <c r="F37" s="165">
        <v>3.82</v>
      </c>
      <c r="G37" s="165">
        <v>37.1</v>
      </c>
      <c r="H37" s="165">
        <v>15.23</v>
      </c>
      <c r="I37" s="165">
        <v>4.55</v>
      </c>
      <c r="J37" s="165">
        <v>0.17</v>
      </c>
      <c r="K37" s="165">
        <v>257.56</v>
      </c>
      <c r="L37" s="165">
        <v>25.68</v>
      </c>
      <c r="M37" s="165">
        <v>54.61</v>
      </c>
      <c r="N37" s="165">
        <v>44.6</v>
      </c>
      <c r="O37" s="165">
        <v>0</v>
      </c>
      <c r="P37" s="165">
        <v>0.65</v>
      </c>
      <c r="Q37" s="165">
        <v>6.17</v>
      </c>
      <c r="R37" s="13"/>
      <c r="S37" s="13"/>
      <c r="T37" s="213"/>
      <c r="U37" s="13"/>
    </row>
    <row r="38" customFormat="1" spans="1:21">
      <c r="A38" s="142" t="s">
        <v>948</v>
      </c>
      <c r="B38" s="165">
        <v>22.74</v>
      </c>
      <c r="C38" s="165">
        <v>70.44</v>
      </c>
      <c r="D38" s="165">
        <v>56.39</v>
      </c>
      <c r="E38" s="165">
        <v>6.25</v>
      </c>
      <c r="F38" s="165">
        <v>3.75</v>
      </c>
      <c r="G38" s="165">
        <v>37.1</v>
      </c>
      <c r="H38" s="165">
        <v>15.23</v>
      </c>
      <c r="I38" s="165">
        <v>4.61</v>
      </c>
      <c r="J38" s="165">
        <v>0.22</v>
      </c>
      <c r="K38" s="165">
        <v>252.62</v>
      </c>
      <c r="L38" s="165">
        <v>26.47</v>
      </c>
      <c r="M38" s="165">
        <v>51.15</v>
      </c>
      <c r="N38" s="165">
        <v>78.7</v>
      </c>
      <c r="O38" s="165">
        <v>0</v>
      </c>
      <c r="P38" s="165">
        <v>0.67</v>
      </c>
      <c r="Q38" s="165">
        <v>6.18</v>
      </c>
      <c r="R38" s="13"/>
      <c r="S38" s="13"/>
      <c r="T38" s="213"/>
      <c r="U38" s="13"/>
    </row>
    <row r="39" customFormat="1" spans="1:21">
      <c r="A39" s="142" t="s">
        <v>949</v>
      </c>
      <c r="B39" s="165">
        <v>22.99</v>
      </c>
      <c r="C39" s="165">
        <v>70.76</v>
      </c>
      <c r="D39" s="165">
        <v>56.75</v>
      </c>
      <c r="E39" s="165">
        <v>6.4</v>
      </c>
      <c r="F39" s="165">
        <v>3.72</v>
      </c>
      <c r="G39" s="165">
        <v>38.44</v>
      </c>
      <c r="H39" s="165">
        <v>14.05</v>
      </c>
      <c r="I39" s="165">
        <v>4.66</v>
      </c>
      <c r="J39" s="165">
        <v>0.75</v>
      </c>
      <c r="K39" s="165">
        <v>272.84</v>
      </c>
      <c r="L39" s="165">
        <v>26.92</v>
      </c>
      <c r="M39" s="165">
        <v>49.79</v>
      </c>
      <c r="N39" s="165">
        <v>123.8</v>
      </c>
      <c r="O39" s="165">
        <v>0</v>
      </c>
      <c r="P39" s="165">
        <v>0.67</v>
      </c>
      <c r="Q39" s="165">
        <v>6.18</v>
      </c>
      <c r="R39" s="13"/>
      <c r="S39" s="13"/>
      <c r="T39" s="213"/>
      <c r="U39" s="13"/>
    </row>
    <row r="40" customFormat="1" spans="1:21">
      <c r="A40" s="142" t="s">
        <v>950</v>
      </c>
      <c r="B40" s="165">
        <v>23.25</v>
      </c>
      <c r="C40" s="165">
        <v>69.93</v>
      </c>
      <c r="D40" s="165">
        <v>56.53</v>
      </c>
      <c r="E40" s="165">
        <v>6.77</v>
      </c>
      <c r="F40" s="165">
        <v>4.11</v>
      </c>
      <c r="G40" s="165">
        <v>41.74</v>
      </c>
      <c r="H40" s="165">
        <v>12.1</v>
      </c>
      <c r="I40" s="165">
        <v>4.7</v>
      </c>
      <c r="J40" s="165">
        <v>1.3</v>
      </c>
      <c r="K40" s="165">
        <v>275.59</v>
      </c>
      <c r="L40" s="165">
        <v>27.89</v>
      </c>
      <c r="M40" s="165">
        <v>45.1</v>
      </c>
      <c r="N40" s="165">
        <v>196.5</v>
      </c>
      <c r="O40" s="165">
        <v>0</v>
      </c>
      <c r="P40" s="165">
        <v>0.7</v>
      </c>
      <c r="Q40" s="165">
        <v>6.21</v>
      </c>
      <c r="R40" s="13"/>
      <c r="S40" s="13"/>
      <c r="T40" s="213"/>
      <c r="U40" s="13"/>
    </row>
    <row r="41" customFormat="1" spans="1:21">
      <c r="A41" s="142" t="s">
        <v>951</v>
      </c>
      <c r="B41" s="165">
        <v>23</v>
      </c>
      <c r="C41" s="165">
        <v>65.95</v>
      </c>
      <c r="D41" s="165">
        <v>54.26</v>
      </c>
      <c r="E41" s="165">
        <v>6.61</v>
      </c>
      <c r="F41" s="165">
        <v>4.38</v>
      </c>
      <c r="G41" s="165">
        <v>41.74</v>
      </c>
      <c r="H41" s="165">
        <v>12.1</v>
      </c>
      <c r="I41" s="165">
        <v>4.77</v>
      </c>
      <c r="J41" s="165">
        <v>1.03</v>
      </c>
      <c r="K41" s="165">
        <v>246</v>
      </c>
      <c r="L41" s="165">
        <v>28.1</v>
      </c>
      <c r="M41" s="165">
        <v>44.15</v>
      </c>
      <c r="N41" s="165">
        <v>124.7</v>
      </c>
      <c r="O41" s="165">
        <v>0</v>
      </c>
      <c r="P41" s="165">
        <v>0.7</v>
      </c>
      <c r="Q41" s="165">
        <v>6.08</v>
      </c>
      <c r="R41" s="13"/>
      <c r="S41" s="13"/>
      <c r="T41" s="213"/>
      <c r="U41" s="13"/>
    </row>
    <row r="42" customFormat="1" spans="1:21">
      <c r="A42" s="142" t="s">
        <v>952</v>
      </c>
      <c r="B42" s="165">
        <v>21.96</v>
      </c>
      <c r="C42" s="165">
        <v>67.84</v>
      </c>
      <c r="D42" s="165">
        <v>54.4</v>
      </c>
      <c r="E42" s="165">
        <v>7.11</v>
      </c>
      <c r="F42" s="165">
        <v>5.19</v>
      </c>
      <c r="G42" s="165">
        <v>41.74</v>
      </c>
      <c r="H42" s="165">
        <v>12.1</v>
      </c>
      <c r="I42" s="165">
        <v>4.96</v>
      </c>
      <c r="J42" s="165">
        <v>0.76</v>
      </c>
      <c r="K42" s="165">
        <v>252.35</v>
      </c>
      <c r="L42" s="165">
        <v>27.86</v>
      </c>
      <c r="M42" s="165">
        <v>44.98</v>
      </c>
      <c r="N42" s="165">
        <v>64.8</v>
      </c>
      <c r="O42" s="165">
        <v>0</v>
      </c>
      <c r="P42" s="165">
        <v>0.7</v>
      </c>
      <c r="Q42" s="165">
        <v>5.97</v>
      </c>
      <c r="R42" s="13"/>
      <c r="S42" s="13"/>
      <c r="T42" s="213"/>
      <c r="U42" s="13"/>
    </row>
    <row r="43" customFormat="1" spans="1:21">
      <c r="A43" s="142" t="s">
        <v>953</v>
      </c>
      <c r="B43" s="165">
        <v>21.38</v>
      </c>
      <c r="C43" s="165">
        <v>68.55</v>
      </c>
      <c r="D43" s="165">
        <v>54.31</v>
      </c>
      <c r="E43" s="165">
        <v>7.47</v>
      </c>
      <c r="F43" s="165">
        <v>5.81</v>
      </c>
      <c r="G43" s="165">
        <v>43.04</v>
      </c>
      <c r="H43" s="165">
        <v>13.56</v>
      </c>
      <c r="I43" s="165">
        <v>5.11</v>
      </c>
      <c r="J43" s="165">
        <v>0.32</v>
      </c>
      <c r="K43" s="165">
        <v>243.88</v>
      </c>
      <c r="L43" s="165">
        <v>28</v>
      </c>
      <c r="M43" s="165">
        <v>45.34</v>
      </c>
      <c r="N43" s="165">
        <v>103.5</v>
      </c>
      <c r="O43" s="165">
        <v>0</v>
      </c>
      <c r="P43" s="165">
        <v>0.71</v>
      </c>
      <c r="Q43" s="165">
        <v>5.97</v>
      </c>
      <c r="R43" s="13"/>
      <c r="S43" s="13"/>
      <c r="T43" s="213"/>
      <c r="U43" s="13"/>
    </row>
    <row r="44" customFormat="1" spans="1:21">
      <c r="A44" s="142" t="s">
        <v>954</v>
      </c>
      <c r="B44" s="165">
        <v>20.92</v>
      </c>
      <c r="C44" s="165">
        <v>66.07</v>
      </c>
      <c r="D44" s="165">
        <v>52.65</v>
      </c>
      <c r="E44" s="165">
        <v>8.41</v>
      </c>
      <c r="F44" s="165">
        <v>6.91</v>
      </c>
      <c r="G44" s="165">
        <v>46.24</v>
      </c>
      <c r="H44" s="165">
        <v>15.95</v>
      </c>
      <c r="I44" s="165">
        <v>5.15</v>
      </c>
      <c r="J44" s="165">
        <v>0.64</v>
      </c>
      <c r="K44" s="165">
        <v>290.77</v>
      </c>
      <c r="L44" s="165">
        <v>28.75</v>
      </c>
      <c r="M44" s="165">
        <v>43.52</v>
      </c>
      <c r="N44" s="165">
        <v>200.4</v>
      </c>
      <c r="O44" s="165">
        <v>0</v>
      </c>
      <c r="P44" s="165">
        <v>0.73</v>
      </c>
      <c r="Q44" s="165">
        <v>5.97</v>
      </c>
      <c r="R44" s="13"/>
      <c r="S44" s="13"/>
      <c r="T44" s="213"/>
      <c r="U44" s="13"/>
    </row>
    <row r="45" customFormat="1" spans="1:21">
      <c r="A45" s="142" t="s">
        <v>955</v>
      </c>
      <c r="B45" s="165">
        <v>21.16</v>
      </c>
      <c r="C45" s="165">
        <v>67.49</v>
      </c>
      <c r="D45" s="165">
        <v>53.58</v>
      </c>
      <c r="E45" s="165">
        <v>7.71</v>
      </c>
      <c r="F45" s="165">
        <v>5.84</v>
      </c>
      <c r="G45" s="165">
        <v>46.24</v>
      </c>
      <c r="H45" s="165">
        <v>15.95</v>
      </c>
      <c r="I45" s="165">
        <v>5.19</v>
      </c>
      <c r="J45" s="165">
        <v>0.89</v>
      </c>
      <c r="K45" s="165">
        <v>297.75</v>
      </c>
      <c r="L45" s="165">
        <v>29.27</v>
      </c>
      <c r="M45" s="165">
        <v>43.32</v>
      </c>
      <c r="N45" s="165">
        <v>237.4</v>
      </c>
      <c r="O45" s="165">
        <v>0</v>
      </c>
      <c r="P45" s="165">
        <v>0.73</v>
      </c>
      <c r="Q45" s="165">
        <v>5.94</v>
      </c>
      <c r="R45" s="13"/>
      <c r="S45" s="13"/>
      <c r="T45" s="213"/>
      <c r="U45" s="13"/>
    </row>
    <row r="46" customFormat="1" spans="1:21">
      <c r="A46" s="142" t="s">
        <v>956</v>
      </c>
      <c r="B46" s="165">
        <v>20.44</v>
      </c>
      <c r="C46" s="165">
        <v>65.27</v>
      </c>
      <c r="D46" s="165">
        <v>51.84</v>
      </c>
      <c r="E46" s="165">
        <v>8.11</v>
      </c>
      <c r="F46" s="165">
        <v>7.33</v>
      </c>
      <c r="G46" s="165">
        <v>46.24</v>
      </c>
      <c r="H46" s="165">
        <v>15.95</v>
      </c>
      <c r="I46" s="165">
        <v>5.22</v>
      </c>
      <c r="J46" s="165">
        <v>0.34</v>
      </c>
      <c r="K46" s="165">
        <v>241.68</v>
      </c>
      <c r="L46" s="165">
        <v>29.89</v>
      </c>
      <c r="M46" s="165">
        <v>41.91</v>
      </c>
      <c r="N46" s="165">
        <v>224.3</v>
      </c>
      <c r="O46" s="165">
        <v>0</v>
      </c>
      <c r="P46" s="165">
        <v>0.76</v>
      </c>
      <c r="Q46" s="165">
        <v>5.93</v>
      </c>
      <c r="R46" s="13"/>
      <c r="S46" s="13"/>
      <c r="T46" s="213"/>
      <c r="U46" s="13"/>
    </row>
    <row r="47" customFormat="1" spans="1:21">
      <c r="A47" s="142" t="s">
        <v>957</v>
      </c>
      <c r="B47" s="165">
        <v>20.01</v>
      </c>
      <c r="C47" s="165">
        <v>66.88</v>
      </c>
      <c r="D47" s="165">
        <v>52.34</v>
      </c>
      <c r="E47" s="165">
        <v>8.25</v>
      </c>
      <c r="F47" s="165">
        <v>8.19</v>
      </c>
      <c r="G47" s="165">
        <v>47.03</v>
      </c>
      <c r="H47" s="165">
        <v>16.26</v>
      </c>
      <c r="I47" s="165">
        <v>5.33</v>
      </c>
      <c r="J47" s="165">
        <v>0.31</v>
      </c>
      <c r="K47" s="165">
        <v>244.42</v>
      </c>
      <c r="L47" s="165">
        <v>30.46</v>
      </c>
      <c r="M47" s="165">
        <v>40.73</v>
      </c>
      <c r="N47" s="165">
        <v>329.3</v>
      </c>
      <c r="O47" s="165">
        <v>0</v>
      </c>
      <c r="P47" s="165">
        <v>0.79</v>
      </c>
      <c r="Q47" s="165">
        <v>5.89</v>
      </c>
      <c r="R47" s="13"/>
      <c r="S47" s="13"/>
      <c r="T47" s="213"/>
      <c r="U47" s="13"/>
    </row>
    <row r="48" customFormat="1" spans="1:21">
      <c r="A48" s="142" t="s">
        <v>958</v>
      </c>
      <c r="B48" s="165">
        <v>21</v>
      </c>
      <c r="C48" s="165">
        <v>66.13</v>
      </c>
      <c r="D48" s="165">
        <v>52.74</v>
      </c>
      <c r="E48" s="165">
        <v>9.36</v>
      </c>
      <c r="F48" s="165">
        <v>8.26</v>
      </c>
      <c r="G48" s="165">
        <v>48.98</v>
      </c>
      <c r="H48" s="165">
        <v>16.76</v>
      </c>
      <c r="I48" s="165">
        <v>5.56</v>
      </c>
      <c r="J48" s="165">
        <v>0.94</v>
      </c>
      <c r="K48" s="165">
        <v>303.39</v>
      </c>
      <c r="L48" s="165">
        <v>31.72</v>
      </c>
      <c r="M48" s="165">
        <v>38.02</v>
      </c>
      <c r="N48" s="165">
        <v>531.8</v>
      </c>
      <c r="O48" s="165">
        <v>0</v>
      </c>
      <c r="P48" s="165">
        <v>0.83</v>
      </c>
      <c r="Q48" s="165">
        <v>5.89</v>
      </c>
      <c r="R48" s="13"/>
      <c r="S48" s="13"/>
      <c r="T48" s="213"/>
      <c r="U48" s="13"/>
    </row>
    <row r="49" customFormat="1" spans="1:21">
      <c r="A49" s="142" t="s">
        <v>959</v>
      </c>
      <c r="B49" s="165">
        <v>19.86</v>
      </c>
      <c r="C49" s="165">
        <v>68.05</v>
      </c>
      <c r="D49" s="165">
        <v>52.83</v>
      </c>
      <c r="E49" s="165">
        <v>10.43</v>
      </c>
      <c r="F49" s="165">
        <v>8.09</v>
      </c>
      <c r="G49" s="165">
        <v>48.98</v>
      </c>
      <c r="H49" s="165">
        <v>16.76</v>
      </c>
      <c r="I49" s="165">
        <v>5.84</v>
      </c>
      <c r="J49" s="165">
        <v>1.08</v>
      </c>
      <c r="K49" s="165">
        <v>284.52</v>
      </c>
      <c r="L49" s="165">
        <v>31.73</v>
      </c>
      <c r="M49" s="165">
        <v>37.59</v>
      </c>
      <c r="N49" s="165">
        <v>321.4</v>
      </c>
      <c r="O49" s="165">
        <v>0</v>
      </c>
      <c r="P49" s="165">
        <v>0.84</v>
      </c>
      <c r="Q49" s="165">
        <v>5.92</v>
      </c>
      <c r="R49" s="13"/>
      <c r="S49" s="13"/>
      <c r="T49" s="213"/>
      <c r="U49" s="13"/>
    </row>
    <row r="50" customFormat="1" spans="1:21">
      <c r="A50" s="142" t="s">
        <v>960</v>
      </c>
      <c r="B50" s="165">
        <v>18.75</v>
      </c>
      <c r="C50" s="165">
        <v>68.21</v>
      </c>
      <c r="D50" s="165">
        <v>52.02</v>
      </c>
      <c r="E50" s="165">
        <v>10.95</v>
      </c>
      <c r="F50" s="165">
        <v>8.24</v>
      </c>
      <c r="G50" s="165">
        <v>48.98</v>
      </c>
      <c r="H50" s="165">
        <v>16.76</v>
      </c>
      <c r="I50" s="165">
        <v>6.14</v>
      </c>
      <c r="J50" s="165">
        <v>1.13</v>
      </c>
      <c r="K50" s="165">
        <v>292.56</v>
      </c>
      <c r="L50" s="165">
        <v>31.37</v>
      </c>
      <c r="M50" s="165">
        <v>37.51</v>
      </c>
      <c r="N50" s="165">
        <v>246.6</v>
      </c>
      <c r="O50" s="165">
        <v>0</v>
      </c>
      <c r="P50" s="165">
        <v>0.85</v>
      </c>
      <c r="Q50" s="165">
        <v>5.86</v>
      </c>
      <c r="R50" s="13"/>
      <c r="S50" s="13"/>
      <c r="T50" s="213"/>
      <c r="U50" s="13"/>
    </row>
    <row r="51" customFormat="1" spans="1:21">
      <c r="A51" s="142" t="s">
        <v>961</v>
      </c>
      <c r="B51" s="165">
        <v>17.75</v>
      </c>
      <c r="C51" s="165">
        <v>68.18</v>
      </c>
      <c r="D51" s="165">
        <v>51.21</v>
      </c>
      <c r="E51" s="165">
        <v>11.94</v>
      </c>
      <c r="F51" s="165">
        <v>10.6</v>
      </c>
      <c r="G51" s="165">
        <v>51.54</v>
      </c>
      <c r="H51" s="165">
        <v>17.98</v>
      </c>
      <c r="I51" s="165">
        <v>6.28</v>
      </c>
      <c r="J51" s="165">
        <v>0.98</v>
      </c>
      <c r="K51" s="165">
        <v>301.63</v>
      </c>
      <c r="L51" s="165">
        <v>31.54</v>
      </c>
      <c r="M51" s="165">
        <v>36.87</v>
      </c>
      <c r="N51" s="165">
        <v>298.7</v>
      </c>
      <c r="O51" s="165">
        <v>0</v>
      </c>
      <c r="P51" s="165">
        <v>0.85</v>
      </c>
      <c r="Q51" s="165">
        <v>5.84</v>
      </c>
      <c r="R51" s="13"/>
      <c r="S51" s="13"/>
      <c r="T51" s="213"/>
      <c r="U51" s="13"/>
    </row>
    <row r="52" customFormat="1" spans="1:21">
      <c r="A52" s="142" t="s">
        <v>962</v>
      </c>
      <c r="B52" s="165">
        <v>17.26</v>
      </c>
      <c r="C52" s="165">
        <v>68.11</v>
      </c>
      <c r="D52" s="165">
        <v>50.77</v>
      </c>
      <c r="E52" s="165">
        <v>11.4</v>
      </c>
      <c r="F52" s="165">
        <v>8.49</v>
      </c>
      <c r="G52" s="165">
        <v>57.83</v>
      </c>
      <c r="H52" s="165">
        <v>19.91</v>
      </c>
      <c r="I52" s="165">
        <v>6.27</v>
      </c>
      <c r="J52" s="165">
        <v>1.14</v>
      </c>
      <c r="K52" s="165">
        <v>274.76</v>
      </c>
      <c r="L52" s="165">
        <v>32.06</v>
      </c>
      <c r="M52" s="165">
        <v>35.67</v>
      </c>
      <c r="N52" s="165">
        <v>401.9</v>
      </c>
      <c r="O52" s="165">
        <v>0</v>
      </c>
      <c r="P52" s="165">
        <v>0.84</v>
      </c>
      <c r="Q52" s="165">
        <v>5.84</v>
      </c>
      <c r="R52" s="13"/>
      <c r="S52" s="13"/>
      <c r="T52" s="213"/>
      <c r="U52" s="13"/>
    </row>
    <row r="53" customFormat="1" spans="1:21">
      <c r="A53" s="142" t="s">
        <v>963</v>
      </c>
      <c r="B53" s="165">
        <v>17.05</v>
      </c>
      <c r="C53" s="165">
        <v>66.33</v>
      </c>
      <c r="D53" s="165">
        <v>49.68</v>
      </c>
      <c r="E53" s="165">
        <v>10.47</v>
      </c>
      <c r="F53" s="165">
        <v>8.52</v>
      </c>
      <c r="G53" s="165">
        <v>57.83</v>
      </c>
      <c r="H53" s="165">
        <v>19.91</v>
      </c>
      <c r="I53" s="165">
        <v>6.25</v>
      </c>
      <c r="J53" s="165">
        <v>1.03</v>
      </c>
      <c r="K53" s="165">
        <v>282.82</v>
      </c>
      <c r="L53" s="165">
        <v>31.93</v>
      </c>
      <c r="M53" s="165">
        <v>35.48</v>
      </c>
      <c r="N53" s="165">
        <v>279.6</v>
      </c>
      <c r="O53" s="165">
        <v>0</v>
      </c>
      <c r="P53" s="165">
        <v>0.83</v>
      </c>
      <c r="Q53" s="165">
        <v>5.76</v>
      </c>
      <c r="R53" s="13"/>
      <c r="S53" s="13"/>
      <c r="T53" s="213"/>
      <c r="U53" s="13"/>
    </row>
    <row r="54" customFormat="1" spans="1:21">
      <c r="A54" s="142" t="s">
        <v>964</v>
      </c>
      <c r="B54" s="165">
        <v>16.53</v>
      </c>
      <c r="C54" s="165">
        <v>68.99</v>
      </c>
      <c r="D54" s="165">
        <v>50.65</v>
      </c>
      <c r="E54" s="165">
        <v>10.36</v>
      </c>
      <c r="F54" s="165">
        <v>9.15</v>
      </c>
      <c r="G54" s="165">
        <v>57.83</v>
      </c>
      <c r="H54" s="165">
        <v>19.91</v>
      </c>
      <c r="I54" s="165">
        <v>6.28</v>
      </c>
      <c r="J54" s="165">
        <v>1.59</v>
      </c>
      <c r="K54" s="165">
        <v>291.71</v>
      </c>
      <c r="L54" s="165">
        <v>31.89</v>
      </c>
      <c r="M54" s="165">
        <v>35.48</v>
      </c>
      <c r="N54" s="165">
        <v>338.1</v>
      </c>
      <c r="O54" s="165">
        <v>0</v>
      </c>
      <c r="P54" s="165">
        <v>0.82</v>
      </c>
      <c r="Q54" s="165">
        <v>5.74</v>
      </c>
      <c r="R54" s="13"/>
      <c r="S54" s="13"/>
      <c r="T54" s="213"/>
      <c r="U54" s="13"/>
    </row>
    <row r="55" customFormat="1" spans="1:21">
      <c r="A55" s="142" t="s">
        <v>965</v>
      </c>
      <c r="B55" s="165">
        <v>15.58</v>
      </c>
      <c r="C55" s="165">
        <v>67.69</v>
      </c>
      <c r="D55" s="165">
        <v>49.21</v>
      </c>
      <c r="E55" s="165">
        <v>10.76</v>
      </c>
      <c r="F55" s="165">
        <v>9.74</v>
      </c>
      <c r="G55" s="165">
        <v>57.34</v>
      </c>
      <c r="H55" s="165">
        <v>19.38</v>
      </c>
      <c r="I55" s="165">
        <v>6.26</v>
      </c>
      <c r="J55" s="165">
        <v>1.34</v>
      </c>
      <c r="K55" s="165">
        <v>292.73</v>
      </c>
      <c r="L55" s="165">
        <v>32.15</v>
      </c>
      <c r="M55" s="165">
        <v>35.16</v>
      </c>
      <c r="N55" s="165">
        <v>626.4</v>
      </c>
      <c r="O55" s="165">
        <v>0</v>
      </c>
      <c r="P55" s="165">
        <v>0.82</v>
      </c>
      <c r="Q55" s="165">
        <v>5.77</v>
      </c>
      <c r="R55" s="13"/>
      <c r="S55" s="13"/>
      <c r="T55" s="213"/>
      <c r="U55" s="13"/>
    </row>
    <row r="56" customFormat="1" spans="1:21">
      <c r="A56" s="142" t="s">
        <v>966</v>
      </c>
      <c r="B56" s="165">
        <v>15.11</v>
      </c>
      <c r="C56" s="165">
        <v>69.54</v>
      </c>
      <c r="D56" s="165">
        <v>49.8</v>
      </c>
      <c r="E56" s="165">
        <v>11.04</v>
      </c>
      <c r="F56" s="165">
        <v>9.64</v>
      </c>
      <c r="G56" s="165">
        <v>56.12</v>
      </c>
      <c r="H56" s="165">
        <v>18.52</v>
      </c>
      <c r="I56" s="165">
        <v>6.22</v>
      </c>
      <c r="J56" s="165">
        <v>1.19</v>
      </c>
      <c r="K56" s="165">
        <v>266.89</v>
      </c>
      <c r="L56" s="165">
        <v>33.26</v>
      </c>
      <c r="M56" s="165">
        <v>32.66</v>
      </c>
      <c r="N56" s="165">
        <v>726.4</v>
      </c>
      <c r="O56" s="165">
        <v>0</v>
      </c>
      <c r="P56" s="165">
        <v>0.82</v>
      </c>
      <c r="Q56" s="165">
        <v>5.76</v>
      </c>
      <c r="R56" s="13"/>
      <c r="S56" s="13"/>
      <c r="T56" s="213"/>
      <c r="U56" s="13"/>
    </row>
    <row r="57" customFormat="1" spans="1:21">
      <c r="A57" s="142" t="s">
        <v>967</v>
      </c>
      <c r="B57" s="165">
        <v>13.28</v>
      </c>
      <c r="C57" s="165">
        <v>64.4</v>
      </c>
      <c r="D57" s="165">
        <v>45.64</v>
      </c>
      <c r="E57" s="165">
        <v>11.34</v>
      </c>
      <c r="F57" s="165">
        <v>15.45</v>
      </c>
      <c r="G57" s="165">
        <v>56.12</v>
      </c>
      <c r="H57" s="165">
        <v>18.52</v>
      </c>
      <c r="I57" s="165">
        <v>6.12</v>
      </c>
      <c r="J57" s="165">
        <v>0.64</v>
      </c>
      <c r="K57" s="165">
        <v>292.94</v>
      </c>
      <c r="L57" s="165">
        <v>34.15</v>
      </c>
      <c r="M57" s="165">
        <v>30.43</v>
      </c>
      <c r="N57" s="165">
        <v>744</v>
      </c>
      <c r="O57" s="165">
        <v>0</v>
      </c>
      <c r="P57" s="165">
        <v>0.77</v>
      </c>
      <c r="Q57" s="165">
        <v>5.69</v>
      </c>
      <c r="R57" s="13"/>
      <c r="S57" s="13"/>
      <c r="T57" s="213"/>
      <c r="U57" s="13"/>
    </row>
    <row r="58" customFormat="1" spans="1:21">
      <c r="A58" s="142" t="s">
        <v>968</v>
      </c>
      <c r="B58" s="165">
        <v>12.54</v>
      </c>
      <c r="C58" s="165">
        <v>62.91</v>
      </c>
      <c r="D58" s="165">
        <v>44.28</v>
      </c>
      <c r="E58" s="165">
        <v>10.65</v>
      </c>
      <c r="F58" s="165">
        <v>18.05</v>
      </c>
      <c r="G58" s="165">
        <v>56.12</v>
      </c>
      <c r="H58" s="165">
        <v>18.52</v>
      </c>
      <c r="I58" s="165">
        <v>5.95</v>
      </c>
      <c r="J58" s="165">
        <v>1.14</v>
      </c>
      <c r="K58" s="165">
        <v>299.01</v>
      </c>
      <c r="L58" s="165">
        <v>34.46</v>
      </c>
      <c r="M58" s="165">
        <v>30.11</v>
      </c>
      <c r="N58" s="165">
        <v>726.4</v>
      </c>
      <c r="O58" s="165">
        <v>0</v>
      </c>
      <c r="P58" s="165">
        <v>0.75</v>
      </c>
      <c r="Q58" s="165">
        <v>5.57</v>
      </c>
      <c r="R58" s="13"/>
      <c r="S58" s="13"/>
      <c r="T58" s="213"/>
      <c r="U58" s="13"/>
    </row>
    <row r="59" customFormat="1" spans="1:21">
      <c r="A59" s="142" t="s">
        <v>969</v>
      </c>
      <c r="B59" s="165">
        <v>11.11</v>
      </c>
      <c r="C59" s="165">
        <v>64.46</v>
      </c>
      <c r="D59" s="165">
        <v>43.94</v>
      </c>
      <c r="E59" s="165">
        <v>10.5</v>
      </c>
      <c r="F59" s="165">
        <v>14.7</v>
      </c>
      <c r="G59" s="165">
        <v>54.75</v>
      </c>
      <c r="H59" s="165">
        <v>18.54</v>
      </c>
      <c r="I59" s="165">
        <v>5.78</v>
      </c>
      <c r="J59" s="165">
        <v>0.74</v>
      </c>
      <c r="K59" s="165">
        <v>276.63</v>
      </c>
      <c r="L59" s="165">
        <v>35.37</v>
      </c>
      <c r="M59" s="165">
        <v>28.46</v>
      </c>
      <c r="N59" s="165">
        <v>798.5</v>
      </c>
      <c r="O59" s="165">
        <v>0</v>
      </c>
      <c r="P59" s="165">
        <v>0.74</v>
      </c>
      <c r="Q59" s="165">
        <v>5.47</v>
      </c>
      <c r="R59" s="13"/>
      <c r="S59" s="13"/>
      <c r="T59" s="213"/>
      <c r="U59" s="13"/>
    </row>
    <row r="60" customFormat="1" spans="1:21">
      <c r="A60" s="142" t="s">
        <v>970</v>
      </c>
      <c r="B60" s="165">
        <v>10.16</v>
      </c>
      <c r="C60" s="165">
        <v>66.35</v>
      </c>
      <c r="D60" s="165">
        <v>44.16</v>
      </c>
      <c r="E60" s="165">
        <v>11.26</v>
      </c>
      <c r="F60" s="165">
        <v>9.83</v>
      </c>
      <c r="G60" s="165">
        <v>51.38</v>
      </c>
      <c r="H60" s="165">
        <v>18.61</v>
      </c>
      <c r="I60" s="165">
        <v>5.7</v>
      </c>
      <c r="J60" s="165">
        <v>0.76</v>
      </c>
      <c r="K60" s="165">
        <v>261.14</v>
      </c>
      <c r="L60" s="165">
        <v>35.28</v>
      </c>
      <c r="M60" s="165">
        <v>28.45</v>
      </c>
      <c r="N60" s="165">
        <v>598.2</v>
      </c>
      <c r="O60" s="165">
        <v>0</v>
      </c>
      <c r="P60" s="165">
        <v>0.75</v>
      </c>
      <c r="Q60" s="165">
        <v>5.5</v>
      </c>
      <c r="R60" s="13"/>
      <c r="S60" s="13"/>
      <c r="T60" s="213"/>
      <c r="U60" s="13"/>
    </row>
    <row r="61" customFormat="1" spans="1:21">
      <c r="A61" s="142" t="s">
        <v>971</v>
      </c>
      <c r="B61" s="165">
        <v>9.28</v>
      </c>
      <c r="C61" s="165">
        <v>68.31</v>
      </c>
      <c r="D61" s="165">
        <v>44.48</v>
      </c>
      <c r="E61" s="165">
        <v>10.27</v>
      </c>
      <c r="F61" s="165">
        <v>10.96</v>
      </c>
      <c r="G61" s="165">
        <v>51.38</v>
      </c>
      <c r="H61" s="165">
        <v>18.61</v>
      </c>
      <c r="I61" s="165">
        <v>5.73</v>
      </c>
      <c r="J61" s="165">
        <v>0.84</v>
      </c>
      <c r="K61" s="165">
        <v>245.74</v>
      </c>
      <c r="L61" s="165">
        <v>35.99</v>
      </c>
      <c r="M61" s="165">
        <v>28.01</v>
      </c>
      <c r="N61" s="165">
        <v>759.5</v>
      </c>
      <c r="O61" s="165">
        <v>0</v>
      </c>
      <c r="P61" s="165">
        <v>0.75</v>
      </c>
      <c r="Q61" s="165">
        <v>5.5</v>
      </c>
      <c r="R61" s="13"/>
      <c r="S61" s="13"/>
      <c r="T61" s="213"/>
      <c r="U61" s="13"/>
    </row>
    <row r="62" customFormat="1" spans="1:21">
      <c r="A62" s="142" t="s">
        <v>972</v>
      </c>
      <c r="B62" s="165">
        <v>7.74</v>
      </c>
      <c r="C62" s="165">
        <v>64.81</v>
      </c>
      <c r="D62" s="165">
        <v>41.42</v>
      </c>
      <c r="E62" s="165">
        <v>10.28</v>
      </c>
      <c r="F62" s="165">
        <v>13.56</v>
      </c>
      <c r="G62" s="165">
        <v>51.38</v>
      </c>
      <c r="H62" s="165">
        <v>18.61</v>
      </c>
      <c r="I62" s="165">
        <v>5.79</v>
      </c>
      <c r="J62" s="165">
        <v>0.85</v>
      </c>
      <c r="K62" s="165">
        <v>300.06</v>
      </c>
      <c r="L62" s="165">
        <v>35.79</v>
      </c>
      <c r="M62" s="165">
        <v>27.58</v>
      </c>
      <c r="N62" s="165">
        <v>702.5</v>
      </c>
      <c r="O62" s="165">
        <v>0</v>
      </c>
      <c r="P62" s="165">
        <v>0.72</v>
      </c>
      <c r="Q62" s="165">
        <v>5.45</v>
      </c>
      <c r="R62" s="13"/>
      <c r="S62" s="13"/>
      <c r="T62" s="213"/>
      <c r="U62" s="13"/>
    </row>
    <row r="63" customFormat="1" spans="1:21">
      <c r="A63" s="142" t="s">
        <v>973</v>
      </c>
      <c r="B63" s="165">
        <v>6.79</v>
      </c>
      <c r="C63" s="165">
        <v>63.4</v>
      </c>
      <c r="D63" s="165">
        <v>39.92</v>
      </c>
      <c r="E63" s="165">
        <v>10.89</v>
      </c>
      <c r="F63" s="165">
        <v>17.44</v>
      </c>
      <c r="G63" s="165">
        <v>50.51</v>
      </c>
      <c r="H63" s="165">
        <v>18.57</v>
      </c>
      <c r="I63" s="165">
        <v>5.79</v>
      </c>
      <c r="J63" s="165">
        <v>0.52</v>
      </c>
      <c r="K63" s="165">
        <v>275.74</v>
      </c>
      <c r="L63" s="165">
        <v>36.57</v>
      </c>
      <c r="M63" s="165">
        <v>26.54</v>
      </c>
      <c r="N63" s="165">
        <v>722.2</v>
      </c>
      <c r="O63" s="165">
        <v>0</v>
      </c>
      <c r="P63" s="165">
        <v>0.71</v>
      </c>
      <c r="Q63" s="165">
        <v>5.4</v>
      </c>
      <c r="R63" s="13"/>
      <c r="S63" s="13"/>
      <c r="T63" s="213"/>
      <c r="U63" s="13"/>
    </row>
    <row r="64" customFormat="1" spans="1:21">
      <c r="A64" s="142" t="s">
        <v>974</v>
      </c>
      <c r="B64" s="165">
        <v>6.36</v>
      </c>
      <c r="C64" s="165">
        <v>66.88</v>
      </c>
      <c r="D64" s="165">
        <v>41.39</v>
      </c>
      <c r="E64" s="165">
        <v>10.21</v>
      </c>
      <c r="F64" s="165">
        <v>11.2</v>
      </c>
      <c r="G64" s="165">
        <v>48.36</v>
      </c>
      <c r="H64" s="165">
        <v>18.51</v>
      </c>
      <c r="I64" s="165">
        <v>5.64</v>
      </c>
      <c r="J64" s="165">
        <v>0.58</v>
      </c>
      <c r="K64" s="165">
        <v>210.85</v>
      </c>
      <c r="L64" s="165">
        <v>37.02</v>
      </c>
      <c r="M64" s="165">
        <v>25.86</v>
      </c>
      <c r="N64" s="165">
        <v>728.8</v>
      </c>
      <c r="O64" s="165">
        <v>0</v>
      </c>
      <c r="P64" s="165">
        <v>0.71</v>
      </c>
      <c r="Q64" s="165">
        <v>5.32</v>
      </c>
      <c r="R64" s="13"/>
      <c r="S64" s="13"/>
      <c r="T64" s="213"/>
      <c r="U64" s="13"/>
    </row>
    <row r="65" customFormat="1" spans="1:21">
      <c r="A65" s="142" t="s">
        <v>975</v>
      </c>
      <c r="B65" s="165">
        <v>6</v>
      </c>
      <c r="C65" s="165">
        <v>67.69</v>
      </c>
      <c r="D65" s="165">
        <v>41.53</v>
      </c>
      <c r="E65" s="165">
        <v>9.58</v>
      </c>
      <c r="F65" s="165">
        <v>11.98</v>
      </c>
      <c r="G65" s="165">
        <v>48.36</v>
      </c>
      <c r="H65" s="165">
        <v>18.51</v>
      </c>
      <c r="I65" s="165">
        <v>5.49</v>
      </c>
      <c r="J65" s="165">
        <v>0.8</v>
      </c>
      <c r="K65" s="165">
        <v>244.42</v>
      </c>
      <c r="L65" s="165">
        <v>36.85</v>
      </c>
      <c r="M65" s="165">
        <v>25.6</v>
      </c>
      <c r="N65" s="165">
        <v>704.1</v>
      </c>
      <c r="O65" s="165">
        <v>0</v>
      </c>
      <c r="P65" s="165">
        <v>0.68</v>
      </c>
      <c r="Q65" s="165">
        <v>5.28</v>
      </c>
      <c r="R65" s="13"/>
      <c r="S65" s="13"/>
      <c r="T65" s="213"/>
      <c r="U65" s="13"/>
    </row>
    <row r="66" customFormat="1" spans="1:21">
      <c r="A66" s="142" t="s">
        <v>976</v>
      </c>
      <c r="B66" s="165">
        <v>5.66</v>
      </c>
      <c r="C66" s="165">
        <v>65.88</v>
      </c>
      <c r="D66" s="165">
        <v>40.31</v>
      </c>
      <c r="E66" s="165">
        <v>10.04</v>
      </c>
      <c r="F66" s="165">
        <v>14.25</v>
      </c>
      <c r="G66" s="165">
        <v>48.36</v>
      </c>
      <c r="H66" s="165">
        <v>18.51</v>
      </c>
      <c r="I66" s="165">
        <v>5.52</v>
      </c>
      <c r="J66" s="165">
        <v>0.45</v>
      </c>
      <c r="K66" s="165">
        <v>218.8</v>
      </c>
      <c r="L66" s="165">
        <v>37.46</v>
      </c>
      <c r="M66" s="165">
        <v>25.07</v>
      </c>
      <c r="N66" s="165">
        <v>646.3</v>
      </c>
      <c r="O66" s="165">
        <v>0</v>
      </c>
      <c r="P66" s="165">
        <v>0.7</v>
      </c>
      <c r="Q66" s="165">
        <v>5.27</v>
      </c>
      <c r="R66" s="13"/>
      <c r="S66" s="13"/>
      <c r="T66" s="213"/>
      <c r="U66" s="13"/>
    </row>
    <row r="67" customFormat="1" spans="1:21">
      <c r="A67" s="142" t="s">
        <v>977</v>
      </c>
      <c r="B67" s="165">
        <v>5.36</v>
      </c>
      <c r="C67" s="165">
        <v>63.92</v>
      </c>
      <c r="D67" s="165">
        <v>39.05</v>
      </c>
      <c r="E67" s="165">
        <v>11.71</v>
      </c>
      <c r="F67" s="165">
        <v>16.6</v>
      </c>
      <c r="G67" s="165">
        <v>47.62</v>
      </c>
      <c r="H67" s="165">
        <v>17.65</v>
      </c>
      <c r="I67" s="165">
        <v>5.53</v>
      </c>
      <c r="J67" s="165">
        <v>0.84</v>
      </c>
      <c r="K67" s="165">
        <v>279.86</v>
      </c>
      <c r="L67" s="165">
        <v>36.93</v>
      </c>
      <c r="M67" s="165">
        <v>25.89</v>
      </c>
      <c r="N67" s="165">
        <v>600.8</v>
      </c>
      <c r="O67" s="165">
        <v>0</v>
      </c>
      <c r="P67" s="165">
        <v>0.71</v>
      </c>
      <c r="Q67" s="165">
        <v>5.24</v>
      </c>
      <c r="R67" s="13"/>
      <c r="S67" s="13"/>
      <c r="T67" s="213"/>
      <c r="U67" s="13"/>
    </row>
    <row r="68" customFormat="1" spans="1:21">
      <c r="A68" s="142" t="s">
        <v>978</v>
      </c>
      <c r="B68" s="165">
        <v>5.34</v>
      </c>
      <c r="C68" s="165">
        <v>66.95</v>
      </c>
      <c r="D68" s="165">
        <v>40.62</v>
      </c>
      <c r="E68" s="165">
        <v>11.03</v>
      </c>
      <c r="F68" s="165">
        <v>15.78</v>
      </c>
      <c r="G68" s="165">
        <v>45.78</v>
      </c>
      <c r="H68" s="165">
        <v>16.24</v>
      </c>
      <c r="I68" s="165">
        <v>5.54</v>
      </c>
      <c r="J68" s="165">
        <v>0.62</v>
      </c>
      <c r="K68" s="165">
        <v>293.89</v>
      </c>
      <c r="L68" s="165">
        <v>37.03</v>
      </c>
      <c r="M68" s="165">
        <v>25.02</v>
      </c>
      <c r="N68" s="165">
        <v>589.9</v>
      </c>
      <c r="O68" s="165">
        <v>0</v>
      </c>
      <c r="P68" s="165">
        <v>0.72</v>
      </c>
      <c r="Q68" s="165">
        <v>5.26</v>
      </c>
      <c r="R68" s="13"/>
      <c r="S68" s="13"/>
      <c r="T68" s="213"/>
      <c r="U68" s="13"/>
    </row>
    <row r="69" customFormat="1" spans="1:21">
      <c r="A69" s="142" t="s">
        <v>979</v>
      </c>
      <c r="B69" s="165">
        <v>5.41</v>
      </c>
      <c r="C69" s="165">
        <v>65.1</v>
      </c>
      <c r="D69" s="165">
        <v>39.7</v>
      </c>
      <c r="E69" s="165">
        <v>10.98</v>
      </c>
      <c r="F69" s="165">
        <v>14.03</v>
      </c>
      <c r="G69" s="165">
        <v>45.78</v>
      </c>
      <c r="H69" s="165">
        <v>16.24</v>
      </c>
      <c r="I69" s="165">
        <v>5.6</v>
      </c>
      <c r="J69" s="165">
        <v>0.59</v>
      </c>
      <c r="K69" s="165">
        <v>271.19</v>
      </c>
      <c r="L69" s="165">
        <v>37.25</v>
      </c>
      <c r="M69" s="165">
        <v>22.62</v>
      </c>
      <c r="N69" s="165">
        <v>560.7</v>
      </c>
      <c r="O69" s="165">
        <v>0</v>
      </c>
      <c r="P69" s="165">
        <v>0.71</v>
      </c>
      <c r="Q69" s="165">
        <v>5.27</v>
      </c>
      <c r="R69" s="13"/>
      <c r="S69" s="13"/>
      <c r="T69" s="213"/>
      <c r="U69" s="13"/>
    </row>
    <row r="70" customFormat="1" spans="1:21">
      <c r="A70" s="142" t="s">
        <v>980</v>
      </c>
      <c r="B70" s="165">
        <v>5.33</v>
      </c>
      <c r="C70" s="165">
        <v>67.13</v>
      </c>
      <c r="D70" s="165">
        <v>40.7</v>
      </c>
      <c r="E70" s="165">
        <v>10.47</v>
      </c>
      <c r="F70" s="165">
        <v>13.26</v>
      </c>
      <c r="G70" s="165">
        <v>45.78</v>
      </c>
      <c r="H70" s="165">
        <v>16.24</v>
      </c>
      <c r="I70" s="165">
        <v>5.59</v>
      </c>
      <c r="J70" s="165">
        <v>0.26</v>
      </c>
      <c r="K70" s="165">
        <v>226.02</v>
      </c>
      <c r="L70" s="165">
        <v>37.89</v>
      </c>
      <c r="M70" s="165">
        <v>22.54</v>
      </c>
      <c r="N70" s="165">
        <v>502.2</v>
      </c>
      <c r="O70" s="165">
        <v>0</v>
      </c>
      <c r="P70" s="165">
        <v>0.69</v>
      </c>
      <c r="Q70" s="165">
        <v>5.27</v>
      </c>
      <c r="R70" s="13"/>
      <c r="S70" s="13"/>
      <c r="T70" s="213"/>
      <c r="U70" s="13"/>
    </row>
    <row r="71" customFormat="1" spans="1:21">
      <c r="A71" s="142" t="s">
        <v>981</v>
      </c>
      <c r="B71" s="165">
        <v>5.37</v>
      </c>
      <c r="C71" s="165">
        <v>64.46</v>
      </c>
      <c r="D71" s="165">
        <v>39.34</v>
      </c>
      <c r="E71" s="165">
        <v>10.56</v>
      </c>
      <c r="F71" s="165">
        <v>20.45</v>
      </c>
      <c r="G71" s="165">
        <v>45.37</v>
      </c>
      <c r="H71" s="165">
        <v>16.8</v>
      </c>
      <c r="I71" s="165">
        <v>5.55</v>
      </c>
      <c r="J71" s="165">
        <v>0.29</v>
      </c>
      <c r="K71" s="165">
        <v>300.85</v>
      </c>
      <c r="L71" s="165">
        <v>37.87</v>
      </c>
      <c r="M71" s="165">
        <v>23.71</v>
      </c>
      <c r="N71" s="165">
        <v>444.7</v>
      </c>
      <c r="O71" s="165">
        <v>0</v>
      </c>
      <c r="P71" s="165">
        <v>0.69</v>
      </c>
      <c r="Q71" s="165">
        <v>5.25</v>
      </c>
      <c r="R71" s="13"/>
      <c r="S71" s="13"/>
      <c r="T71" s="213"/>
      <c r="U71" s="13"/>
    </row>
    <row r="72" customFormat="1" spans="1:21">
      <c r="A72" s="142" t="s">
        <v>982</v>
      </c>
      <c r="B72" s="165">
        <v>5.42</v>
      </c>
      <c r="C72" s="165">
        <v>64.68</v>
      </c>
      <c r="D72" s="165">
        <v>39.49</v>
      </c>
      <c r="E72" s="165">
        <v>11.63</v>
      </c>
      <c r="F72" s="165">
        <v>20.24</v>
      </c>
      <c r="G72" s="165">
        <v>44.36</v>
      </c>
      <c r="H72" s="165">
        <v>17.71</v>
      </c>
      <c r="I72" s="165">
        <v>5.53</v>
      </c>
      <c r="J72" s="165">
        <v>0.95</v>
      </c>
      <c r="K72" s="165">
        <v>293.78</v>
      </c>
      <c r="L72" s="165">
        <v>36.96</v>
      </c>
      <c r="M72" s="165">
        <v>24.43</v>
      </c>
      <c r="N72" s="165">
        <v>399.4</v>
      </c>
      <c r="O72" s="165">
        <v>0</v>
      </c>
      <c r="P72" s="165">
        <v>0.69</v>
      </c>
      <c r="Q72" s="165">
        <v>5.24</v>
      </c>
      <c r="R72" s="13"/>
      <c r="S72" s="13"/>
      <c r="T72" s="213"/>
      <c r="U72" s="13"/>
    </row>
    <row r="73" customFormat="1" spans="1:21">
      <c r="A73" s="142" t="s">
        <v>983</v>
      </c>
      <c r="B73" s="165">
        <v>5.27</v>
      </c>
      <c r="C73" s="165">
        <v>60.69</v>
      </c>
      <c r="D73" s="165">
        <v>37.28</v>
      </c>
      <c r="E73" s="165">
        <v>12.95</v>
      </c>
      <c r="F73" s="165">
        <v>35.91</v>
      </c>
      <c r="G73" s="165">
        <v>44.36</v>
      </c>
      <c r="H73" s="165">
        <v>17.71</v>
      </c>
      <c r="I73" s="165">
        <v>5.45</v>
      </c>
      <c r="J73" s="165">
        <v>0.2</v>
      </c>
      <c r="K73" s="165">
        <v>110.98</v>
      </c>
      <c r="L73" s="165">
        <v>37.03</v>
      </c>
      <c r="M73" s="165">
        <v>23.83</v>
      </c>
      <c r="N73" s="165">
        <v>334.3</v>
      </c>
      <c r="O73" s="165">
        <v>0</v>
      </c>
      <c r="P73" s="165">
        <v>0.67</v>
      </c>
      <c r="Q73" s="165">
        <v>5.19</v>
      </c>
      <c r="R73" s="13"/>
      <c r="S73" s="13"/>
      <c r="T73" s="213"/>
      <c r="U73" s="13"/>
    </row>
    <row r="74" customFormat="1" spans="1:21">
      <c r="A74" s="142" t="s">
        <v>984</v>
      </c>
      <c r="B74" s="165">
        <v>5.08</v>
      </c>
      <c r="C74" s="165">
        <v>62.14</v>
      </c>
      <c r="D74" s="165">
        <v>37.89</v>
      </c>
      <c r="E74" s="165">
        <v>12.72</v>
      </c>
      <c r="F74" s="165">
        <v>19.27</v>
      </c>
      <c r="G74" s="165">
        <v>44.36</v>
      </c>
      <c r="H74" s="165">
        <v>17.71</v>
      </c>
      <c r="I74" s="165">
        <v>5.33</v>
      </c>
      <c r="J74" s="165">
        <v>0.4</v>
      </c>
      <c r="K74" s="165">
        <v>152.55</v>
      </c>
      <c r="L74" s="165">
        <v>38.06</v>
      </c>
      <c r="M74" s="165">
        <v>22.86</v>
      </c>
      <c r="N74" s="165">
        <v>274.9</v>
      </c>
      <c r="O74" s="165">
        <v>0</v>
      </c>
      <c r="P74" s="165">
        <v>0.67</v>
      </c>
      <c r="Q74" s="165">
        <v>5.14</v>
      </c>
      <c r="R74" s="13"/>
      <c r="S74" s="13"/>
      <c r="T74" s="213"/>
      <c r="U74" s="13"/>
    </row>
    <row r="75" customFormat="1" spans="1:21">
      <c r="A75" s="142" t="s">
        <v>985</v>
      </c>
      <c r="B75" s="165">
        <v>5.26</v>
      </c>
      <c r="C75" s="165">
        <v>60.73</v>
      </c>
      <c r="D75" s="165">
        <v>37.3</v>
      </c>
      <c r="E75" s="165">
        <v>13.2</v>
      </c>
      <c r="F75" s="165">
        <v>28.58</v>
      </c>
      <c r="G75" s="165">
        <v>43.97</v>
      </c>
      <c r="H75" s="165">
        <v>18.24</v>
      </c>
      <c r="I75" s="165">
        <v>5.24</v>
      </c>
      <c r="J75" s="165">
        <v>0.23</v>
      </c>
      <c r="K75" s="165">
        <v>270.03</v>
      </c>
      <c r="L75" s="165">
        <v>37.25</v>
      </c>
      <c r="M75" s="165">
        <v>24.03</v>
      </c>
      <c r="N75" s="165">
        <v>201.6</v>
      </c>
      <c r="O75" s="165">
        <v>0</v>
      </c>
      <c r="P75" s="165">
        <v>0.67</v>
      </c>
      <c r="Q75" s="165">
        <v>5.12</v>
      </c>
      <c r="R75" s="13"/>
      <c r="S75" s="13"/>
      <c r="T75" s="213"/>
      <c r="U75" s="13"/>
    </row>
    <row r="76" customFormat="1" spans="1:21">
      <c r="A76" s="142" t="s">
        <v>986</v>
      </c>
      <c r="B76" s="165">
        <v>5.28</v>
      </c>
      <c r="C76" s="165">
        <v>61.74</v>
      </c>
      <c r="D76" s="165">
        <v>37.84</v>
      </c>
      <c r="E76" s="165">
        <v>14.45</v>
      </c>
      <c r="F76" s="165">
        <v>24.99</v>
      </c>
      <c r="G76" s="165">
        <v>43.02</v>
      </c>
      <c r="H76" s="165">
        <v>19.08</v>
      </c>
      <c r="I76" s="165">
        <v>5.28</v>
      </c>
      <c r="J76" s="165">
        <v>0.31</v>
      </c>
      <c r="K76" s="165">
        <v>217.9</v>
      </c>
      <c r="L76" s="165">
        <v>36.59</v>
      </c>
      <c r="M76" s="165">
        <v>25.75</v>
      </c>
      <c r="N76" s="165">
        <v>153.2</v>
      </c>
      <c r="O76" s="165">
        <v>0</v>
      </c>
      <c r="P76" s="165">
        <v>0.68</v>
      </c>
      <c r="Q76" s="165">
        <v>5.18</v>
      </c>
      <c r="R76" s="13"/>
      <c r="S76" s="13"/>
      <c r="T76" s="213"/>
      <c r="U76" s="13"/>
    </row>
    <row r="77" customFormat="1" spans="1:21">
      <c r="A77" s="142" t="s">
        <v>987</v>
      </c>
      <c r="B77" s="165">
        <v>5.09</v>
      </c>
      <c r="C77" s="165">
        <v>58.76</v>
      </c>
      <c r="D77" s="165">
        <v>36.13</v>
      </c>
      <c r="E77" s="165">
        <v>15.25</v>
      </c>
      <c r="F77" s="165">
        <v>34.19</v>
      </c>
      <c r="G77" s="165">
        <v>43.02</v>
      </c>
      <c r="H77" s="165">
        <v>19.08</v>
      </c>
      <c r="I77" s="165">
        <v>5.25</v>
      </c>
      <c r="J77" s="165">
        <v>0.23</v>
      </c>
      <c r="K77" s="165">
        <v>190.9</v>
      </c>
      <c r="L77" s="165">
        <v>36.31</v>
      </c>
      <c r="M77" s="165">
        <v>25.84</v>
      </c>
      <c r="N77" s="165">
        <v>101.5</v>
      </c>
      <c r="O77" s="165">
        <v>0</v>
      </c>
      <c r="P77" s="165">
        <v>0.66</v>
      </c>
      <c r="Q77" s="165">
        <v>5.11</v>
      </c>
      <c r="R77" s="13"/>
      <c r="S77" s="13"/>
      <c r="T77" s="213"/>
      <c r="U77" s="13"/>
    </row>
    <row r="78" customFormat="1" spans="1:21">
      <c r="A78" s="142" t="s">
        <v>988</v>
      </c>
      <c r="B78" s="165">
        <v>5</v>
      </c>
      <c r="C78" s="165">
        <v>58.61</v>
      </c>
      <c r="D78" s="165">
        <v>35.99</v>
      </c>
      <c r="E78" s="165">
        <v>15.84</v>
      </c>
      <c r="F78" s="165">
        <v>32.83</v>
      </c>
      <c r="G78" s="165">
        <v>43.02</v>
      </c>
      <c r="H78" s="165">
        <v>19.08</v>
      </c>
      <c r="I78" s="165">
        <v>5.26</v>
      </c>
      <c r="J78" s="165">
        <v>0.27</v>
      </c>
      <c r="K78" s="165">
        <v>220.23</v>
      </c>
      <c r="L78" s="165">
        <v>35.68</v>
      </c>
      <c r="M78" s="165">
        <v>27.77</v>
      </c>
      <c r="N78" s="165">
        <v>65.2</v>
      </c>
      <c r="O78" s="165">
        <v>0</v>
      </c>
      <c r="P78" s="165">
        <v>0.66</v>
      </c>
      <c r="Q78" s="165">
        <v>5.05</v>
      </c>
      <c r="R78" s="13"/>
      <c r="S78" s="13"/>
      <c r="T78" s="213"/>
      <c r="U78" s="13"/>
    </row>
    <row r="79" customFormat="1" spans="1:21">
      <c r="A79" s="142" t="s">
        <v>989</v>
      </c>
      <c r="B79" s="165">
        <v>4.56</v>
      </c>
      <c r="C79" s="165">
        <v>47.48</v>
      </c>
      <c r="D79" s="165">
        <v>29.82</v>
      </c>
      <c r="E79" s="165">
        <v>18.3</v>
      </c>
      <c r="F79" s="165">
        <v>48.24</v>
      </c>
      <c r="G79" s="165">
        <v>42.96</v>
      </c>
      <c r="H79" s="165">
        <v>18.66</v>
      </c>
      <c r="I79" s="165">
        <v>5.24</v>
      </c>
      <c r="J79" s="165">
        <v>0.24</v>
      </c>
      <c r="K79" s="165">
        <v>202.18</v>
      </c>
      <c r="L79" s="165">
        <v>34.81</v>
      </c>
      <c r="M79" s="165">
        <v>30.02</v>
      </c>
      <c r="N79" s="165">
        <v>30.3</v>
      </c>
      <c r="O79" s="165">
        <v>0</v>
      </c>
      <c r="P79" s="165">
        <v>0.69</v>
      </c>
      <c r="Q79" s="165">
        <v>5</v>
      </c>
      <c r="R79" s="13"/>
      <c r="S79" s="13"/>
      <c r="T79" s="213"/>
      <c r="U79" s="13"/>
    </row>
    <row r="80" customFormat="1" spans="1:21">
      <c r="A80" s="142" t="s">
        <v>990</v>
      </c>
      <c r="B80" s="165">
        <v>4.96</v>
      </c>
      <c r="C80" s="165">
        <v>47.54</v>
      </c>
      <c r="D80" s="165">
        <v>30.17</v>
      </c>
      <c r="E80" s="165">
        <v>17.47</v>
      </c>
      <c r="F80" s="165">
        <v>44.89</v>
      </c>
      <c r="G80" s="165">
        <v>42.82</v>
      </c>
      <c r="H80" s="165">
        <v>17.99</v>
      </c>
      <c r="I80" s="165">
        <v>5.28</v>
      </c>
      <c r="J80" s="165">
        <v>0.25</v>
      </c>
      <c r="K80" s="165">
        <v>206.47</v>
      </c>
      <c r="L80" s="165">
        <v>34.02</v>
      </c>
      <c r="M80" s="165">
        <v>31.55</v>
      </c>
      <c r="N80" s="165">
        <v>9</v>
      </c>
      <c r="O80" s="165">
        <v>0</v>
      </c>
      <c r="P80" s="165">
        <v>0.62</v>
      </c>
      <c r="Q80" s="165">
        <v>4.89</v>
      </c>
      <c r="R80" s="13"/>
      <c r="S80" s="13"/>
      <c r="T80" s="213"/>
      <c r="U80" s="13"/>
    </row>
    <row r="81" customFormat="1" spans="1:21">
      <c r="A81" s="142" t="s">
        <v>991</v>
      </c>
      <c r="B81" s="165">
        <v>5.11</v>
      </c>
      <c r="C81" s="165">
        <v>47.33</v>
      </c>
      <c r="D81" s="165">
        <v>30.18</v>
      </c>
      <c r="E81" s="165">
        <v>12.89</v>
      </c>
      <c r="F81" s="165">
        <v>41.53</v>
      </c>
      <c r="G81" s="165">
        <v>42.82</v>
      </c>
      <c r="H81" s="165">
        <v>17.99</v>
      </c>
      <c r="I81" s="165">
        <v>5.07</v>
      </c>
      <c r="J81" s="165">
        <v>0.19</v>
      </c>
      <c r="K81" s="165">
        <v>216.75</v>
      </c>
      <c r="L81" s="165">
        <v>33.42</v>
      </c>
      <c r="M81" s="165">
        <v>32.41</v>
      </c>
      <c r="N81" s="165">
        <v>0.1</v>
      </c>
      <c r="O81" s="165">
        <v>0</v>
      </c>
      <c r="P81" s="165">
        <v>0.58</v>
      </c>
      <c r="Q81" s="165">
        <v>4.75</v>
      </c>
      <c r="R81" s="13"/>
      <c r="S81" s="13"/>
      <c r="T81" s="213"/>
      <c r="U81" s="13"/>
    </row>
    <row r="82" customFormat="1" spans="1:21">
      <c r="A82" s="142" t="s">
        <v>992</v>
      </c>
      <c r="B82" s="165">
        <v>5.38</v>
      </c>
      <c r="C82" s="165">
        <v>48.53</v>
      </c>
      <c r="D82" s="165">
        <v>31.02</v>
      </c>
      <c r="E82" s="165">
        <v>13.42</v>
      </c>
      <c r="F82" s="165">
        <v>38.8</v>
      </c>
      <c r="G82" s="165">
        <v>42.82</v>
      </c>
      <c r="H82" s="165">
        <v>17.99</v>
      </c>
      <c r="I82" s="165">
        <v>4.58</v>
      </c>
      <c r="J82" s="165">
        <v>0.14</v>
      </c>
      <c r="K82" s="165">
        <v>172.64</v>
      </c>
      <c r="L82" s="165">
        <v>32.84</v>
      </c>
      <c r="M82" s="165">
        <v>33.74</v>
      </c>
      <c r="N82" s="165">
        <v>0</v>
      </c>
      <c r="O82" s="165">
        <v>0</v>
      </c>
      <c r="P82" s="165">
        <v>0.57</v>
      </c>
      <c r="Q82" s="165">
        <v>4.68</v>
      </c>
      <c r="R82" s="13"/>
      <c r="S82" s="13"/>
      <c r="T82" s="213"/>
      <c r="U82" s="13"/>
    </row>
    <row r="83" customFormat="1" spans="1:21">
      <c r="A83" s="142" t="s">
        <v>993</v>
      </c>
      <c r="B83" s="165">
        <v>5.33</v>
      </c>
      <c r="C83" s="165">
        <v>45.66</v>
      </c>
      <c r="D83" s="165">
        <v>29.48</v>
      </c>
      <c r="E83" s="165">
        <v>13.48</v>
      </c>
      <c r="F83" s="165">
        <v>39.95</v>
      </c>
      <c r="G83" s="165">
        <v>46.18</v>
      </c>
      <c r="H83" s="165">
        <v>18.43</v>
      </c>
      <c r="I83" s="165">
        <v>4.15</v>
      </c>
      <c r="J83" s="165">
        <v>0.1</v>
      </c>
      <c r="K83" s="165">
        <v>151.86</v>
      </c>
      <c r="L83" s="165">
        <v>32.23</v>
      </c>
      <c r="M83" s="165">
        <v>35.83</v>
      </c>
      <c r="N83" s="165">
        <v>0</v>
      </c>
      <c r="O83" s="165">
        <v>0</v>
      </c>
      <c r="P83" s="165">
        <v>0.57</v>
      </c>
      <c r="Q83" s="165">
        <v>4.7</v>
      </c>
      <c r="R83" s="13"/>
      <c r="S83" s="13"/>
      <c r="T83" s="213"/>
      <c r="U83" s="13"/>
    </row>
    <row r="84" customFormat="1" spans="1:21">
      <c r="A84" s="142" t="s">
        <v>994</v>
      </c>
      <c r="B84" s="165">
        <v>5.39</v>
      </c>
      <c r="C84" s="165">
        <v>43.34</v>
      </c>
      <c r="D84" s="165">
        <v>28.31</v>
      </c>
      <c r="E84" s="165">
        <v>13.03</v>
      </c>
      <c r="F84" s="165">
        <v>36.98</v>
      </c>
      <c r="G84" s="165">
        <v>54.46</v>
      </c>
      <c r="H84" s="165">
        <v>20.05</v>
      </c>
      <c r="I84" s="165">
        <v>4.15</v>
      </c>
      <c r="J84" s="165">
        <v>0.12</v>
      </c>
      <c r="K84" s="165">
        <v>164.12</v>
      </c>
      <c r="L84" s="165">
        <v>31.52</v>
      </c>
      <c r="M84" s="165">
        <v>37.98</v>
      </c>
      <c r="N84" s="165">
        <v>0</v>
      </c>
      <c r="O84" s="165">
        <v>0</v>
      </c>
      <c r="P84" s="165">
        <v>0.58</v>
      </c>
      <c r="Q84" s="165">
        <v>4.75</v>
      </c>
      <c r="R84" s="13"/>
      <c r="S84" s="13"/>
      <c r="T84" s="213"/>
      <c r="U84" s="13"/>
    </row>
    <row r="85" customFormat="1" spans="1:21">
      <c r="A85" s="142" t="s">
        <v>995</v>
      </c>
      <c r="B85" s="165">
        <v>6.25</v>
      </c>
      <c r="C85" s="165">
        <v>48.94</v>
      </c>
      <c r="D85" s="165">
        <v>31.93</v>
      </c>
      <c r="E85" s="165">
        <v>12.05</v>
      </c>
      <c r="F85" s="165">
        <v>26.79</v>
      </c>
      <c r="G85" s="165">
        <v>54.46</v>
      </c>
      <c r="H85" s="165">
        <v>20.05</v>
      </c>
      <c r="I85" s="165">
        <v>4.28</v>
      </c>
      <c r="J85" s="165">
        <v>0.09</v>
      </c>
      <c r="K85" s="165">
        <v>193.18</v>
      </c>
      <c r="L85" s="165">
        <v>30.95</v>
      </c>
      <c r="M85" s="165">
        <v>39.16</v>
      </c>
      <c r="N85" s="165">
        <v>0</v>
      </c>
      <c r="O85" s="165">
        <v>0</v>
      </c>
      <c r="P85" s="165">
        <v>0.6</v>
      </c>
      <c r="Q85" s="165">
        <v>4.72</v>
      </c>
      <c r="R85" s="13"/>
      <c r="S85" s="13"/>
      <c r="T85" s="213"/>
      <c r="U85" s="13"/>
    </row>
    <row r="86" customFormat="1" spans="1:21">
      <c r="A86" s="142" t="s">
        <v>996</v>
      </c>
      <c r="B86" s="165">
        <v>6.62</v>
      </c>
      <c r="C86" s="165">
        <v>49.03</v>
      </c>
      <c r="D86" s="165">
        <v>32.28</v>
      </c>
      <c r="E86" s="165">
        <v>12.22</v>
      </c>
      <c r="F86" s="165">
        <v>24.8</v>
      </c>
      <c r="G86" s="165">
        <v>54.46</v>
      </c>
      <c r="H86" s="165">
        <v>20.05</v>
      </c>
      <c r="I86" s="165">
        <v>4.53</v>
      </c>
      <c r="J86" s="165">
        <v>0.12</v>
      </c>
      <c r="K86" s="165">
        <v>136.89</v>
      </c>
      <c r="L86" s="165">
        <v>30.62</v>
      </c>
      <c r="M86" s="165">
        <v>39.86</v>
      </c>
      <c r="N86" s="165">
        <v>0</v>
      </c>
      <c r="O86" s="165">
        <v>0</v>
      </c>
      <c r="P86" s="165">
        <v>0.6</v>
      </c>
      <c r="Q86" s="165">
        <v>4.73</v>
      </c>
      <c r="R86" s="13"/>
      <c r="S86" s="13"/>
      <c r="T86" s="213"/>
      <c r="U86" s="13"/>
    </row>
    <row r="87" customFormat="1" spans="1:21">
      <c r="A87" s="142" t="s">
        <v>997</v>
      </c>
      <c r="B87" s="165">
        <v>7</v>
      </c>
      <c r="C87" s="165">
        <v>49.69</v>
      </c>
      <c r="D87" s="165">
        <v>32.93</v>
      </c>
      <c r="E87" s="165">
        <v>12.26</v>
      </c>
      <c r="F87" s="165">
        <v>24.08</v>
      </c>
      <c r="G87" s="165">
        <v>52.67</v>
      </c>
      <c r="H87" s="165">
        <v>19.3</v>
      </c>
      <c r="I87" s="165">
        <v>4.76</v>
      </c>
      <c r="J87" s="165">
        <v>0.18</v>
      </c>
      <c r="K87" s="165">
        <v>144.83</v>
      </c>
      <c r="L87" s="165">
        <v>30.42</v>
      </c>
      <c r="M87" s="165">
        <v>40.22</v>
      </c>
      <c r="N87" s="165">
        <v>0</v>
      </c>
      <c r="O87" s="165">
        <v>0</v>
      </c>
      <c r="P87" s="165">
        <v>0.62</v>
      </c>
      <c r="Q87" s="165">
        <v>4.73</v>
      </c>
      <c r="R87" s="13"/>
      <c r="S87" s="13"/>
      <c r="T87" s="213"/>
      <c r="U87" s="13"/>
    </row>
    <row r="88" customFormat="1" spans="1:21">
      <c r="A88" s="142" t="s">
        <v>998</v>
      </c>
      <c r="B88" s="165">
        <v>7.17</v>
      </c>
      <c r="C88" s="165">
        <v>48.87</v>
      </c>
      <c r="D88" s="165">
        <v>32.63</v>
      </c>
      <c r="E88" s="165">
        <v>11.46</v>
      </c>
      <c r="F88" s="165">
        <v>25.73</v>
      </c>
      <c r="G88" s="165">
        <v>48.27</v>
      </c>
      <c r="H88" s="165">
        <v>18.13</v>
      </c>
      <c r="I88" s="165">
        <v>4.85</v>
      </c>
      <c r="J88" s="165">
        <v>0.14</v>
      </c>
      <c r="K88" s="165">
        <v>159.78</v>
      </c>
      <c r="L88" s="165">
        <v>30.15</v>
      </c>
      <c r="M88" s="165">
        <v>41.52</v>
      </c>
      <c r="N88" s="165">
        <v>0</v>
      </c>
      <c r="O88" s="165">
        <v>0</v>
      </c>
      <c r="P88" s="165">
        <v>0.62</v>
      </c>
      <c r="Q88" s="165">
        <v>4.79</v>
      </c>
      <c r="R88" s="13"/>
      <c r="S88" s="13"/>
      <c r="T88" s="213"/>
      <c r="U88" s="13"/>
    </row>
    <row r="89" customFormat="1" spans="1:21">
      <c r="A89" s="142" t="s">
        <v>999</v>
      </c>
      <c r="B89" s="165">
        <v>7.27</v>
      </c>
      <c r="C89" s="165">
        <v>50.97</v>
      </c>
      <c r="D89" s="165">
        <v>33.81</v>
      </c>
      <c r="E89" s="165">
        <v>11.73</v>
      </c>
      <c r="F89" s="165">
        <v>23.36</v>
      </c>
      <c r="G89" s="165">
        <v>48.27</v>
      </c>
      <c r="H89" s="165">
        <v>18.13</v>
      </c>
      <c r="I89" s="165">
        <v>4.87</v>
      </c>
      <c r="J89" s="165">
        <v>0.17</v>
      </c>
      <c r="K89" s="165">
        <v>162.6</v>
      </c>
      <c r="L89" s="165">
        <v>29.8</v>
      </c>
      <c r="M89" s="165">
        <v>43.36</v>
      </c>
      <c r="N89" s="165">
        <v>0</v>
      </c>
      <c r="O89" s="165">
        <v>0</v>
      </c>
      <c r="P89" s="165">
        <v>0.64</v>
      </c>
      <c r="Q89" s="165">
        <v>4.83</v>
      </c>
      <c r="R89" s="13"/>
      <c r="S89" s="13"/>
      <c r="T89" s="213"/>
      <c r="U89" s="13"/>
    </row>
    <row r="90" customFormat="1" spans="1:21">
      <c r="A90" s="142" t="s">
        <v>1000</v>
      </c>
      <c r="B90" s="165">
        <v>7.98</v>
      </c>
      <c r="C90" s="165">
        <v>54.21</v>
      </c>
      <c r="D90" s="165">
        <v>36.07</v>
      </c>
      <c r="E90" s="165">
        <v>11.04</v>
      </c>
      <c r="F90" s="165">
        <v>11.09</v>
      </c>
      <c r="G90" s="165">
        <v>48.27</v>
      </c>
      <c r="H90" s="165">
        <v>18.13</v>
      </c>
      <c r="I90" s="165">
        <v>4.96</v>
      </c>
      <c r="J90" s="165">
        <v>0.2</v>
      </c>
      <c r="K90" s="165">
        <v>163.2</v>
      </c>
      <c r="L90" s="165">
        <v>29.24</v>
      </c>
      <c r="M90" s="165">
        <v>49.08</v>
      </c>
      <c r="N90" s="165">
        <v>0</v>
      </c>
      <c r="O90" s="165">
        <v>0</v>
      </c>
      <c r="P90" s="165">
        <v>0.66</v>
      </c>
      <c r="Q90" s="165">
        <v>4.84</v>
      </c>
      <c r="R90" s="13"/>
      <c r="S90" s="13"/>
      <c r="T90" s="213"/>
      <c r="U90" s="13"/>
    </row>
    <row r="91" customFormat="1" spans="1:21">
      <c r="A91" s="142" t="s">
        <v>1001</v>
      </c>
      <c r="B91" s="165">
        <v>8.38</v>
      </c>
      <c r="C91" s="165">
        <v>53.44</v>
      </c>
      <c r="D91" s="165">
        <v>35.99</v>
      </c>
      <c r="E91" s="165">
        <v>11.21</v>
      </c>
      <c r="F91" s="165">
        <v>15.14</v>
      </c>
      <c r="G91" s="165">
        <v>47.87</v>
      </c>
      <c r="H91" s="165">
        <v>17.89</v>
      </c>
      <c r="I91" s="165">
        <v>5.16</v>
      </c>
      <c r="J91" s="165">
        <v>0.13</v>
      </c>
      <c r="K91" s="165">
        <v>143.32</v>
      </c>
      <c r="L91" s="165">
        <v>28.78</v>
      </c>
      <c r="M91" s="165">
        <v>46.59</v>
      </c>
      <c r="N91" s="165">
        <v>0</v>
      </c>
      <c r="O91" s="165">
        <v>0</v>
      </c>
      <c r="P91" s="165">
        <v>0.67</v>
      </c>
      <c r="Q91" s="165">
        <v>4.87</v>
      </c>
      <c r="R91" s="13"/>
      <c r="S91" s="13"/>
      <c r="T91" s="213"/>
      <c r="U91" s="13"/>
    </row>
    <row r="92" customFormat="1" spans="1:21">
      <c r="A92" s="142" t="s">
        <v>1002</v>
      </c>
      <c r="B92" s="165">
        <v>8.77</v>
      </c>
      <c r="C92" s="165">
        <v>53.2</v>
      </c>
      <c r="D92" s="165">
        <v>36.18</v>
      </c>
      <c r="E92" s="165">
        <v>11.46</v>
      </c>
      <c r="F92" s="165">
        <v>14.81</v>
      </c>
      <c r="G92" s="165">
        <v>46.88</v>
      </c>
      <c r="H92" s="165">
        <v>17.51</v>
      </c>
      <c r="I92" s="165">
        <v>5.27</v>
      </c>
      <c r="J92" s="165">
        <v>0.13</v>
      </c>
      <c r="K92" s="165">
        <v>152.23</v>
      </c>
      <c r="L92" s="165">
        <v>28.76</v>
      </c>
      <c r="M92" s="165">
        <v>45.21</v>
      </c>
      <c r="N92" s="165">
        <v>0</v>
      </c>
      <c r="O92" s="165">
        <v>0</v>
      </c>
      <c r="P92" s="165">
        <v>0.68</v>
      </c>
      <c r="Q92" s="165">
        <v>4.93</v>
      </c>
      <c r="R92" s="13"/>
      <c r="S92" s="13"/>
      <c r="T92" s="213"/>
      <c r="U92" s="13"/>
    </row>
    <row r="93" customFormat="1" spans="1:21">
      <c r="A93" s="142" t="s">
        <v>1003</v>
      </c>
      <c r="B93" s="165">
        <v>9.32</v>
      </c>
      <c r="C93" s="165">
        <v>54.64</v>
      </c>
      <c r="D93" s="165">
        <v>37.37</v>
      </c>
      <c r="E93" s="165">
        <v>10.84</v>
      </c>
      <c r="F93" s="165">
        <v>14.5</v>
      </c>
      <c r="G93" s="165">
        <v>46.88</v>
      </c>
      <c r="H93" s="165">
        <v>17.51</v>
      </c>
      <c r="I93" s="165">
        <v>5.45</v>
      </c>
      <c r="J93" s="165">
        <v>0.16</v>
      </c>
      <c r="K93" s="165">
        <v>151.52</v>
      </c>
      <c r="L93" s="165">
        <v>28.87</v>
      </c>
      <c r="M93" s="165">
        <v>44.9</v>
      </c>
      <c r="N93" s="165">
        <v>0</v>
      </c>
      <c r="O93" s="165">
        <v>0</v>
      </c>
      <c r="P93" s="165">
        <v>0.69</v>
      </c>
      <c r="Q93" s="165">
        <v>4.98</v>
      </c>
      <c r="R93" s="13"/>
      <c r="S93" s="13"/>
      <c r="T93" s="213"/>
      <c r="U93" s="13"/>
    </row>
    <row r="94" customFormat="1" spans="1:21">
      <c r="A94" s="142" t="s">
        <v>1004</v>
      </c>
      <c r="B94" s="165">
        <v>9.62</v>
      </c>
      <c r="C94" s="165">
        <v>55.65</v>
      </c>
      <c r="D94" s="165">
        <v>38.14</v>
      </c>
      <c r="E94" s="165">
        <v>11.14</v>
      </c>
      <c r="F94" s="165">
        <v>13.19</v>
      </c>
      <c r="G94" s="165">
        <v>46.88</v>
      </c>
      <c r="H94" s="165">
        <v>17.51</v>
      </c>
      <c r="I94" s="165">
        <v>5.78</v>
      </c>
      <c r="J94" s="165">
        <v>0.19</v>
      </c>
      <c r="K94" s="165">
        <v>159.45</v>
      </c>
      <c r="L94" s="165">
        <v>28.73</v>
      </c>
      <c r="M94" s="165">
        <v>45.62</v>
      </c>
      <c r="N94" s="165">
        <v>0</v>
      </c>
      <c r="O94" s="165">
        <v>0</v>
      </c>
      <c r="P94" s="165">
        <v>0.69</v>
      </c>
      <c r="Q94" s="165">
        <v>4.98</v>
      </c>
      <c r="R94" s="13"/>
      <c r="S94" s="13"/>
      <c r="T94" s="213"/>
      <c r="U94" s="13"/>
    </row>
    <row r="95" customFormat="1" spans="1:21">
      <c r="A95" s="142" t="s">
        <v>1005</v>
      </c>
      <c r="B95" s="165">
        <v>10.48</v>
      </c>
      <c r="C95" s="165">
        <v>58.68</v>
      </c>
      <c r="D95" s="165">
        <v>40.41</v>
      </c>
      <c r="E95" s="165">
        <v>10.89</v>
      </c>
      <c r="F95" s="165">
        <v>8.85</v>
      </c>
      <c r="G95" s="165">
        <v>47.29</v>
      </c>
      <c r="H95" s="165">
        <v>19.08</v>
      </c>
      <c r="I95" s="165">
        <v>5.94</v>
      </c>
      <c r="J95" s="165">
        <v>0.21</v>
      </c>
      <c r="K95" s="165">
        <v>154.56</v>
      </c>
      <c r="L95" s="165">
        <v>28.02</v>
      </c>
      <c r="M95" s="165">
        <v>51.65</v>
      </c>
      <c r="N95" s="165">
        <v>0</v>
      </c>
      <c r="O95" s="165">
        <v>0</v>
      </c>
      <c r="P95" s="165">
        <v>0.7</v>
      </c>
      <c r="Q95" s="165">
        <v>5.02</v>
      </c>
      <c r="R95" s="13"/>
      <c r="S95" s="13"/>
      <c r="T95" s="213"/>
      <c r="U95" s="13"/>
    </row>
    <row r="96" customFormat="1" spans="1:26">
      <c r="A96" s="142" t="s">
        <v>1006</v>
      </c>
      <c r="B96" s="165">
        <v>10.64</v>
      </c>
      <c r="C96" s="165">
        <v>56.16</v>
      </c>
      <c r="D96" s="165">
        <v>39.23</v>
      </c>
      <c r="E96" s="165">
        <v>10.62</v>
      </c>
      <c r="F96" s="165">
        <v>11.95</v>
      </c>
      <c r="G96" s="165">
        <v>48.24</v>
      </c>
      <c r="H96" s="165">
        <v>21.55</v>
      </c>
      <c r="I96" s="165">
        <v>6</v>
      </c>
      <c r="J96" s="165">
        <v>0.16</v>
      </c>
      <c r="K96" s="165">
        <v>153.11</v>
      </c>
      <c r="L96" s="165">
        <v>27.86</v>
      </c>
      <c r="M96" s="165">
        <v>48.84</v>
      </c>
      <c r="N96" s="165">
        <v>0</v>
      </c>
      <c r="O96" s="165">
        <v>0</v>
      </c>
      <c r="P96" s="165">
        <v>0.71</v>
      </c>
      <c r="Q96" s="165">
        <v>5.09</v>
      </c>
      <c r="R96" s="13"/>
      <c r="S96" s="13"/>
      <c r="T96" s="213"/>
      <c r="U96" s="13"/>
      <c r="Z96" s="222"/>
    </row>
    <row r="97" customFormat="1" spans="1:21">
      <c r="A97" s="142" t="s">
        <v>1007</v>
      </c>
      <c r="B97" s="165">
        <v>10.96</v>
      </c>
      <c r="C97" s="165">
        <v>55.52</v>
      </c>
      <c r="D97" s="165">
        <v>39.15</v>
      </c>
      <c r="E97" s="165">
        <v>10.69</v>
      </c>
      <c r="F97" s="165">
        <v>11.87</v>
      </c>
      <c r="G97" s="165">
        <v>48.24</v>
      </c>
      <c r="H97" s="165">
        <v>21.55</v>
      </c>
      <c r="I97" s="165">
        <v>6.17</v>
      </c>
      <c r="J97" s="165">
        <v>0.17</v>
      </c>
      <c r="K97" s="165">
        <v>168.82</v>
      </c>
      <c r="L97" s="165">
        <v>27.8</v>
      </c>
      <c r="M97" s="165">
        <v>49.3</v>
      </c>
      <c r="N97" s="165">
        <v>0</v>
      </c>
      <c r="O97" s="165">
        <v>0</v>
      </c>
      <c r="P97" s="165">
        <v>0.7</v>
      </c>
      <c r="Q97" s="165">
        <v>5.08</v>
      </c>
      <c r="R97" s="13"/>
      <c r="S97" s="13"/>
      <c r="T97" s="213"/>
      <c r="U97" s="13"/>
    </row>
    <row r="98" customFormat="1" spans="1:21">
      <c r="A98" s="142" t="s">
        <v>1008</v>
      </c>
      <c r="B98" s="165">
        <v>12.14</v>
      </c>
      <c r="C98" s="165">
        <v>60.88</v>
      </c>
      <c r="D98" s="165">
        <v>42.9</v>
      </c>
      <c r="E98" s="165">
        <v>10.54</v>
      </c>
      <c r="F98" s="165">
        <v>7.4</v>
      </c>
      <c r="G98" s="165">
        <v>48.24</v>
      </c>
      <c r="H98" s="165">
        <v>21.55</v>
      </c>
      <c r="I98" s="165">
        <v>6.21</v>
      </c>
      <c r="J98" s="165">
        <v>0.18</v>
      </c>
      <c r="K98" s="165">
        <v>155.63</v>
      </c>
      <c r="L98" s="165">
        <v>27.86</v>
      </c>
      <c r="M98" s="165">
        <v>48.32</v>
      </c>
      <c r="N98" s="165">
        <v>0</v>
      </c>
      <c r="O98" s="165">
        <v>0</v>
      </c>
      <c r="P98" s="165">
        <v>0.7</v>
      </c>
      <c r="Q98" s="165">
        <v>5.08</v>
      </c>
      <c r="R98" s="13"/>
      <c r="S98" s="13"/>
      <c r="T98" s="213"/>
      <c r="U98" s="13"/>
    </row>
    <row r="99" customFormat="1" spans="1:21">
      <c r="A99" s="142" t="s">
        <v>1009</v>
      </c>
      <c r="B99" s="165">
        <v>12.79</v>
      </c>
      <c r="C99" s="165">
        <v>61.92</v>
      </c>
      <c r="D99" s="165">
        <v>43.96</v>
      </c>
      <c r="E99" s="165">
        <v>10.66</v>
      </c>
      <c r="F99" s="165">
        <v>6.86</v>
      </c>
      <c r="G99" s="165">
        <v>48.26</v>
      </c>
      <c r="H99" s="165">
        <v>21.38</v>
      </c>
      <c r="I99" s="165">
        <v>6.16</v>
      </c>
      <c r="J99" s="165">
        <v>0.19</v>
      </c>
      <c r="K99" s="165">
        <v>127.65</v>
      </c>
      <c r="L99" s="165">
        <v>27.84</v>
      </c>
      <c r="M99" s="165">
        <v>48.41</v>
      </c>
      <c r="N99" s="165">
        <v>0</v>
      </c>
      <c r="O99" s="165">
        <v>0</v>
      </c>
      <c r="P99" s="165">
        <v>0.71</v>
      </c>
      <c r="Q99" s="165">
        <v>5.21</v>
      </c>
      <c r="R99" s="13"/>
      <c r="S99" s="13"/>
      <c r="T99" s="213"/>
      <c r="U99" s="13"/>
    </row>
    <row r="100" customFormat="1" spans="1:33">
      <c r="A100" s="142" t="s">
        <v>1010</v>
      </c>
      <c r="B100" s="165">
        <v>13.5</v>
      </c>
      <c r="C100" s="165">
        <v>66.05</v>
      </c>
      <c r="D100" s="165">
        <v>46.69</v>
      </c>
      <c r="E100" s="165">
        <v>10.26</v>
      </c>
      <c r="F100" s="165">
        <v>5.38</v>
      </c>
      <c r="G100" s="165">
        <v>48.29</v>
      </c>
      <c r="H100" s="165">
        <v>21.11</v>
      </c>
      <c r="I100" s="165">
        <v>6.18</v>
      </c>
      <c r="J100" s="165">
        <v>0.44</v>
      </c>
      <c r="K100" s="165">
        <v>234.94</v>
      </c>
      <c r="L100" s="165">
        <v>27.72</v>
      </c>
      <c r="M100" s="165">
        <v>48.55</v>
      </c>
      <c r="N100" s="165">
        <v>0</v>
      </c>
      <c r="O100" s="165">
        <v>0</v>
      </c>
      <c r="P100" s="165">
        <v>0.72</v>
      </c>
      <c r="Q100" s="165">
        <v>5.4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1011</v>
      </c>
      <c r="B101" s="165">
        <v>14.39</v>
      </c>
      <c r="C101" s="165">
        <v>68.51</v>
      </c>
      <c r="D101" s="165">
        <v>48.69</v>
      </c>
      <c r="E101" s="165">
        <v>10.13</v>
      </c>
      <c r="F101" s="165">
        <v>4.5</v>
      </c>
      <c r="G101" s="165">
        <v>48.29</v>
      </c>
      <c r="H101" s="165">
        <v>21.11</v>
      </c>
      <c r="I101" s="165">
        <v>6.16</v>
      </c>
      <c r="J101" s="165">
        <v>0.34</v>
      </c>
      <c r="K101" s="165">
        <v>210.34</v>
      </c>
      <c r="L101" s="165">
        <v>27.77</v>
      </c>
      <c r="M101" s="165">
        <v>49.33</v>
      </c>
      <c r="N101" s="165">
        <v>0</v>
      </c>
      <c r="O101" s="165">
        <v>0</v>
      </c>
      <c r="P101" s="165">
        <v>0.74</v>
      </c>
      <c r="Q101" s="165">
        <v>5.5</v>
      </c>
      <c r="R101" s="13"/>
      <c r="S101" s="13"/>
      <c r="T101" s="213"/>
      <c r="U101" s="13"/>
    </row>
    <row r="102" customFormat="1" spans="1:21">
      <c r="A102" s="142" t="s">
        <v>1012</v>
      </c>
      <c r="B102" s="165">
        <v>14.75</v>
      </c>
      <c r="C102" s="165">
        <v>68.03</v>
      </c>
      <c r="D102" s="165">
        <v>48.72</v>
      </c>
      <c r="E102" s="165">
        <v>9.94</v>
      </c>
      <c r="F102" s="165">
        <v>4.46</v>
      </c>
      <c r="G102" s="165">
        <v>48.29</v>
      </c>
      <c r="H102" s="165">
        <v>21.11</v>
      </c>
      <c r="I102" s="165">
        <v>6.22</v>
      </c>
      <c r="J102" s="165">
        <v>0.22</v>
      </c>
      <c r="K102" s="165">
        <v>217.29</v>
      </c>
      <c r="L102" s="165">
        <v>27.89</v>
      </c>
      <c r="M102" s="165">
        <v>49.15</v>
      </c>
      <c r="N102" s="165">
        <v>0</v>
      </c>
      <c r="O102" s="165">
        <v>0</v>
      </c>
      <c r="P102" s="165">
        <v>0.76</v>
      </c>
      <c r="Q102" s="165">
        <v>5.57</v>
      </c>
      <c r="R102" s="13"/>
      <c r="S102" s="13"/>
      <c r="T102" s="213"/>
      <c r="U102" s="13"/>
    </row>
    <row r="103" customFormat="1" spans="1:21">
      <c r="A103" s="142" t="s">
        <v>1013</v>
      </c>
      <c r="B103" s="165">
        <v>14.8</v>
      </c>
      <c r="C103" s="165">
        <v>66.87</v>
      </c>
      <c r="D103" s="165">
        <v>48.16</v>
      </c>
      <c r="E103" s="165">
        <v>10.06</v>
      </c>
      <c r="F103" s="165">
        <v>5.71</v>
      </c>
      <c r="G103" s="165">
        <v>49.97</v>
      </c>
      <c r="H103" s="165">
        <v>20.17</v>
      </c>
      <c r="I103" s="165">
        <v>6.34</v>
      </c>
      <c r="J103" s="165">
        <v>0.25</v>
      </c>
      <c r="K103" s="165">
        <v>206.17</v>
      </c>
      <c r="L103" s="165">
        <v>27.72</v>
      </c>
      <c r="M103" s="165">
        <v>49.16</v>
      </c>
      <c r="N103" s="165">
        <v>0</v>
      </c>
      <c r="O103" s="165">
        <v>0</v>
      </c>
      <c r="P103" s="165">
        <v>0.77</v>
      </c>
      <c r="Q103" s="165">
        <v>5.67</v>
      </c>
      <c r="R103" s="13"/>
      <c r="S103" s="13"/>
      <c r="T103" s="213"/>
      <c r="U103" s="13"/>
    </row>
    <row r="104" customFormat="1" spans="1:21">
      <c r="A104" s="142" t="s">
        <v>1014</v>
      </c>
      <c r="B104" s="165">
        <v>15.29</v>
      </c>
      <c r="C104" s="165">
        <v>68.49</v>
      </c>
      <c r="D104" s="165">
        <v>49.4</v>
      </c>
      <c r="E104" s="165">
        <v>9.57</v>
      </c>
      <c r="F104" s="165">
        <v>5</v>
      </c>
      <c r="G104" s="165">
        <v>54.1</v>
      </c>
      <c r="H104" s="165">
        <v>18.7</v>
      </c>
      <c r="I104" s="165">
        <v>6.48</v>
      </c>
      <c r="J104" s="165">
        <v>0.27</v>
      </c>
      <c r="K104" s="165">
        <v>205.85</v>
      </c>
      <c r="L104" s="165">
        <v>27.86</v>
      </c>
      <c r="M104" s="165">
        <v>48.23</v>
      </c>
      <c r="N104" s="165">
        <v>0</v>
      </c>
      <c r="O104" s="165">
        <v>0</v>
      </c>
      <c r="P104" s="165">
        <v>0.77</v>
      </c>
      <c r="Q104" s="165">
        <v>5.69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4.56</v>
      </c>
      <c r="C106" s="215">
        <f>MIN(C9:C104)</f>
        <v>43.34</v>
      </c>
      <c r="D106" s="215">
        <f t="shared" ref="D106:Q106" si="0">MIN(D9:D104)</f>
        <v>28.31</v>
      </c>
      <c r="E106" s="215">
        <f t="shared" si="0"/>
        <v>5.53</v>
      </c>
      <c r="F106" s="215">
        <f t="shared" si="0"/>
        <v>3.57</v>
      </c>
      <c r="G106" s="215">
        <f t="shared" si="0"/>
        <v>29.98</v>
      </c>
      <c r="H106" s="215">
        <f t="shared" si="0"/>
        <v>10.59</v>
      </c>
      <c r="I106" s="215">
        <f t="shared" si="0"/>
        <v>4.15</v>
      </c>
      <c r="J106" s="215">
        <f t="shared" si="0"/>
        <v>0.09</v>
      </c>
      <c r="K106" s="215">
        <f t="shared" si="0"/>
        <v>21.75</v>
      </c>
      <c r="L106" s="215">
        <f t="shared" si="0"/>
        <v>23.97</v>
      </c>
      <c r="M106" s="215">
        <f t="shared" si="0"/>
        <v>22.54</v>
      </c>
      <c r="N106" s="215">
        <f t="shared" si="0"/>
        <v>0</v>
      </c>
      <c r="O106" s="215">
        <f t="shared" si="0"/>
        <v>0</v>
      </c>
      <c r="P106" s="215">
        <f t="shared" si="0"/>
        <v>0.57</v>
      </c>
      <c r="Q106" s="215">
        <f t="shared" si="0"/>
        <v>4.68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25.5</v>
      </c>
      <c r="C107" s="216">
        <f t="shared" ref="C107:Q107" si="1">MAX(C9:C104)</f>
        <v>70.76</v>
      </c>
      <c r="D107" s="216">
        <f t="shared" si="1"/>
        <v>58.29</v>
      </c>
      <c r="E107" s="216">
        <f t="shared" si="1"/>
        <v>18.3</v>
      </c>
      <c r="F107" s="216">
        <f t="shared" si="1"/>
        <v>48.24</v>
      </c>
      <c r="G107" s="216">
        <f t="shared" si="1"/>
        <v>57.83</v>
      </c>
      <c r="H107" s="216">
        <f t="shared" si="1"/>
        <v>21.55</v>
      </c>
      <c r="I107" s="216">
        <f t="shared" si="1"/>
        <v>6.48</v>
      </c>
      <c r="J107" s="216">
        <f t="shared" si="1"/>
        <v>1.59</v>
      </c>
      <c r="K107" s="216">
        <f t="shared" si="1"/>
        <v>303.39</v>
      </c>
      <c r="L107" s="216">
        <f t="shared" si="1"/>
        <v>38.06</v>
      </c>
      <c r="M107" s="216">
        <f t="shared" si="1"/>
        <v>60.99</v>
      </c>
      <c r="N107" s="216">
        <f t="shared" si="1"/>
        <v>798.5</v>
      </c>
      <c r="O107" s="216">
        <f t="shared" si="1"/>
        <v>0</v>
      </c>
      <c r="P107" s="216">
        <f t="shared" si="1"/>
        <v>0.85</v>
      </c>
      <c r="Q107" s="216">
        <f t="shared" si="1"/>
        <v>6.3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14.9280208333333</v>
      </c>
      <c r="C108" s="215">
        <f t="shared" ref="C108:Q108" si="2">AVERAGE(C9:C104)</f>
        <v>63.9170833333333</v>
      </c>
      <c r="D108" s="215">
        <f t="shared" si="2"/>
        <v>46.7169791666666</v>
      </c>
      <c r="E108" s="215">
        <f t="shared" si="2"/>
        <v>9.61979166666667</v>
      </c>
      <c r="F108" s="215">
        <f t="shared" si="2"/>
        <v>12.2516666666667</v>
      </c>
      <c r="G108" s="215">
        <f t="shared" si="2"/>
        <v>45.6365625</v>
      </c>
      <c r="H108" s="215">
        <f t="shared" si="2"/>
        <v>16.8478125</v>
      </c>
      <c r="I108" s="215">
        <f t="shared" si="2"/>
        <v>5.21708333333333</v>
      </c>
      <c r="J108" s="215">
        <f t="shared" si="2"/>
        <v>0.428541666666667</v>
      </c>
      <c r="K108" s="215">
        <f t="shared" si="2"/>
        <v>206.254270833333</v>
      </c>
      <c r="L108" s="215">
        <f t="shared" si="2"/>
        <v>29.8252083333333</v>
      </c>
      <c r="M108" s="215">
        <f t="shared" si="2"/>
        <v>43.1230208333333</v>
      </c>
      <c r="N108" s="215">
        <f t="shared" si="2"/>
        <v>176.776041666667</v>
      </c>
      <c r="O108" s="215">
        <f t="shared" si="2"/>
        <v>0</v>
      </c>
      <c r="P108" s="215">
        <f t="shared" si="2"/>
        <v>0.690208333333333</v>
      </c>
      <c r="Q108" s="215">
        <f t="shared" si="2"/>
        <v>5.58364583333333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7.48168987663133</v>
      </c>
      <c r="C109" s="215">
        <f t="shared" ref="C109:Q109" si="3">STDEV(C9:C104)</f>
        <v>7.19087681011472</v>
      </c>
      <c r="D109" s="215">
        <f t="shared" si="3"/>
        <v>9.06363411717881</v>
      </c>
      <c r="E109" s="215">
        <f t="shared" si="3"/>
        <v>2.78178397101635</v>
      </c>
      <c r="F109" s="215">
        <f t="shared" si="3"/>
        <v>10.9090041676509</v>
      </c>
      <c r="G109" s="215">
        <f t="shared" si="3"/>
        <v>6.45954761787786</v>
      </c>
      <c r="H109" s="215">
        <f t="shared" si="3"/>
        <v>2.82313196854878</v>
      </c>
      <c r="I109" s="215">
        <f t="shared" si="3"/>
        <v>0.643367647480475</v>
      </c>
      <c r="J109" s="215">
        <f t="shared" si="3"/>
        <v>0.351666645880102</v>
      </c>
      <c r="K109" s="215">
        <f t="shared" si="3"/>
        <v>67.0217110580365</v>
      </c>
      <c r="L109" s="215">
        <f t="shared" si="3"/>
        <v>4.58485331893403</v>
      </c>
      <c r="M109" s="215">
        <f t="shared" si="3"/>
        <v>12.2976772406561</v>
      </c>
      <c r="N109" s="215">
        <f t="shared" si="3"/>
        <v>254.898648070909</v>
      </c>
      <c r="O109" s="215">
        <f t="shared" si="3"/>
        <v>0</v>
      </c>
      <c r="P109" s="215">
        <f t="shared" si="3"/>
        <v>0.0684563505441574</v>
      </c>
      <c r="Q109" s="215">
        <f t="shared" si="3"/>
        <v>0.500429541371403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6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11/04/2023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1015</v>
      </c>
      <c r="B9" s="165">
        <v>15.33</v>
      </c>
      <c r="C9" s="165">
        <v>69.06</v>
      </c>
      <c r="D9" s="165">
        <v>49.73</v>
      </c>
      <c r="E9" s="165">
        <v>9.34</v>
      </c>
      <c r="F9" s="165">
        <v>4.45</v>
      </c>
      <c r="G9" s="165">
        <v>54.1</v>
      </c>
      <c r="H9" s="165">
        <v>18.7</v>
      </c>
      <c r="I9" s="165">
        <v>6.62</v>
      </c>
      <c r="J9" s="165">
        <v>0.22</v>
      </c>
      <c r="K9" s="165">
        <v>208.47</v>
      </c>
      <c r="L9" s="165">
        <v>27.58</v>
      </c>
      <c r="M9" s="165">
        <v>48.6</v>
      </c>
      <c r="N9" s="165">
        <v>0</v>
      </c>
      <c r="O9" s="165">
        <v>0</v>
      </c>
      <c r="P9" s="165">
        <v>0.77</v>
      </c>
      <c r="Q9" s="165">
        <v>5.7</v>
      </c>
      <c r="R9" s="13"/>
      <c r="S9" s="13"/>
      <c r="T9" s="213"/>
      <c r="U9" s="13"/>
    </row>
    <row r="10" customFormat="1" spans="1:21">
      <c r="A10" s="142" t="s">
        <v>1016</v>
      </c>
      <c r="B10" s="165">
        <v>15.21</v>
      </c>
      <c r="C10" s="165">
        <v>69.64</v>
      </c>
      <c r="D10" s="165">
        <v>49.93</v>
      </c>
      <c r="E10" s="165">
        <v>9.82</v>
      </c>
      <c r="F10" s="165">
        <v>4.21</v>
      </c>
      <c r="G10" s="165">
        <v>54.1</v>
      </c>
      <c r="H10" s="165">
        <v>18.7</v>
      </c>
      <c r="I10" s="165">
        <v>6.67</v>
      </c>
      <c r="J10" s="165">
        <v>0.22</v>
      </c>
      <c r="K10" s="165">
        <v>192.62</v>
      </c>
      <c r="L10" s="165">
        <v>27.62</v>
      </c>
      <c r="M10" s="165">
        <v>48.91</v>
      </c>
      <c r="N10" s="165">
        <v>0</v>
      </c>
      <c r="O10" s="165">
        <v>0</v>
      </c>
      <c r="P10" s="165">
        <v>0.77</v>
      </c>
      <c r="Q10" s="165">
        <v>5.71</v>
      </c>
      <c r="R10" s="13"/>
      <c r="S10" s="13"/>
      <c r="T10" s="213"/>
      <c r="U10" s="13"/>
    </row>
    <row r="11" customFormat="1" spans="1:21">
      <c r="A11" s="142" t="s">
        <v>1017</v>
      </c>
      <c r="B11" s="165">
        <v>15.06</v>
      </c>
      <c r="C11" s="165">
        <v>69.84</v>
      </c>
      <c r="D11" s="165">
        <v>49.92</v>
      </c>
      <c r="E11" s="165">
        <v>9.59</v>
      </c>
      <c r="F11" s="165">
        <v>4.61</v>
      </c>
      <c r="G11" s="165">
        <v>54.25</v>
      </c>
      <c r="H11" s="165">
        <v>19.6</v>
      </c>
      <c r="I11" s="165">
        <v>6.69</v>
      </c>
      <c r="J11" s="165">
        <v>0.15</v>
      </c>
      <c r="K11" s="165">
        <v>179.97</v>
      </c>
      <c r="L11" s="165">
        <v>27.29</v>
      </c>
      <c r="M11" s="165">
        <v>49.91</v>
      </c>
      <c r="N11" s="165">
        <v>0</v>
      </c>
      <c r="O11" s="165">
        <v>0</v>
      </c>
      <c r="P11" s="165">
        <v>0.77</v>
      </c>
      <c r="Q11" s="165">
        <v>5.7</v>
      </c>
      <c r="R11" s="13"/>
      <c r="S11" s="13"/>
      <c r="T11" s="213"/>
      <c r="U11" s="13"/>
    </row>
    <row r="12" customFormat="1" spans="1:21">
      <c r="A12" s="142" t="s">
        <v>1018</v>
      </c>
      <c r="B12" s="165">
        <v>14.92</v>
      </c>
      <c r="C12" s="165">
        <v>69.68</v>
      </c>
      <c r="D12" s="165">
        <v>49.72</v>
      </c>
      <c r="E12" s="165">
        <v>9.43</v>
      </c>
      <c r="F12" s="165">
        <v>5.26</v>
      </c>
      <c r="G12" s="165">
        <v>54.59</v>
      </c>
      <c r="H12" s="165">
        <v>22.98</v>
      </c>
      <c r="I12" s="165">
        <v>6.69</v>
      </c>
      <c r="J12" s="165">
        <v>0.16</v>
      </c>
      <c r="K12" s="165">
        <v>179.75</v>
      </c>
      <c r="L12" s="165">
        <v>27.18</v>
      </c>
      <c r="M12" s="165">
        <v>50.13</v>
      </c>
      <c r="N12" s="165">
        <v>0</v>
      </c>
      <c r="O12" s="165">
        <v>0</v>
      </c>
      <c r="P12" s="165">
        <v>0.76</v>
      </c>
      <c r="Q12" s="165">
        <v>5.76</v>
      </c>
      <c r="R12" s="13"/>
      <c r="S12" s="13"/>
      <c r="T12" s="213"/>
      <c r="U12" s="13"/>
    </row>
    <row r="13" customFormat="1" spans="1:21">
      <c r="A13" s="142" t="s">
        <v>1019</v>
      </c>
      <c r="B13" s="165">
        <v>14.99</v>
      </c>
      <c r="C13" s="165">
        <v>70.59</v>
      </c>
      <c r="D13" s="165">
        <v>50.25</v>
      </c>
      <c r="E13" s="165">
        <v>9.39</v>
      </c>
      <c r="F13" s="165">
        <v>4.43</v>
      </c>
      <c r="G13" s="165">
        <v>54.59</v>
      </c>
      <c r="H13" s="165">
        <v>22.98</v>
      </c>
      <c r="I13" s="165">
        <v>6.64</v>
      </c>
      <c r="J13" s="165">
        <v>0.17</v>
      </c>
      <c r="K13" s="165">
        <v>185.35</v>
      </c>
      <c r="L13" s="165">
        <v>27.05</v>
      </c>
      <c r="M13" s="165">
        <v>50.63</v>
      </c>
      <c r="N13" s="165">
        <v>0</v>
      </c>
      <c r="O13" s="165">
        <v>0</v>
      </c>
      <c r="P13" s="165">
        <v>0.76</v>
      </c>
      <c r="Q13" s="165">
        <v>5.72</v>
      </c>
      <c r="R13" s="13"/>
      <c r="S13" s="13"/>
      <c r="T13" s="213"/>
      <c r="U13" s="13"/>
    </row>
    <row r="14" customFormat="1" spans="1:21">
      <c r="A14" s="142" t="s">
        <v>1020</v>
      </c>
      <c r="B14" s="165">
        <v>14.83</v>
      </c>
      <c r="C14" s="165">
        <v>70.28</v>
      </c>
      <c r="D14" s="165">
        <v>49.96</v>
      </c>
      <c r="E14" s="165">
        <v>9.55</v>
      </c>
      <c r="F14" s="165">
        <v>4.6</v>
      </c>
      <c r="G14" s="165">
        <v>54.59</v>
      </c>
      <c r="H14" s="165">
        <v>22.98</v>
      </c>
      <c r="I14" s="165">
        <v>6.59</v>
      </c>
      <c r="J14" s="165">
        <v>0.11</v>
      </c>
      <c r="K14" s="165">
        <v>164.78</v>
      </c>
      <c r="L14" s="165">
        <v>26.88</v>
      </c>
      <c r="M14" s="165">
        <v>51.11</v>
      </c>
      <c r="N14" s="165">
        <v>0</v>
      </c>
      <c r="O14" s="165">
        <v>0</v>
      </c>
      <c r="P14" s="165">
        <v>0.75</v>
      </c>
      <c r="Q14" s="165">
        <v>5.74</v>
      </c>
      <c r="R14" s="13"/>
      <c r="S14" s="13"/>
      <c r="T14" s="213"/>
      <c r="U14" s="13"/>
    </row>
    <row r="15" customFormat="1" spans="1:21">
      <c r="A15" s="142" t="s">
        <v>1021</v>
      </c>
      <c r="B15" s="165">
        <v>14.57</v>
      </c>
      <c r="C15" s="165">
        <v>70.43</v>
      </c>
      <c r="D15" s="165">
        <v>49.83</v>
      </c>
      <c r="E15" s="165">
        <v>8.82</v>
      </c>
      <c r="F15" s="165">
        <v>4.45</v>
      </c>
      <c r="G15" s="165">
        <v>53.32</v>
      </c>
      <c r="H15" s="165">
        <v>21.6</v>
      </c>
      <c r="I15" s="165">
        <v>6.52</v>
      </c>
      <c r="J15" s="165">
        <v>0.12</v>
      </c>
      <c r="K15" s="165">
        <v>167.96</v>
      </c>
      <c r="L15" s="165">
        <v>26.55</v>
      </c>
      <c r="M15" s="165">
        <v>53.89</v>
      </c>
      <c r="N15" s="165">
        <v>0</v>
      </c>
      <c r="O15" s="165">
        <v>0</v>
      </c>
      <c r="P15" s="165">
        <v>0.75</v>
      </c>
      <c r="Q15" s="165">
        <v>5.72</v>
      </c>
      <c r="R15" s="13"/>
      <c r="S15" s="13"/>
      <c r="T15" s="213"/>
      <c r="U15" s="13"/>
    </row>
    <row r="16" customFormat="1" spans="1:21">
      <c r="A16" s="142" t="s">
        <v>1022</v>
      </c>
      <c r="B16" s="165">
        <v>14.57</v>
      </c>
      <c r="C16" s="165">
        <v>70.91</v>
      </c>
      <c r="D16" s="165">
        <v>50.09</v>
      </c>
      <c r="E16" s="165">
        <v>9.12</v>
      </c>
      <c r="F16" s="165">
        <v>4.17</v>
      </c>
      <c r="G16" s="165">
        <v>50.18</v>
      </c>
      <c r="H16" s="165">
        <v>19.39</v>
      </c>
      <c r="I16" s="165">
        <v>6.42</v>
      </c>
      <c r="J16" s="165">
        <v>0.18</v>
      </c>
      <c r="K16" s="165">
        <v>161.08</v>
      </c>
      <c r="L16" s="165">
        <v>26.33</v>
      </c>
      <c r="M16" s="165">
        <v>54.62</v>
      </c>
      <c r="N16" s="165">
        <v>0</v>
      </c>
      <c r="O16" s="165">
        <v>0</v>
      </c>
      <c r="P16" s="165">
        <v>0.74</v>
      </c>
      <c r="Q16" s="165">
        <v>5.72</v>
      </c>
      <c r="R16" s="13"/>
      <c r="S16" s="13"/>
      <c r="T16" s="213"/>
      <c r="U16" s="13"/>
    </row>
    <row r="17" customFormat="1" spans="1:21">
      <c r="A17" s="142" t="s">
        <v>1023</v>
      </c>
      <c r="B17" s="165">
        <v>14.57</v>
      </c>
      <c r="C17" s="165">
        <v>70.6</v>
      </c>
      <c r="D17" s="165">
        <v>49.92</v>
      </c>
      <c r="E17" s="165">
        <v>8.33</v>
      </c>
      <c r="F17" s="165">
        <v>4.04</v>
      </c>
      <c r="G17" s="165">
        <v>50.18</v>
      </c>
      <c r="H17" s="165">
        <v>19.39</v>
      </c>
      <c r="I17" s="165">
        <v>6.34</v>
      </c>
      <c r="J17" s="165">
        <v>0.13</v>
      </c>
      <c r="K17" s="165">
        <v>152.5</v>
      </c>
      <c r="L17" s="165">
        <v>26.12</v>
      </c>
      <c r="M17" s="165">
        <v>55.42</v>
      </c>
      <c r="N17" s="165">
        <v>0</v>
      </c>
      <c r="O17" s="165">
        <v>0</v>
      </c>
      <c r="P17" s="165">
        <v>0.73</v>
      </c>
      <c r="Q17" s="165">
        <v>5.72</v>
      </c>
      <c r="R17" s="13"/>
      <c r="S17" s="13"/>
      <c r="T17" s="213"/>
      <c r="U17" s="13"/>
    </row>
    <row r="18" customFormat="1" spans="1:21">
      <c r="A18" s="142" t="s">
        <v>1024</v>
      </c>
      <c r="B18" s="165">
        <v>14.47</v>
      </c>
      <c r="C18" s="165">
        <v>70.65</v>
      </c>
      <c r="D18" s="165">
        <v>49.87</v>
      </c>
      <c r="E18" s="165">
        <v>9.01</v>
      </c>
      <c r="F18" s="165">
        <v>4.02</v>
      </c>
      <c r="G18" s="165">
        <v>50.18</v>
      </c>
      <c r="H18" s="165">
        <v>19.39</v>
      </c>
      <c r="I18" s="165">
        <v>6.29</v>
      </c>
      <c r="J18" s="165">
        <v>0.17</v>
      </c>
      <c r="K18" s="165">
        <v>144.46</v>
      </c>
      <c r="L18" s="165">
        <v>26.26</v>
      </c>
      <c r="M18" s="165">
        <v>54.15</v>
      </c>
      <c r="N18" s="165">
        <v>0</v>
      </c>
      <c r="O18" s="165">
        <v>0</v>
      </c>
      <c r="P18" s="165">
        <v>0.73</v>
      </c>
      <c r="Q18" s="165">
        <v>5.69</v>
      </c>
      <c r="R18" s="13"/>
      <c r="S18" s="13"/>
      <c r="T18" s="213"/>
      <c r="U18" s="13"/>
    </row>
    <row r="19" customFormat="1" spans="1:21">
      <c r="A19" s="142" t="s">
        <v>1025</v>
      </c>
      <c r="B19" s="165">
        <v>14.58</v>
      </c>
      <c r="C19" s="165">
        <v>70.89</v>
      </c>
      <c r="D19" s="165">
        <v>50.08</v>
      </c>
      <c r="E19" s="165">
        <v>9.11</v>
      </c>
      <c r="F19" s="165">
        <v>3.95</v>
      </c>
      <c r="G19" s="165">
        <v>47.75</v>
      </c>
      <c r="H19" s="165">
        <v>19.8</v>
      </c>
      <c r="I19" s="165">
        <v>6.23</v>
      </c>
      <c r="J19" s="165">
        <v>0.21</v>
      </c>
      <c r="K19" s="165">
        <v>152.44</v>
      </c>
      <c r="L19" s="165">
        <v>26.04</v>
      </c>
      <c r="M19" s="165">
        <v>58.66</v>
      </c>
      <c r="N19" s="165">
        <v>0</v>
      </c>
      <c r="O19" s="165">
        <v>0</v>
      </c>
      <c r="P19" s="165">
        <v>0.73</v>
      </c>
      <c r="Q19" s="165">
        <v>5.68</v>
      </c>
      <c r="R19" s="13"/>
      <c r="S19" s="13"/>
      <c r="T19" s="213"/>
      <c r="U19" s="13"/>
    </row>
    <row r="20" customFormat="1" spans="1:21">
      <c r="A20" s="142" t="s">
        <v>1026</v>
      </c>
      <c r="B20" s="165">
        <v>14.96</v>
      </c>
      <c r="C20" s="165">
        <v>70.89</v>
      </c>
      <c r="D20" s="165">
        <v>50.39</v>
      </c>
      <c r="E20" s="165">
        <v>9.2</v>
      </c>
      <c r="F20" s="165">
        <v>3.84</v>
      </c>
      <c r="G20" s="165">
        <v>41.76</v>
      </c>
      <c r="H20" s="165">
        <v>20.46</v>
      </c>
      <c r="I20" s="165">
        <v>6.19</v>
      </c>
      <c r="J20" s="165">
        <v>0.22</v>
      </c>
      <c r="K20" s="165">
        <v>148.74</v>
      </c>
      <c r="L20" s="165">
        <v>25.69</v>
      </c>
      <c r="M20" s="165">
        <v>56.72</v>
      </c>
      <c r="N20" s="165">
        <v>0</v>
      </c>
      <c r="O20" s="165">
        <v>0</v>
      </c>
      <c r="P20" s="165">
        <v>0.73</v>
      </c>
      <c r="Q20" s="165">
        <v>5.72</v>
      </c>
      <c r="R20" s="13"/>
      <c r="S20" s="13"/>
      <c r="T20" s="213"/>
      <c r="U20" s="13"/>
    </row>
    <row r="21" customFormat="1" spans="1:21">
      <c r="A21" s="142" t="s">
        <v>1027</v>
      </c>
      <c r="B21" s="165">
        <v>15.15</v>
      </c>
      <c r="C21" s="165">
        <v>70.57</v>
      </c>
      <c r="D21" s="165">
        <v>50.37</v>
      </c>
      <c r="E21" s="165">
        <v>8.67</v>
      </c>
      <c r="F21" s="165">
        <v>3.89</v>
      </c>
      <c r="G21" s="165">
        <v>41.76</v>
      </c>
      <c r="H21" s="165">
        <v>20.46</v>
      </c>
      <c r="I21" s="165">
        <v>6.19</v>
      </c>
      <c r="J21" s="165">
        <v>0.18</v>
      </c>
      <c r="K21" s="165">
        <v>151.8</v>
      </c>
      <c r="L21" s="165">
        <v>25.44</v>
      </c>
      <c r="M21" s="165">
        <v>59.01</v>
      </c>
      <c r="N21" s="165">
        <v>0</v>
      </c>
      <c r="O21" s="165">
        <v>0</v>
      </c>
      <c r="P21" s="165">
        <v>0.72</v>
      </c>
      <c r="Q21" s="165">
        <v>5.72</v>
      </c>
      <c r="R21" s="13"/>
      <c r="S21" s="13"/>
      <c r="T21" s="213"/>
      <c r="U21" s="13"/>
    </row>
    <row r="22" customFormat="1" spans="1:21">
      <c r="A22" s="142" t="s">
        <v>1028</v>
      </c>
      <c r="B22" s="165">
        <v>15.41</v>
      </c>
      <c r="C22" s="165">
        <v>70.65</v>
      </c>
      <c r="D22" s="165">
        <v>50.62</v>
      </c>
      <c r="E22" s="165">
        <v>8.72</v>
      </c>
      <c r="F22" s="165">
        <v>3.94</v>
      </c>
      <c r="G22" s="165">
        <v>41.76</v>
      </c>
      <c r="H22" s="165">
        <v>20.46</v>
      </c>
      <c r="I22" s="165">
        <v>6.19</v>
      </c>
      <c r="J22" s="165">
        <v>0.1</v>
      </c>
      <c r="K22" s="165">
        <v>61.72</v>
      </c>
      <c r="L22" s="165">
        <v>25.37</v>
      </c>
      <c r="M22" s="165">
        <v>57.26</v>
      </c>
      <c r="N22" s="165">
        <v>0</v>
      </c>
      <c r="O22" s="165">
        <v>0</v>
      </c>
      <c r="P22" s="165">
        <v>0.72</v>
      </c>
      <c r="Q22" s="165">
        <v>5.73</v>
      </c>
      <c r="R22" s="13"/>
      <c r="S22" s="13"/>
      <c r="T22" s="213"/>
      <c r="U22" s="13"/>
    </row>
    <row r="23" customFormat="1" spans="1:21">
      <c r="A23" s="142" t="s">
        <v>1029</v>
      </c>
      <c r="B23" s="165">
        <v>16.7</v>
      </c>
      <c r="C23" s="165">
        <v>67.47</v>
      </c>
      <c r="D23" s="165">
        <v>49.99</v>
      </c>
      <c r="E23" s="165">
        <v>8.57</v>
      </c>
      <c r="F23" s="165">
        <v>3.96</v>
      </c>
      <c r="G23" s="165">
        <v>41.7</v>
      </c>
      <c r="H23" s="165">
        <v>19.27</v>
      </c>
      <c r="I23" s="165">
        <v>6.18</v>
      </c>
      <c r="J23" s="165">
        <v>0.12</v>
      </c>
      <c r="K23" s="165">
        <v>130.71</v>
      </c>
      <c r="L23" s="165">
        <v>25.39</v>
      </c>
      <c r="M23" s="165">
        <v>57.77</v>
      </c>
      <c r="N23" s="165">
        <v>0</v>
      </c>
      <c r="O23" s="165">
        <v>0</v>
      </c>
      <c r="P23" s="165">
        <v>0.71</v>
      </c>
      <c r="Q23" s="165">
        <v>5.68</v>
      </c>
      <c r="R23" s="13"/>
      <c r="S23" s="13"/>
      <c r="T23" s="213"/>
      <c r="U23" s="13"/>
    </row>
    <row r="24" customFormat="1" spans="1:21">
      <c r="A24" s="142" t="s">
        <v>1030</v>
      </c>
      <c r="B24" s="165">
        <v>18.49</v>
      </c>
      <c r="C24" s="165">
        <v>67.4</v>
      </c>
      <c r="D24" s="165">
        <v>51.39</v>
      </c>
      <c r="E24" s="165">
        <v>8.26</v>
      </c>
      <c r="F24" s="165">
        <v>3.81</v>
      </c>
      <c r="G24" s="165">
        <v>41.55</v>
      </c>
      <c r="H24" s="165">
        <v>17.32</v>
      </c>
      <c r="I24" s="165">
        <v>6.16</v>
      </c>
      <c r="J24" s="165">
        <v>0.26</v>
      </c>
      <c r="K24" s="165">
        <v>169.79</v>
      </c>
      <c r="L24" s="165">
        <v>24.89</v>
      </c>
      <c r="M24" s="165">
        <v>62.52</v>
      </c>
      <c r="N24" s="165">
        <v>0</v>
      </c>
      <c r="O24" s="165">
        <v>0</v>
      </c>
      <c r="P24" s="165">
        <v>0.7</v>
      </c>
      <c r="Q24" s="165">
        <v>5.69</v>
      </c>
      <c r="R24" s="13"/>
      <c r="S24" s="13"/>
      <c r="T24" s="213"/>
      <c r="U24" s="13"/>
    </row>
    <row r="25" customFormat="1" spans="1:21">
      <c r="A25" s="142" t="s">
        <v>1031</v>
      </c>
      <c r="B25" s="165">
        <v>19.53</v>
      </c>
      <c r="C25" s="165">
        <v>68.52</v>
      </c>
      <c r="D25" s="165">
        <v>52.81</v>
      </c>
      <c r="E25" s="165">
        <v>9</v>
      </c>
      <c r="F25" s="165">
        <v>3.62</v>
      </c>
      <c r="G25" s="165">
        <v>41.55</v>
      </c>
      <c r="H25" s="165">
        <v>17.32</v>
      </c>
      <c r="I25" s="165">
        <v>6.15</v>
      </c>
      <c r="J25" s="165">
        <v>0.2</v>
      </c>
      <c r="K25" s="165">
        <v>181.22</v>
      </c>
      <c r="L25" s="165">
        <v>24.11</v>
      </c>
      <c r="M25" s="165">
        <v>64.12</v>
      </c>
      <c r="N25" s="165">
        <v>0</v>
      </c>
      <c r="O25" s="165">
        <v>0</v>
      </c>
      <c r="P25" s="165">
        <v>0.69</v>
      </c>
      <c r="Q25" s="165">
        <v>5.73</v>
      </c>
      <c r="R25" s="13"/>
      <c r="S25" s="13"/>
      <c r="T25" s="213"/>
      <c r="U25" s="13"/>
    </row>
    <row r="26" customFormat="1" spans="1:21">
      <c r="A26" s="142" t="s">
        <v>1032</v>
      </c>
      <c r="B26" s="165">
        <v>20.08</v>
      </c>
      <c r="C26" s="165">
        <v>68.66</v>
      </c>
      <c r="D26" s="165">
        <v>53.32</v>
      </c>
      <c r="E26" s="165">
        <v>8.83</v>
      </c>
      <c r="F26" s="165">
        <v>3.45</v>
      </c>
      <c r="G26" s="165">
        <v>41.55</v>
      </c>
      <c r="H26" s="165">
        <v>17.32</v>
      </c>
      <c r="I26" s="165">
        <v>6.15</v>
      </c>
      <c r="J26" s="165">
        <v>0.15</v>
      </c>
      <c r="K26" s="165">
        <v>175.62</v>
      </c>
      <c r="L26" s="165">
        <v>24.05</v>
      </c>
      <c r="M26" s="165">
        <v>63.59</v>
      </c>
      <c r="N26" s="165">
        <v>0</v>
      </c>
      <c r="O26" s="165">
        <v>0</v>
      </c>
      <c r="P26" s="165">
        <v>0.69</v>
      </c>
      <c r="Q26" s="165">
        <v>5.75</v>
      </c>
      <c r="R26" s="13"/>
      <c r="S26" s="13"/>
      <c r="T26" s="213"/>
      <c r="U26" s="13"/>
    </row>
    <row r="27" customFormat="1" spans="1:21">
      <c r="A27" s="142" t="s">
        <v>1033</v>
      </c>
      <c r="B27" s="165">
        <v>20.08</v>
      </c>
      <c r="C27" s="165">
        <v>66.95</v>
      </c>
      <c r="D27" s="165">
        <v>52.43</v>
      </c>
      <c r="E27" s="165">
        <v>8.83</v>
      </c>
      <c r="F27" s="165">
        <v>3.7</v>
      </c>
      <c r="G27" s="165">
        <v>40.25</v>
      </c>
      <c r="H27" s="165">
        <v>17.42</v>
      </c>
      <c r="I27" s="165">
        <v>6.15</v>
      </c>
      <c r="J27" s="165">
        <v>0.08</v>
      </c>
      <c r="K27" s="165">
        <v>139.81</v>
      </c>
      <c r="L27" s="165">
        <v>24.01</v>
      </c>
      <c r="M27" s="165">
        <v>64.25</v>
      </c>
      <c r="N27" s="165">
        <v>0</v>
      </c>
      <c r="O27" s="165">
        <v>0</v>
      </c>
      <c r="P27" s="165">
        <v>0.69</v>
      </c>
      <c r="Q27" s="165">
        <v>5.83</v>
      </c>
      <c r="R27" s="13"/>
      <c r="S27" s="13"/>
      <c r="T27" s="213"/>
      <c r="U27" s="13"/>
    </row>
    <row r="28" customFormat="1" spans="1:21">
      <c r="A28" s="142" t="s">
        <v>1034</v>
      </c>
      <c r="B28" s="165">
        <v>21.68</v>
      </c>
      <c r="C28" s="165">
        <v>67.62</v>
      </c>
      <c r="D28" s="165">
        <v>54.07</v>
      </c>
      <c r="E28" s="165">
        <v>8.71</v>
      </c>
      <c r="F28" s="165">
        <v>3.57</v>
      </c>
      <c r="G28" s="165">
        <v>37.04</v>
      </c>
      <c r="H28" s="165">
        <v>17.59</v>
      </c>
      <c r="I28" s="165">
        <v>6.16</v>
      </c>
      <c r="J28" s="165">
        <v>0.22</v>
      </c>
      <c r="K28" s="165">
        <v>71.28</v>
      </c>
      <c r="L28" s="165">
        <v>24.23</v>
      </c>
      <c r="M28" s="165">
        <v>62.21</v>
      </c>
      <c r="N28" s="165">
        <v>0</v>
      </c>
      <c r="O28" s="165">
        <v>0</v>
      </c>
      <c r="P28" s="165">
        <v>0.7</v>
      </c>
      <c r="Q28" s="165">
        <v>5.86</v>
      </c>
      <c r="R28" s="13"/>
      <c r="S28" s="13"/>
      <c r="T28" s="213"/>
      <c r="U28" s="13"/>
    </row>
    <row r="29" customFormat="1" spans="1:21">
      <c r="A29" s="142" t="s">
        <v>1035</v>
      </c>
      <c r="B29" s="165">
        <v>24.78</v>
      </c>
      <c r="C29" s="165">
        <v>68.79</v>
      </c>
      <c r="D29" s="165">
        <v>57.16</v>
      </c>
      <c r="E29" s="165">
        <v>8.7</v>
      </c>
      <c r="F29" s="165">
        <v>3.57</v>
      </c>
      <c r="G29" s="165">
        <v>37.04</v>
      </c>
      <c r="H29" s="165">
        <v>17.59</v>
      </c>
      <c r="I29" s="165">
        <v>6.19</v>
      </c>
      <c r="J29" s="165">
        <v>0.11</v>
      </c>
      <c r="K29" s="165">
        <v>140.84</v>
      </c>
      <c r="L29" s="165">
        <v>24.37</v>
      </c>
      <c r="M29" s="165">
        <v>62.57</v>
      </c>
      <c r="N29" s="165">
        <v>0</v>
      </c>
      <c r="O29" s="165">
        <v>0</v>
      </c>
      <c r="P29" s="165">
        <v>0.7</v>
      </c>
      <c r="Q29" s="165">
        <v>5.99</v>
      </c>
      <c r="R29" s="13"/>
      <c r="S29" s="13"/>
      <c r="T29" s="213"/>
      <c r="U29" s="13"/>
    </row>
    <row r="30" customFormat="1" spans="1:21">
      <c r="A30" s="142" t="s">
        <v>1036</v>
      </c>
      <c r="B30" s="165">
        <v>28.54</v>
      </c>
      <c r="C30" s="165">
        <v>69.97</v>
      </c>
      <c r="D30" s="165">
        <v>60.8</v>
      </c>
      <c r="E30" s="165">
        <v>9.1</v>
      </c>
      <c r="F30" s="165">
        <v>3.61</v>
      </c>
      <c r="G30" s="165">
        <v>37.04</v>
      </c>
      <c r="H30" s="165">
        <v>17.59</v>
      </c>
      <c r="I30" s="165">
        <v>6.21</v>
      </c>
      <c r="J30" s="165">
        <v>0.2</v>
      </c>
      <c r="K30" s="165">
        <v>134.13</v>
      </c>
      <c r="L30" s="165">
        <v>24.27</v>
      </c>
      <c r="M30" s="165">
        <v>64.48</v>
      </c>
      <c r="N30" s="165">
        <v>0</v>
      </c>
      <c r="O30" s="165">
        <v>0</v>
      </c>
      <c r="P30" s="165">
        <v>0.7</v>
      </c>
      <c r="Q30" s="165">
        <v>6.17</v>
      </c>
      <c r="R30" s="13"/>
      <c r="S30" s="13"/>
      <c r="T30" s="213"/>
      <c r="U30" s="13"/>
    </row>
    <row r="31" customFormat="1" spans="1:21">
      <c r="A31" s="142" t="s">
        <v>1037</v>
      </c>
      <c r="B31" s="165">
        <v>29.27</v>
      </c>
      <c r="C31" s="165">
        <v>69.25</v>
      </c>
      <c r="D31" s="165">
        <v>61.01</v>
      </c>
      <c r="E31" s="165">
        <v>9.03</v>
      </c>
      <c r="F31" s="165">
        <v>3.72</v>
      </c>
      <c r="G31" s="165">
        <v>39.33</v>
      </c>
      <c r="H31" s="165">
        <v>18.05</v>
      </c>
      <c r="I31" s="165">
        <v>6.24</v>
      </c>
      <c r="J31" s="165">
        <v>0.21</v>
      </c>
      <c r="K31" s="165">
        <v>166.93</v>
      </c>
      <c r="L31" s="165">
        <v>23.92</v>
      </c>
      <c r="M31" s="165">
        <v>68.36</v>
      </c>
      <c r="N31" s="165">
        <v>0</v>
      </c>
      <c r="O31" s="165">
        <v>0</v>
      </c>
      <c r="P31" s="165">
        <v>0.71</v>
      </c>
      <c r="Q31" s="165">
        <v>6.29</v>
      </c>
      <c r="R31" s="13"/>
      <c r="S31" s="13"/>
      <c r="T31" s="213"/>
      <c r="U31" s="13"/>
    </row>
    <row r="32" customFormat="1" spans="1:21">
      <c r="A32" s="142" t="s">
        <v>1038</v>
      </c>
      <c r="B32" s="165">
        <v>29.95</v>
      </c>
      <c r="C32" s="165">
        <v>69.42</v>
      </c>
      <c r="D32" s="165">
        <v>61.64</v>
      </c>
      <c r="E32" s="165">
        <v>9.3</v>
      </c>
      <c r="F32" s="165">
        <v>3.66</v>
      </c>
      <c r="G32" s="165">
        <v>44.96</v>
      </c>
      <c r="H32" s="165">
        <v>18.81</v>
      </c>
      <c r="I32" s="165">
        <v>6.26</v>
      </c>
      <c r="J32" s="165">
        <v>0.15</v>
      </c>
      <c r="K32" s="165">
        <v>174.77</v>
      </c>
      <c r="L32" s="165">
        <v>23.43</v>
      </c>
      <c r="M32" s="165">
        <v>67.59</v>
      </c>
      <c r="N32" s="165">
        <v>1.2</v>
      </c>
      <c r="O32" s="165">
        <v>0</v>
      </c>
      <c r="P32" s="165">
        <v>0.71</v>
      </c>
      <c r="Q32" s="165">
        <v>6.41</v>
      </c>
      <c r="R32" s="13"/>
      <c r="S32" s="13"/>
      <c r="T32" s="213"/>
      <c r="U32" s="13"/>
    </row>
    <row r="33" customFormat="1" spans="1:21">
      <c r="A33" s="142" t="s">
        <v>1039</v>
      </c>
      <c r="B33" s="165">
        <v>30.43</v>
      </c>
      <c r="C33" s="165">
        <v>68.78</v>
      </c>
      <c r="D33" s="165">
        <v>61.69</v>
      </c>
      <c r="E33" s="165">
        <v>9.06</v>
      </c>
      <c r="F33" s="165">
        <v>3.64</v>
      </c>
      <c r="G33" s="165">
        <v>44.96</v>
      </c>
      <c r="H33" s="165">
        <v>18.81</v>
      </c>
      <c r="I33" s="165">
        <v>6.28</v>
      </c>
      <c r="J33" s="165">
        <v>0.24</v>
      </c>
      <c r="K33" s="165">
        <v>182.85</v>
      </c>
      <c r="L33" s="165">
        <v>23.33</v>
      </c>
      <c r="M33" s="165">
        <v>68.76</v>
      </c>
      <c r="N33" s="165">
        <v>11.2</v>
      </c>
      <c r="O33" s="165">
        <v>0</v>
      </c>
      <c r="P33" s="165">
        <v>0.71</v>
      </c>
      <c r="Q33" s="165">
        <v>6.47</v>
      </c>
      <c r="R33" s="13"/>
      <c r="S33" s="13"/>
      <c r="T33" s="213"/>
      <c r="U33" s="13"/>
    </row>
    <row r="34" customFormat="1" spans="1:21">
      <c r="A34" s="142" t="s">
        <v>1040</v>
      </c>
      <c r="B34" s="165">
        <v>30.59</v>
      </c>
      <c r="C34" s="165">
        <v>68.36</v>
      </c>
      <c r="D34" s="165">
        <v>61.6</v>
      </c>
      <c r="E34" s="165">
        <v>9.47</v>
      </c>
      <c r="F34" s="165">
        <v>3.77</v>
      </c>
      <c r="G34" s="165">
        <v>44.96</v>
      </c>
      <c r="H34" s="165">
        <v>18.81</v>
      </c>
      <c r="I34" s="165">
        <v>6.31</v>
      </c>
      <c r="J34" s="165">
        <v>0.1</v>
      </c>
      <c r="K34" s="165">
        <v>125.1</v>
      </c>
      <c r="L34" s="165">
        <v>23.63</v>
      </c>
      <c r="M34" s="165">
        <v>68.14</v>
      </c>
      <c r="N34" s="165">
        <v>23.2</v>
      </c>
      <c r="O34" s="165">
        <v>0</v>
      </c>
      <c r="P34" s="165">
        <v>0.71</v>
      </c>
      <c r="Q34" s="165">
        <v>6.45</v>
      </c>
      <c r="R34" s="13"/>
      <c r="S34" s="13"/>
      <c r="T34" s="213"/>
      <c r="U34" s="13"/>
    </row>
    <row r="35" customFormat="1" spans="1:21">
      <c r="A35" s="142" t="s">
        <v>1041</v>
      </c>
      <c r="B35" s="165">
        <v>30.75</v>
      </c>
      <c r="C35" s="165">
        <v>68.65</v>
      </c>
      <c r="D35" s="165">
        <v>61.88</v>
      </c>
      <c r="E35" s="165">
        <v>9.11</v>
      </c>
      <c r="F35" s="165">
        <v>3.8</v>
      </c>
      <c r="G35" s="165">
        <v>44.11</v>
      </c>
      <c r="H35" s="165">
        <v>18.98</v>
      </c>
      <c r="I35" s="165">
        <v>6.33</v>
      </c>
      <c r="J35" s="165">
        <v>0.12</v>
      </c>
      <c r="K35" s="165">
        <v>146.14</v>
      </c>
      <c r="L35" s="165">
        <v>24.47</v>
      </c>
      <c r="M35" s="165">
        <v>65.58</v>
      </c>
      <c r="N35" s="165">
        <v>35.2</v>
      </c>
      <c r="O35" s="165">
        <v>0</v>
      </c>
      <c r="P35" s="165">
        <v>0.72</v>
      </c>
      <c r="Q35" s="165">
        <v>6.45</v>
      </c>
      <c r="R35" s="13"/>
      <c r="S35" s="13"/>
      <c r="T35" s="213"/>
      <c r="U35" s="13"/>
    </row>
    <row r="36" customFormat="1" spans="1:21">
      <c r="A36" s="142" t="s">
        <v>1042</v>
      </c>
      <c r="B36" s="165">
        <v>30.89</v>
      </c>
      <c r="C36" s="165">
        <v>68.67</v>
      </c>
      <c r="D36" s="165">
        <v>62</v>
      </c>
      <c r="E36" s="165">
        <v>9.13</v>
      </c>
      <c r="F36" s="165">
        <v>3.78</v>
      </c>
      <c r="G36" s="165">
        <v>41.99</v>
      </c>
      <c r="H36" s="165">
        <v>19.59</v>
      </c>
      <c r="I36" s="165">
        <v>6.36</v>
      </c>
      <c r="J36" s="165">
        <v>0.21</v>
      </c>
      <c r="K36" s="165">
        <v>152.27</v>
      </c>
      <c r="L36" s="165">
        <v>25.28</v>
      </c>
      <c r="M36" s="165">
        <v>63.78</v>
      </c>
      <c r="N36" s="165">
        <v>46.6</v>
      </c>
      <c r="O36" s="165">
        <v>0</v>
      </c>
      <c r="P36" s="165">
        <v>0.73</v>
      </c>
      <c r="Q36" s="165">
        <v>6.5</v>
      </c>
      <c r="R36" s="13"/>
      <c r="S36" s="13"/>
      <c r="T36" s="213"/>
      <c r="U36" s="13"/>
    </row>
    <row r="37" customFormat="1" spans="1:21">
      <c r="A37" s="142" t="s">
        <v>1043</v>
      </c>
      <c r="B37" s="165">
        <v>30.58</v>
      </c>
      <c r="C37" s="165">
        <v>66.07</v>
      </c>
      <c r="D37" s="165">
        <v>60.39</v>
      </c>
      <c r="E37" s="165">
        <v>9.02</v>
      </c>
      <c r="F37" s="165">
        <v>3.8</v>
      </c>
      <c r="G37" s="165">
        <v>41.99</v>
      </c>
      <c r="H37" s="165">
        <v>19.59</v>
      </c>
      <c r="I37" s="165">
        <v>6.43</v>
      </c>
      <c r="J37" s="165">
        <v>0.19</v>
      </c>
      <c r="K37" s="165">
        <v>159.99</v>
      </c>
      <c r="L37" s="165">
        <v>26.23</v>
      </c>
      <c r="M37" s="165">
        <v>60.48</v>
      </c>
      <c r="N37" s="165">
        <v>58.1</v>
      </c>
      <c r="O37" s="165">
        <v>0</v>
      </c>
      <c r="P37" s="165">
        <v>0.73</v>
      </c>
      <c r="Q37" s="165">
        <v>6.47</v>
      </c>
      <c r="R37" s="13"/>
      <c r="S37" s="13"/>
      <c r="T37" s="213"/>
      <c r="U37" s="13"/>
    </row>
    <row r="38" customFormat="1" spans="1:21">
      <c r="A38" s="142" t="s">
        <v>1044</v>
      </c>
      <c r="B38" s="165">
        <v>30.93</v>
      </c>
      <c r="C38" s="165">
        <v>67.21</v>
      </c>
      <c r="D38" s="165">
        <v>61.26</v>
      </c>
      <c r="E38" s="165">
        <v>9.45</v>
      </c>
      <c r="F38" s="165">
        <v>3.96</v>
      </c>
      <c r="G38" s="165">
        <v>41.99</v>
      </c>
      <c r="H38" s="165">
        <v>19.59</v>
      </c>
      <c r="I38" s="165">
        <v>6.52</v>
      </c>
      <c r="J38" s="165">
        <v>0.22</v>
      </c>
      <c r="K38" s="165">
        <v>163.01</v>
      </c>
      <c r="L38" s="165">
        <v>27.17</v>
      </c>
      <c r="M38" s="165">
        <v>56.62</v>
      </c>
      <c r="N38" s="165">
        <v>83.2</v>
      </c>
      <c r="O38" s="165">
        <v>0</v>
      </c>
      <c r="P38" s="165">
        <v>0.74</v>
      </c>
      <c r="Q38" s="165">
        <v>6.43</v>
      </c>
      <c r="R38" s="13"/>
      <c r="S38" s="13"/>
      <c r="T38" s="213"/>
      <c r="U38" s="13"/>
    </row>
    <row r="39" customFormat="1" spans="1:21">
      <c r="A39" s="142" t="s">
        <v>1045</v>
      </c>
      <c r="B39" s="165">
        <v>29.87</v>
      </c>
      <c r="C39" s="165">
        <v>66.44</v>
      </c>
      <c r="D39" s="165">
        <v>60.02</v>
      </c>
      <c r="E39" s="165">
        <v>10.04</v>
      </c>
      <c r="F39" s="165">
        <v>4.79</v>
      </c>
      <c r="G39" s="165">
        <v>44.91</v>
      </c>
      <c r="H39" s="165">
        <v>20.79</v>
      </c>
      <c r="I39" s="165">
        <v>6.64</v>
      </c>
      <c r="J39" s="165">
        <v>0.28</v>
      </c>
      <c r="K39" s="165">
        <v>216.21</v>
      </c>
      <c r="L39" s="165">
        <v>28.26</v>
      </c>
      <c r="M39" s="165">
        <v>51.42</v>
      </c>
      <c r="N39" s="165">
        <v>172.5</v>
      </c>
      <c r="O39" s="165">
        <v>0</v>
      </c>
      <c r="P39" s="165">
        <v>0.76</v>
      </c>
      <c r="Q39" s="165">
        <v>6.49</v>
      </c>
      <c r="R39" s="13"/>
      <c r="S39" s="13"/>
      <c r="T39" s="213"/>
      <c r="U39" s="13"/>
    </row>
    <row r="40" customFormat="1" spans="1:21">
      <c r="A40" s="142" t="s">
        <v>1046</v>
      </c>
      <c r="B40" s="165">
        <v>29.98</v>
      </c>
      <c r="C40" s="165">
        <v>68.47</v>
      </c>
      <c r="D40" s="165">
        <v>61.17</v>
      </c>
      <c r="E40" s="165">
        <v>10.37</v>
      </c>
      <c r="F40" s="165">
        <v>4.9</v>
      </c>
      <c r="G40" s="165">
        <v>52.08</v>
      </c>
      <c r="H40" s="165">
        <v>22.76</v>
      </c>
      <c r="I40" s="165">
        <v>6.86</v>
      </c>
      <c r="J40" s="165">
        <v>0.48</v>
      </c>
      <c r="K40" s="165">
        <v>245.21</v>
      </c>
      <c r="L40" s="165">
        <v>28.89</v>
      </c>
      <c r="M40" s="165">
        <v>48.23</v>
      </c>
      <c r="N40" s="165">
        <v>234.9</v>
      </c>
      <c r="O40" s="165">
        <v>0</v>
      </c>
      <c r="P40" s="165">
        <v>0.77</v>
      </c>
      <c r="Q40" s="165">
        <v>6.53</v>
      </c>
      <c r="R40" s="13"/>
      <c r="S40" s="13"/>
      <c r="T40" s="213"/>
      <c r="U40" s="13"/>
    </row>
    <row r="41" customFormat="1" spans="1:21">
      <c r="A41" s="142" t="s">
        <v>1047</v>
      </c>
      <c r="B41" s="165">
        <v>29.72</v>
      </c>
      <c r="C41" s="165">
        <v>67.49</v>
      </c>
      <c r="D41" s="165">
        <v>60.44</v>
      </c>
      <c r="E41" s="165">
        <v>9.45</v>
      </c>
      <c r="F41" s="165">
        <v>4.75</v>
      </c>
      <c r="G41" s="165">
        <v>52.08</v>
      </c>
      <c r="H41" s="165">
        <v>22.76</v>
      </c>
      <c r="I41" s="165">
        <v>7.12</v>
      </c>
      <c r="J41" s="165">
        <v>0.42</v>
      </c>
      <c r="K41" s="165">
        <v>216.1</v>
      </c>
      <c r="L41" s="165">
        <v>29.67</v>
      </c>
      <c r="M41" s="165">
        <v>46.5</v>
      </c>
      <c r="N41" s="165">
        <v>280.5</v>
      </c>
      <c r="O41" s="165">
        <v>0</v>
      </c>
      <c r="P41" s="165">
        <v>0.78</v>
      </c>
      <c r="Q41" s="165">
        <v>6.46</v>
      </c>
      <c r="R41" s="13"/>
      <c r="S41" s="13"/>
      <c r="T41" s="213"/>
      <c r="U41" s="13"/>
    </row>
    <row r="42" customFormat="1" spans="1:21">
      <c r="A42" s="142" t="s">
        <v>1048</v>
      </c>
      <c r="B42" s="165">
        <v>28.61</v>
      </c>
      <c r="C42" s="165">
        <v>72.52</v>
      </c>
      <c r="D42" s="165">
        <v>62.18</v>
      </c>
      <c r="E42" s="165">
        <v>9.98</v>
      </c>
      <c r="F42" s="165">
        <v>4.37</v>
      </c>
      <c r="G42" s="165">
        <v>52.08</v>
      </c>
      <c r="H42" s="165">
        <v>22.76</v>
      </c>
      <c r="I42" s="165">
        <v>7.33</v>
      </c>
      <c r="J42" s="165">
        <v>0.71</v>
      </c>
      <c r="K42" s="165">
        <v>243.22</v>
      </c>
      <c r="L42" s="165">
        <v>30.22</v>
      </c>
      <c r="M42" s="165">
        <v>45.49</v>
      </c>
      <c r="N42" s="165">
        <v>291.4</v>
      </c>
      <c r="O42" s="165">
        <v>0</v>
      </c>
      <c r="P42" s="165">
        <v>0.81</v>
      </c>
      <c r="Q42" s="165">
        <v>6.53</v>
      </c>
      <c r="R42" s="13"/>
      <c r="S42" s="13"/>
      <c r="T42" s="213"/>
      <c r="U42" s="13"/>
    </row>
    <row r="43" customFormat="1" spans="1:21">
      <c r="A43" s="142" t="s">
        <v>1049</v>
      </c>
      <c r="B43" s="165">
        <v>25.92</v>
      </c>
      <c r="C43" s="165">
        <v>72.44</v>
      </c>
      <c r="D43" s="165">
        <v>59.99</v>
      </c>
      <c r="E43" s="165">
        <v>10.1</v>
      </c>
      <c r="F43" s="165">
        <v>5.04</v>
      </c>
      <c r="G43" s="165">
        <v>57.38</v>
      </c>
      <c r="H43" s="165">
        <v>25.35</v>
      </c>
      <c r="I43" s="165">
        <v>7.49</v>
      </c>
      <c r="J43" s="165">
        <v>0.5</v>
      </c>
      <c r="K43" s="165">
        <v>241.08</v>
      </c>
      <c r="L43" s="165">
        <v>30.89</v>
      </c>
      <c r="M43" s="165">
        <v>43.86</v>
      </c>
      <c r="N43" s="165">
        <v>181.7</v>
      </c>
      <c r="O43" s="165">
        <v>0</v>
      </c>
      <c r="P43" s="165">
        <v>0.83</v>
      </c>
      <c r="Q43" s="165">
        <v>6.54</v>
      </c>
      <c r="R43" s="13"/>
      <c r="S43" s="13"/>
      <c r="T43" s="213"/>
      <c r="U43" s="13"/>
    </row>
    <row r="44" customFormat="1" spans="1:21">
      <c r="A44" s="142" t="s">
        <v>1050</v>
      </c>
      <c r="B44" s="165">
        <v>23.4</v>
      </c>
      <c r="C44" s="165">
        <v>73.24</v>
      </c>
      <c r="D44" s="165">
        <v>58.38</v>
      </c>
      <c r="E44" s="165">
        <v>9.87</v>
      </c>
      <c r="F44" s="165">
        <v>5.35</v>
      </c>
      <c r="G44" s="165">
        <v>70.4</v>
      </c>
      <c r="H44" s="165">
        <v>29.43</v>
      </c>
      <c r="I44" s="165">
        <v>7.59</v>
      </c>
      <c r="J44" s="165">
        <v>0.46</v>
      </c>
      <c r="K44" s="165">
        <v>211.27</v>
      </c>
      <c r="L44" s="165">
        <v>31.72</v>
      </c>
      <c r="M44" s="165">
        <v>41.53</v>
      </c>
      <c r="N44" s="165">
        <v>185.1</v>
      </c>
      <c r="O44" s="165">
        <v>0</v>
      </c>
      <c r="P44" s="165">
        <v>0.83</v>
      </c>
      <c r="Q44" s="165">
        <v>6.49</v>
      </c>
      <c r="R44" s="13"/>
      <c r="S44" s="13"/>
      <c r="T44" s="213"/>
      <c r="U44" s="13"/>
    </row>
    <row r="45" customFormat="1" spans="1:21">
      <c r="A45" s="142" t="s">
        <v>1051</v>
      </c>
      <c r="B45" s="165">
        <v>21.13</v>
      </c>
      <c r="C45" s="165">
        <v>74.21</v>
      </c>
      <c r="D45" s="165">
        <v>57.07</v>
      </c>
      <c r="E45" s="165">
        <v>9.98</v>
      </c>
      <c r="F45" s="165">
        <v>5.3</v>
      </c>
      <c r="G45" s="165">
        <v>70.4</v>
      </c>
      <c r="H45" s="165">
        <v>29.43</v>
      </c>
      <c r="I45" s="165">
        <v>7.69</v>
      </c>
      <c r="J45" s="165">
        <v>0.22</v>
      </c>
      <c r="K45" s="165">
        <v>241.28</v>
      </c>
      <c r="L45" s="165">
        <v>32.85</v>
      </c>
      <c r="M45" s="165">
        <v>37.49</v>
      </c>
      <c r="N45" s="165">
        <v>248.8</v>
      </c>
      <c r="O45" s="165">
        <v>0</v>
      </c>
      <c r="P45" s="165">
        <v>0.84</v>
      </c>
      <c r="Q45" s="165">
        <v>6.38</v>
      </c>
      <c r="R45" s="13"/>
      <c r="S45" s="13"/>
      <c r="T45" s="213"/>
      <c r="U45" s="13"/>
    </row>
    <row r="46" customFormat="1" spans="1:21">
      <c r="A46" s="142" t="s">
        <v>1052</v>
      </c>
      <c r="B46" s="165">
        <v>18.92</v>
      </c>
      <c r="C46" s="165">
        <v>73.69</v>
      </c>
      <c r="D46" s="165">
        <v>55.02</v>
      </c>
      <c r="E46" s="165">
        <v>10.07</v>
      </c>
      <c r="F46" s="165">
        <v>6.07</v>
      </c>
      <c r="G46" s="165">
        <v>70.4</v>
      </c>
      <c r="H46" s="165">
        <v>29.43</v>
      </c>
      <c r="I46" s="165">
        <v>7.76</v>
      </c>
      <c r="J46" s="165">
        <v>0.44</v>
      </c>
      <c r="K46" s="165">
        <v>275.43</v>
      </c>
      <c r="L46" s="165">
        <v>33.18</v>
      </c>
      <c r="M46" s="165">
        <v>36.95</v>
      </c>
      <c r="N46" s="165">
        <v>456.5</v>
      </c>
      <c r="O46" s="165">
        <v>0</v>
      </c>
      <c r="P46" s="165">
        <v>0.84</v>
      </c>
      <c r="Q46" s="165">
        <v>6.25</v>
      </c>
      <c r="R46" s="13"/>
      <c r="S46" s="13"/>
      <c r="T46" s="213"/>
      <c r="U46" s="13"/>
    </row>
    <row r="47" customFormat="1" spans="1:21">
      <c r="A47" s="142" t="s">
        <v>1053</v>
      </c>
      <c r="B47" s="165">
        <v>16.37</v>
      </c>
      <c r="C47" s="165">
        <v>74.74</v>
      </c>
      <c r="D47" s="165">
        <v>53.52</v>
      </c>
      <c r="E47" s="165">
        <v>9.93</v>
      </c>
      <c r="F47" s="165">
        <v>7.08</v>
      </c>
      <c r="G47" s="165">
        <v>69.47</v>
      </c>
      <c r="H47" s="165">
        <v>29.44</v>
      </c>
      <c r="I47" s="165">
        <v>7.74</v>
      </c>
      <c r="J47" s="165">
        <v>0.46</v>
      </c>
      <c r="K47" s="165">
        <v>154.67</v>
      </c>
      <c r="L47" s="165">
        <v>34.3</v>
      </c>
      <c r="M47" s="165">
        <v>33.34</v>
      </c>
      <c r="N47" s="165">
        <v>530.8</v>
      </c>
      <c r="O47" s="165">
        <v>0</v>
      </c>
      <c r="P47" s="165">
        <v>0.84</v>
      </c>
      <c r="Q47" s="165">
        <v>6.13</v>
      </c>
      <c r="R47" s="13"/>
      <c r="S47" s="13"/>
      <c r="T47" s="213"/>
      <c r="U47" s="13"/>
    </row>
    <row r="48" customFormat="1" spans="1:21">
      <c r="A48" s="142" t="s">
        <v>1054</v>
      </c>
      <c r="B48" s="165">
        <v>14.16</v>
      </c>
      <c r="C48" s="165">
        <v>74.76</v>
      </c>
      <c r="D48" s="165">
        <v>51.77</v>
      </c>
      <c r="E48" s="165">
        <v>10.72</v>
      </c>
      <c r="F48" s="165">
        <v>8.98</v>
      </c>
      <c r="G48" s="165">
        <v>67.19</v>
      </c>
      <c r="H48" s="165">
        <v>29.45</v>
      </c>
      <c r="I48" s="165">
        <v>7.7</v>
      </c>
      <c r="J48" s="165">
        <v>0.25</v>
      </c>
      <c r="K48" s="165">
        <v>113.84</v>
      </c>
      <c r="L48" s="165">
        <v>35.39</v>
      </c>
      <c r="M48" s="165">
        <v>30.33</v>
      </c>
      <c r="N48" s="165">
        <v>441.1</v>
      </c>
      <c r="O48" s="165">
        <v>0</v>
      </c>
      <c r="P48" s="165">
        <v>0.84</v>
      </c>
      <c r="Q48" s="165">
        <v>5.99</v>
      </c>
      <c r="R48" s="13"/>
      <c r="S48" s="13"/>
      <c r="T48" s="213"/>
      <c r="U48" s="13"/>
    </row>
    <row r="49" customFormat="1" spans="1:21">
      <c r="A49" s="142" t="s">
        <v>1055</v>
      </c>
      <c r="B49" s="165">
        <v>11.93</v>
      </c>
      <c r="C49" s="165">
        <v>73.22</v>
      </c>
      <c r="D49" s="165">
        <v>49.17</v>
      </c>
      <c r="E49" s="165">
        <v>8.95</v>
      </c>
      <c r="F49" s="165">
        <v>13.11</v>
      </c>
      <c r="G49" s="165">
        <v>67.19</v>
      </c>
      <c r="H49" s="165">
        <v>29.45</v>
      </c>
      <c r="I49" s="165">
        <v>7.67</v>
      </c>
      <c r="J49" s="165">
        <v>0.38</v>
      </c>
      <c r="K49" s="165">
        <v>308.76</v>
      </c>
      <c r="L49" s="165">
        <v>35.17</v>
      </c>
      <c r="M49" s="165">
        <v>31</v>
      </c>
      <c r="N49" s="165">
        <v>555.1</v>
      </c>
      <c r="O49" s="165">
        <v>0</v>
      </c>
      <c r="P49" s="165">
        <v>0.83</v>
      </c>
      <c r="Q49" s="165">
        <v>5.87</v>
      </c>
      <c r="R49" s="13"/>
      <c r="S49" s="13"/>
      <c r="T49" s="213"/>
      <c r="U49" s="13"/>
    </row>
    <row r="50" customFormat="1" spans="1:21">
      <c r="A50" s="142" t="s">
        <v>1056</v>
      </c>
      <c r="B50" s="165">
        <v>9.78</v>
      </c>
      <c r="C50" s="165">
        <v>70.92</v>
      </c>
      <c r="D50" s="165">
        <v>46.24</v>
      </c>
      <c r="E50" s="165">
        <v>10.92</v>
      </c>
      <c r="F50" s="165">
        <v>11.82</v>
      </c>
      <c r="G50" s="165">
        <v>67.19</v>
      </c>
      <c r="H50" s="165">
        <v>29.45</v>
      </c>
      <c r="I50" s="165">
        <v>7.58</v>
      </c>
      <c r="J50" s="165">
        <v>0.87</v>
      </c>
      <c r="K50" s="165">
        <v>277.31</v>
      </c>
      <c r="L50" s="165">
        <v>35.18</v>
      </c>
      <c r="M50" s="165">
        <v>30.23</v>
      </c>
      <c r="N50" s="165">
        <v>417.8</v>
      </c>
      <c r="O50" s="165">
        <v>0</v>
      </c>
      <c r="P50" s="165">
        <v>0.84</v>
      </c>
      <c r="Q50" s="165">
        <v>5.68</v>
      </c>
      <c r="R50" s="13"/>
      <c r="S50" s="13"/>
      <c r="T50" s="213"/>
      <c r="U50" s="13"/>
    </row>
    <row r="51" customFormat="1" spans="1:21">
      <c r="A51" s="142" t="s">
        <v>1057</v>
      </c>
      <c r="B51" s="165">
        <v>8.08</v>
      </c>
      <c r="C51" s="165">
        <v>71.6</v>
      </c>
      <c r="D51" s="165">
        <v>45.24</v>
      </c>
      <c r="E51" s="165">
        <v>15.49</v>
      </c>
      <c r="F51" s="165">
        <v>26.11</v>
      </c>
      <c r="G51" s="165">
        <v>67.75</v>
      </c>
      <c r="H51" s="165">
        <v>29.71</v>
      </c>
      <c r="I51" s="165">
        <v>7.54</v>
      </c>
      <c r="J51" s="165">
        <v>0.56</v>
      </c>
      <c r="K51" s="165">
        <v>327.13</v>
      </c>
      <c r="L51" s="165">
        <v>35.7</v>
      </c>
      <c r="M51" s="165">
        <v>27.24</v>
      </c>
      <c r="N51" s="165">
        <v>634.1</v>
      </c>
      <c r="O51" s="165">
        <v>0</v>
      </c>
      <c r="P51" s="165">
        <v>0.85</v>
      </c>
      <c r="Q51" s="165">
        <v>5.63</v>
      </c>
      <c r="R51" s="13"/>
      <c r="S51" s="13"/>
      <c r="T51" s="213"/>
      <c r="U51" s="13"/>
    </row>
    <row r="52" customFormat="1" spans="1:21">
      <c r="A52" s="142" t="s">
        <v>1058</v>
      </c>
      <c r="B52" s="165">
        <v>6.79</v>
      </c>
      <c r="C52" s="165">
        <v>71.4</v>
      </c>
      <c r="D52" s="165">
        <v>44.1</v>
      </c>
      <c r="E52" s="165">
        <v>17.1</v>
      </c>
      <c r="F52" s="165">
        <v>22.67</v>
      </c>
      <c r="G52" s="165">
        <v>69.14</v>
      </c>
      <c r="H52" s="165">
        <v>30.11</v>
      </c>
      <c r="I52" s="165">
        <v>7.56</v>
      </c>
      <c r="J52" s="165">
        <v>0.58</v>
      </c>
      <c r="K52" s="165">
        <v>63.33</v>
      </c>
      <c r="L52" s="165">
        <v>36.93</v>
      </c>
      <c r="M52" s="165">
        <v>25.05</v>
      </c>
      <c r="N52" s="165">
        <v>682.4</v>
      </c>
      <c r="O52" s="165">
        <v>0</v>
      </c>
      <c r="P52" s="165">
        <v>0.86</v>
      </c>
      <c r="Q52" s="165">
        <v>5.55</v>
      </c>
      <c r="R52" s="13"/>
      <c r="S52" s="13"/>
      <c r="T52" s="213"/>
      <c r="U52" s="13"/>
    </row>
    <row r="53" customFormat="1" spans="1:21">
      <c r="A53" s="142" t="s">
        <v>1059</v>
      </c>
      <c r="B53" s="165">
        <v>5.67</v>
      </c>
      <c r="C53" s="165">
        <v>72.3</v>
      </c>
      <c r="D53" s="165">
        <v>43.67</v>
      </c>
      <c r="E53" s="165">
        <v>15.63</v>
      </c>
      <c r="F53" s="165">
        <v>17.74</v>
      </c>
      <c r="G53" s="165">
        <v>69.14</v>
      </c>
      <c r="H53" s="165">
        <v>30.11</v>
      </c>
      <c r="I53" s="165">
        <v>7.51</v>
      </c>
      <c r="J53" s="165">
        <v>0.1</v>
      </c>
      <c r="K53" s="165">
        <v>347.36</v>
      </c>
      <c r="L53" s="165">
        <v>37.46</v>
      </c>
      <c r="M53" s="165">
        <v>22.45</v>
      </c>
      <c r="N53" s="165">
        <v>642.6</v>
      </c>
      <c r="O53" s="165">
        <v>0</v>
      </c>
      <c r="P53" s="165">
        <v>0.87</v>
      </c>
      <c r="Q53" s="165">
        <v>5.58</v>
      </c>
      <c r="R53" s="13"/>
      <c r="S53" s="13"/>
      <c r="T53" s="213"/>
      <c r="U53" s="13"/>
    </row>
    <row r="54" customFormat="1" spans="1:21">
      <c r="A54" s="142" t="s">
        <v>1060</v>
      </c>
      <c r="B54" s="165">
        <v>5.38</v>
      </c>
      <c r="C54" s="165">
        <v>71.14</v>
      </c>
      <c r="D54" s="165">
        <v>42.84</v>
      </c>
      <c r="E54" s="165">
        <v>15.01</v>
      </c>
      <c r="F54" s="165">
        <v>19.71</v>
      </c>
      <c r="G54" s="165">
        <v>69.14</v>
      </c>
      <c r="H54" s="165">
        <v>30.11</v>
      </c>
      <c r="I54" s="165">
        <v>7.48</v>
      </c>
      <c r="J54" s="165">
        <v>0.71</v>
      </c>
      <c r="K54" s="165">
        <v>307.26</v>
      </c>
      <c r="L54" s="165">
        <v>37.52</v>
      </c>
      <c r="M54" s="165">
        <v>21.22</v>
      </c>
      <c r="N54" s="165">
        <v>721</v>
      </c>
      <c r="O54" s="165">
        <v>0</v>
      </c>
      <c r="P54" s="165">
        <v>0.86</v>
      </c>
      <c r="Q54" s="165">
        <v>5.6</v>
      </c>
      <c r="R54" s="13"/>
      <c r="S54" s="13"/>
      <c r="T54" s="213"/>
      <c r="U54" s="13"/>
    </row>
    <row r="55" customFormat="1" spans="1:21">
      <c r="A55" s="142" t="s">
        <v>1061</v>
      </c>
      <c r="B55" s="165">
        <v>5.68</v>
      </c>
      <c r="C55" s="165">
        <v>67.07</v>
      </c>
      <c r="D55" s="165">
        <v>40.95</v>
      </c>
      <c r="E55" s="165">
        <v>13.75</v>
      </c>
      <c r="F55" s="165">
        <v>13.71</v>
      </c>
      <c r="G55" s="165">
        <v>68.81</v>
      </c>
      <c r="H55" s="165">
        <v>29.89</v>
      </c>
      <c r="I55" s="165">
        <v>7.5</v>
      </c>
      <c r="J55" s="165">
        <v>0.71</v>
      </c>
      <c r="K55" s="165">
        <v>256.19</v>
      </c>
      <c r="L55" s="165">
        <v>37.64</v>
      </c>
      <c r="M55" s="165">
        <v>19.95</v>
      </c>
      <c r="N55" s="165">
        <v>774.4</v>
      </c>
      <c r="O55" s="165">
        <v>0</v>
      </c>
      <c r="P55" s="165">
        <v>0.86</v>
      </c>
      <c r="Q55" s="165">
        <v>5.58</v>
      </c>
      <c r="R55" s="13"/>
      <c r="S55" s="13"/>
      <c r="T55" s="213"/>
      <c r="U55" s="13"/>
    </row>
    <row r="56" customFormat="1" spans="1:21">
      <c r="A56" s="142" t="s">
        <v>1062</v>
      </c>
      <c r="B56" s="165">
        <v>5.69</v>
      </c>
      <c r="C56" s="165">
        <v>67.24</v>
      </c>
      <c r="D56" s="165">
        <v>41.04</v>
      </c>
      <c r="E56" s="165">
        <v>10.77</v>
      </c>
      <c r="F56" s="165">
        <v>9.05</v>
      </c>
      <c r="G56" s="165">
        <v>67.99</v>
      </c>
      <c r="H56" s="165">
        <v>29.52</v>
      </c>
      <c r="I56" s="165">
        <v>7.31</v>
      </c>
      <c r="J56" s="165">
        <v>0.61</v>
      </c>
      <c r="K56" s="165">
        <v>207.06</v>
      </c>
      <c r="L56" s="165">
        <v>38.94</v>
      </c>
      <c r="M56" s="165">
        <v>18.28</v>
      </c>
      <c r="N56" s="165">
        <v>751</v>
      </c>
      <c r="O56" s="165">
        <v>0</v>
      </c>
      <c r="P56" s="165">
        <v>0.86</v>
      </c>
      <c r="Q56" s="165">
        <v>5.54</v>
      </c>
      <c r="R56" s="13"/>
      <c r="S56" s="13"/>
      <c r="T56" s="213"/>
      <c r="U56" s="13"/>
    </row>
    <row r="57" customFormat="1" spans="1:21">
      <c r="A57" s="142" t="s">
        <v>1063</v>
      </c>
      <c r="B57" s="165">
        <v>5.63</v>
      </c>
      <c r="C57" s="165">
        <v>67.45</v>
      </c>
      <c r="D57" s="165">
        <v>41.1</v>
      </c>
      <c r="E57" s="165">
        <v>11.03</v>
      </c>
      <c r="F57" s="165">
        <v>12.79</v>
      </c>
      <c r="G57" s="165">
        <v>67.99</v>
      </c>
      <c r="H57" s="165">
        <v>29.52</v>
      </c>
      <c r="I57" s="165">
        <v>7.21</v>
      </c>
      <c r="J57" s="165">
        <v>0.15</v>
      </c>
      <c r="K57" s="165">
        <v>61.97</v>
      </c>
      <c r="L57" s="165">
        <v>39.35</v>
      </c>
      <c r="M57" s="165">
        <v>17.55</v>
      </c>
      <c r="N57" s="165">
        <v>765.1</v>
      </c>
      <c r="O57" s="165">
        <v>0</v>
      </c>
      <c r="P57" s="165">
        <v>0.83</v>
      </c>
      <c r="Q57" s="165">
        <v>5.56</v>
      </c>
      <c r="R57" s="13"/>
      <c r="S57" s="13"/>
      <c r="T57" s="213"/>
      <c r="U57" s="13"/>
    </row>
    <row r="58" customFormat="1" spans="1:21">
      <c r="A58" s="142" t="s">
        <v>1064</v>
      </c>
      <c r="B58" s="165">
        <v>5.72</v>
      </c>
      <c r="C58" s="165">
        <v>65.86</v>
      </c>
      <c r="D58" s="165">
        <v>40.35</v>
      </c>
      <c r="E58" s="165">
        <v>10.9</v>
      </c>
      <c r="F58" s="165">
        <v>13.36</v>
      </c>
      <c r="G58" s="165">
        <v>67.99</v>
      </c>
      <c r="H58" s="165">
        <v>29.52</v>
      </c>
      <c r="I58" s="165">
        <v>7.15</v>
      </c>
      <c r="J58" s="165">
        <v>0.56</v>
      </c>
      <c r="K58" s="165">
        <v>254.1</v>
      </c>
      <c r="L58" s="165">
        <v>39.1</v>
      </c>
      <c r="M58" s="165">
        <v>17.98</v>
      </c>
      <c r="N58" s="165">
        <v>774.9</v>
      </c>
      <c r="O58" s="165">
        <v>0</v>
      </c>
      <c r="P58" s="165">
        <v>0.8</v>
      </c>
      <c r="Q58" s="165">
        <v>5.5</v>
      </c>
      <c r="R58" s="13"/>
      <c r="S58" s="13"/>
      <c r="T58" s="213"/>
      <c r="U58" s="13"/>
    </row>
    <row r="59" customFormat="1" spans="1:21">
      <c r="A59" s="142" t="s">
        <v>1065</v>
      </c>
      <c r="B59" s="165">
        <v>5.62</v>
      </c>
      <c r="C59" s="165">
        <v>62.76</v>
      </c>
      <c r="D59" s="165">
        <v>38.65</v>
      </c>
      <c r="E59" s="165">
        <v>11.78</v>
      </c>
      <c r="F59" s="165">
        <v>17.52</v>
      </c>
      <c r="G59" s="165">
        <v>66.56</v>
      </c>
      <c r="H59" s="165">
        <v>29.06</v>
      </c>
      <c r="I59" s="165">
        <v>7.07</v>
      </c>
      <c r="J59" s="165">
        <v>0.59</v>
      </c>
      <c r="K59" s="165">
        <v>240.9</v>
      </c>
      <c r="L59" s="165">
        <v>39.17</v>
      </c>
      <c r="M59" s="165">
        <v>17.93</v>
      </c>
      <c r="N59" s="165">
        <v>732</v>
      </c>
      <c r="O59" s="165">
        <v>0</v>
      </c>
      <c r="P59" s="165">
        <v>0.78</v>
      </c>
      <c r="Q59" s="165">
        <v>5.47</v>
      </c>
      <c r="R59" s="13"/>
      <c r="S59" s="13"/>
      <c r="T59" s="213"/>
      <c r="U59" s="13"/>
    </row>
    <row r="60" customFormat="1" spans="1:21">
      <c r="A60" s="142" t="s">
        <v>1066</v>
      </c>
      <c r="B60" s="165">
        <v>5.62</v>
      </c>
      <c r="C60" s="165">
        <v>63.54</v>
      </c>
      <c r="D60" s="165">
        <v>39.06</v>
      </c>
      <c r="E60" s="165">
        <v>12.41</v>
      </c>
      <c r="F60" s="165">
        <v>12.45</v>
      </c>
      <c r="G60" s="165">
        <v>63.03</v>
      </c>
      <c r="H60" s="165">
        <v>27.37</v>
      </c>
      <c r="I60" s="165">
        <v>6.94</v>
      </c>
      <c r="J60" s="165">
        <v>0.71</v>
      </c>
      <c r="K60" s="165">
        <v>295.31</v>
      </c>
      <c r="L60" s="165">
        <v>39.26</v>
      </c>
      <c r="M60" s="165">
        <v>18.12</v>
      </c>
      <c r="N60" s="165">
        <v>724.9</v>
      </c>
      <c r="O60" s="165">
        <v>0</v>
      </c>
      <c r="P60" s="165">
        <v>0.79</v>
      </c>
      <c r="Q60" s="165">
        <v>5.49</v>
      </c>
      <c r="R60" s="13"/>
      <c r="S60" s="13"/>
      <c r="T60" s="213"/>
      <c r="U60" s="13"/>
    </row>
    <row r="61" customFormat="1" spans="1:21">
      <c r="A61" s="142" t="s">
        <v>1067</v>
      </c>
      <c r="B61" s="165">
        <v>5.66</v>
      </c>
      <c r="C61" s="165">
        <v>63.29</v>
      </c>
      <c r="D61" s="165">
        <v>38.95</v>
      </c>
      <c r="E61" s="165">
        <v>14.76</v>
      </c>
      <c r="F61" s="165">
        <v>18.79</v>
      </c>
      <c r="G61" s="165">
        <v>63.03</v>
      </c>
      <c r="H61" s="165">
        <v>27.37</v>
      </c>
      <c r="I61" s="165">
        <v>6.72</v>
      </c>
      <c r="J61" s="165">
        <v>0.97</v>
      </c>
      <c r="K61" s="165">
        <v>246.91</v>
      </c>
      <c r="L61" s="165">
        <v>38.97</v>
      </c>
      <c r="M61" s="165">
        <v>18.19</v>
      </c>
      <c r="N61" s="165">
        <v>679.8</v>
      </c>
      <c r="O61" s="165">
        <v>0</v>
      </c>
      <c r="P61" s="165">
        <v>0.79</v>
      </c>
      <c r="Q61" s="165">
        <v>5.58</v>
      </c>
      <c r="R61" s="13"/>
      <c r="S61" s="13"/>
      <c r="T61" s="213"/>
      <c r="U61" s="13"/>
    </row>
    <row r="62" customFormat="1" spans="1:21">
      <c r="A62" s="142" t="s">
        <v>1068</v>
      </c>
      <c r="B62" s="165">
        <v>5.69</v>
      </c>
      <c r="C62" s="165">
        <v>54.11</v>
      </c>
      <c r="D62" s="165">
        <v>34.19</v>
      </c>
      <c r="E62" s="165">
        <v>17.07</v>
      </c>
      <c r="F62" s="165">
        <v>27.38</v>
      </c>
      <c r="G62" s="165">
        <v>63.03</v>
      </c>
      <c r="H62" s="165">
        <v>27.37</v>
      </c>
      <c r="I62" s="165">
        <v>6.72</v>
      </c>
      <c r="J62" s="165">
        <v>0.39</v>
      </c>
      <c r="K62" s="165">
        <v>293.31</v>
      </c>
      <c r="L62" s="165">
        <v>38.74</v>
      </c>
      <c r="M62" s="165">
        <v>18.74</v>
      </c>
      <c r="N62" s="165">
        <v>614.7</v>
      </c>
      <c r="O62" s="165">
        <v>0</v>
      </c>
      <c r="P62" s="165">
        <v>0.77</v>
      </c>
      <c r="Q62" s="165">
        <v>5.51</v>
      </c>
      <c r="R62" s="13"/>
      <c r="S62" s="13"/>
      <c r="T62" s="213"/>
      <c r="U62" s="13"/>
    </row>
    <row r="63" customFormat="1" spans="1:21">
      <c r="A63" s="142" t="s">
        <v>1069</v>
      </c>
      <c r="B63" s="165">
        <v>5.71</v>
      </c>
      <c r="C63" s="165">
        <v>50.92</v>
      </c>
      <c r="D63" s="165">
        <v>32.53</v>
      </c>
      <c r="E63" s="165">
        <v>26.04</v>
      </c>
      <c r="F63" s="165">
        <v>40.09</v>
      </c>
      <c r="G63" s="165">
        <v>62.81</v>
      </c>
      <c r="H63" s="165">
        <v>27.02</v>
      </c>
      <c r="I63" s="165">
        <v>6.51</v>
      </c>
      <c r="J63" s="165">
        <v>0.26</v>
      </c>
      <c r="K63" s="165">
        <v>7.21</v>
      </c>
      <c r="L63" s="165">
        <v>39.2</v>
      </c>
      <c r="M63" s="165">
        <v>17.97</v>
      </c>
      <c r="N63" s="165">
        <v>513.8</v>
      </c>
      <c r="O63" s="165">
        <v>0</v>
      </c>
      <c r="P63" s="165">
        <v>0.77</v>
      </c>
      <c r="Q63" s="165">
        <v>5.25</v>
      </c>
      <c r="R63" s="13"/>
      <c r="S63" s="13"/>
      <c r="T63" s="213"/>
      <c r="U63" s="13"/>
    </row>
    <row r="64" customFormat="1" spans="1:21">
      <c r="A64" s="142" t="s">
        <v>1070</v>
      </c>
      <c r="B64" s="165">
        <v>5.17</v>
      </c>
      <c r="C64" s="165">
        <v>48.58</v>
      </c>
      <c r="D64" s="165">
        <v>30.88</v>
      </c>
      <c r="E64" s="165">
        <v>31.32</v>
      </c>
      <c r="F64" s="165">
        <v>50.61</v>
      </c>
      <c r="G64" s="165">
        <v>62.28</v>
      </c>
      <c r="H64" s="165">
        <v>26.46</v>
      </c>
      <c r="I64" s="165">
        <v>6.33</v>
      </c>
      <c r="J64" s="165">
        <v>0.77</v>
      </c>
      <c r="K64" s="165">
        <v>306.09</v>
      </c>
      <c r="L64" s="165">
        <v>38.41</v>
      </c>
      <c r="M64" s="165">
        <v>19.32</v>
      </c>
      <c r="N64" s="165">
        <v>426.6</v>
      </c>
      <c r="O64" s="165">
        <v>0</v>
      </c>
      <c r="P64" s="165">
        <v>0.77</v>
      </c>
      <c r="Q64" s="165">
        <v>5</v>
      </c>
      <c r="R64" s="13"/>
      <c r="S64" s="13"/>
      <c r="T64" s="213"/>
      <c r="U64" s="13"/>
    </row>
    <row r="65" customFormat="1" spans="1:21">
      <c r="A65" s="142" t="s">
        <v>1071</v>
      </c>
      <c r="B65" s="165">
        <v>4.15</v>
      </c>
      <c r="C65" s="165">
        <v>44.74</v>
      </c>
      <c r="D65" s="165">
        <v>28.05</v>
      </c>
      <c r="E65" s="165">
        <v>43.52</v>
      </c>
      <c r="F65" s="165">
        <v>63.4</v>
      </c>
      <c r="G65" s="165">
        <v>62.28</v>
      </c>
      <c r="H65" s="165">
        <v>26.46</v>
      </c>
      <c r="I65" s="165">
        <v>6.15</v>
      </c>
      <c r="J65" s="165">
        <v>0.26</v>
      </c>
      <c r="K65" s="165">
        <v>238.1</v>
      </c>
      <c r="L65" s="165">
        <v>38.43</v>
      </c>
      <c r="M65" s="165">
        <v>19.35</v>
      </c>
      <c r="N65" s="165">
        <v>296</v>
      </c>
      <c r="O65" s="165">
        <v>0</v>
      </c>
      <c r="P65" s="165">
        <v>0.62</v>
      </c>
      <c r="Q65" s="165">
        <v>4.73</v>
      </c>
      <c r="R65" s="13"/>
      <c r="S65" s="13"/>
      <c r="T65" s="213"/>
      <c r="U65" s="13"/>
    </row>
    <row r="66" customFormat="1" spans="1:21">
      <c r="A66" s="142" t="s">
        <v>1072</v>
      </c>
      <c r="B66" s="165">
        <v>3.93</v>
      </c>
      <c r="C66" s="165">
        <v>44.01</v>
      </c>
      <c r="D66" s="165">
        <v>27.5</v>
      </c>
      <c r="E66" s="165">
        <v>36</v>
      </c>
      <c r="F66" s="165">
        <v>64.05</v>
      </c>
      <c r="G66" s="165">
        <v>62.28</v>
      </c>
      <c r="H66" s="165">
        <v>26.46</v>
      </c>
      <c r="I66" s="165">
        <v>5.88</v>
      </c>
      <c r="J66" s="165">
        <v>0.19</v>
      </c>
      <c r="K66" s="165">
        <v>92.64</v>
      </c>
      <c r="L66" s="165">
        <v>38.5</v>
      </c>
      <c r="M66" s="165">
        <v>18.88</v>
      </c>
      <c r="N66" s="165">
        <v>395.8</v>
      </c>
      <c r="O66" s="165">
        <v>0</v>
      </c>
      <c r="P66" s="165">
        <v>0.64</v>
      </c>
      <c r="Q66" s="165">
        <v>4.58</v>
      </c>
      <c r="R66" s="13"/>
      <c r="S66" s="13"/>
      <c r="T66" s="213"/>
      <c r="U66" s="13"/>
    </row>
    <row r="67" customFormat="1" spans="1:21">
      <c r="A67" s="142" t="s">
        <v>1073</v>
      </c>
      <c r="B67" s="165">
        <v>4.67</v>
      </c>
      <c r="C67" s="165">
        <v>46.88</v>
      </c>
      <c r="D67" s="165">
        <v>29.59</v>
      </c>
      <c r="E67" s="165">
        <v>28.9</v>
      </c>
      <c r="F67" s="165">
        <v>51.07</v>
      </c>
      <c r="G67" s="165">
        <v>64.79</v>
      </c>
      <c r="H67" s="165">
        <v>27.22</v>
      </c>
      <c r="I67" s="165">
        <v>5.83</v>
      </c>
      <c r="J67" s="165">
        <v>1.01</v>
      </c>
      <c r="K67" s="165">
        <v>43.06</v>
      </c>
      <c r="L67" s="165">
        <v>39.21</v>
      </c>
      <c r="M67" s="165">
        <v>16.82</v>
      </c>
      <c r="N67" s="165">
        <v>521.4</v>
      </c>
      <c r="O67" s="165">
        <v>0</v>
      </c>
      <c r="P67" s="165">
        <v>0.63</v>
      </c>
      <c r="Q67" s="165">
        <v>4.47</v>
      </c>
      <c r="R67" s="13"/>
      <c r="S67" s="13"/>
      <c r="T67" s="213"/>
      <c r="U67" s="13"/>
    </row>
    <row r="68" customFormat="1" spans="1:21">
      <c r="A68" s="142" t="s">
        <v>1074</v>
      </c>
      <c r="B68" s="165">
        <v>7.84</v>
      </c>
      <c r="C68" s="165">
        <v>46.21</v>
      </c>
      <c r="D68" s="165">
        <v>31.78</v>
      </c>
      <c r="E68" s="165">
        <v>23.89</v>
      </c>
      <c r="F68" s="165">
        <v>35.18</v>
      </c>
      <c r="G68" s="165">
        <v>70.98</v>
      </c>
      <c r="H68" s="165">
        <v>28.42</v>
      </c>
      <c r="I68" s="165">
        <v>5.54</v>
      </c>
      <c r="J68" s="165">
        <v>1.08</v>
      </c>
      <c r="K68" s="165">
        <v>18.27</v>
      </c>
      <c r="L68" s="165">
        <v>39.18</v>
      </c>
      <c r="M68" s="165">
        <v>15.7</v>
      </c>
      <c r="N68" s="165">
        <v>571.7</v>
      </c>
      <c r="O68" s="165">
        <v>0</v>
      </c>
      <c r="P68" s="165">
        <v>0.61</v>
      </c>
      <c r="Q68" s="165">
        <v>4.46</v>
      </c>
      <c r="R68" s="13"/>
      <c r="S68" s="13"/>
      <c r="T68" s="213"/>
      <c r="U68" s="13"/>
    </row>
    <row r="69" customFormat="1" spans="1:21">
      <c r="A69" s="142" t="s">
        <v>1075</v>
      </c>
      <c r="B69" s="165">
        <v>6.3</v>
      </c>
      <c r="C69" s="165">
        <v>49.79</v>
      </c>
      <c r="D69" s="165">
        <v>32.42</v>
      </c>
      <c r="E69" s="165">
        <v>17.31</v>
      </c>
      <c r="F69" s="165">
        <v>37.1</v>
      </c>
      <c r="G69" s="165">
        <v>70.98</v>
      </c>
      <c r="H69" s="165">
        <v>28.42</v>
      </c>
      <c r="I69" s="165">
        <v>5.21</v>
      </c>
      <c r="J69" s="165">
        <v>0.55</v>
      </c>
      <c r="K69" s="165">
        <v>13.88</v>
      </c>
      <c r="L69" s="165">
        <v>39.5</v>
      </c>
      <c r="M69" s="165">
        <v>14.54</v>
      </c>
      <c r="N69" s="165">
        <v>551.2</v>
      </c>
      <c r="O69" s="165">
        <v>0</v>
      </c>
      <c r="P69" s="165">
        <v>0.61</v>
      </c>
      <c r="Q69" s="165">
        <v>4.55</v>
      </c>
      <c r="R69" s="13"/>
      <c r="S69" s="13"/>
      <c r="T69" s="213"/>
      <c r="U69" s="13"/>
    </row>
    <row r="70" customFormat="1" spans="1:21">
      <c r="A70" s="142" t="s">
        <v>1076</v>
      </c>
      <c r="B70" s="165">
        <v>5.55</v>
      </c>
      <c r="C70" s="165">
        <v>52.64</v>
      </c>
      <c r="D70" s="165">
        <v>33.31</v>
      </c>
      <c r="E70" s="165">
        <v>14.75</v>
      </c>
      <c r="F70" s="165">
        <v>28.13</v>
      </c>
      <c r="G70" s="165">
        <v>70.98</v>
      </c>
      <c r="H70" s="165">
        <v>28.42</v>
      </c>
      <c r="I70" s="165">
        <v>5.19</v>
      </c>
      <c r="J70" s="165">
        <v>1.15</v>
      </c>
      <c r="K70" s="165">
        <v>302.73</v>
      </c>
      <c r="L70" s="165">
        <v>39.2</v>
      </c>
      <c r="M70" s="165">
        <v>14.87</v>
      </c>
      <c r="N70" s="165">
        <v>465.1</v>
      </c>
      <c r="O70" s="165">
        <v>0</v>
      </c>
      <c r="P70" s="165">
        <v>0.64</v>
      </c>
      <c r="Q70" s="165">
        <v>4.68</v>
      </c>
      <c r="R70" s="13"/>
      <c r="S70" s="13"/>
      <c r="T70" s="213"/>
      <c r="U70" s="13"/>
    </row>
    <row r="71" customFormat="1" spans="1:21">
      <c r="A71" s="142" t="s">
        <v>1077</v>
      </c>
      <c r="B71" s="165">
        <v>5.39</v>
      </c>
      <c r="C71" s="165">
        <v>51.69</v>
      </c>
      <c r="D71" s="165">
        <v>32.68</v>
      </c>
      <c r="E71" s="165">
        <v>14.75</v>
      </c>
      <c r="F71" s="165">
        <v>32.56</v>
      </c>
      <c r="G71" s="165">
        <v>69.11</v>
      </c>
      <c r="H71" s="165">
        <v>27.69</v>
      </c>
      <c r="I71" s="165">
        <v>5.13</v>
      </c>
      <c r="J71" s="165">
        <v>1.1</v>
      </c>
      <c r="K71" s="165">
        <v>296.33</v>
      </c>
      <c r="L71" s="165">
        <v>38.64</v>
      </c>
      <c r="M71" s="165">
        <v>14.9</v>
      </c>
      <c r="N71" s="165">
        <v>395.7</v>
      </c>
      <c r="O71" s="165">
        <v>0</v>
      </c>
      <c r="P71" s="165">
        <v>0.61</v>
      </c>
      <c r="Q71" s="165">
        <v>4.73</v>
      </c>
      <c r="R71" s="13"/>
      <c r="S71" s="13"/>
      <c r="T71" s="213"/>
      <c r="U71" s="13"/>
    </row>
    <row r="72" customFormat="1" spans="1:21">
      <c r="A72" s="142" t="s">
        <v>1078</v>
      </c>
      <c r="B72" s="165">
        <v>5.83</v>
      </c>
      <c r="C72" s="165">
        <v>50.98</v>
      </c>
      <c r="D72" s="165">
        <v>32.66</v>
      </c>
      <c r="E72" s="165">
        <v>21.56</v>
      </c>
      <c r="F72" s="165">
        <v>42.45</v>
      </c>
      <c r="G72" s="165">
        <v>64.49</v>
      </c>
      <c r="H72" s="165">
        <v>26.49</v>
      </c>
      <c r="I72" s="165">
        <v>5.22</v>
      </c>
      <c r="J72" s="165">
        <v>0.89</v>
      </c>
      <c r="K72" s="165">
        <v>54.66</v>
      </c>
      <c r="L72" s="165">
        <v>38.73</v>
      </c>
      <c r="M72" s="165">
        <v>14.76</v>
      </c>
      <c r="N72" s="165">
        <v>257.9</v>
      </c>
      <c r="O72" s="165">
        <v>0</v>
      </c>
      <c r="P72" s="165">
        <v>0.61</v>
      </c>
      <c r="Q72" s="165">
        <v>4.73</v>
      </c>
      <c r="R72" s="13"/>
      <c r="S72" s="13"/>
      <c r="T72" s="213"/>
      <c r="U72" s="13"/>
    </row>
    <row r="73" customFormat="1" spans="1:21">
      <c r="A73" s="142" t="s">
        <v>1079</v>
      </c>
      <c r="B73" s="165">
        <v>6.87</v>
      </c>
      <c r="C73" s="165">
        <v>51.4</v>
      </c>
      <c r="D73" s="165">
        <v>33.71</v>
      </c>
      <c r="E73" s="165">
        <v>26.15</v>
      </c>
      <c r="F73" s="165">
        <v>42.23</v>
      </c>
      <c r="G73" s="165">
        <v>64.49</v>
      </c>
      <c r="H73" s="165">
        <v>26.49</v>
      </c>
      <c r="I73" s="165">
        <v>5.13</v>
      </c>
      <c r="J73" s="165">
        <v>0.45</v>
      </c>
      <c r="K73" s="165">
        <v>346.72</v>
      </c>
      <c r="L73" s="165">
        <v>38.95</v>
      </c>
      <c r="M73" s="165">
        <v>14.67</v>
      </c>
      <c r="N73" s="165">
        <v>302.2</v>
      </c>
      <c r="O73" s="165">
        <v>0</v>
      </c>
      <c r="P73" s="165">
        <v>0.61</v>
      </c>
      <c r="Q73" s="165">
        <v>4.74</v>
      </c>
      <c r="R73" s="13"/>
      <c r="S73" s="13"/>
      <c r="T73" s="213"/>
      <c r="U73" s="13"/>
    </row>
    <row r="74" customFormat="1" spans="1:21">
      <c r="A74" s="142" t="s">
        <v>1080</v>
      </c>
      <c r="B74" s="165">
        <v>6.74</v>
      </c>
      <c r="C74" s="165">
        <v>51.2</v>
      </c>
      <c r="D74" s="165">
        <v>33.51</v>
      </c>
      <c r="E74" s="165">
        <v>20.33</v>
      </c>
      <c r="F74" s="165">
        <v>40.57</v>
      </c>
      <c r="G74" s="165">
        <v>64.49</v>
      </c>
      <c r="H74" s="165">
        <v>26.49</v>
      </c>
      <c r="I74" s="165">
        <v>4.71</v>
      </c>
      <c r="J74" s="165">
        <v>0.98</v>
      </c>
      <c r="K74" s="165">
        <v>43.98</v>
      </c>
      <c r="L74" s="165">
        <v>38.42</v>
      </c>
      <c r="M74" s="165">
        <v>15.12</v>
      </c>
      <c r="N74" s="165">
        <v>248.1</v>
      </c>
      <c r="O74" s="165">
        <v>0</v>
      </c>
      <c r="P74" s="165">
        <v>0.6</v>
      </c>
      <c r="Q74" s="165">
        <v>4.77</v>
      </c>
      <c r="R74" s="13"/>
      <c r="S74" s="13"/>
      <c r="T74" s="213"/>
      <c r="U74" s="13"/>
    </row>
    <row r="75" customFormat="1" spans="1:21">
      <c r="A75" s="142" t="s">
        <v>1081</v>
      </c>
      <c r="B75" s="165">
        <v>6.95</v>
      </c>
      <c r="C75" s="165">
        <v>51.57</v>
      </c>
      <c r="D75" s="165">
        <v>33.86</v>
      </c>
      <c r="E75" s="165">
        <v>20.56</v>
      </c>
      <c r="F75" s="165">
        <v>45.56</v>
      </c>
      <c r="G75" s="165">
        <v>63.65</v>
      </c>
      <c r="H75" s="165">
        <v>25.88</v>
      </c>
      <c r="I75" s="165">
        <v>4.57</v>
      </c>
      <c r="J75" s="165">
        <v>0.76</v>
      </c>
      <c r="K75" s="165">
        <v>27.44</v>
      </c>
      <c r="L75" s="165">
        <v>38.14</v>
      </c>
      <c r="M75" s="165">
        <v>15.93</v>
      </c>
      <c r="N75" s="165">
        <v>178.3</v>
      </c>
      <c r="O75" s="165">
        <v>0</v>
      </c>
      <c r="P75" s="165">
        <v>0.6</v>
      </c>
      <c r="Q75" s="165">
        <v>4.81</v>
      </c>
      <c r="R75" s="13"/>
      <c r="S75" s="13"/>
      <c r="T75" s="213"/>
      <c r="U75" s="13"/>
    </row>
    <row r="76" customFormat="1" spans="1:21">
      <c r="A76" s="142" t="s">
        <v>1082</v>
      </c>
      <c r="B76" s="165">
        <v>8.11</v>
      </c>
      <c r="C76" s="165">
        <v>54.09</v>
      </c>
      <c r="D76" s="165">
        <v>36.11</v>
      </c>
      <c r="E76" s="165">
        <v>16.72</v>
      </c>
      <c r="F76" s="165">
        <v>43.65</v>
      </c>
      <c r="G76" s="165">
        <v>61.57</v>
      </c>
      <c r="H76" s="165">
        <v>24.91</v>
      </c>
      <c r="I76" s="165">
        <v>4.48</v>
      </c>
      <c r="J76" s="165">
        <v>0.7</v>
      </c>
      <c r="K76" s="165">
        <v>27.03</v>
      </c>
      <c r="L76" s="165">
        <v>37.7</v>
      </c>
      <c r="M76" s="165">
        <v>16.47</v>
      </c>
      <c r="N76" s="165">
        <v>143.5</v>
      </c>
      <c r="O76" s="165">
        <v>0</v>
      </c>
      <c r="P76" s="165">
        <v>0.61</v>
      </c>
      <c r="Q76" s="165">
        <v>4.84</v>
      </c>
      <c r="R76" s="13"/>
      <c r="S76" s="13"/>
      <c r="T76" s="213"/>
      <c r="U76" s="13"/>
    </row>
    <row r="77" customFormat="1" spans="1:21">
      <c r="A77" s="142" t="s">
        <v>1083</v>
      </c>
      <c r="B77" s="165">
        <v>9.55</v>
      </c>
      <c r="C77" s="165">
        <v>57.09</v>
      </c>
      <c r="D77" s="165">
        <v>38.83</v>
      </c>
      <c r="E77" s="165">
        <v>20.91</v>
      </c>
      <c r="F77" s="165">
        <v>40.72</v>
      </c>
      <c r="G77" s="165">
        <v>61.57</v>
      </c>
      <c r="H77" s="165">
        <v>24.91</v>
      </c>
      <c r="I77" s="165">
        <v>4.31</v>
      </c>
      <c r="J77" s="165">
        <v>0.81</v>
      </c>
      <c r="K77" s="165">
        <v>51.9</v>
      </c>
      <c r="L77" s="165">
        <v>37.39</v>
      </c>
      <c r="M77" s="165">
        <v>16.74</v>
      </c>
      <c r="N77" s="165">
        <v>94.2</v>
      </c>
      <c r="O77" s="165">
        <v>0</v>
      </c>
      <c r="P77" s="165">
        <v>0.67</v>
      </c>
      <c r="Q77" s="165">
        <v>4.91</v>
      </c>
      <c r="R77" s="13"/>
      <c r="S77" s="13"/>
      <c r="T77" s="213"/>
      <c r="U77" s="13"/>
    </row>
    <row r="78" customFormat="1" spans="1:21">
      <c r="A78" s="142" t="s">
        <v>1084</v>
      </c>
      <c r="B78" s="165">
        <v>11.44</v>
      </c>
      <c r="C78" s="165">
        <v>62.64</v>
      </c>
      <c r="D78" s="165">
        <v>43.25</v>
      </c>
      <c r="E78" s="165">
        <v>23.2</v>
      </c>
      <c r="F78" s="165">
        <v>30.01</v>
      </c>
      <c r="G78" s="165">
        <v>61.57</v>
      </c>
      <c r="H78" s="165">
        <v>24.91</v>
      </c>
      <c r="I78" s="165">
        <v>4.23</v>
      </c>
      <c r="J78" s="165">
        <v>0.61</v>
      </c>
      <c r="K78" s="165">
        <v>54.3</v>
      </c>
      <c r="L78" s="165">
        <v>37.09</v>
      </c>
      <c r="M78" s="165">
        <v>17.2</v>
      </c>
      <c r="N78" s="165">
        <v>58.7</v>
      </c>
      <c r="O78" s="165">
        <v>0</v>
      </c>
      <c r="P78" s="165">
        <v>0.76</v>
      </c>
      <c r="Q78" s="165">
        <v>5.02</v>
      </c>
      <c r="R78" s="13"/>
      <c r="S78" s="13"/>
      <c r="T78" s="213"/>
      <c r="U78" s="13"/>
    </row>
    <row r="79" customFormat="1" spans="1:21">
      <c r="A79" s="142" t="s">
        <v>1085</v>
      </c>
      <c r="B79" s="165">
        <v>11.76</v>
      </c>
      <c r="C79" s="165">
        <v>65.77</v>
      </c>
      <c r="D79" s="165">
        <v>45.15</v>
      </c>
      <c r="E79" s="165">
        <v>22.93</v>
      </c>
      <c r="F79" s="165">
        <v>27.92</v>
      </c>
      <c r="G79" s="165">
        <v>64.05</v>
      </c>
      <c r="H79" s="165">
        <v>25.01</v>
      </c>
      <c r="I79" s="165">
        <v>4.29</v>
      </c>
      <c r="J79" s="165">
        <v>0.2</v>
      </c>
      <c r="K79" s="165">
        <v>101.58</v>
      </c>
      <c r="L79" s="165">
        <v>36.43</v>
      </c>
      <c r="M79" s="165">
        <v>19.91</v>
      </c>
      <c r="N79" s="165">
        <v>26.4</v>
      </c>
      <c r="O79" s="165">
        <v>0</v>
      </c>
      <c r="P79" s="165">
        <v>0.74</v>
      </c>
      <c r="Q79" s="165">
        <v>5.16</v>
      </c>
      <c r="R79" s="13"/>
      <c r="S79" s="13"/>
      <c r="T79" s="213"/>
      <c r="U79" s="13"/>
    </row>
    <row r="80" customFormat="1" spans="1:21">
      <c r="A80" s="142" t="s">
        <v>1086</v>
      </c>
      <c r="B80" s="165">
        <v>9.08</v>
      </c>
      <c r="C80" s="165">
        <v>62.74</v>
      </c>
      <c r="D80" s="165">
        <v>41.41</v>
      </c>
      <c r="E80" s="165">
        <v>19.69</v>
      </c>
      <c r="F80" s="165">
        <v>30.45</v>
      </c>
      <c r="G80" s="165">
        <v>70.15</v>
      </c>
      <c r="H80" s="165">
        <v>25.16</v>
      </c>
      <c r="I80" s="165">
        <v>4.71</v>
      </c>
      <c r="J80" s="165">
        <v>0.22</v>
      </c>
      <c r="K80" s="165">
        <v>137.45</v>
      </c>
      <c r="L80" s="165">
        <v>35.29</v>
      </c>
      <c r="M80" s="165">
        <v>22.77</v>
      </c>
      <c r="N80" s="165">
        <v>7.7</v>
      </c>
      <c r="O80" s="165">
        <v>0</v>
      </c>
      <c r="P80" s="165">
        <v>0.7</v>
      </c>
      <c r="Q80" s="165">
        <v>5.33</v>
      </c>
      <c r="R80" s="13"/>
      <c r="S80" s="13"/>
      <c r="T80" s="213"/>
      <c r="U80" s="13"/>
    </row>
    <row r="81" customFormat="1" spans="1:21">
      <c r="A81" s="142" t="s">
        <v>1087</v>
      </c>
      <c r="B81" s="165">
        <v>9.93</v>
      </c>
      <c r="C81" s="165">
        <v>65.63</v>
      </c>
      <c r="D81" s="165">
        <v>43.61</v>
      </c>
      <c r="E81" s="165">
        <v>10.62</v>
      </c>
      <c r="F81" s="165">
        <v>15.43</v>
      </c>
      <c r="G81" s="165">
        <v>70.15</v>
      </c>
      <c r="H81" s="165">
        <v>25.16</v>
      </c>
      <c r="I81" s="165">
        <v>4.71</v>
      </c>
      <c r="J81" s="165">
        <v>0.19</v>
      </c>
      <c r="K81" s="165">
        <v>142.35</v>
      </c>
      <c r="L81" s="165">
        <v>34.59</v>
      </c>
      <c r="M81" s="165">
        <v>23.62</v>
      </c>
      <c r="N81" s="165">
        <v>0</v>
      </c>
      <c r="O81" s="165">
        <v>0</v>
      </c>
      <c r="P81" s="165">
        <v>0.75</v>
      </c>
      <c r="Q81" s="165">
        <v>5.26</v>
      </c>
      <c r="R81" s="13"/>
      <c r="S81" s="13"/>
      <c r="T81" s="213"/>
      <c r="U81" s="13"/>
    </row>
    <row r="82" customFormat="1" spans="1:21">
      <c r="A82" s="142" t="s">
        <v>1088</v>
      </c>
      <c r="B82" s="165">
        <v>9.47</v>
      </c>
      <c r="C82" s="165">
        <v>67.53</v>
      </c>
      <c r="D82" s="165">
        <v>44.23</v>
      </c>
      <c r="E82" s="165">
        <v>11.49</v>
      </c>
      <c r="F82" s="165">
        <v>15.71</v>
      </c>
      <c r="G82" s="165">
        <v>70.15</v>
      </c>
      <c r="H82" s="165">
        <v>25.16</v>
      </c>
      <c r="I82" s="165">
        <v>4.71</v>
      </c>
      <c r="J82" s="165">
        <v>0.22</v>
      </c>
      <c r="K82" s="165">
        <v>152.22</v>
      </c>
      <c r="L82" s="165">
        <v>34.26</v>
      </c>
      <c r="M82" s="165">
        <v>24.36</v>
      </c>
      <c r="N82" s="165">
        <v>0</v>
      </c>
      <c r="O82" s="165">
        <v>0</v>
      </c>
      <c r="P82" s="165">
        <v>0.77</v>
      </c>
      <c r="Q82" s="165">
        <v>5.46</v>
      </c>
      <c r="R82" s="13"/>
      <c r="S82" s="13"/>
      <c r="T82" s="213"/>
      <c r="U82" s="13"/>
    </row>
    <row r="83" customFormat="1" spans="1:21">
      <c r="A83" s="142" t="s">
        <v>1089</v>
      </c>
      <c r="B83" s="165">
        <v>9.98</v>
      </c>
      <c r="C83" s="165">
        <v>70.64</v>
      </c>
      <c r="D83" s="165">
        <v>46.26</v>
      </c>
      <c r="E83" s="165">
        <v>10.1</v>
      </c>
      <c r="F83" s="165">
        <v>10.36</v>
      </c>
      <c r="G83" s="165">
        <v>75.04</v>
      </c>
      <c r="H83" s="165">
        <v>25.28</v>
      </c>
      <c r="I83" s="165">
        <v>5.12</v>
      </c>
      <c r="J83" s="165">
        <v>0.22</v>
      </c>
      <c r="K83" s="165">
        <v>159.33</v>
      </c>
      <c r="L83" s="165">
        <v>33.31</v>
      </c>
      <c r="M83" s="165">
        <v>26.25</v>
      </c>
      <c r="N83" s="165">
        <v>0</v>
      </c>
      <c r="O83" s="165">
        <v>0</v>
      </c>
      <c r="P83" s="165">
        <v>0.81</v>
      </c>
      <c r="Q83" s="165">
        <v>5.59</v>
      </c>
      <c r="R83" s="13"/>
      <c r="S83" s="13"/>
      <c r="T83" s="213"/>
      <c r="U83" s="13"/>
    </row>
    <row r="84" customFormat="1" spans="1:21">
      <c r="A84" s="142" t="s">
        <v>1090</v>
      </c>
      <c r="B84" s="165">
        <v>11.04</v>
      </c>
      <c r="C84" s="165">
        <v>70.77</v>
      </c>
      <c r="D84" s="165">
        <v>47.18</v>
      </c>
      <c r="E84" s="165">
        <v>9.34</v>
      </c>
      <c r="F84" s="165">
        <v>10.17</v>
      </c>
      <c r="G84" s="165">
        <v>87.09</v>
      </c>
      <c r="H84" s="165">
        <v>25.75</v>
      </c>
      <c r="I84" s="165">
        <v>5.36</v>
      </c>
      <c r="J84" s="165">
        <v>0.29</v>
      </c>
      <c r="K84" s="165">
        <v>166.99</v>
      </c>
      <c r="L84" s="165">
        <v>32.64</v>
      </c>
      <c r="M84" s="165">
        <v>31.2</v>
      </c>
      <c r="N84" s="165">
        <v>0</v>
      </c>
      <c r="O84" s="165">
        <v>0</v>
      </c>
      <c r="P84" s="165">
        <v>0.79</v>
      </c>
      <c r="Q84" s="165">
        <v>5.69</v>
      </c>
      <c r="R84" s="13"/>
      <c r="S84" s="13"/>
      <c r="T84" s="213"/>
      <c r="U84" s="13"/>
    </row>
    <row r="85" customFormat="1" spans="1:21">
      <c r="A85" s="142" t="s">
        <v>1091</v>
      </c>
      <c r="B85" s="165">
        <v>10.95</v>
      </c>
      <c r="C85" s="165">
        <v>65.32</v>
      </c>
      <c r="D85" s="165">
        <v>44.26</v>
      </c>
      <c r="E85" s="165">
        <v>9.01</v>
      </c>
      <c r="F85" s="165">
        <v>15.18</v>
      </c>
      <c r="G85" s="165">
        <v>87.09</v>
      </c>
      <c r="H85" s="165">
        <v>25.75</v>
      </c>
      <c r="I85" s="165">
        <v>5.66</v>
      </c>
      <c r="J85" s="165">
        <v>0.17</v>
      </c>
      <c r="K85" s="165">
        <v>153.52</v>
      </c>
      <c r="L85" s="165">
        <v>31.83</v>
      </c>
      <c r="M85" s="165">
        <v>30.79</v>
      </c>
      <c r="N85" s="165">
        <v>0</v>
      </c>
      <c r="O85" s="165">
        <v>0</v>
      </c>
      <c r="P85" s="165">
        <v>0.76</v>
      </c>
      <c r="Q85" s="165">
        <v>5.79</v>
      </c>
      <c r="R85" s="13"/>
      <c r="S85" s="13"/>
      <c r="T85" s="213"/>
      <c r="U85" s="13"/>
    </row>
    <row r="86" customFormat="1" spans="1:21">
      <c r="A86" s="142" t="s">
        <v>1092</v>
      </c>
      <c r="B86" s="165">
        <v>11.57</v>
      </c>
      <c r="C86" s="165">
        <v>66.01</v>
      </c>
      <c r="D86" s="165">
        <v>45.12</v>
      </c>
      <c r="E86" s="165">
        <v>8.92</v>
      </c>
      <c r="F86" s="165">
        <v>12.64</v>
      </c>
      <c r="G86" s="165">
        <v>87.09</v>
      </c>
      <c r="H86" s="165">
        <v>25.75</v>
      </c>
      <c r="I86" s="165">
        <v>5.91</v>
      </c>
      <c r="J86" s="165">
        <v>0.29</v>
      </c>
      <c r="K86" s="165">
        <v>165.45</v>
      </c>
      <c r="L86" s="165">
        <v>31.36</v>
      </c>
      <c r="M86" s="165">
        <v>33.26</v>
      </c>
      <c r="N86" s="165">
        <v>0</v>
      </c>
      <c r="O86" s="165">
        <v>0</v>
      </c>
      <c r="P86" s="165">
        <v>0.75</v>
      </c>
      <c r="Q86" s="165">
        <v>5.74</v>
      </c>
      <c r="R86" s="13"/>
      <c r="S86" s="13"/>
      <c r="T86" s="213"/>
      <c r="U86" s="13"/>
    </row>
    <row r="87" customFormat="1" spans="1:21">
      <c r="A87" s="142" t="s">
        <v>1093</v>
      </c>
      <c r="B87" s="165">
        <v>11.51</v>
      </c>
      <c r="C87" s="165">
        <v>65.92</v>
      </c>
      <c r="D87" s="165">
        <v>45.02</v>
      </c>
      <c r="E87" s="165">
        <v>8.32</v>
      </c>
      <c r="F87" s="165">
        <v>9.22</v>
      </c>
      <c r="G87" s="165">
        <v>88.37</v>
      </c>
      <c r="H87" s="165">
        <v>25.46</v>
      </c>
      <c r="I87" s="165">
        <v>5.81</v>
      </c>
      <c r="J87" s="165">
        <v>0.15</v>
      </c>
      <c r="K87" s="165">
        <v>206.12</v>
      </c>
      <c r="L87" s="165">
        <v>30.4</v>
      </c>
      <c r="M87" s="165">
        <v>36</v>
      </c>
      <c r="N87" s="165">
        <v>0</v>
      </c>
      <c r="O87" s="165">
        <v>0</v>
      </c>
      <c r="P87" s="165">
        <v>0.77</v>
      </c>
      <c r="Q87" s="165">
        <v>5.72</v>
      </c>
      <c r="R87" s="13"/>
      <c r="S87" s="13"/>
      <c r="T87" s="213"/>
      <c r="U87" s="13"/>
    </row>
    <row r="88" customFormat="1" spans="1:21">
      <c r="A88" s="142" t="s">
        <v>1094</v>
      </c>
      <c r="B88" s="165">
        <v>12.66</v>
      </c>
      <c r="C88" s="165">
        <v>69.47</v>
      </c>
      <c r="D88" s="165">
        <v>47.8</v>
      </c>
      <c r="E88" s="165">
        <v>8.12</v>
      </c>
      <c r="F88" s="165">
        <v>6.63</v>
      </c>
      <c r="G88" s="165">
        <v>91.52</v>
      </c>
      <c r="H88" s="165">
        <v>25</v>
      </c>
      <c r="I88" s="165">
        <v>5.75</v>
      </c>
      <c r="J88" s="165">
        <v>0.22</v>
      </c>
      <c r="K88" s="165">
        <v>236.26</v>
      </c>
      <c r="L88" s="165">
        <v>29.86</v>
      </c>
      <c r="M88" s="165">
        <v>36.48</v>
      </c>
      <c r="N88" s="165">
        <v>0</v>
      </c>
      <c r="O88" s="165">
        <v>0</v>
      </c>
      <c r="P88" s="165">
        <v>0.77</v>
      </c>
      <c r="Q88" s="165">
        <v>5.76</v>
      </c>
      <c r="R88" s="13"/>
      <c r="S88" s="13"/>
      <c r="T88" s="213"/>
      <c r="U88" s="13"/>
    </row>
    <row r="89" customFormat="1" spans="1:21">
      <c r="A89" s="142" t="s">
        <v>1095</v>
      </c>
      <c r="B89" s="165">
        <v>12.2</v>
      </c>
      <c r="C89" s="165">
        <v>64.87</v>
      </c>
      <c r="D89" s="165">
        <v>45.03</v>
      </c>
      <c r="E89" s="165">
        <v>8.28</v>
      </c>
      <c r="F89" s="165">
        <v>10.44</v>
      </c>
      <c r="G89" s="165">
        <v>91.52</v>
      </c>
      <c r="H89" s="165">
        <v>25</v>
      </c>
      <c r="I89" s="165">
        <v>5.76</v>
      </c>
      <c r="J89" s="165">
        <v>0.18</v>
      </c>
      <c r="K89" s="165">
        <v>153.03</v>
      </c>
      <c r="L89" s="165">
        <v>29.97</v>
      </c>
      <c r="M89" s="165">
        <v>37.53</v>
      </c>
      <c r="N89" s="165">
        <v>0</v>
      </c>
      <c r="O89" s="165">
        <v>0</v>
      </c>
      <c r="P89" s="165">
        <v>0.78</v>
      </c>
      <c r="Q89" s="165">
        <v>5.77</v>
      </c>
      <c r="R89" s="13"/>
      <c r="S89" s="13"/>
      <c r="T89" s="213"/>
      <c r="U89" s="13"/>
    </row>
    <row r="90" customFormat="1" spans="1:21">
      <c r="A90" s="142" t="s">
        <v>1096</v>
      </c>
      <c r="B90" s="165">
        <v>12.94</v>
      </c>
      <c r="C90" s="165">
        <v>67.92</v>
      </c>
      <c r="D90" s="165">
        <v>47.21</v>
      </c>
      <c r="E90" s="165">
        <v>7.92</v>
      </c>
      <c r="F90" s="165">
        <v>8.39</v>
      </c>
      <c r="G90" s="165">
        <v>91.52</v>
      </c>
      <c r="H90" s="165">
        <v>25</v>
      </c>
      <c r="I90" s="165">
        <v>5.8</v>
      </c>
      <c r="J90" s="165">
        <v>0.18</v>
      </c>
      <c r="K90" s="165">
        <v>136.08</v>
      </c>
      <c r="L90" s="165">
        <v>30.11</v>
      </c>
      <c r="M90" s="165">
        <v>37.42</v>
      </c>
      <c r="N90" s="165">
        <v>0</v>
      </c>
      <c r="O90" s="165">
        <v>0</v>
      </c>
      <c r="P90" s="165">
        <v>0.8</v>
      </c>
      <c r="Q90" s="165">
        <v>5.76</v>
      </c>
      <c r="R90" s="13"/>
      <c r="S90" s="13"/>
      <c r="T90" s="213"/>
      <c r="U90" s="13"/>
    </row>
    <row r="91" customFormat="1" spans="1:21">
      <c r="A91" s="142" t="s">
        <v>1097</v>
      </c>
      <c r="B91" s="165">
        <v>12.66</v>
      </c>
      <c r="C91" s="165">
        <v>65.44</v>
      </c>
      <c r="D91" s="165">
        <v>45.7</v>
      </c>
      <c r="E91" s="165">
        <v>8.5</v>
      </c>
      <c r="F91" s="165">
        <v>10.33</v>
      </c>
      <c r="G91" s="165">
        <v>88.95</v>
      </c>
      <c r="H91" s="165">
        <v>24.76</v>
      </c>
      <c r="I91" s="165">
        <v>5.92</v>
      </c>
      <c r="J91" s="165">
        <v>0.17</v>
      </c>
      <c r="K91" s="165">
        <v>158.35</v>
      </c>
      <c r="L91" s="165">
        <v>29.95</v>
      </c>
      <c r="M91" s="165">
        <v>38.51</v>
      </c>
      <c r="N91" s="165">
        <v>0</v>
      </c>
      <c r="O91" s="165">
        <v>0</v>
      </c>
      <c r="P91" s="165">
        <v>0.8</v>
      </c>
      <c r="Q91" s="165">
        <v>5.76</v>
      </c>
      <c r="R91" s="13"/>
      <c r="S91" s="13"/>
      <c r="T91" s="213"/>
      <c r="U91" s="13"/>
    </row>
    <row r="92" customFormat="1" spans="1:21">
      <c r="A92" s="142" t="s">
        <v>1098</v>
      </c>
      <c r="B92" s="165">
        <v>13.2</v>
      </c>
      <c r="C92" s="165">
        <v>67.99</v>
      </c>
      <c r="D92" s="165">
        <v>47.46</v>
      </c>
      <c r="E92" s="165">
        <v>8.12</v>
      </c>
      <c r="F92" s="165">
        <v>8.95</v>
      </c>
      <c r="G92" s="165">
        <v>82.62</v>
      </c>
      <c r="H92" s="165">
        <v>24.38</v>
      </c>
      <c r="I92" s="165">
        <v>6.04</v>
      </c>
      <c r="J92" s="165">
        <v>0.11</v>
      </c>
      <c r="K92" s="165">
        <v>149.45</v>
      </c>
      <c r="L92" s="165">
        <v>29.47</v>
      </c>
      <c r="M92" s="165">
        <v>39.99</v>
      </c>
      <c r="N92" s="165">
        <v>0</v>
      </c>
      <c r="O92" s="165">
        <v>0</v>
      </c>
      <c r="P92" s="165">
        <v>0.8</v>
      </c>
      <c r="Q92" s="165">
        <v>5.79</v>
      </c>
      <c r="R92" s="13"/>
      <c r="S92" s="13"/>
      <c r="T92" s="213"/>
      <c r="U92" s="13"/>
    </row>
    <row r="93" customFormat="1" spans="1:21">
      <c r="A93" s="142" t="s">
        <v>1099</v>
      </c>
      <c r="B93" s="165">
        <v>13.41</v>
      </c>
      <c r="C93" s="165">
        <v>68.56</v>
      </c>
      <c r="D93" s="165">
        <v>47.93</v>
      </c>
      <c r="E93" s="165">
        <v>8.02</v>
      </c>
      <c r="F93" s="165">
        <v>8.67</v>
      </c>
      <c r="G93" s="165">
        <v>82.62</v>
      </c>
      <c r="H93" s="165">
        <v>24.38</v>
      </c>
      <c r="I93" s="165">
        <v>6.14</v>
      </c>
      <c r="J93" s="165">
        <v>0.11</v>
      </c>
      <c r="K93" s="165">
        <v>148.75</v>
      </c>
      <c r="L93" s="165">
        <v>29.24</v>
      </c>
      <c r="M93" s="165">
        <v>41.95</v>
      </c>
      <c r="N93" s="165">
        <v>0</v>
      </c>
      <c r="O93" s="165">
        <v>0</v>
      </c>
      <c r="P93" s="165">
        <v>0.8</v>
      </c>
      <c r="Q93" s="165">
        <v>5.8</v>
      </c>
      <c r="R93" s="13"/>
      <c r="S93" s="13"/>
      <c r="T93" s="213"/>
      <c r="U93" s="13"/>
    </row>
    <row r="94" customFormat="1" spans="1:21">
      <c r="A94" s="142" t="s">
        <v>1100</v>
      </c>
      <c r="B94" s="165">
        <v>13.11</v>
      </c>
      <c r="C94" s="165">
        <v>67.91</v>
      </c>
      <c r="D94" s="165">
        <v>47.34</v>
      </c>
      <c r="E94" s="165">
        <v>8.3</v>
      </c>
      <c r="F94" s="165">
        <v>8.54</v>
      </c>
      <c r="G94" s="165">
        <v>82.62</v>
      </c>
      <c r="H94" s="165">
        <v>24.38</v>
      </c>
      <c r="I94" s="165">
        <v>6.15</v>
      </c>
      <c r="J94" s="165">
        <v>0.12</v>
      </c>
      <c r="K94" s="165">
        <v>154.37</v>
      </c>
      <c r="L94" s="165">
        <v>29.13</v>
      </c>
      <c r="M94" s="165">
        <v>43.21</v>
      </c>
      <c r="N94" s="165">
        <v>0</v>
      </c>
      <c r="O94" s="165">
        <v>0</v>
      </c>
      <c r="P94" s="165">
        <v>0.8</v>
      </c>
      <c r="Q94" s="165">
        <v>5.85</v>
      </c>
      <c r="R94" s="13"/>
      <c r="S94" s="13"/>
      <c r="T94" s="213"/>
      <c r="U94" s="13"/>
    </row>
    <row r="95" customFormat="1" spans="1:21">
      <c r="A95" s="142" t="s">
        <v>1101</v>
      </c>
      <c r="B95" s="165">
        <v>13.5</v>
      </c>
      <c r="C95" s="165">
        <v>68.88</v>
      </c>
      <c r="D95" s="165">
        <v>48.16</v>
      </c>
      <c r="E95" s="165">
        <v>7.66</v>
      </c>
      <c r="F95" s="165">
        <v>7.95</v>
      </c>
      <c r="G95" s="165">
        <v>80.71</v>
      </c>
      <c r="H95" s="165">
        <v>24.16</v>
      </c>
      <c r="I95" s="165">
        <v>6.16</v>
      </c>
      <c r="J95" s="165">
        <v>0.11</v>
      </c>
      <c r="K95" s="165">
        <v>188.18</v>
      </c>
      <c r="L95" s="165">
        <v>28.79</v>
      </c>
      <c r="M95" s="165">
        <v>45.19</v>
      </c>
      <c r="N95" s="165">
        <v>0</v>
      </c>
      <c r="O95" s="165">
        <v>0</v>
      </c>
      <c r="P95" s="165">
        <v>0.8</v>
      </c>
      <c r="Q95" s="165">
        <v>5.8</v>
      </c>
      <c r="R95" s="13"/>
      <c r="S95" s="13"/>
      <c r="T95" s="213"/>
      <c r="U95" s="13"/>
    </row>
    <row r="96" customFormat="1" spans="1:26">
      <c r="A96" s="142" t="s">
        <v>1102</v>
      </c>
      <c r="B96" s="165">
        <v>13.86</v>
      </c>
      <c r="C96" s="165">
        <v>70.83</v>
      </c>
      <c r="D96" s="165">
        <v>49.48</v>
      </c>
      <c r="E96" s="165">
        <v>7.44</v>
      </c>
      <c r="F96" s="165">
        <v>5.64</v>
      </c>
      <c r="G96" s="165">
        <v>76.01</v>
      </c>
      <c r="H96" s="165">
        <v>23.8</v>
      </c>
      <c r="I96" s="165">
        <v>6.22</v>
      </c>
      <c r="J96" s="165">
        <v>0.16</v>
      </c>
      <c r="K96" s="165">
        <v>191.56</v>
      </c>
      <c r="L96" s="165">
        <v>28.3</v>
      </c>
      <c r="M96" s="165">
        <v>47.27</v>
      </c>
      <c r="N96" s="165">
        <v>0</v>
      </c>
      <c r="O96" s="165">
        <v>0</v>
      </c>
      <c r="P96" s="165">
        <v>0.81</v>
      </c>
      <c r="Q96" s="165">
        <v>5.85</v>
      </c>
      <c r="R96" s="13"/>
      <c r="S96" s="13"/>
      <c r="T96" s="213"/>
      <c r="U96" s="13"/>
      <c r="Z96" s="222"/>
    </row>
    <row r="97" customFormat="1" spans="1:21">
      <c r="A97" s="142" t="s">
        <v>1103</v>
      </c>
      <c r="B97" s="165">
        <v>14.38</v>
      </c>
      <c r="C97" s="165">
        <v>73.2</v>
      </c>
      <c r="D97" s="165">
        <v>51.13</v>
      </c>
      <c r="E97" s="165">
        <v>7.67</v>
      </c>
      <c r="F97" s="165">
        <v>4.5</v>
      </c>
      <c r="G97" s="165">
        <v>76.01</v>
      </c>
      <c r="H97" s="165">
        <v>23.8</v>
      </c>
      <c r="I97" s="165">
        <v>6.27</v>
      </c>
      <c r="J97" s="165">
        <v>0.24</v>
      </c>
      <c r="K97" s="165">
        <v>180.49</v>
      </c>
      <c r="L97" s="165">
        <v>28.09</v>
      </c>
      <c r="M97" s="165">
        <v>49.1</v>
      </c>
      <c r="N97" s="165">
        <v>0</v>
      </c>
      <c r="O97" s="165">
        <v>0</v>
      </c>
      <c r="P97" s="165">
        <v>0.81</v>
      </c>
      <c r="Q97" s="165">
        <v>5.89</v>
      </c>
      <c r="R97" s="13"/>
      <c r="S97" s="13"/>
      <c r="T97" s="213"/>
      <c r="U97" s="13"/>
    </row>
    <row r="98" customFormat="1" spans="1:21">
      <c r="A98" s="142" t="s">
        <v>1104</v>
      </c>
      <c r="B98" s="165">
        <v>14.96</v>
      </c>
      <c r="C98" s="165">
        <v>73.57</v>
      </c>
      <c r="D98" s="165">
        <v>51.79</v>
      </c>
      <c r="E98" s="165">
        <v>7.51</v>
      </c>
      <c r="F98" s="165">
        <v>3.98</v>
      </c>
      <c r="G98" s="165">
        <v>76.01</v>
      </c>
      <c r="H98" s="165">
        <v>23.8</v>
      </c>
      <c r="I98" s="165">
        <v>6.35</v>
      </c>
      <c r="J98" s="165">
        <v>0.24</v>
      </c>
      <c r="K98" s="165">
        <v>157.15</v>
      </c>
      <c r="L98" s="165">
        <v>28.07</v>
      </c>
      <c r="M98" s="165">
        <v>49.03</v>
      </c>
      <c r="N98" s="165">
        <v>0</v>
      </c>
      <c r="O98" s="165">
        <v>0</v>
      </c>
      <c r="P98" s="165">
        <v>0.82</v>
      </c>
      <c r="Q98" s="165">
        <v>5.9</v>
      </c>
      <c r="R98" s="13"/>
      <c r="S98" s="13"/>
      <c r="T98" s="213"/>
      <c r="U98" s="13"/>
    </row>
    <row r="99" customFormat="1" spans="1:21">
      <c r="A99" s="142" t="s">
        <v>1105</v>
      </c>
      <c r="B99" s="165">
        <v>15.13</v>
      </c>
      <c r="C99" s="165">
        <v>72.6</v>
      </c>
      <c r="D99" s="165">
        <v>51.41</v>
      </c>
      <c r="E99" s="165">
        <v>7.31</v>
      </c>
      <c r="F99" s="165">
        <v>4.16</v>
      </c>
      <c r="G99" s="165">
        <v>73.12</v>
      </c>
      <c r="H99" s="165">
        <v>23.89</v>
      </c>
      <c r="I99" s="165">
        <v>6.43</v>
      </c>
      <c r="J99" s="165">
        <v>0.18</v>
      </c>
      <c r="K99" s="165">
        <v>157.4</v>
      </c>
      <c r="L99" s="165">
        <v>27.79</v>
      </c>
      <c r="M99" s="165">
        <v>48.43</v>
      </c>
      <c r="N99" s="165">
        <v>0</v>
      </c>
      <c r="O99" s="165">
        <v>0</v>
      </c>
      <c r="P99" s="165">
        <v>0.83</v>
      </c>
      <c r="Q99" s="165">
        <v>5.92</v>
      </c>
      <c r="R99" s="13"/>
      <c r="S99" s="13"/>
      <c r="T99" s="213"/>
      <c r="U99" s="13"/>
    </row>
    <row r="100" customFormat="1" spans="1:33">
      <c r="A100" s="142" t="s">
        <v>1106</v>
      </c>
      <c r="B100" s="165">
        <v>15.64</v>
      </c>
      <c r="C100" s="165">
        <v>71.92</v>
      </c>
      <c r="D100" s="165">
        <v>51.52</v>
      </c>
      <c r="E100" s="165">
        <v>7.3</v>
      </c>
      <c r="F100" s="165">
        <v>4.61</v>
      </c>
      <c r="G100" s="165">
        <v>66</v>
      </c>
      <c r="H100" s="165">
        <v>24.02</v>
      </c>
      <c r="I100" s="165">
        <v>6.51</v>
      </c>
      <c r="J100" s="165">
        <v>0.44</v>
      </c>
      <c r="K100" s="165">
        <v>78.02</v>
      </c>
      <c r="L100" s="165">
        <v>28.15</v>
      </c>
      <c r="M100" s="165">
        <v>46.8</v>
      </c>
      <c r="N100" s="165">
        <v>0</v>
      </c>
      <c r="O100" s="165">
        <v>0</v>
      </c>
      <c r="P100" s="165">
        <v>0.84</v>
      </c>
      <c r="Q100" s="165">
        <v>5.96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1107</v>
      </c>
      <c r="B101" s="165">
        <v>21.43</v>
      </c>
      <c r="C101" s="165">
        <v>79.06</v>
      </c>
      <c r="D101" s="165">
        <v>62.43</v>
      </c>
      <c r="E101" s="165">
        <v>7.87</v>
      </c>
      <c r="F101" s="165">
        <v>4.44</v>
      </c>
      <c r="G101" s="165">
        <v>66</v>
      </c>
      <c r="H101" s="165">
        <v>24.02</v>
      </c>
      <c r="I101" s="165">
        <v>6.63</v>
      </c>
      <c r="J101" s="165">
        <v>0.47</v>
      </c>
      <c r="K101" s="165">
        <v>68.92</v>
      </c>
      <c r="L101" s="165">
        <v>28.68</v>
      </c>
      <c r="M101" s="165">
        <v>45.11</v>
      </c>
      <c r="N101" s="165">
        <v>0</v>
      </c>
      <c r="O101" s="165">
        <v>0</v>
      </c>
      <c r="P101" s="165">
        <v>0.87</v>
      </c>
      <c r="Q101" s="165">
        <v>6.17</v>
      </c>
      <c r="R101" s="13"/>
      <c r="S101" s="13"/>
      <c r="T101" s="213"/>
      <c r="U101" s="13"/>
    </row>
    <row r="102" customFormat="1" spans="1:21">
      <c r="A102" s="142" t="s">
        <v>1108</v>
      </c>
      <c r="B102" s="165">
        <v>20.64</v>
      </c>
      <c r="C102" s="165">
        <v>72.89</v>
      </c>
      <c r="D102" s="165">
        <v>55.99</v>
      </c>
      <c r="E102" s="165">
        <v>8.01</v>
      </c>
      <c r="F102" s="165">
        <v>5.52</v>
      </c>
      <c r="G102" s="165">
        <v>66</v>
      </c>
      <c r="H102" s="165">
        <v>24.02</v>
      </c>
      <c r="I102" s="165">
        <v>7.22</v>
      </c>
      <c r="J102" s="165">
        <v>0.26</v>
      </c>
      <c r="K102" s="165">
        <v>96.8</v>
      </c>
      <c r="L102" s="165">
        <v>28.69</v>
      </c>
      <c r="M102" s="165">
        <v>45.46</v>
      </c>
      <c r="N102" s="165">
        <v>0</v>
      </c>
      <c r="O102" s="165">
        <v>0</v>
      </c>
      <c r="P102" s="165">
        <v>0.84</v>
      </c>
      <c r="Q102" s="165">
        <v>6.19</v>
      </c>
      <c r="R102" s="13"/>
      <c r="S102" s="13"/>
      <c r="T102" s="213"/>
      <c r="U102" s="13"/>
    </row>
    <row r="103" customFormat="1" spans="1:21">
      <c r="A103" s="142" t="s">
        <v>1109</v>
      </c>
      <c r="B103" s="165">
        <v>21.94</v>
      </c>
      <c r="C103" s="165">
        <v>72.71</v>
      </c>
      <c r="D103" s="165">
        <v>62.46</v>
      </c>
      <c r="E103" s="165">
        <v>7.91</v>
      </c>
      <c r="F103" s="165">
        <v>4.59</v>
      </c>
      <c r="G103" s="165">
        <v>72.1</v>
      </c>
      <c r="H103" s="165">
        <v>25.28</v>
      </c>
      <c r="I103" s="165">
        <v>7.26</v>
      </c>
      <c r="J103" s="165">
        <v>0.25</v>
      </c>
      <c r="K103" s="165">
        <v>16.52</v>
      </c>
      <c r="L103" s="165">
        <v>28.42</v>
      </c>
      <c r="M103" s="165">
        <v>46.99</v>
      </c>
      <c r="N103" s="165">
        <v>0</v>
      </c>
      <c r="O103" s="165">
        <v>0</v>
      </c>
      <c r="P103" s="165">
        <v>0.84</v>
      </c>
      <c r="Q103" s="165">
        <v>6.3</v>
      </c>
      <c r="R103" s="13"/>
      <c r="S103" s="13"/>
      <c r="T103" s="213"/>
      <c r="U103" s="13"/>
    </row>
    <row r="104" customFormat="1" spans="1:21">
      <c r="A104" s="142" t="s">
        <v>1110</v>
      </c>
      <c r="B104" s="165">
        <v>23.53</v>
      </c>
      <c r="C104" s="165">
        <v>88.22</v>
      </c>
      <c r="D104" s="165">
        <v>66.31</v>
      </c>
      <c r="E104" s="165">
        <v>8.35</v>
      </c>
      <c r="F104" s="165">
        <v>4.67</v>
      </c>
      <c r="G104" s="165">
        <v>87.12</v>
      </c>
      <c r="H104" s="165">
        <v>27.25</v>
      </c>
      <c r="I104" s="165">
        <v>6.96</v>
      </c>
      <c r="J104" s="165">
        <v>0.57</v>
      </c>
      <c r="K104" s="165">
        <v>20.28</v>
      </c>
      <c r="L104" s="165">
        <v>28.13</v>
      </c>
      <c r="M104" s="165">
        <v>46.77</v>
      </c>
      <c r="N104" s="165">
        <v>0</v>
      </c>
      <c r="O104" s="165">
        <v>0</v>
      </c>
      <c r="P104" s="165">
        <v>0.84</v>
      </c>
      <c r="Q104" s="165">
        <v>6.76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3.93</v>
      </c>
      <c r="C106" s="215">
        <f>MIN(C9:C104)</f>
        <v>44.01</v>
      </c>
      <c r="D106" s="215">
        <f t="shared" ref="D106:Q106" si="0">MIN(D9:D104)</f>
        <v>27.5</v>
      </c>
      <c r="E106" s="215">
        <f t="shared" si="0"/>
        <v>7.3</v>
      </c>
      <c r="F106" s="215">
        <f t="shared" si="0"/>
        <v>3.45</v>
      </c>
      <c r="G106" s="215">
        <f t="shared" si="0"/>
        <v>37.04</v>
      </c>
      <c r="H106" s="215">
        <f t="shared" si="0"/>
        <v>17.32</v>
      </c>
      <c r="I106" s="215">
        <f t="shared" si="0"/>
        <v>4.23</v>
      </c>
      <c r="J106" s="215">
        <f t="shared" si="0"/>
        <v>0.08</v>
      </c>
      <c r="K106" s="215">
        <f t="shared" si="0"/>
        <v>7.21</v>
      </c>
      <c r="L106" s="215">
        <f t="shared" si="0"/>
        <v>23.33</v>
      </c>
      <c r="M106" s="215">
        <f t="shared" si="0"/>
        <v>14.54</v>
      </c>
      <c r="N106" s="215">
        <f t="shared" si="0"/>
        <v>0</v>
      </c>
      <c r="O106" s="215">
        <f t="shared" si="0"/>
        <v>0</v>
      </c>
      <c r="P106" s="215">
        <f t="shared" si="0"/>
        <v>0.6</v>
      </c>
      <c r="Q106" s="215">
        <f t="shared" si="0"/>
        <v>4.46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30.93</v>
      </c>
      <c r="C107" s="216">
        <f t="shared" ref="C107:Q107" si="1">MAX(C9:C104)</f>
        <v>88.22</v>
      </c>
      <c r="D107" s="216">
        <f t="shared" si="1"/>
        <v>66.31</v>
      </c>
      <c r="E107" s="216">
        <f t="shared" si="1"/>
        <v>43.52</v>
      </c>
      <c r="F107" s="216">
        <f t="shared" si="1"/>
        <v>64.05</v>
      </c>
      <c r="G107" s="216">
        <f t="shared" si="1"/>
        <v>91.52</v>
      </c>
      <c r="H107" s="216">
        <f t="shared" si="1"/>
        <v>30.11</v>
      </c>
      <c r="I107" s="216">
        <f t="shared" si="1"/>
        <v>7.76</v>
      </c>
      <c r="J107" s="216">
        <f t="shared" si="1"/>
        <v>1.15</v>
      </c>
      <c r="K107" s="216">
        <f t="shared" si="1"/>
        <v>347.36</v>
      </c>
      <c r="L107" s="216">
        <f t="shared" si="1"/>
        <v>39.5</v>
      </c>
      <c r="M107" s="216">
        <f t="shared" si="1"/>
        <v>68.76</v>
      </c>
      <c r="N107" s="216">
        <f t="shared" si="1"/>
        <v>774.9</v>
      </c>
      <c r="O107" s="216">
        <f t="shared" si="1"/>
        <v>0</v>
      </c>
      <c r="P107" s="216">
        <f t="shared" si="1"/>
        <v>0.87</v>
      </c>
      <c r="Q107" s="216">
        <f t="shared" si="1"/>
        <v>6.76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14.7665625</v>
      </c>
      <c r="C108" s="215">
        <f t="shared" ref="C108:Q108" si="2">AVERAGE(C9:C104)</f>
        <v>66.3246875</v>
      </c>
      <c r="D108" s="215">
        <f t="shared" si="2"/>
        <v>47.9301041666667</v>
      </c>
      <c r="E108" s="215">
        <f t="shared" si="2"/>
        <v>12.3788541666667</v>
      </c>
      <c r="F108" s="215">
        <f t="shared" si="2"/>
        <v>14.1519791666667</v>
      </c>
      <c r="G108" s="215">
        <f t="shared" si="2"/>
        <v>62.4733333333334</v>
      </c>
      <c r="H108" s="215">
        <f t="shared" si="2"/>
        <v>24.1955208333333</v>
      </c>
      <c r="I108" s="215">
        <f t="shared" si="2"/>
        <v>6.296875</v>
      </c>
      <c r="J108" s="215">
        <f t="shared" si="2"/>
        <v>0.362083333333333</v>
      </c>
      <c r="K108" s="215">
        <f t="shared" si="2"/>
        <v>165.7528125</v>
      </c>
      <c r="L108" s="215">
        <f t="shared" si="2"/>
        <v>31.42</v>
      </c>
      <c r="M108" s="215">
        <f t="shared" si="2"/>
        <v>39.0161458333333</v>
      </c>
      <c r="N108" s="215">
        <f t="shared" si="2"/>
        <v>189.646875</v>
      </c>
      <c r="O108" s="215">
        <f t="shared" si="2"/>
        <v>0</v>
      </c>
      <c r="P108" s="215">
        <f t="shared" si="2"/>
        <v>0.755729166666667</v>
      </c>
      <c r="Q108" s="215">
        <f t="shared" si="2"/>
        <v>5.70177083333333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7.98643966893423</v>
      </c>
      <c r="C109" s="215">
        <f t="shared" ref="C109:Q109" si="3">STDEV(C9:C104)</f>
        <v>8.06825383223135</v>
      </c>
      <c r="D109" s="215">
        <f t="shared" si="3"/>
        <v>9.42559644850594</v>
      </c>
      <c r="E109" s="215">
        <f t="shared" si="3"/>
        <v>6.63593119944533</v>
      </c>
      <c r="F109" s="215">
        <f t="shared" si="3"/>
        <v>14.8008997322383</v>
      </c>
      <c r="G109" s="215">
        <f t="shared" si="3"/>
        <v>14.5929789655066</v>
      </c>
      <c r="H109" s="215">
        <f t="shared" si="3"/>
        <v>3.90066765399589</v>
      </c>
      <c r="I109" s="215">
        <f t="shared" si="3"/>
        <v>0.87010140062433</v>
      </c>
      <c r="J109" s="215">
        <f t="shared" si="3"/>
        <v>0.272585734139078</v>
      </c>
      <c r="K109" s="215">
        <f t="shared" si="3"/>
        <v>81.3419609679521</v>
      </c>
      <c r="L109" s="215">
        <f t="shared" si="3"/>
        <v>5.39725095717596</v>
      </c>
      <c r="M109" s="215">
        <f t="shared" si="3"/>
        <v>17.2887778247407</v>
      </c>
      <c r="N109" s="215">
        <f t="shared" si="3"/>
        <v>259.729256181215</v>
      </c>
      <c r="O109" s="215">
        <f t="shared" si="3"/>
        <v>0</v>
      </c>
      <c r="P109" s="215">
        <f t="shared" si="3"/>
        <v>0.0724713343208583</v>
      </c>
      <c r="Q109" s="215">
        <f t="shared" si="3"/>
        <v>0.537857337358967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2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12/04/2023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1111</v>
      </c>
      <c r="B9" s="165">
        <v>27.82</v>
      </c>
      <c r="C9" s="165">
        <v>71</v>
      </c>
      <c r="D9" s="165">
        <v>64.01</v>
      </c>
      <c r="E9" s="165">
        <v>8.8</v>
      </c>
      <c r="F9" s="165">
        <v>5.09</v>
      </c>
      <c r="G9" s="165">
        <v>87.12</v>
      </c>
      <c r="H9" s="165">
        <v>27.25</v>
      </c>
      <c r="I9" s="165">
        <v>7.04</v>
      </c>
      <c r="J9" s="165">
        <v>0.25</v>
      </c>
      <c r="K9" s="165">
        <v>47.6</v>
      </c>
      <c r="L9" s="165">
        <v>27.9</v>
      </c>
      <c r="M9" s="165">
        <v>47.81</v>
      </c>
      <c r="N9" s="165">
        <v>0</v>
      </c>
      <c r="O9" s="165">
        <v>0</v>
      </c>
      <c r="P9" s="165">
        <v>0.84</v>
      </c>
      <c r="Q9" s="165">
        <v>6.73</v>
      </c>
      <c r="R9" s="13"/>
      <c r="S9" s="13"/>
      <c r="T9" s="213"/>
      <c r="U9" s="13"/>
    </row>
    <row r="10" customFormat="1" spans="1:21">
      <c r="A10" s="142" t="s">
        <v>1112</v>
      </c>
      <c r="B10" s="165">
        <v>25.83</v>
      </c>
      <c r="C10" s="165">
        <v>78.3</v>
      </c>
      <c r="D10" s="165">
        <v>64.66</v>
      </c>
      <c r="E10" s="165">
        <v>8.73</v>
      </c>
      <c r="F10" s="165">
        <v>4.51</v>
      </c>
      <c r="G10" s="165">
        <v>87.12</v>
      </c>
      <c r="H10" s="165">
        <v>27.25</v>
      </c>
      <c r="I10" s="165">
        <v>7.22</v>
      </c>
      <c r="J10" s="165">
        <v>0.1</v>
      </c>
      <c r="K10" s="165">
        <v>185.15</v>
      </c>
      <c r="L10" s="165">
        <v>27.68</v>
      </c>
      <c r="M10" s="165">
        <v>49.18</v>
      </c>
      <c r="N10" s="165">
        <v>0</v>
      </c>
      <c r="O10" s="165">
        <v>0</v>
      </c>
      <c r="P10" s="165">
        <v>0.87</v>
      </c>
      <c r="Q10" s="165">
        <v>6.83</v>
      </c>
      <c r="R10" s="13"/>
      <c r="S10" s="13"/>
      <c r="T10" s="213"/>
      <c r="U10" s="13"/>
    </row>
    <row r="11" customFormat="1" spans="1:21">
      <c r="A11" s="142" t="s">
        <v>1113</v>
      </c>
      <c r="B11" s="165">
        <v>25.58</v>
      </c>
      <c r="C11" s="165">
        <v>77.04</v>
      </c>
      <c r="D11" s="165">
        <v>64.34</v>
      </c>
      <c r="E11" s="165">
        <v>8.54</v>
      </c>
      <c r="F11" s="165">
        <v>4.11</v>
      </c>
      <c r="G11" s="165">
        <v>92.02</v>
      </c>
      <c r="H11" s="165">
        <v>27.65</v>
      </c>
      <c r="I11" s="165">
        <v>7.39</v>
      </c>
      <c r="J11" s="165">
        <v>0.2</v>
      </c>
      <c r="K11" s="165">
        <v>178.38</v>
      </c>
      <c r="L11" s="165">
        <v>26.92</v>
      </c>
      <c r="M11" s="165">
        <v>52.42</v>
      </c>
      <c r="N11" s="165">
        <v>0</v>
      </c>
      <c r="O11" s="165">
        <v>0</v>
      </c>
      <c r="P11" s="165">
        <v>0.86</v>
      </c>
      <c r="Q11" s="165">
        <v>6.8</v>
      </c>
      <c r="R11" s="13"/>
      <c r="S11" s="13"/>
      <c r="T11" s="213"/>
      <c r="U11" s="13"/>
    </row>
    <row r="12" customFormat="1" spans="1:21">
      <c r="A12" s="142" t="s">
        <v>1114</v>
      </c>
      <c r="B12" s="165">
        <v>26.92</v>
      </c>
      <c r="C12" s="165">
        <v>78.2</v>
      </c>
      <c r="D12" s="165">
        <v>66.59</v>
      </c>
      <c r="E12" s="165">
        <v>8.68</v>
      </c>
      <c r="F12" s="165">
        <v>4.15</v>
      </c>
      <c r="G12" s="165">
        <v>103.47</v>
      </c>
      <c r="H12" s="165">
        <v>29.28</v>
      </c>
      <c r="I12" s="165">
        <v>7.47</v>
      </c>
      <c r="J12" s="165">
        <v>0.13</v>
      </c>
      <c r="K12" s="165">
        <v>174.27</v>
      </c>
      <c r="L12" s="165">
        <v>26.47</v>
      </c>
      <c r="M12" s="165">
        <v>54.26</v>
      </c>
      <c r="N12" s="165">
        <v>0</v>
      </c>
      <c r="O12" s="165">
        <v>0</v>
      </c>
      <c r="P12" s="165">
        <v>0.87</v>
      </c>
      <c r="Q12" s="165">
        <v>6.94</v>
      </c>
      <c r="R12" s="13"/>
      <c r="S12" s="13"/>
      <c r="T12" s="213"/>
      <c r="U12" s="13"/>
    </row>
    <row r="13" customFormat="1" spans="1:21">
      <c r="A13" s="142" t="s">
        <v>1115</v>
      </c>
      <c r="B13" s="165">
        <v>28.24</v>
      </c>
      <c r="C13" s="165">
        <v>78.6</v>
      </c>
      <c r="D13" s="165">
        <v>66.31</v>
      </c>
      <c r="E13" s="165">
        <v>8.02</v>
      </c>
      <c r="F13" s="165">
        <v>3.94</v>
      </c>
      <c r="G13" s="165">
        <v>103.47</v>
      </c>
      <c r="H13" s="165">
        <v>29.28</v>
      </c>
      <c r="I13" s="165">
        <v>7.52</v>
      </c>
      <c r="J13" s="165">
        <v>0.17</v>
      </c>
      <c r="K13" s="165">
        <v>179.65</v>
      </c>
      <c r="L13" s="165">
        <v>26.26</v>
      </c>
      <c r="M13" s="165">
        <v>54.92</v>
      </c>
      <c r="N13" s="165">
        <v>0</v>
      </c>
      <c r="O13" s="165">
        <v>0</v>
      </c>
      <c r="P13" s="165">
        <v>0.86</v>
      </c>
      <c r="Q13" s="165">
        <v>6.89</v>
      </c>
      <c r="R13" s="13"/>
      <c r="S13" s="13"/>
      <c r="T13" s="213"/>
      <c r="U13" s="13"/>
    </row>
    <row r="14" customFormat="1" spans="1:21">
      <c r="A14" s="142" t="s">
        <v>1116</v>
      </c>
      <c r="B14" s="165">
        <v>28.86</v>
      </c>
      <c r="C14" s="165">
        <v>75.69</v>
      </c>
      <c r="D14" s="165">
        <v>64.63</v>
      </c>
      <c r="E14" s="165">
        <v>8.33</v>
      </c>
      <c r="F14" s="165">
        <v>4.04</v>
      </c>
      <c r="G14" s="165">
        <v>103.47</v>
      </c>
      <c r="H14" s="165">
        <v>29.28</v>
      </c>
      <c r="I14" s="165">
        <v>7.58</v>
      </c>
      <c r="J14" s="165">
        <v>0.18</v>
      </c>
      <c r="K14" s="165">
        <v>185.09</v>
      </c>
      <c r="L14" s="165">
        <v>26.08</v>
      </c>
      <c r="M14" s="165">
        <v>55.78</v>
      </c>
      <c r="N14" s="165">
        <v>0</v>
      </c>
      <c r="O14" s="165">
        <v>0</v>
      </c>
      <c r="P14" s="165">
        <v>0.86</v>
      </c>
      <c r="Q14" s="165">
        <v>6.83</v>
      </c>
      <c r="R14" s="13"/>
      <c r="S14" s="13"/>
      <c r="T14" s="213"/>
      <c r="U14" s="13"/>
    </row>
    <row r="15" customFormat="1" spans="1:21">
      <c r="A15" s="142" t="s">
        <v>1117</v>
      </c>
      <c r="B15" s="165">
        <v>29.48</v>
      </c>
      <c r="C15" s="165">
        <v>75.49</v>
      </c>
      <c r="D15" s="165">
        <v>65.96</v>
      </c>
      <c r="E15" s="165">
        <v>8.38</v>
      </c>
      <c r="F15" s="165">
        <v>3.84</v>
      </c>
      <c r="G15" s="165">
        <v>102.8</v>
      </c>
      <c r="H15" s="165">
        <v>30.17</v>
      </c>
      <c r="I15" s="165">
        <v>7.65</v>
      </c>
      <c r="J15" s="165">
        <v>0.52</v>
      </c>
      <c r="K15" s="165">
        <v>45.6</v>
      </c>
      <c r="L15" s="165">
        <v>25.97</v>
      </c>
      <c r="M15" s="165">
        <v>55.73</v>
      </c>
      <c r="N15" s="165">
        <v>0</v>
      </c>
      <c r="O15" s="165">
        <v>0</v>
      </c>
      <c r="P15" s="165">
        <v>0.88</v>
      </c>
      <c r="Q15" s="165">
        <v>6.87</v>
      </c>
      <c r="R15" s="13"/>
      <c r="S15" s="13"/>
      <c r="T15" s="213"/>
      <c r="U15" s="13"/>
    </row>
    <row r="16" customFormat="1" spans="1:21">
      <c r="A16" s="142" t="s">
        <v>1118</v>
      </c>
      <c r="B16" s="165">
        <v>29.44</v>
      </c>
      <c r="C16" s="165">
        <v>76.3</v>
      </c>
      <c r="D16" s="165">
        <v>65.66</v>
      </c>
      <c r="E16" s="165">
        <v>8.37</v>
      </c>
      <c r="F16" s="165">
        <v>4.23</v>
      </c>
      <c r="G16" s="165">
        <v>101.13</v>
      </c>
      <c r="H16" s="165">
        <v>31.57</v>
      </c>
      <c r="I16" s="165">
        <v>7.69</v>
      </c>
      <c r="J16" s="165">
        <v>0.15</v>
      </c>
      <c r="K16" s="165">
        <v>141.05</v>
      </c>
      <c r="L16" s="165">
        <v>26.73</v>
      </c>
      <c r="M16" s="165">
        <v>51.58</v>
      </c>
      <c r="N16" s="165">
        <v>0</v>
      </c>
      <c r="O16" s="165">
        <v>0</v>
      </c>
      <c r="P16" s="165">
        <v>0.87</v>
      </c>
      <c r="Q16" s="165">
        <v>6.89</v>
      </c>
      <c r="R16" s="13"/>
      <c r="S16" s="13"/>
      <c r="T16" s="213"/>
      <c r="U16" s="13"/>
    </row>
    <row r="17" customFormat="1" spans="1:21">
      <c r="A17" s="142" t="s">
        <v>1119</v>
      </c>
      <c r="B17" s="165">
        <v>29.9</v>
      </c>
      <c r="C17" s="165">
        <v>76.34</v>
      </c>
      <c r="D17" s="165">
        <v>65.21</v>
      </c>
      <c r="E17" s="165">
        <v>6.7</v>
      </c>
      <c r="F17" s="165">
        <v>4.22</v>
      </c>
      <c r="G17" s="165">
        <v>101.13</v>
      </c>
      <c r="H17" s="165">
        <v>31.57</v>
      </c>
      <c r="I17" s="165">
        <v>7.73</v>
      </c>
      <c r="J17" s="165">
        <v>0.13</v>
      </c>
      <c r="K17" s="165">
        <v>200.08</v>
      </c>
      <c r="L17" s="165">
        <v>26.28</v>
      </c>
      <c r="M17" s="165">
        <v>53.8</v>
      </c>
      <c r="N17" s="165">
        <v>0</v>
      </c>
      <c r="O17" s="165">
        <v>0</v>
      </c>
      <c r="P17" s="165">
        <v>0.87</v>
      </c>
      <c r="Q17" s="165">
        <v>6.84</v>
      </c>
      <c r="R17" s="13"/>
      <c r="S17" s="13"/>
      <c r="T17" s="213"/>
      <c r="U17" s="13"/>
    </row>
    <row r="18" customFormat="1" spans="1:21">
      <c r="A18" s="142" t="s">
        <v>1120</v>
      </c>
      <c r="B18" s="165">
        <v>30.73</v>
      </c>
      <c r="C18" s="165">
        <v>74.54</v>
      </c>
      <c r="D18" s="165">
        <v>64.94</v>
      </c>
      <c r="E18" s="165">
        <v>7.4</v>
      </c>
      <c r="F18" s="165">
        <v>4.02</v>
      </c>
      <c r="G18" s="165">
        <v>101.13</v>
      </c>
      <c r="H18" s="165">
        <v>31.57</v>
      </c>
      <c r="I18" s="165">
        <v>7.72</v>
      </c>
      <c r="J18" s="165">
        <v>0.2</v>
      </c>
      <c r="K18" s="165">
        <v>163.89</v>
      </c>
      <c r="L18" s="165">
        <v>25.84</v>
      </c>
      <c r="M18" s="165">
        <v>57.2</v>
      </c>
      <c r="N18" s="165">
        <v>0</v>
      </c>
      <c r="O18" s="165">
        <v>0</v>
      </c>
      <c r="P18" s="165">
        <v>0.86</v>
      </c>
      <c r="Q18" s="165">
        <v>6.79</v>
      </c>
      <c r="R18" s="13"/>
      <c r="S18" s="13"/>
      <c r="T18" s="213"/>
      <c r="U18" s="13"/>
    </row>
    <row r="19" customFormat="1" spans="1:21">
      <c r="A19" s="142" t="s">
        <v>1121</v>
      </c>
      <c r="B19" s="165">
        <v>30.74</v>
      </c>
      <c r="C19" s="165">
        <v>76.66</v>
      </c>
      <c r="D19" s="165">
        <v>66.05</v>
      </c>
      <c r="E19" s="165">
        <v>8.27</v>
      </c>
      <c r="F19" s="165">
        <v>3.73</v>
      </c>
      <c r="G19" s="165">
        <v>100.25</v>
      </c>
      <c r="H19" s="165">
        <v>31.11</v>
      </c>
      <c r="I19" s="165">
        <v>7.74</v>
      </c>
      <c r="J19" s="165">
        <v>0.14</v>
      </c>
      <c r="K19" s="165">
        <v>185.33</v>
      </c>
      <c r="L19" s="165">
        <v>25.29</v>
      </c>
      <c r="M19" s="165">
        <v>58.81</v>
      </c>
      <c r="N19" s="165">
        <v>0</v>
      </c>
      <c r="O19" s="165">
        <v>0</v>
      </c>
      <c r="P19" s="165">
        <v>0.87</v>
      </c>
      <c r="Q19" s="165">
        <v>6.88</v>
      </c>
      <c r="R19" s="13"/>
      <c r="S19" s="13"/>
      <c r="T19" s="213"/>
      <c r="U19" s="13"/>
    </row>
    <row r="20" customFormat="1" spans="1:21">
      <c r="A20" s="142" t="s">
        <v>1122</v>
      </c>
      <c r="B20" s="165">
        <v>31.01</v>
      </c>
      <c r="C20" s="165">
        <v>76.59</v>
      </c>
      <c r="D20" s="165">
        <v>66.24</v>
      </c>
      <c r="E20" s="165">
        <v>7.87</v>
      </c>
      <c r="F20" s="165">
        <v>3.78</v>
      </c>
      <c r="G20" s="165">
        <v>98.08</v>
      </c>
      <c r="H20" s="165">
        <v>30.36</v>
      </c>
      <c r="I20" s="165">
        <v>7.8</v>
      </c>
      <c r="J20" s="165">
        <v>0.12</v>
      </c>
      <c r="K20" s="165">
        <v>164.73</v>
      </c>
      <c r="L20" s="165">
        <v>25.13</v>
      </c>
      <c r="M20" s="165">
        <v>58.6</v>
      </c>
      <c r="N20" s="165">
        <v>0</v>
      </c>
      <c r="O20" s="165">
        <v>0</v>
      </c>
      <c r="P20" s="165">
        <v>0.87</v>
      </c>
      <c r="Q20" s="165">
        <v>6.92</v>
      </c>
      <c r="R20" s="13"/>
      <c r="S20" s="13"/>
      <c r="T20" s="213"/>
      <c r="U20" s="13"/>
    </row>
    <row r="21" customFormat="1" spans="1:21">
      <c r="A21" s="142" t="s">
        <v>1123</v>
      </c>
      <c r="B21" s="165">
        <v>31.76</v>
      </c>
      <c r="C21" s="165">
        <v>76.04</v>
      </c>
      <c r="D21" s="165">
        <v>66.55</v>
      </c>
      <c r="E21" s="165">
        <v>7.91</v>
      </c>
      <c r="F21" s="165">
        <v>3.7</v>
      </c>
      <c r="G21" s="165">
        <v>98.08</v>
      </c>
      <c r="H21" s="165">
        <v>30.36</v>
      </c>
      <c r="I21" s="165">
        <v>7.8</v>
      </c>
      <c r="J21" s="165">
        <v>0.14</v>
      </c>
      <c r="K21" s="165">
        <v>165.54</v>
      </c>
      <c r="L21" s="165">
        <v>24.95</v>
      </c>
      <c r="M21" s="165">
        <v>61.24</v>
      </c>
      <c r="N21" s="165">
        <v>0</v>
      </c>
      <c r="O21" s="165">
        <v>0</v>
      </c>
      <c r="P21" s="165">
        <v>0.87</v>
      </c>
      <c r="Q21" s="165">
        <v>6.9</v>
      </c>
      <c r="R21" s="13"/>
      <c r="S21" s="13"/>
      <c r="T21" s="213"/>
      <c r="U21" s="13"/>
    </row>
    <row r="22" customFormat="1" spans="1:21">
      <c r="A22" s="142" t="s">
        <v>1124</v>
      </c>
      <c r="B22" s="165">
        <v>32.12</v>
      </c>
      <c r="C22" s="165">
        <v>74.86</v>
      </c>
      <c r="D22" s="165">
        <v>66.22</v>
      </c>
      <c r="E22" s="165">
        <v>7.85</v>
      </c>
      <c r="F22" s="165">
        <v>3.57</v>
      </c>
      <c r="G22" s="165">
        <v>98.08</v>
      </c>
      <c r="H22" s="165">
        <v>30.36</v>
      </c>
      <c r="I22" s="165">
        <v>7.8</v>
      </c>
      <c r="J22" s="165">
        <v>0.09</v>
      </c>
      <c r="K22" s="165">
        <v>202.1</v>
      </c>
      <c r="L22" s="165">
        <v>24.85</v>
      </c>
      <c r="M22" s="165">
        <v>60.09</v>
      </c>
      <c r="N22" s="165">
        <v>0</v>
      </c>
      <c r="O22" s="165">
        <v>0</v>
      </c>
      <c r="P22" s="165">
        <v>0.86</v>
      </c>
      <c r="Q22" s="165">
        <v>6.84</v>
      </c>
      <c r="R22" s="13"/>
      <c r="S22" s="13"/>
      <c r="T22" s="213"/>
      <c r="U22" s="13"/>
    </row>
    <row r="23" customFormat="1" spans="1:21">
      <c r="A23" s="142" t="s">
        <v>1125</v>
      </c>
      <c r="B23" s="165">
        <v>33.69</v>
      </c>
      <c r="C23" s="165">
        <v>74.16</v>
      </c>
      <c r="D23" s="165">
        <v>67.11</v>
      </c>
      <c r="E23" s="165">
        <v>7.73</v>
      </c>
      <c r="F23" s="165">
        <v>3.64</v>
      </c>
      <c r="G23" s="165">
        <v>96.52</v>
      </c>
      <c r="H23" s="165">
        <v>30.75</v>
      </c>
      <c r="I23" s="165">
        <v>7.81</v>
      </c>
      <c r="J23" s="165">
        <v>0.24</v>
      </c>
      <c r="K23" s="165">
        <v>163.26</v>
      </c>
      <c r="L23" s="165">
        <v>24.85</v>
      </c>
      <c r="M23" s="165">
        <v>61.09</v>
      </c>
      <c r="N23" s="165">
        <v>0</v>
      </c>
      <c r="O23" s="165">
        <v>0</v>
      </c>
      <c r="P23" s="165">
        <v>0.86</v>
      </c>
      <c r="Q23" s="165">
        <v>6.91</v>
      </c>
      <c r="R23" s="13"/>
      <c r="S23" s="13"/>
      <c r="T23" s="213"/>
      <c r="U23" s="13"/>
    </row>
    <row r="24" customFormat="1" spans="1:21">
      <c r="A24" s="142" t="s">
        <v>1126</v>
      </c>
      <c r="B24" s="165">
        <v>34.67</v>
      </c>
      <c r="C24" s="165">
        <v>74.6</v>
      </c>
      <c r="D24" s="165">
        <v>68.13</v>
      </c>
      <c r="E24" s="165">
        <v>8.16</v>
      </c>
      <c r="F24" s="165">
        <v>3.62</v>
      </c>
      <c r="G24" s="165">
        <v>92.67</v>
      </c>
      <c r="H24" s="165">
        <v>31.41</v>
      </c>
      <c r="I24" s="165">
        <v>7.8</v>
      </c>
      <c r="J24" s="165">
        <v>0.21</v>
      </c>
      <c r="K24" s="165">
        <v>192.33</v>
      </c>
      <c r="L24" s="165">
        <v>23.85</v>
      </c>
      <c r="M24" s="165">
        <v>64.28</v>
      </c>
      <c r="N24" s="165">
        <v>0</v>
      </c>
      <c r="O24" s="165">
        <v>0</v>
      </c>
      <c r="P24" s="165">
        <v>0.85</v>
      </c>
      <c r="Q24" s="165">
        <v>7.05</v>
      </c>
      <c r="R24" s="13"/>
      <c r="S24" s="13"/>
      <c r="T24" s="213"/>
      <c r="U24" s="13"/>
    </row>
    <row r="25" customFormat="1" spans="1:21">
      <c r="A25" s="142" t="s">
        <v>1127</v>
      </c>
      <c r="B25" s="165">
        <v>34.75</v>
      </c>
      <c r="C25" s="165">
        <v>71.6</v>
      </c>
      <c r="D25" s="165">
        <v>66.63</v>
      </c>
      <c r="E25" s="165">
        <v>7.92</v>
      </c>
      <c r="F25" s="165">
        <v>3.78</v>
      </c>
      <c r="G25" s="165">
        <v>92.67</v>
      </c>
      <c r="H25" s="165">
        <v>31.41</v>
      </c>
      <c r="I25" s="165">
        <v>7.81</v>
      </c>
      <c r="J25" s="165">
        <v>0.14</v>
      </c>
      <c r="K25" s="165">
        <v>104.64</v>
      </c>
      <c r="L25" s="165">
        <v>24.19</v>
      </c>
      <c r="M25" s="165">
        <v>60.88</v>
      </c>
      <c r="N25" s="165">
        <v>0</v>
      </c>
      <c r="O25" s="165">
        <v>0</v>
      </c>
      <c r="P25" s="165">
        <v>0.86</v>
      </c>
      <c r="Q25" s="165">
        <v>7.03</v>
      </c>
      <c r="R25" s="13"/>
      <c r="S25" s="13"/>
      <c r="T25" s="213"/>
      <c r="U25" s="13"/>
    </row>
    <row r="26" customFormat="1" spans="1:21">
      <c r="A26" s="142" t="s">
        <v>1128</v>
      </c>
      <c r="B26" s="165">
        <v>35.31</v>
      </c>
      <c r="C26" s="165">
        <v>73.01</v>
      </c>
      <c r="D26" s="165">
        <v>67.81</v>
      </c>
      <c r="E26" s="165">
        <v>7.52</v>
      </c>
      <c r="F26" s="165">
        <v>3.74</v>
      </c>
      <c r="G26" s="165">
        <v>92.67</v>
      </c>
      <c r="H26" s="165">
        <v>31.41</v>
      </c>
      <c r="I26" s="165">
        <v>7.82</v>
      </c>
      <c r="J26" s="165">
        <v>0.2</v>
      </c>
      <c r="K26" s="165">
        <v>137.49</v>
      </c>
      <c r="L26" s="165">
        <v>24.71</v>
      </c>
      <c r="M26" s="165">
        <v>59.69</v>
      </c>
      <c r="N26" s="165">
        <v>0</v>
      </c>
      <c r="O26" s="165">
        <v>0</v>
      </c>
      <c r="P26" s="165">
        <v>0.87</v>
      </c>
      <c r="Q26" s="165">
        <v>7.07</v>
      </c>
      <c r="R26" s="13"/>
      <c r="S26" s="13"/>
      <c r="T26" s="213"/>
      <c r="U26" s="13"/>
    </row>
    <row r="27" customFormat="1" spans="1:21">
      <c r="A27" s="142" t="s">
        <v>1129</v>
      </c>
      <c r="B27" s="165">
        <v>35.83</v>
      </c>
      <c r="C27" s="165">
        <v>74.26</v>
      </c>
      <c r="D27" s="165">
        <v>68.89</v>
      </c>
      <c r="E27" s="165">
        <v>7.22</v>
      </c>
      <c r="F27" s="165">
        <v>3.81</v>
      </c>
      <c r="G27" s="165">
        <v>92.24</v>
      </c>
      <c r="H27" s="165">
        <v>30.83</v>
      </c>
      <c r="I27" s="165">
        <v>7.77</v>
      </c>
      <c r="J27" s="165">
        <v>0.18</v>
      </c>
      <c r="K27" s="165">
        <v>143.24</v>
      </c>
      <c r="L27" s="165">
        <v>24.83</v>
      </c>
      <c r="M27" s="165">
        <v>59.69</v>
      </c>
      <c r="N27" s="165">
        <v>0</v>
      </c>
      <c r="O27" s="165">
        <v>0</v>
      </c>
      <c r="P27" s="165">
        <v>0.86</v>
      </c>
      <c r="Q27" s="165">
        <v>7.16</v>
      </c>
      <c r="R27" s="13"/>
      <c r="S27" s="13"/>
      <c r="T27" s="213"/>
      <c r="U27" s="13"/>
    </row>
    <row r="28" customFormat="1" spans="1:21">
      <c r="A28" s="142" t="s">
        <v>1130</v>
      </c>
      <c r="B28" s="165">
        <v>35.94</v>
      </c>
      <c r="C28" s="165">
        <v>75.18</v>
      </c>
      <c r="D28" s="165">
        <v>69.45</v>
      </c>
      <c r="E28" s="165">
        <v>7.24</v>
      </c>
      <c r="F28" s="165">
        <v>3.7</v>
      </c>
      <c r="G28" s="165">
        <v>91.18</v>
      </c>
      <c r="H28" s="165">
        <v>29.92</v>
      </c>
      <c r="I28" s="165">
        <v>7.73</v>
      </c>
      <c r="J28" s="165">
        <v>0.15</v>
      </c>
      <c r="K28" s="165">
        <v>162.61</v>
      </c>
      <c r="L28" s="165">
        <v>24.52</v>
      </c>
      <c r="M28" s="165">
        <v>60.15</v>
      </c>
      <c r="N28" s="165">
        <v>0</v>
      </c>
      <c r="O28" s="165">
        <v>0</v>
      </c>
      <c r="P28" s="165">
        <v>0.86</v>
      </c>
      <c r="Q28" s="165">
        <v>7.24</v>
      </c>
      <c r="R28" s="13"/>
      <c r="S28" s="13"/>
      <c r="T28" s="213"/>
      <c r="U28" s="13"/>
    </row>
    <row r="29" customFormat="1" spans="1:21">
      <c r="A29" s="142" t="s">
        <v>1131</v>
      </c>
      <c r="B29" s="165">
        <v>35.72</v>
      </c>
      <c r="C29" s="165">
        <v>75.85</v>
      </c>
      <c r="D29" s="165">
        <v>69.62</v>
      </c>
      <c r="E29" s="165">
        <v>6.98</v>
      </c>
      <c r="F29" s="165">
        <v>3.7</v>
      </c>
      <c r="G29" s="165">
        <v>91.18</v>
      </c>
      <c r="H29" s="165">
        <v>29.92</v>
      </c>
      <c r="I29" s="165">
        <v>7.72</v>
      </c>
      <c r="J29" s="165">
        <v>0.25</v>
      </c>
      <c r="K29" s="165">
        <v>150.51</v>
      </c>
      <c r="L29" s="165">
        <v>24.34</v>
      </c>
      <c r="M29" s="165">
        <v>62.18</v>
      </c>
      <c r="N29" s="165">
        <v>0</v>
      </c>
      <c r="O29" s="165">
        <v>0</v>
      </c>
      <c r="P29" s="165">
        <v>0.85</v>
      </c>
      <c r="Q29" s="165">
        <v>7.23</v>
      </c>
      <c r="R29" s="13"/>
      <c r="S29" s="13"/>
      <c r="T29" s="213"/>
      <c r="U29" s="13"/>
    </row>
    <row r="30" customFormat="1" spans="1:21">
      <c r="A30" s="142" t="s">
        <v>1132</v>
      </c>
      <c r="B30" s="165">
        <v>35.21</v>
      </c>
      <c r="C30" s="165">
        <v>76.24</v>
      </c>
      <c r="D30" s="165">
        <v>69.42</v>
      </c>
      <c r="E30" s="165">
        <v>7.06</v>
      </c>
      <c r="F30" s="165">
        <v>3.69</v>
      </c>
      <c r="G30" s="165">
        <v>91.18</v>
      </c>
      <c r="H30" s="165">
        <v>29.92</v>
      </c>
      <c r="I30" s="165">
        <v>7.69</v>
      </c>
      <c r="J30" s="165">
        <v>0.31</v>
      </c>
      <c r="K30" s="165">
        <v>191.5</v>
      </c>
      <c r="L30" s="165">
        <v>23.94</v>
      </c>
      <c r="M30" s="165">
        <v>65.19</v>
      </c>
      <c r="N30" s="165">
        <v>0</v>
      </c>
      <c r="O30" s="165">
        <v>0</v>
      </c>
      <c r="P30" s="165">
        <v>0.85</v>
      </c>
      <c r="Q30" s="165">
        <v>7.18</v>
      </c>
      <c r="R30" s="13"/>
      <c r="S30" s="13"/>
      <c r="T30" s="213"/>
      <c r="U30" s="13"/>
    </row>
    <row r="31" customFormat="1" spans="1:21">
      <c r="A31" s="142" t="s">
        <v>1133</v>
      </c>
      <c r="B31" s="165">
        <v>34.79</v>
      </c>
      <c r="C31" s="165">
        <v>76.25</v>
      </c>
      <c r="D31" s="165">
        <v>69.09</v>
      </c>
      <c r="E31" s="165">
        <v>7.02</v>
      </c>
      <c r="F31" s="165">
        <v>3.73</v>
      </c>
      <c r="G31" s="165">
        <v>89.56</v>
      </c>
      <c r="H31" s="165">
        <v>29.8</v>
      </c>
      <c r="I31" s="165">
        <v>7.66</v>
      </c>
      <c r="J31" s="165">
        <v>0.19</v>
      </c>
      <c r="K31" s="165">
        <v>163.73</v>
      </c>
      <c r="L31" s="165">
        <v>23.93</v>
      </c>
      <c r="M31" s="165">
        <v>64.67</v>
      </c>
      <c r="N31" s="165">
        <v>0</v>
      </c>
      <c r="O31" s="165">
        <v>0</v>
      </c>
      <c r="P31" s="165">
        <v>0.84</v>
      </c>
      <c r="Q31" s="165">
        <v>7.14</v>
      </c>
      <c r="R31" s="13"/>
      <c r="S31" s="13"/>
      <c r="T31" s="213"/>
      <c r="U31" s="13"/>
    </row>
    <row r="32" customFormat="1" spans="1:21">
      <c r="A32" s="142" t="s">
        <v>1134</v>
      </c>
      <c r="B32" s="165">
        <v>34.56</v>
      </c>
      <c r="C32" s="165">
        <v>76.73</v>
      </c>
      <c r="D32" s="165">
        <v>69.16</v>
      </c>
      <c r="E32" s="165">
        <v>7.08</v>
      </c>
      <c r="F32" s="165">
        <v>3.54</v>
      </c>
      <c r="G32" s="165">
        <v>85.59</v>
      </c>
      <c r="H32" s="165">
        <v>29.62</v>
      </c>
      <c r="I32" s="165">
        <v>7.62</v>
      </c>
      <c r="J32" s="165">
        <v>0.19</v>
      </c>
      <c r="K32" s="165">
        <v>170.84</v>
      </c>
      <c r="L32" s="165">
        <v>23.63</v>
      </c>
      <c r="M32" s="165">
        <v>65.38</v>
      </c>
      <c r="N32" s="165">
        <v>1.5</v>
      </c>
      <c r="O32" s="165">
        <v>0</v>
      </c>
      <c r="P32" s="165">
        <v>0.84</v>
      </c>
      <c r="Q32" s="165">
        <v>7.15</v>
      </c>
      <c r="R32" s="13"/>
      <c r="S32" s="13"/>
      <c r="T32" s="213"/>
      <c r="U32" s="13"/>
    </row>
    <row r="33" customFormat="1" spans="1:21">
      <c r="A33" s="142" t="s">
        <v>1135</v>
      </c>
      <c r="B33" s="165">
        <v>34.36</v>
      </c>
      <c r="C33" s="165">
        <v>76.6</v>
      </c>
      <c r="D33" s="165">
        <v>68.93</v>
      </c>
      <c r="E33" s="165">
        <v>7.01</v>
      </c>
      <c r="F33" s="165">
        <v>3.68</v>
      </c>
      <c r="G33" s="165">
        <v>85.59</v>
      </c>
      <c r="H33" s="165">
        <v>29.62</v>
      </c>
      <c r="I33" s="165">
        <v>7.63</v>
      </c>
      <c r="J33" s="165">
        <v>0.11</v>
      </c>
      <c r="K33" s="165">
        <v>150.63</v>
      </c>
      <c r="L33" s="165">
        <v>23.58</v>
      </c>
      <c r="M33" s="165">
        <v>65.46</v>
      </c>
      <c r="N33" s="165">
        <v>12.3</v>
      </c>
      <c r="O33" s="165">
        <v>0</v>
      </c>
      <c r="P33" s="165">
        <v>0.84</v>
      </c>
      <c r="Q33" s="165">
        <v>7.15</v>
      </c>
      <c r="R33" s="13"/>
      <c r="S33" s="13"/>
      <c r="T33" s="213"/>
      <c r="U33" s="13"/>
    </row>
    <row r="34" customFormat="1" spans="1:21">
      <c r="A34" s="142" t="s">
        <v>1136</v>
      </c>
      <c r="B34" s="165">
        <v>34.39</v>
      </c>
      <c r="C34" s="165">
        <v>76.54</v>
      </c>
      <c r="D34" s="165">
        <v>68.92</v>
      </c>
      <c r="E34" s="165">
        <v>6.49</v>
      </c>
      <c r="F34" s="165">
        <v>3.68</v>
      </c>
      <c r="G34" s="165">
        <v>85.59</v>
      </c>
      <c r="H34" s="165">
        <v>29.62</v>
      </c>
      <c r="I34" s="165">
        <v>7.68</v>
      </c>
      <c r="J34" s="165">
        <v>0.17</v>
      </c>
      <c r="K34" s="165">
        <v>118.86</v>
      </c>
      <c r="L34" s="165">
        <v>24.25</v>
      </c>
      <c r="M34" s="165">
        <v>62.03</v>
      </c>
      <c r="N34" s="165">
        <v>22.4</v>
      </c>
      <c r="O34" s="165">
        <v>0</v>
      </c>
      <c r="P34" s="165">
        <v>0.84</v>
      </c>
      <c r="Q34" s="165">
        <v>7.11</v>
      </c>
      <c r="R34" s="13"/>
      <c r="S34" s="13"/>
      <c r="T34" s="213"/>
      <c r="U34" s="13"/>
    </row>
    <row r="35" customFormat="1" spans="1:21">
      <c r="A35" s="142" t="s">
        <v>1137</v>
      </c>
      <c r="B35" s="165">
        <v>35.94</v>
      </c>
      <c r="C35" s="165">
        <v>76.86</v>
      </c>
      <c r="D35" s="165">
        <v>70.33</v>
      </c>
      <c r="E35" s="165">
        <v>6.65</v>
      </c>
      <c r="F35" s="165">
        <v>3.63</v>
      </c>
      <c r="G35" s="165">
        <v>86.05</v>
      </c>
      <c r="H35" s="165">
        <v>29.51</v>
      </c>
      <c r="I35" s="165">
        <v>7.71</v>
      </c>
      <c r="J35" s="165">
        <v>0.2</v>
      </c>
      <c r="K35" s="165">
        <v>287.91</v>
      </c>
      <c r="L35" s="165">
        <v>24.89</v>
      </c>
      <c r="M35" s="165">
        <v>59.66</v>
      </c>
      <c r="N35" s="165">
        <v>34.1</v>
      </c>
      <c r="O35" s="165">
        <v>0</v>
      </c>
      <c r="P35" s="165">
        <v>0.85</v>
      </c>
      <c r="Q35" s="165">
        <v>7.16</v>
      </c>
      <c r="R35" s="13"/>
      <c r="S35" s="13"/>
      <c r="T35" s="213"/>
      <c r="U35" s="13"/>
    </row>
    <row r="36" customFormat="1" spans="1:21">
      <c r="A36" s="142" t="s">
        <v>1138</v>
      </c>
      <c r="B36" s="165">
        <v>38.84</v>
      </c>
      <c r="C36" s="165">
        <v>77.71</v>
      </c>
      <c r="D36" s="165">
        <v>73.1</v>
      </c>
      <c r="E36" s="165">
        <v>7.46</v>
      </c>
      <c r="F36" s="165">
        <v>3.52</v>
      </c>
      <c r="G36" s="165">
        <v>87.17</v>
      </c>
      <c r="H36" s="165">
        <v>29.12</v>
      </c>
      <c r="I36" s="165">
        <v>7.75</v>
      </c>
      <c r="J36" s="165">
        <v>0.26</v>
      </c>
      <c r="K36" s="165">
        <v>64.96</v>
      </c>
      <c r="L36" s="165">
        <v>25.78</v>
      </c>
      <c r="M36" s="165">
        <v>52.91</v>
      </c>
      <c r="N36" s="165">
        <v>48.8</v>
      </c>
      <c r="O36" s="165">
        <v>0</v>
      </c>
      <c r="P36" s="165">
        <v>0.88</v>
      </c>
      <c r="Q36" s="165">
        <v>7.39</v>
      </c>
      <c r="R36" s="13"/>
      <c r="S36" s="13"/>
      <c r="T36" s="213"/>
      <c r="U36" s="13"/>
    </row>
    <row r="37" customFormat="1" spans="1:21">
      <c r="A37" s="142" t="s">
        <v>1139</v>
      </c>
      <c r="B37" s="165">
        <v>40.79</v>
      </c>
      <c r="C37" s="165">
        <v>78.02</v>
      </c>
      <c r="D37" s="165">
        <v>74.82</v>
      </c>
      <c r="E37" s="165">
        <v>6.94</v>
      </c>
      <c r="F37" s="165">
        <v>3.51</v>
      </c>
      <c r="G37" s="165">
        <v>87.17</v>
      </c>
      <c r="H37" s="165">
        <v>29.12</v>
      </c>
      <c r="I37" s="165">
        <v>7.89</v>
      </c>
      <c r="J37" s="165">
        <v>0.16</v>
      </c>
      <c r="K37" s="165">
        <v>45.11</v>
      </c>
      <c r="L37" s="165">
        <v>26.93</v>
      </c>
      <c r="M37" s="165">
        <v>46.83</v>
      </c>
      <c r="N37" s="165">
        <v>60.2</v>
      </c>
      <c r="O37" s="165">
        <v>0</v>
      </c>
      <c r="P37" s="165">
        <v>0.88</v>
      </c>
      <c r="Q37" s="165">
        <v>7.55</v>
      </c>
      <c r="R37" s="13"/>
      <c r="S37" s="13"/>
      <c r="T37" s="213"/>
      <c r="U37" s="13"/>
    </row>
    <row r="38" customFormat="1" spans="1:21">
      <c r="A38" s="142" t="s">
        <v>1140</v>
      </c>
      <c r="B38" s="165">
        <v>41.5</v>
      </c>
      <c r="C38" s="165">
        <v>78.17</v>
      </c>
      <c r="D38" s="165">
        <v>75.47</v>
      </c>
      <c r="E38" s="165">
        <v>6.98</v>
      </c>
      <c r="F38" s="165">
        <v>3.54</v>
      </c>
      <c r="G38" s="165">
        <v>87.17</v>
      </c>
      <c r="H38" s="165">
        <v>29.12</v>
      </c>
      <c r="I38" s="165">
        <v>8.09</v>
      </c>
      <c r="J38" s="165">
        <v>0.15</v>
      </c>
      <c r="K38" s="165">
        <v>100.17</v>
      </c>
      <c r="L38" s="165">
        <v>28.11</v>
      </c>
      <c r="M38" s="165">
        <v>40.88</v>
      </c>
      <c r="N38" s="165">
        <v>84.1</v>
      </c>
      <c r="O38" s="165">
        <v>0</v>
      </c>
      <c r="P38" s="165">
        <v>0.88</v>
      </c>
      <c r="Q38" s="165">
        <v>7.63</v>
      </c>
      <c r="R38" s="13"/>
      <c r="S38" s="13"/>
      <c r="T38" s="213"/>
      <c r="U38" s="13"/>
    </row>
    <row r="39" customFormat="1" spans="1:21">
      <c r="A39" s="142" t="s">
        <v>1141</v>
      </c>
      <c r="B39" s="165">
        <v>40.85</v>
      </c>
      <c r="C39" s="165">
        <v>78.81</v>
      </c>
      <c r="D39" s="165">
        <v>75.29</v>
      </c>
      <c r="E39" s="165">
        <v>6.25</v>
      </c>
      <c r="F39" s="165">
        <v>3.68</v>
      </c>
      <c r="G39" s="165">
        <v>86.89</v>
      </c>
      <c r="H39" s="165">
        <v>27.87</v>
      </c>
      <c r="I39" s="165">
        <v>8.21</v>
      </c>
      <c r="J39" s="165">
        <v>0.3</v>
      </c>
      <c r="K39" s="165">
        <v>23.52</v>
      </c>
      <c r="L39" s="165">
        <v>29.57</v>
      </c>
      <c r="M39" s="165">
        <v>35.26</v>
      </c>
      <c r="N39" s="165">
        <v>168.6</v>
      </c>
      <c r="O39" s="165">
        <v>0</v>
      </c>
      <c r="P39" s="165">
        <v>0.88</v>
      </c>
      <c r="Q39" s="165">
        <v>7.63</v>
      </c>
      <c r="R39" s="13"/>
      <c r="S39" s="13"/>
      <c r="T39" s="213"/>
      <c r="U39" s="13"/>
    </row>
    <row r="40" customFormat="1" spans="1:21">
      <c r="A40" s="142" t="s">
        <v>1142</v>
      </c>
      <c r="B40" s="165">
        <v>40.35</v>
      </c>
      <c r="C40" s="165">
        <v>78.77</v>
      </c>
      <c r="D40" s="165">
        <v>74.87</v>
      </c>
      <c r="E40" s="165">
        <v>6.85</v>
      </c>
      <c r="F40" s="165">
        <v>3.9</v>
      </c>
      <c r="G40" s="165">
        <v>86.19</v>
      </c>
      <c r="H40" s="165">
        <v>25.9</v>
      </c>
      <c r="I40" s="165">
        <v>8.24</v>
      </c>
      <c r="J40" s="165">
        <v>0.29</v>
      </c>
      <c r="K40" s="165">
        <v>55.45</v>
      </c>
      <c r="L40" s="165">
        <v>30.84</v>
      </c>
      <c r="M40" s="165">
        <v>31.58</v>
      </c>
      <c r="N40" s="165">
        <v>230.4</v>
      </c>
      <c r="O40" s="165">
        <v>0</v>
      </c>
      <c r="P40" s="165">
        <v>0.89</v>
      </c>
      <c r="Q40" s="165">
        <v>7.65</v>
      </c>
      <c r="R40" s="13"/>
      <c r="S40" s="13"/>
      <c r="T40" s="213"/>
      <c r="U40" s="13"/>
    </row>
    <row r="41" customFormat="1" spans="1:21">
      <c r="A41" s="142" t="s">
        <v>1143</v>
      </c>
      <c r="B41" s="165">
        <v>38.94</v>
      </c>
      <c r="C41" s="165">
        <v>78.39</v>
      </c>
      <c r="D41" s="165">
        <v>73.54</v>
      </c>
      <c r="E41" s="165">
        <v>6.23</v>
      </c>
      <c r="F41" s="165">
        <v>4.57</v>
      </c>
      <c r="G41" s="165">
        <v>86.19</v>
      </c>
      <c r="H41" s="165">
        <v>25.9</v>
      </c>
      <c r="I41" s="165">
        <v>8.23</v>
      </c>
      <c r="J41" s="165">
        <v>0.08</v>
      </c>
      <c r="K41" s="165">
        <v>347.18</v>
      </c>
      <c r="L41" s="165">
        <v>32.17</v>
      </c>
      <c r="M41" s="165">
        <v>29.47</v>
      </c>
      <c r="N41" s="165">
        <v>273.4</v>
      </c>
      <c r="O41" s="165">
        <v>0</v>
      </c>
      <c r="P41" s="165">
        <v>0.88</v>
      </c>
      <c r="Q41" s="165">
        <v>7.59</v>
      </c>
      <c r="R41" s="13"/>
      <c r="S41" s="13"/>
      <c r="T41" s="213"/>
      <c r="U41" s="13"/>
    </row>
    <row r="42" customFormat="1" spans="1:21">
      <c r="A42" s="142" t="s">
        <v>1144</v>
      </c>
      <c r="B42" s="165">
        <v>36.78</v>
      </c>
      <c r="C42" s="165">
        <v>78.79</v>
      </c>
      <c r="D42" s="165">
        <v>72.01</v>
      </c>
      <c r="E42" s="165">
        <v>7.2</v>
      </c>
      <c r="F42" s="165">
        <v>4.93</v>
      </c>
      <c r="G42" s="165">
        <v>86.19</v>
      </c>
      <c r="H42" s="165">
        <v>25.9</v>
      </c>
      <c r="I42" s="165">
        <v>8.18</v>
      </c>
      <c r="J42" s="165">
        <v>0.42</v>
      </c>
      <c r="K42" s="165">
        <v>55.19</v>
      </c>
      <c r="L42" s="165">
        <v>32.81</v>
      </c>
      <c r="M42" s="165">
        <v>26.13</v>
      </c>
      <c r="N42" s="165">
        <v>295.2</v>
      </c>
      <c r="O42" s="165">
        <v>0</v>
      </c>
      <c r="P42" s="165">
        <v>0.89</v>
      </c>
      <c r="Q42" s="165">
        <v>7.48</v>
      </c>
      <c r="R42" s="13"/>
      <c r="S42" s="13"/>
      <c r="T42" s="213"/>
      <c r="U42" s="13"/>
    </row>
    <row r="43" customFormat="1" spans="1:21">
      <c r="A43" s="142" t="s">
        <v>1145</v>
      </c>
      <c r="B43" s="165">
        <v>34.44</v>
      </c>
      <c r="C43" s="165">
        <v>78.66</v>
      </c>
      <c r="D43" s="165">
        <v>70.07</v>
      </c>
      <c r="E43" s="165">
        <v>8.19</v>
      </c>
      <c r="F43" s="165">
        <v>5.79</v>
      </c>
      <c r="G43" s="165">
        <v>86.01</v>
      </c>
      <c r="H43" s="165">
        <v>26.6</v>
      </c>
      <c r="I43" s="165">
        <v>8.17</v>
      </c>
      <c r="J43" s="165">
        <v>0.18</v>
      </c>
      <c r="K43" s="165">
        <v>53.1</v>
      </c>
      <c r="L43" s="165">
        <v>33.47</v>
      </c>
      <c r="M43" s="165">
        <v>24.41</v>
      </c>
      <c r="N43" s="165">
        <v>185.1</v>
      </c>
      <c r="O43" s="165">
        <v>0</v>
      </c>
      <c r="P43" s="165">
        <v>0.89</v>
      </c>
      <c r="Q43" s="165">
        <v>7.38</v>
      </c>
      <c r="R43" s="13"/>
      <c r="S43" s="13"/>
      <c r="T43" s="213"/>
      <c r="U43" s="13"/>
    </row>
    <row r="44" customFormat="1" spans="1:21">
      <c r="A44" s="142" t="s">
        <v>1146</v>
      </c>
      <c r="B44" s="165">
        <v>28.66</v>
      </c>
      <c r="C44" s="165">
        <v>75.14</v>
      </c>
      <c r="D44" s="165">
        <v>63.59</v>
      </c>
      <c r="E44" s="165">
        <v>10.81</v>
      </c>
      <c r="F44" s="165">
        <v>10.89</v>
      </c>
      <c r="G44" s="165">
        <v>85.57</v>
      </c>
      <c r="H44" s="165">
        <v>27.72</v>
      </c>
      <c r="I44" s="165">
        <v>8.18</v>
      </c>
      <c r="J44" s="165">
        <v>0.12</v>
      </c>
      <c r="K44" s="165">
        <v>249.31</v>
      </c>
      <c r="L44" s="165">
        <v>34.52</v>
      </c>
      <c r="M44" s="165">
        <v>21.39</v>
      </c>
      <c r="N44" s="165">
        <v>197.2</v>
      </c>
      <c r="O44" s="165">
        <v>0</v>
      </c>
      <c r="P44" s="165">
        <v>0.86</v>
      </c>
      <c r="Q44" s="165">
        <v>7.28</v>
      </c>
      <c r="R44" s="13"/>
      <c r="S44" s="13"/>
      <c r="T44" s="213"/>
      <c r="U44" s="13"/>
    </row>
    <row r="45" customFormat="1" spans="1:21">
      <c r="A45" s="142" t="s">
        <v>1147</v>
      </c>
      <c r="B45" s="165">
        <v>27.98</v>
      </c>
      <c r="C45" s="165">
        <v>71.59</v>
      </c>
      <c r="D45" s="165">
        <v>61.19</v>
      </c>
      <c r="E45" s="165">
        <v>9.1</v>
      </c>
      <c r="F45" s="165">
        <v>10.95</v>
      </c>
      <c r="G45" s="165">
        <v>85.57</v>
      </c>
      <c r="H45" s="165">
        <v>27.72</v>
      </c>
      <c r="I45" s="165">
        <v>8.09</v>
      </c>
      <c r="J45" s="165">
        <v>0.25</v>
      </c>
      <c r="K45" s="165">
        <v>215.97</v>
      </c>
      <c r="L45" s="165">
        <v>34.88</v>
      </c>
      <c r="M45" s="165">
        <v>21.52</v>
      </c>
      <c r="N45" s="165">
        <v>231.5</v>
      </c>
      <c r="O45" s="165">
        <v>0</v>
      </c>
      <c r="P45" s="165">
        <v>0.86</v>
      </c>
      <c r="Q45" s="165">
        <v>7.01</v>
      </c>
      <c r="R45" s="13"/>
      <c r="S45" s="13"/>
      <c r="T45" s="213"/>
      <c r="U45" s="13"/>
    </row>
    <row r="46" customFormat="1" spans="1:21">
      <c r="A46" s="142" t="s">
        <v>1148</v>
      </c>
      <c r="B46" s="165">
        <v>25.96</v>
      </c>
      <c r="C46" s="165">
        <v>69.22</v>
      </c>
      <c r="D46" s="165">
        <v>58.33</v>
      </c>
      <c r="E46" s="165">
        <v>12.11</v>
      </c>
      <c r="F46" s="165">
        <v>14.14</v>
      </c>
      <c r="G46" s="165">
        <v>85.57</v>
      </c>
      <c r="H46" s="165">
        <v>27.72</v>
      </c>
      <c r="I46" s="165">
        <v>7.93</v>
      </c>
      <c r="J46" s="165">
        <v>0.19</v>
      </c>
      <c r="K46" s="165">
        <v>59.59</v>
      </c>
      <c r="L46" s="165">
        <v>35.92</v>
      </c>
      <c r="M46" s="165">
        <v>15.99</v>
      </c>
      <c r="N46" s="165">
        <v>441.1</v>
      </c>
      <c r="O46" s="165">
        <v>0</v>
      </c>
      <c r="P46" s="165">
        <v>0.82</v>
      </c>
      <c r="Q46" s="165">
        <v>6.79</v>
      </c>
      <c r="R46" s="13"/>
      <c r="S46" s="13"/>
      <c r="T46" s="213"/>
      <c r="U46" s="13"/>
    </row>
    <row r="47" customFormat="1" spans="1:21">
      <c r="A47" s="142" t="s">
        <v>1149</v>
      </c>
      <c r="B47" s="165">
        <v>24.06</v>
      </c>
      <c r="C47" s="165">
        <v>70.55</v>
      </c>
      <c r="D47" s="165">
        <v>57.51</v>
      </c>
      <c r="E47" s="165">
        <v>16.19</v>
      </c>
      <c r="F47" s="165">
        <v>15.63</v>
      </c>
      <c r="G47" s="165">
        <v>82.48</v>
      </c>
      <c r="H47" s="165">
        <v>27.91</v>
      </c>
      <c r="I47" s="165">
        <v>7.8</v>
      </c>
      <c r="J47" s="165">
        <v>0.59</v>
      </c>
      <c r="K47" s="165">
        <v>70.61</v>
      </c>
      <c r="L47" s="165">
        <v>36.95</v>
      </c>
      <c r="M47" s="165">
        <v>13.39</v>
      </c>
      <c r="N47" s="165">
        <v>530.2</v>
      </c>
      <c r="O47" s="165">
        <v>0</v>
      </c>
      <c r="P47" s="165">
        <v>0.79</v>
      </c>
      <c r="Q47" s="165">
        <v>6.66</v>
      </c>
      <c r="R47" s="13"/>
      <c r="S47" s="13"/>
      <c r="T47" s="213"/>
      <c r="U47" s="13"/>
    </row>
    <row r="48" customFormat="1" spans="1:21">
      <c r="A48" s="142" t="s">
        <v>1150</v>
      </c>
      <c r="B48" s="165">
        <v>20.93</v>
      </c>
      <c r="C48" s="165">
        <v>70.49</v>
      </c>
      <c r="D48" s="165">
        <v>54.97</v>
      </c>
      <c r="E48" s="165">
        <v>18.35</v>
      </c>
      <c r="F48" s="165">
        <v>19.14</v>
      </c>
      <c r="G48" s="165">
        <v>74.86</v>
      </c>
      <c r="H48" s="165">
        <v>28.2</v>
      </c>
      <c r="I48" s="165">
        <v>7.51</v>
      </c>
      <c r="J48" s="165">
        <v>0.3</v>
      </c>
      <c r="K48" s="165">
        <v>78.11</v>
      </c>
      <c r="L48" s="165">
        <v>37.44</v>
      </c>
      <c r="M48" s="165">
        <v>13.68</v>
      </c>
      <c r="N48" s="165">
        <v>439.1</v>
      </c>
      <c r="O48" s="165">
        <v>0</v>
      </c>
      <c r="P48" s="165">
        <v>0.77</v>
      </c>
      <c r="Q48" s="165">
        <v>6.57</v>
      </c>
      <c r="R48" s="13"/>
      <c r="S48" s="13"/>
      <c r="T48" s="213"/>
      <c r="U48" s="13"/>
    </row>
    <row r="49" customFormat="1" spans="1:21">
      <c r="A49" s="142" t="s">
        <v>1151</v>
      </c>
      <c r="B49" s="165">
        <v>19.59</v>
      </c>
      <c r="C49" s="165">
        <v>71.5</v>
      </c>
      <c r="D49" s="165">
        <v>54.65</v>
      </c>
      <c r="E49" s="165">
        <v>14.33</v>
      </c>
      <c r="F49" s="165">
        <v>19.45</v>
      </c>
      <c r="G49" s="165">
        <v>74.86</v>
      </c>
      <c r="H49" s="165">
        <v>28.2</v>
      </c>
      <c r="I49" s="165">
        <v>7.2</v>
      </c>
      <c r="J49" s="165">
        <v>0.33</v>
      </c>
      <c r="K49" s="165">
        <v>108.34</v>
      </c>
      <c r="L49" s="165">
        <v>38.12</v>
      </c>
      <c r="M49" s="165">
        <v>11.26</v>
      </c>
      <c r="N49" s="165">
        <v>563.4</v>
      </c>
      <c r="O49" s="165">
        <v>0</v>
      </c>
      <c r="P49" s="165">
        <v>0.74</v>
      </c>
      <c r="Q49" s="165">
        <v>6.41</v>
      </c>
      <c r="R49" s="13"/>
      <c r="S49" s="13"/>
      <c r="T49" s="213"/>
      <c r="U49" s="13"/>
    </row>
    <row r="50" customFormat="1" spans="1:21">
      <c r="A50" s="142" t="s">
        <v>1152</v>
      </c>
      <c r="B50" s="165">
        <v>18.71</v>
      </c>
      <c r="C50" s="165">
        <v>70.78</v>
      </c>
      <c r="D50" s="165">
        <v>53.67</v>
      </c>
      <c r="E50" s="165">
        <v>19.52</v>
      </c>
      <c r="F50" s="165">
        <v>16.9</v>
      </c>
      <c r="G50" s="165">
        <v>74.86</v>
      </c>
      <c r="H50" s="165">
        <v>28.2</v>
      </c>
      <c r="I50" s="165">
        <v>7.01</v>
      </c>
      <c r="J50" s="165">
        <v>0.85</v>
      </c>
      <c r="K50" s="165">
        <v>69.83</v>
      </c>
      <c r="L50" s="165">
        <v>38.32</v>
      </c>
      <c r="M50" s="165">
        <v>10.46</v>
      </c>
      <c r="N50" s="165">
        <v>424.7</v>
      </c>
      <c r="O50" s="165">
        <v>0</v>
      </c>
      <c r="P50" s="165">
        <v>0.74</v>
      </c>
      <c r="Q50" s="165">
        <v>6.32</v>
      </c>
      <c r="R50" s="13"/>
      <c r="S50" s="13"/>
      <c r="T50" s="213"/>
      <c r="U50" s="13"/>
    </row>
    <row r="51" customFormat="1" spans="1:21">
      <c r="A51" s="142" t="s">
        <v>1153</v>
      </c>
      <c r="B51" s="165">
        <v>16.47</v>
      </c>
      <c r="C51" s="165">
        <v>67.77</v>
      </c>
      <c r="D51" s="165">
        <v>49.97</v>
      </c>
      <c r="E51" s="165">
        <v>22.22</v>
      </c>
      <c r="F51" s="165">
        <v>24.66</v>
      </c>
      <c r="G51" s="165">
        <v>72.05</v>
      </c>
      <c r="H51" s="165">
        <v>27.54</v>
      </c>
      <c r="I51" s="165">
        <v>6.91</v>
      </c>
      <c r="J51" s="165">
        <v>0.62</v>
      </c>
      <c r="K51" s="165">
        <v>75.63</v>
      </c>
      <c r="L51" s="165">
        <v>38.43</v>
      </c>
      <c r="M51" s="165">
        <v>10.25</v>
      </c>
      <c r="N51" s="165">
        <v>655.2</v>
      </c>
      <c r="O51" s="165">
        <v>0</v>
      </c>
      <c r="P51" s="165">
        <v>0.71</v>
      </c>
      <c r="Q51" s="165">
        <v>6.22</v>
      </c>
      <c r="R51" s="13"/>
      <c r="S51" s="13"/>
      <c r="T51" s="213"/>
      <c r="U51" s="13"/>
    </row>
    <row r="52" customFormat="1" spans="1:21">
      <c r="A52" s="142" t="s">
        <v>1154</v>
      </c>
      <c r="B52" s="165">
        <v>14.82</v>
      </c>
      <c r="C52" s="165">
        <v>65.92</v>
      </c>
      <c r="D52" s="165">
        <v>47.68</v>
      </c>
      <c r="E52" s="165">
        <v>21.84</v>
      </c>
      <c r="F52" s="165">
        <v>23.64</v>
      </c>
      <c r="G52" s="165">
        <v>65.14</v>
      </c>
      <c r="H52" s="165">
        <v>26.49</v>
      </c>
      <c r="I52" s="165">
        <v>6.78</v>
      </c>
      <c r="J52" s="165">
        <v>0.65</v>
      </c>
      <c r="K52" s="165">
        <v>77.91</v>
      </c>
      <c r="L52" s="165">
        <v>39.13</v>
      </c>
      <c r="M52" s="165">
        <v>10.45</v>
      </c>
      <c r="N52" s="165">
        <v>692.3</v>
      </c>
      <c r="O52" s="165">
        <v>0</v>
      </c>
      <c r="P52" s="165">
        <v>0.69</v>
      </c>
      <c r="Q52" s="165">
        <v>6.04</v>
      </c>
      <c r="R52" s="13"/>
      <c r="S52" s="13"/>
      <c r="T52" s="213"/>
      <c r="U52" s="13"/>
    </row>
    <row r="53" customFormat="1" spans="1:21">
      <c r="A53" s="142" t="s">
        <v>1155</v>
      </c>
      <c r="B53" s="165">
        <v>12.62</v>
      </c>
      <c r="C53" s="165">
        <v>62.48</v>
      </c>
      <c r="D53" s="165">
        <v>44.11</v>
      </c>
      <c r="E53" s="165">
        <v>30.75</v>
      </c>
      <c r="F53" s="165">
        <v>40.21</v>
      </c>
      <c r="G53" s="165">
        <v>65.14</v>
      </c>
      <c r="H53" s="165">
        <v>26.49</v>
      </c>
      <c r="I53" s="165">
        <v>6.5</v>
      </c>
      <c r="J53" s="165">
        <v>0.4</v>
      </c>
      <c r="K53" s="165">
        <v>91.27</v>
      </c>
      <c r="L53" s="165">
        <v>39.36</v>
      </c>
      <c r="M53" s="165">
        <v>10.66</v>
      </c>
      <c r="N53" s="165">
        <v>660.4</v>
      </c>
      <c r="O53" s="165">
        <v>0</v>
      </c>
      <c r="P53" s="165">
        <v>0.65</v>
      </c>
      <c r="Q53" s="165">
        <v>5.91</v>
      </c>
      <c r="R53" s="13"/>
      <c r="S53" s="13"/>
      <c r="T53" s="213"/>
      <c r="U53" s="13"/>
    </row>
    <row r="54" customFormat="1" spans="1:21">
      <c r="A54" s="142" t="s">
        <v>1156</v>
      </c>
      <c r="B54" s="165">
        <v>11.75</v>
      </c>
      <c r="C54" s="165">
        <v>65.25</v>
      </c>
      <c r="D54" s="165">
        <v>44.86</v>
      </c>
      <c r="E54" s="165">
        <v>25.98</v>
      </c>
      <c r="F54" s="165">
        <v>27.68</v>
      </c>
      <c r="G54" s="165">
        <v>65.14</v>
      </c>
      <c r="H54" s="165">
        <v>26.49</v>
      </c>
      <c r="I54" s="165">
        <v>6.24</v>
      </c>
      <c r="J54" s="165">
        <v>0.5</v>
      </c>
      <c r="K54" s="165">
        <v>225.84</v>
      </c>
      <c r="L54" s="165">
        <v>38.95</v>
      </c>
      <c r="M54" s="165">
        <v>11.39</v>
      </c>
      <c r="N54" s="165">
        <v>732.4</v>
      </c>
      <c r="O54" s="165">
        <v>0</v>
      </c>
      <c r="P54" s="165">
        <v>0.66</v>
      </c>
      <c r="Q54" s="165">
        <v>5.72</v>
      </c>
      <c r="R54" s="13"/>
      <c r="S54" s="13"/>
      <c r="T54" s="213"/>
      <c r="U54" s="13"/>
    </row>
    <row r="55" customFormat="1" spans="1:21">
      <c r="A55" s="142" t="s">
        <v>1157</v>
      </c>
      <c r="B55" s="165">
        <v>9.88</v>
      </c>
      <c r="C55" s="165">
        <v>59.93</v>
      </c>
      <c r="D55" s="165">
        <v>40.59</v>
      </c>
      <c r="E55" s="165">
        <v>27.33</v>
      </c>
      <c r="F55" s="165">
        <v>44.97</v>
      </c>
      <c r="G55" s="165">
        <v>64.19</v>
      </c>
      <c r="H55" s="165">
        <v>25.22</v>
      </c>
      <c r="I55" s="165">
        <v>6.08</v>
      </c>
      <c r="J55" s="165">
        <v>0.28</v>
      </c>
      <c r="K55" s="165">
        <v>103</v>
      </c>
      <c r="L55" s="165">
        <v>39.67</v>
      </c>
      <c r="M55" s="165">
        <v>11.1</v>
      </c>
      <c r="N55" s="165">
        <v>735.4</v>
      </c>
      <c r="O55" s="165">
        <v>0</v>
      </c>
      <c r="P55" s="165">
        <v>0.62</v>
      </c>
      <c r="Q55" s="165">
        <v>5.58</v>
      </c>
      <c r="R55" s="13"/>
      <c r="S55" s="13"/>
      <c r="T55" s="213"/>
      <c r="U55" s="13"/>
    </row>
    <row r="56" customFormat="1" spans="1:21">
      <c r="A56" s="142" t="s">
        <v>1158</v>
      </c>
      <c r="B56" s="165">
        <v>8.77</v>
      </c>
      <c r="C56" s="165">
        <v>59.89</v>
      </c>
      <c r="D56" s="165">
        <v>39.67</v>
      </c>
      <c r="E56" s="165">
        <v>26.25</v>
      </c>
      <c r="F56" s="165">
        <v>41.12</v>
      </c>
      <c r="G56" s="165">
        <v>61.85</v>
      </c>
      <c r="H56" s="165">
        <v>23.2</v>
      </c>
      <c r="I56" s="165">
        <v>6.15</v>
      </c>
      <c r="J56" s="165">
        <v>0.62</v>
      </c>
      <c r="K56" s="165">
        <v>58.84</v>
      </c>
      <c r="L56" s="165">
        <v>39.91</v>
      </c>
      <c r="M56" s="165">
        <v>10.96</v>
      </c>
      <c r="N56" s="165">
        <v>757.7</v>
      </c>
      <c r="O56" s="165">
        <v>0</v>
      </c>
      <c r="P56" s="165">
        <v>0.63</v>
      </c>
      <c r="Q56" s="165">
        <v>5.51</v>
      </c>
      <c r="R56" s="13"/>
      <c r="S56" s="13"/>
      <c r="T56" s="213"/>
      <c r="U56" s="13"/>
    </row>
    <row r="57" customFormat="1" spans="1:21">
      <c r="A57" s="142" t="s">
        <v>1159</v>
      </c>
      <c r="B57" s="165">
        <v>8.4</v>
      </c>
      <c r="C57" s="165">
        <v>62.63</v>
      </c>
      <c r="D57" s="165">
        <v>40.81</v>
      </c>
      <c r="E57" s="165">
        <v>22.76</v>
      </c>
      <c r="F57" s="165">
        <v>27.8</v>
      </c>
      <c r="G57" s="165">
        <v>61.85</v>
      </c>
      <c r="H57" s="165">
        <v>23.2</v>
      </c>
      <c r="I57" s="165">
        <v>5.91</v>
      </c>
      <c r="J57" s="165">
        <v>0.69</v>
      </c>
      <c r="K57" s="165">
        <v>82.01</v>
      </c>
      <c r="L57" s="165">
        <v>39.96</v>
      </c>
      <c r="M57" s="165">
        <v>11</v>
      </c>
      <c r="N57" s="165">
        <v>768.9</v>
      </c>
      <c r="O57" s="165">
        <v>0</v>
      </c>
      <c r="P57" s="165">
        <v>0.65</v>
      </c>
      <c r="Q57" s="165">
        <v>5.37</v>
      </c>
      <c r="R57" s="13"/>
      <c r="S57" s="13"/>
      <c r="T57" s="213"/>
      <c r="U57" s="13"/>
    </row>
    <row r="58" customFormat="1" spans="1:21">
      <c r="A58" s="142" t="s">
        <v>1160</v>
      </c>
      <c r="B58" s="165">
        <v>7.36</v>
      </c>
      <c r="C58" s="165">
        <v>59.74</v>
      </c>
      <c r="D58" s="165">
        <v>38.46</v>
      </c>
      <c r="E58" s="165">
        <v>21.18</v>
      </c>
      <c r="F58" s="165">
        <v>37.82</v>
      </c>
      <c r="G58" s="165">
        <v>61.85</v>
      </c>
      <c r="H58" s="165">
        <v>23.2</v>
      </c>
      <c r="I58" s="165">
        <v>5.81</v>
      </c>
      <c r="J58" s="165">
        <v>0.35</v>
      </c>
      <c r="K58" s="165">
        <v>104.33</v>
      </c>
      <c r="L58" s="165">
        <v>39.96</v>
      </c>
      <c r="M58" s="165">
        <v>10.98</v>
      </c>
      <c r="N58" s="165">
        <v>751.9</v>
      </c>
      <c r="O58" s="165">
        <v>0</v>
      </c>
      <c r="P58" s="165">
        <v>0.62</v>
      </c>
      <c r="Q58" s="165">
        <v>5.3</v>
      </c>
      <c r="R58" s="13"/>
      <c r="S58" s="13"/>
      <c r="T58" s="213"/>
      <c r="U58" s="13"/>
    </row>
    <row r="59" customFormat="1" spans="1:21">
      <c r="A59" s="142" t="s">
        <v>1161</v>
      </c>
      <c r="B59" s="165">
        <v>6.59</v>
      </c>
      <c r="C59" s="165">
        <v>57.18</v>
      </c>
      <c r="D59" s="165">
        <v>36.51</v>
      </c>
      <c r="E59" s="165">
        <v>20.7</v>
      </c>
      <c r="F59" s="165">
        <v>45.18</v>
      </c>
      <c r="G59" s="165">
        <v>59.94</v>
      </c>
      <c r="H59" s="165">
        <v>23.21</v>
      </c>
      <c r="I59" s="165">
        <v>5.99</v>
      </c>
      <c r="J59" s="165">
        <v>0.26</v>
      </c>
      <c r="K59" s="165">
        <v>163.42</v>
      </c>
      <c r="L59" s="165">
        <v>40.26</v>
      </c>
      <c r="M59" s="165">
        <v>11.48</v>
      </c>
      <c r="N59" s="165">
        <v>749.8</v>
      </c>
      <c r="O59" s="165">
        <v>0</v>
      </c>
      <c r="P59" s="165">
        <v>0.6</v>
      </c>
      <c r="Q59" s="165">
        <v>5.23</v>
      </c>
      <c r="R59" s="13"/>
      <c r="S59" s="13"/>
      <c r="T59" s="213"/>
      <c r="U59" s="13"/>
    </row>
    <row r="60" customFormat="1" spans="1:21">
      <c r="A60" s="142" t="s">
        <v>1162</v>
      </c>
      <c r="B60" s="165">
        <v>6.04</v>
      </c>
      <c r="C60" s="165">
        <v>54.87</v>
      </c>
      <c r="D60" s="165">
        <v>34.87</v>
      </c>
      <c r="E60" s="165">
        <v>20.78</v>
      </c>
      <c r="F60" s="165">
        <v>46.31</v>
      </c>
      <c r="G60" s="165">
        <v>55.24</v>
      </c>
      <c r="H60" s="165">
        <v>23.26</v>
      </c>
      <c r="I60" s="165">
        <v>5.95</v>
      </c>
      <c r="J60" s="165">
        <v>0.41</v>
      </c>
      <c r="K60" s="165">
        <v>126.54</v>
      </c>
      <c r="L60" s="165">
        <v>40.59</v>
      </c>
      <c r="M60" s="165">
        <v>11.29</v>
      </c>
      <c r="N60" s="165">
        <v>757.9</v>
      </c>
      <c r="O60" s="165">
        <v>0</v>
      </c>
      <c r="P60" s="165">
        <v>0.57</v>
      </c>
      <c r="Q60" s="165">
        <v>5.14</v>
      </c>
      <c r="R60" s="13"/>
      <c r="S60" s="13"/>
      <c r="T60" s="213"/>
      <c r="U60" s="13"/>
    </row>
    <row r="61" customFormat="1" spans="1:21">
      <c r="A61" s="142" t="s">
        <v>1163</v>
      </c>
      <c r="B61" s="165">
        <v>6.07</v>
      </c>
      <c r="C61" s="165">
        <v>57.73</v>
      </c>
      <c r="D61" s="165">
        <v>36.38</v>
      </c>
      <c r="E61" s="165">
        <v>17.98</v>
      </c>
      <c r="F61" s="165">
        <v>41.45</v>
      </c>
      <c r="G61" s="165">
        <v>55.24</v>
      </c>
      <c r="H61" s="165">
        <v>23.26</v>
      </c>
      <c r="I61" s="165">
        <v>5.61</v>
      </c>
      <c r="J61" s="165">
        <v>0.54</v>
      </c>
      <c r="K61" s="165">
        <v>67.58</v>
      </c>
      <c r="L61" s="165">
        <v>41.25</v>
      </c>
      <c r="M61" s="165">
        <v>10.93</v>
      </c>
      <c r="N61" s="165">
        <v>749.4</v>
      </c>
      <c r="O61" s="165">
        <v>0</v>
      </c>
      <c r="P61" s="165">
        <v>0.59</v>
      </c>
      <c r="Q61" s="165">
        <v>5.04</v>
      </c>
      <c r="R61" s="13"/>
      <c r="S61" s="13"/>
      <c r="T61" s="213"/>
      <c r="U61" s="13"/>
    </row>
    <row r="62" customFormat="1" spans="1:21">
      <c r="A62" s="142" t="s">
        <v>1164</v>
      </c>
      <c r="B62" s="165">
        <v>5.97</v>
      </c>
      <c r="C62" s="165">
        <v>54.96</v>
      </c>
      <c r="D62" s="165">
        <v>34.85</v>
      </c>
      <c r="E62" s="165">
        <v>18.7</v>
      </c>
      <c r="F62" s="165">
        <v>44.08</v>
      </c>
      <c r="G62" s="165">
        <v>55.24</v>
      </c>
      <c r="H62" s="165">
        <v>23.26</v>
      </c>
      <c r="I62" s="165">
        <v>5.48</v>
      </c>
      <c r="J62" s="165">
        <v>0.24</v>
      </c>
      <c r="K62" s="165">
        <v>275.79</v>
      </c>
      <c r="L62" s="165">
        <v>40.59</v>
      </c>
      <c r="M62" s="165">
        <v>10.93</v>
      </c>
      <c r="N62" s="165">
        <v>716.5</v>
      </c>
      <c r="O62" s="165">
        <v>0</v>
      </c>
      <c r="P62" s="165">
        <v>0.57</v>
      </c>
      <c r="Q62" s="165">
        <v>5.02</v>
      </c>
      <c r="R62" s="13"/>
      <c r="S62" s="13"/>
      <c r="T62" s="213"/>
      <c r="U62" s="13"/>
    </row>
    <row r="63" customFormat="1" spans="1:21">
      <c r="A63" s="142" t="s">
        <v>1165</v>
      </c>
      <c r="B63" s="165">
        <v>5.74</v>
      </c>
      <c r="C63" s="165">
        <v>57.98</v>
      </c>
      <c r="D63" s="165">
        <v>36.25</v>
      </c>
      <c r="E63" s="165">
        <v>14.74</v>
      </c>
      <c r="F63" s="165">
        <v>22.82</v>
      </c>
      <c r="G63" s="165">
        <v>53.05</v>
      </c>
      <c r="H63" s="165">
        <v>23.52</v>
      </c>
      <c r="I63" s="165">
        <v>5.5</v>
      </c>
      <c r="J63" s="165">
        <v>0.64</v>
      </c>
      <c r="K63" s="165">
        <v>238.57</v>
      </c>
      <c r="L63" s="165">
        <v>40.29</v>
      </c>
      <c r="M63" s="165">
        <v>11.41</v>
      </c>
      <c r="N63" s="165">
        <v>686.9</v>
      </c>
      <c r="O63" s="165">
        <v>0</v>
      </c>
      <c r="P63" s="165">
        <v>0.59</v>
      </c>
      <c r="Q63" s="165">
        <v>4.95</v>
      </c>
      <c r="R63" s="13"/>
      <c r="S63" s="13"/>
      <c r="T63" s="213"/>
      <c r="U63" s="13"/>
    </row>
    <row r="64" customFormat="1" spans="1:21">
      <c r="A64" s="142" t="s">
        <v>1166</v>
      </c>
      <c r="B64" s="165">
        <v>5.65</v>
      </c>
      <c r="C64" s="165">
        <v>62.62</v>
      </c>
      <c r="D64" s="165">
        <v>38.6</v>
      </c>
      <c r="E64" s="165">
        <v>12.66</v>
      </c>
      <c r="F64" s="165">
        <v>19.26</v>
      </c>
      <c r="G64" s="165">
        <v>47.64</v>
      </c>
      <c r="H64" s="165">
        <v>23.95</v>
      </c>
      <c r="I64" s="165">
        <v>5.64</v>
      </c>
      <c r="J64" s="165">
        <v>0.29</v>
      </c>
      <c r="K64" s="165">
        <v>178.25</v>
      </c>
      <c r="L64" s="165">
        <v>41.21</v>
      </c>
      <c r="M64" s="165">
        <v>10.61</v>
      </c>
      <c r="N64" s="165">
        <v>674.9</v>
      </c>
      <c r="O64" s="165">
        <v>0</v>
      </c>
      <c r="P64" s="165">
        <v>0.6</v>
      </c>
      <c r="Q64" s="165">
        <v>5.01</v>
      </c>
      <c r="R64" s="13"/>
      <c r="S64" s="13"/>
      <c r="T64" s="213"/>
      <c r="U64" s="13"/>
    </row>
    <row r="65" customFormat="1" spans="1:21">
      <c r="A65" s="142" t="s">
        <v>1167</v>
      </c>
      <c r="B65" s="165">
        <v>5.33</v>
      </c>
      <c r="C65" s="165">
        <v>59.91</v>
      </c>
      <c r="D65" s="165">
        <v>36.92</v>
      </c>
      <c r="E65" s="165">
        <v>13.43</v>
      </c>
      <c r="F65" s="165">
        <v>26.46</v>
      </c>
      <c r="G65" s="165">
        <v>47.64</v>
      </c>
      <c r="H65" s="165">
        <v>23.95</v>
      </c>
      <c r="I65" s="165">
        <v>5.96</v>
      </c>
      <c r="J65" s="165">
        <v>0.84</v>
      </c>
      <c r="K65" s="165">
        <v>283.76</v>
      </c>
      <c r="L65" s="165">
        <v>41.03</v>
      </c>
      <c r="M65" s="165">
        <v>10.01</v>
      </c>
      <c r="N65" s="165">
        <v>685.2</v>
      </c>
      <c r="O65" s="165">
        <v>0</v>
      </c>
      <c r="P65" s="165">
        <v>0.58</v>
      </c>
      <c r="Q65" s="165">
        <v>5.1</v>
      </c>
      <c r="R65" s="13"/>
      <c r="S65" s="13"/>
      <c r="T65" s="213"/>
      <c r="U65" s="13"/>
    </row>
    <row r="66" customFormat="1" spans="1:21">
      <c r="A66" s="142" t="s">
        <v>1168</v>
      </c>
      <c r="B66" s="165">
        <v>5.26</v>
      </c>
      <c r="C66" s="165">
        <v>61.91</v>
      </c>
      <c r="D66" s="165">
        <v>37.92</v>
      </c>
      <c r="E66" s="165">
        <v>11.9</v>
      </c>
      <c r="F66" s="165">
        <v>20.85</v>
      </c>
      <c r="G66" s="165">
        <v>47.64</v>
      </c>
      <c r="H66" s="165">
        <v>23.95</v>
      </c>
      <c r="I66" s="165">
        <v>5.91</v>
      </c>
      <c r="J66" s="165">
        <v>0.71</v>
      </c>
      <c r="K66" s="165">
        <v>269.89</v>
      </c>
      <c r="L66" s="165">
        <v>40.57</v>
      </c>
      <c r="M66" s="165">
        <v>10.21</v>
      </c>
      <c r="N66" s="165">
        <v>569.2</v>
      </c>
      <c r="O66" s="165">
        <v>0</v>
      </c>
      <c r="P66" s="165">
        <v>0.59</v>
      </c>
      <c r="Q66" s="165">
        <v>5.09</v>
      </c>
      <c r="R66" s="13"/>
      <c r="S66" s="13"/>
      <c r="T66" s="213"/>
      <c r="U66" s="13"/>
    </row>
    <row r="67" customFormat="1" spans="1:21">
      <c r="A67" s="142" t="s">
        <v>1169</v>
      </c>
      <c r="B67" s="165">
        <v>5.13</v>
      </c>
      <c r="C67" s="165">
        <v>60.41</v>
      </c>
      <c r="D67" s="165">
        <v>37.03</v>
      </c>
      <c r="E67" s="165">
        <v>13.34</v>
      </c>
      <c r="F67" s="165">
        <v>30.49</v>
      </c>
      <c r="G67" s="165">
        <v>46.91</v>
      </c>
      <c r="H67" s="165">
        <v>23.19</v>
      </c>
      <c r="I67" s="165">
        <v>5.79</v>
      </c>
      <c r="J67" s="165">
        <v>0.78</v>
      </c>
      <c r="K67" s="165">
        <v>269.92</v>
      </c>
      <c r="L67" s="165">
        <v>40.45</v>
      </c>
      <c r="M67" s="165">
        <v>10.63</v>
      </c>
      <c r="N67" s="165">
        <v>550.4</v>
      </c>
      <c r="O67" s="165">
        <v>0</v>
      </c>
      <c r="P67" s="165">
        <v>0.58</v>
      </c>
      <c r="Q67" s="165">
        <v>5.12</v>
      </c>
      <c r="R67" s="13"/>
      <c r="S67" s="13"/>
      <c r="T67" s="213"/>
      <c r="U67" s="13"/>
    </row>
    <row r="68" customFormat="1" spans="1:21">
      <c r="A68" s="142" t="s">
        <v>1170</v>
      </c>
      <c r="B68" s="165">
        <v>5.45</v>
      </c>
      <c r="C68" s="165">
        <v>58.87</v>
      </c>
      <c r="D68" s="165">
        <v>36.48</v>
      </c>
      <c r="E68" s="165">
        <v>16.86</v>
      </c>
      <c r="F68" s="165">
        <v>37.51</v>
      </c>
      <c r="G68" s="165">
        <v>45.12</v>
      </c>
      <c r="H68" s="165">
        <v>21.99</v>
      </c>
      <c r="I68" s="165">
        <v>5.76</v>
      </c>
      <c r="J68" s="165">
        <v>0.79</v>
      </c>
      <c r="K68" s="165">
        <v>32.52</v>
      </c>
      <c r="L68" s="165">
        <v>40.52</v>
      </c>
      <c r="M68" s="165">
        <v>10.41</v>
      </c>
      <c r="N68" s="165">
        <v>522.9</v>
      </c>
      <c r="O68" s="165">
        <v>0</v>
      </c>
      <c r="P68" s="165">
        <v>0.58</v>
      </c>
      <c r="Q68" s="165">
        <v>5.14</v>
      </c>
      <c r="R68" s="13"/>
      <c r="S68" s="13"/>
      <c r="T68" s="213"/>
      <c r="U68" s="13"/>
    </row>
    <row r="69" customFormat="1" spans="1:21">
      <c r="A69" s="142" t="s">
        <v>1171</v>
      </c>
      <c r="B69" s="165">
        <v>5.32</v>
      </c>
      <c r="C69" s="165">
        <v>60.17</v>
      </c>
      <c r="D69" s="165">
        <v>37.06</v>
      </c>
      <c r="E69" s="165">
        <v>15.47</v>
      </c>
      <c r="F69" s="165">
        <v>32.27</v>
      </c>
      <c r="G69" s="165">
        <v>45.12</v>
      </c>
      <c r="H69" s="165">
        <v>21.99</v>
      </c>
      <c r="I69" s="165">
        <v>5.46</v>
      </c>
      <c r="J69" s="165">
        <v>0.27</v>
      </c>
      <c r="K69" s="165">
        <v>224.5</v>
      </c>
      <c r="L69" s="165">
        <v>40.75</v>
      </c>
      <c r="M69" s="165">
        <v>10.83</v>
      </c>
      <c r="N69" s="165">
        <v>476.9</v>
      </c>
      <c r="O69" s="165">
        <v>0</v>
      </c>
      <c r="P69" s="165">
        <v>0.58</v>
      </c>
      <c r="Q69" s="165">
        <v>5.16</v>
      </c>
      <c r="R69" s="13"/>
      <c r="S69" s="13"/>
      <c r="T69" s="213"/>
      <c r="U69" s="13"/>
    </row>
    <row r="70" customFormat="1" spans="1:21">
      <c r="A70" s="142" t="s">
        <v>1172</v>
      </c>
      <c r="B70" s="165">
        <v>5.08</v>
      </c>
      <c r="C70" s="165">
        <v>59.2</v>
      </c>
      <c r="D70" s="165">
        <v>36.36</v>
      </c>
      <c r="E70" s="165">
        <v>16.44</v>
      </c>
      <c r="F70" s="165">
        <v>31.94</v>
      </c>
      <c r="G70" s="165">
        <v>45.12</v>
      </c>
      <c r="H70" s="165">
        <v>21.99</v>
      </c>
      <c r="I70" s="165">
        <v>5.23</v>
      </c>
      <c r="J70" s="165">
        <v>0.41</v>
      </c>
      <c r="K70" s="165">
        <v>278.53</v>
      </c>
      <c r="L70" s="165">
        <v>40.83</v>
      </c>
      <c r="M70" s="165">
        <v>10.54</v>
      </c>
      <c r="N70" s="165">
        <v>409.8</v>
      </c>
      <c r="O70" s="165">
        <v>0</v>
      </c>
      <c r="P70" s="165">
        <v>0.57</v>
      </c>
      <c r="Q70" s="165">
        <v>5.12</v>
      </c>
      <c r="R70" s="13"/>
      <c r="S70" s="13"/>
      <c r="T70" s="213"/>
      <c r="U70" s="13"/>
    </row>
    <row r="71" customFormat="1" spans="1:21">
      <c r="A71" s="142" t="s">
        <v>1173</v>
      </c>
      <c r="B71" s="165">
        <v>4.97</v>
      </c>
      <c r="C71" s="165">
        <v>59.73</v>
      </c>
      <c r="D71" s="165">
        <v>36.54</v>
      </c>
      <c r="E71" s="165">
        <v>19.86</v>
      </c>
      <c r="F71" s="165">
        <v>48.89</v>
      </c>
      <c r="G71" s="165">
        <v>46.64</v>
      </c>
      <c r="H71" s="165">
        <v>21.96</v>
      </c>
      <c r="I71" s="165">
        <v>5.2</v>
      </c>
      <c r="J71" s="165">
        <v>0.33</v>
      </c>
      <c r="K71" s="165">
        <v>326.74</v>
      </c>
      <c r="L71" s="165">
        <v>40.29</v>
      </c>
      <c r="M71" s="165">
        <v>10.53</v>
      </c>
      <c r="N71" s="165">
        <v>375.6</v>
      </c>
      <c r="O71" s="165">
        <v>0</v>
      </c>
      <c r="P71" s="165">
        <v>0.57</v>
      </c>
      <c r="Q71" s="165">
        <v>5.09</v>
      </c>
      <c r="R71" s="13"/>
      <c r="S71" s="13"/>
      <c r="T71" s="213"/>
      <c r="U71" s="13"/>
    </row>
    <row r="72" customFormat="1" spans="1:21">
      <c r="A72" s="142" t="s">
        <v>1174</v>
      </c>
      <c r="B72" s="165">
        <v>4.67</v>
      </c>
      <c r="C72" s="165">
        <v>57.78</v>
      </c>
      <c r="D72" s="165">
        <v>35.29</v>
      </c>
      <c r="E72" s="165">
        <v>21.11</v>
      </c>
      <c r="F72" s="165">
        <v>44.11</v>
      </c>
      <c r="G72" s="165">
        <v>50.17</v>
      </c>
      <c r="H72" s="165">
        <v>21.9</v>
      </c>
      <c r="I72" s="165">
        <v>5.2</v>
      </c>
      <c r="J72" s="165">
        <v>0.31</v>
      </c>
      <c r="K72" s="165">
        <v>119.21</v>
      </c>
      <c r="L72" s="165">
        <v>41.05</v>
      </c>
      <c r="M72" s="165">
        <v>10.98</v>
      </c>
      <c r="N72" s="165">
        <v>312.1</v>
      </c>
      <c r="O72" s="165">
        <v>0</v>
      </c>
      <c r="P72" s="165">
        <v>0.55</v>
      </c>
      <c r="Q72" s="165">
        <v>5.13</v>
      </c>
      <c r="R72" s="13"/>
      <c r="S72" s="13"/>
      <c r="T72" s="213"/>
      <c r="U72" s="13"/>
    </row>
    <row r="73" customFormat="1" spans="1:21">
      <c r="A73" s="142" t="s">
        <v>1175</v>
      </c>
      <c r="B73" s="165">
        <v>4.44</v>
      </c>
      <c r="C73" s="165">
        <v>55.94</v>
      </c>
      <c r="D73" s="165">
        <v>34.14</v>
      </c>
      <c r="E73" s="165">
        <v>19.54</v>
      </c>
      <c r="F73" s="165">
        <v>52.48</v>
      </c>
      <c r="G73" s="165">
        <v>50.17</v>
      </c>
      <c r="H73" s="165">
        <v>21.9</v>
      </c>
      <c r="I73" s="165">
        <v>5.03</v>
      </c>
      <c r="J73" s="165">
        <v>0.39</v>
      </c>
      <c r="K73" s="165">
        <v>90.14</v>
      </c>
      <c r="L73" s="165">
        <v>40.87</v>
      </c>
      <c r="M73" s="165">
        <v>11.01</v>
      </c>
      <c r="N73" s="165">
        <v>260</v>
      </c>
      <c r="O73" s="165">
        <v>0</v>
      </c>
      <c r="P73" s="165">
        <v>0.54</v>
      </c>
      <c r="Q73" s="165">
        <v>5.07</v>
      </c>
      <c r="R73" s="13"/>
      <c r="S73" s="13"/>
      <c r="T73" s="213"/>
      <c r="U73" s="13"/>
    </row>
    <row r="74" customFormat="1" spans="1:21">
      <c r="A74" s="142" t="s">
        <v>1176</v>
      </c>
      <c r="B74" s="165">
        <v>5.24</v>
      </c>
      <c r="C74" s="165">
        <v>58.68</v>
      </c>
      <c r="D74" s="165">
        <v>36.21</v>
      </c>
      <c r="E74" s="165">
        <v>23.65</v>
      </c>
      <c r="F74" s="165">
        <v>52.98</v>
      </c>
      <c r="G74" s="165">
        <v>50.17</v>
      </c>
      <c r="H74" s="165">
        <v>21.9</v>
      </c>
      <c r="I74" s="165">
        <v>4.74</v>
      </c>
      <c r="J74" s="165">
        <v>0.41</v>
      </c>
      <c r="K74" s="165">
        <v>66.62</v>
      </c>
      <c r="L74" s="165">
        <v>40.01</v>
      </c>
      <c r="M74" s="165">
        <v>10.9</v>
      </c>
      <c r="N74" s="165">
        <v>212.5</v>
      </c>
      <c r="O74" s="165">
        <v>0</v>
      </c>
      <c r="P74" s="165">
        <v>0.56</v>
      </c>
      <c r="Q74" s="165">
        <v>5.03</v>
      </c>
      <c r="R74" s="13"/>
      <c r="S74" s="13"/>
      <c r="T74" s="213"/>
      <c r="U74" s="13"/>
    </row>
    <row r="75" customFormat="1" spans="1:21">
      <c r="A75" s="142" t="s">
        <v>1177</v>
      </c>
      <c r="B75" s="165">
        <v>4.8</v>
      </c>
      <c r="C75" s="165">
        <v>54.34</v>
      </c>
      <c r="D75" s="165">
        <v>33.59</v>
      </c>
      <c r="E75" s="165">
        <v>24.46</v>
      </c>
      <c r="F75" s="165">
        <v>60.57</v>
      </c>
      <c r="G75" s="165">
        <v>50.7</v>
      </c>
      <c r="H75" s="165">
        <v>21.75</v>
      </c>
      <c r="I75" s="165">
        <v>4.54</v>
      </c>
      <c r="J75" s="165">
        <v>0.28</v>
      </c>
      <c r="K75" s="165">
        <v>203.46</v>
      </c>
      <c r="L75" s="165">
        <v>40</v>
      </c>
      <c r="M75" s="165">
        <v>12.86</v>
      </c>
      <c r="N75" s="165">
        <v>168.3</v>
      </c>
      <c r="O75" s="165">
        <v>0</v>
      </c>
      <c r="P75" s="165">
        <v>0.52</v>
      </c>
      <c r="Q75" s="165">
        <v>5.04</v>
      </c>
      <c r="R75" s="13"/>
      <c r="S75" s="13"/>
      <c r="T75" s="213"/>
      <c r="U75" s="13"/>
    </row>
    <row r="76" customFormat="1" spans="1:21">
      <c r="A76" s="142" t="s">
        <v>1178</v>
      </c>
      <c r="B76" s="165">
        <v>4.62</v>
      </c>
      <c r="C76" s="165">
        <v>55.18</v>
      </c>
      <c r="D76" s="165">
        <v>33.89</v>
      </c>
      <c r="E76" s="165">
        <v>25.48</v>
      </c>
      <c r="F76" s="165">
        <v>68.19</v>
      </c>
      <c r="G76" s="165">
        <v>52</v>
      </c>
      <c r="H76" s="165">
        <v>21.51</v>
      </c>
      <c r="I76" s="165">
        <v>4.4</v>
      </c>
      <c r="J76" s="165">
        <v>0.29</v>
      </c>
      <c r="K76" s="165">
        <v>166.26</v>
      </c>
      <c r="L76" s="165">
        <v>39.39</v>
      </c>
      <c r="M76" s="165">
        <v>13.4</v>
      </c>
      <c r="N76" s="165">
        <v>128.6</v>
      </c>
      <c r="O76" s="165">
        <v>0</v>
      </c>
      <c r="P76" s="165">
        <v>0.52</v>
      </c>
      <c r="Q76" s="165">
        <v>5.01</v>
      </c>
      <c r="R76" s="13"/>
      <c r="S76" s="13"/>
      <c r="T76" s="213"/>
      <c r="U76" s="13"/>
    </row>
    <row r="77" customFormat="1" spans="1:21">
      <c r="A77" s="142" t="s">
        <v>1179</v>
      </c>
      <c r="B77" s="165">
        <v>4.59</v>
      </c>
      <c r="C77" s="165">
        <v>56.44</v>
      </c>
      <c r="D77" s="165">
        <v>34.52</v>
      </c>
      <c r="E77" s="165">
        <v>23.82</v>
      </c>
      <c r="F77" s="165">
        <v>53.15</v>
      </c>
      <c r="G77" s="165">
        <v>52</v>
      </c>
      <c r="H77" s="165">
        <v>21.51</v>
      </c>
      <c r="I77" s="165">
        <v>4.31</v>
      </c>
      <c r="J77" s="165">
        <v>0.31</v>
      </c>
      <c r="K77" s="165">
        <v>225.12</v>
      </c>
      <c r="L77" s="165">
        <v>38.71</v>
      </c>
      <c r="M77" s="165">
        <v>15.23</v>
      </c>
      <c r="N77" s="165">
        <v>88.8</v>
      </c>
      <c r="O77" s="165">
        <v>0</v>
      </c>
      <c r="P77" s="165">
        <v>0.54</v>
      </c>
      <c r="Q77" s="165">
        <v>4.94</v>
      </c>
      <c r="R77" s="13"/>
      <c r="S77" s="13"/>
      <c r="T77" s="213"/>
      <c r="U77" s="13"/>
    </row>
    <row r="78" customFormat="1" spans="1:21">
      <c r="A78" s="142" t="s">
        <v>1180</v>
      </c>
      <c r="B78" s="165">
        <v>4.53</v>
      </c>
      <c r="C78" s="165">
        <v>55.24</v>
      </c>
      <c r="D78" s="165">
        <v>33.84</v>
      </c>
      <c r="E78" s="165">
        <v>19.6</v>
      </c>
      <c r="F78" s="165">
        <v>55.65</v>
      </c>
      <c r="G78" s="165">
        <v>52</v>
      </c>
      <c r="H78" s="165">
        <v>21.51</v>
      </c>
      <c r="I78" s="165">
        <v>4.23</v>
      </c>
      <c r="J78" s="165">
        <v>-0.13</v>
      </c>
      <c r="K78" s="165">
        <v>-0.17</v>
      </c>
      <c r="L78" s="165">
        <v>37.78</v>
      </c>
      <c r="M78" s="165">
        <v>16.5</v>
      </c>
      <c r="N78" s="165">
        <v>58.8</v>
      </c>
      <c r="O78" s="165">
        <v>0</v>
      </c>
      <c r="P78" s="165">
        <v>0.53</v>
      </c>
      <c r="Q78" s="165">
        <v>4.94</v>
      </c>
      <c r="R78" s="13"/>
      <c r="S78" s="13"/>
      <c r="T78" s="213"/>
      <c r="U78" s="13"/>
    </row>
    <row r="79" customFormat="1" spans="1:21">
      <c r="A79" s="142" t="s">
        <v>1181</v>
      </c>
      <c r="B79" s="165">
        <v>4.51</v>
      </c>
      <c r="C79" s="165">
        <v>51.76</v>
      </c>
      <c r="D79" s="165">
        <v>32.13</v>
      </c>
      <c r="E79" s="165">
        <v>20.92</v>
      </c>
      <c r="F79" s="165">
        <v>63.53</v>
      </c>
      <c r="G79" s="165">
        <v>50.75</v>
      </c>
      <c r="H79" s="165">
        <v>21.7</v>
      </c>
      <c r="I79" s="165">
        <v>4.32</v>
      </c>
      <c r="J79" s="165">
        <v>0.13</v>
      </c>
      <c r="K79" s="165">
        <v>201.25</v>
      </c>
      <c r="L79" s="165">
        <v>37.06</v>
      </c>
      <c r="M79" s="165">
        <v>17.34</v>
      </c>
      <c r="N79" s="165">
        <v>24.1</v>
      </c>
      <c r="O79" s="165">
        <v>0</v>
      </c>
      <c r="P79" s="165">
        <v>0.52</v>
      </c>
      <c r="Q79" s="165">
        <v>4.95</v>
      </c>
      <c r="R79" s="13"/>
      <c r="S79" s="13"/>
      <c r="T79" s="213"/>
      <c r="U79" s="13"/>
    </row>
    <row r="80" customFormat="1" spans="1:21">
      <c r="A80" s="142" t="s">
        <v>1182</v>
      </c>
      <c r="B80" s="165">
        <v>4.49</v>
      </c>
      <c r="C80" s="165">
        <v>50.93</v>
      </c>
      <c r="D80" s="165">
        <v>31.56</v>
      </c>
      <c r="E80" s="165">
        <v>20.71</v>
      </c>
      <c r="F80" s="165">
        <v>56.38</v>
      </c>
      <c r="G80" s="165">
        <v>48.39</v>
      </c>
      <c r="H80" s="165">
        <v>21.75</v>
      </c>
      <c r="I80" s="165">
        <v>4.24</v>
      </c>
      <c r="J80" s="165">
        <v>0.1</v>
      </c>
      <c r="K80" s="165">
        <v>174.07</v>
      </c>
      <c r="L80" s="165">
        <v>36.16</v>
      </c>
      <c r="M80" s="165">
        <v>18.89</v>
      </c>
      <c r="N80" s="165">
        <v>9.8</v>
      </c>
      <c r="O80" s="165">
        <v>0</v>
      </c>
      <c r="P80" s="165">
        <v>0.54</v>
      </c>
      <c r="Q80" s="165">
        <v>4.91</v>
      </c>
      <c r="R80" s="13"/>
      <c r="S80" s="13"/>
      <c r="T80" s="213"/>
      <c r="U80" s="13"/>
    </row>
    <row r="81" customFormat="1" spans="1:21">
      <c r="A81" s="142" t="s">
        <v>1183</v>
      </c>
      <c r="B81" s="165">
        <v>4.69</v>
      </c>
      <c r="C81" s="165">
        <v>51.12</v>
      </c>
      <c r="D81" s="165">
        <v>31.82</v>
      </c>
      <c r="E81" s="165">
        <v>13.02</v>
      </c>
      <c r="F81" s="165">
        <v>54.7</v>
      </c>
      <c r="G81" s="165">
        <v>48.39</v>
      </c>
      <c r="H81" s="165">
        <v>21.75</v>
      </c>
      <c r="I81" s="165">
        <v>4.07</v>
      </c>
      <c r="J81" s="165">
        <v>0.26</v>
      </c>
      <c r="K81" s="165">
        <v>155.4</v>
      </c>
      <c r="L81" s="165">
        <v>35.3</v>
      </c>
      <c r="M81" s="165">
        <v>21.06</v>
      </c>
      <c r="N81" s="165">
        <v>0.2</v>
      </c>
      <c r="O81" s="165">
        <v>0</v>
      </c>
      <c r="P81" s="165">
        <v>0.54</v>
      </c>
      <c r="Q81" s="165">
        <v>4.83</v>
      </c>
      <c r="R81" s="13"/>
      <c r="S81" s="13"/>
      <c r="T81" s="213"/>
      <c r="U81" s="13"/>
    </row>
    <row r="82" customFormat="1" spans="1:21">
      <c r="A82" s="142" t="s">
        <v>1184</v>
      </c>
      <c r="B82" s="165">
        <v>4.82</v>
      </c>
      <c r="C82" s="165">
        <v>52.3</v>
      </c>
      <c r="D82" s="165">
        <v>32.54</v>
      </c>
      <c r="E82" s="165">
        <v>15.53</v>
      </c>
      <c r="F82" s="165">
        <v>45.03</v>
      </c>
      <c r="G82" s="165">
        <v>48.39</v>
      </c>
      <c r="H82" s="165">
        <v>21.75</v>
      </c>
      <c r="I82" s="165">
        <v>4.2</v>
      </c>
      <c r="J82" s="165">
        <v>0.28</v>
      </c>
      <c r="K82" s="165">
        <v>156.39</v>
      </c>
      <c r="L82" s="165">
        <v>34.44</v>
      </c>
      <c r="M82" s="165">
        <v>23.48</v>
      </c>
      <c r="N82" s="165">
        <v>0</v>
      </c>
      <c r="O82" s="165">
        <v>0</v>
      </c>
      <c r="P82" s="165">
        <v>0.53</v>
      </c>
      <c r="Q82" s="165">
        <v>4.81</v>
      </c>
      <c r="R82" s="13"/>
      <c r="S82" s="13"/>
      <c r="T82" s="213"/>
      <c r="U82" s="13"/>
    </row>
    <row r="83" customFormat="1" spans="1:21">
      <c r="A83" s="142" t="s">
        <v>1185</v>
      </c>
      <c r="B83" s="165">
        <v>4.46</v>
      </c>
      <c r="C83" s="165">
        <v>46.86</v>
      </c>
      <c r="D83" s="165">
        <v>29.41</v>
      </c>
      <c r="E83" s="165">
        <v>12.96</v>
      </c>
      <c r="F83" s="165">
        <v>46.45</v>
      </c>
      <c r="G83" s="165">
        <v>50.17</v>
      </c>
      <c r="H83" s="165">
        <v>21.83</v>
      </c>
      <c r="I83" s="165">
        <v>4.25</v>
      </c>
      <c r="J83" s="165">
        <v>0.25</v>
      </c>
      <c r="K83" s="165">
        <v>156.5</v>
      </c>
      <c r="L83" s="165">
        <v>33.49</v>
      </c>
      <c r="M83" s="165">
        <v>28.06</v>
      </c>
      <c r="N83" s="165">
        <v>0</v>
      </c>
      <c r="O83" s="165">
        <v>0</v>
      </c>
      <c r="P83" s="165">
        <v>0.56</v>
      </c>
      <c r="Q83" s="165">
        <v>4.76</v>
      </c>
      <c r="R83" s="13"/>
      <c r="S83" s="13"/>
      <c r="T83" s="213"/>
      <c r="U83" s="13"/>
    </row>
    <row r="84" customFormat="1" spans="1:21">
      <c r="A84" s="142" t="s">
        <v>1186</v>
      </c>
      <c r="B84" s="165">
        <v>4.77</v>
      </c>
      <c r="C84" s="165">
        <v>44.16</v>
      </c>
      <c r="D84" s="165">
        <v>28.25</v>
      </c>
      <c r="E84" s="165">
        <v>16.31</v>
      </c>
      <c r="F84" s="165">
        <v>52.89</v>
      </c>
      <c r="G84" s="165">
        <v>54.55</v>
      </c>
      <c r="H84" s="165">
        <v>22.13</v>
      </c>
      <c r="I84" s="165">
        <v>4.39</v>
      </c>
      <c r="J84" s="165">
        <v>0.19</v>
      </c>
      <c r="K84" s="165">
        <v>149.2</v>
      </c>
      <c r="L84" s="165">
        <v>32.68</v>
      </c>
      <c r="M84" s="165">
        <v>28.62</v>
      </c>
      <c r="N84" s="165">
        <v>0</v>
      </c>
      <c r="O84" s="165">
        <v>0</v>
      </c>
      <c r="P84" s="165">
        <v>0.59</v>
      </c>
      <c r="Q84" s="165">
        <v>4.76</v>
      </c>
      <c r="R84" s="13"/>
      <c r="S84" s="13"/>
      <c r="T84" s="213"/>
      <c r="U84" s="13"/>
    </row>
    <row r="85" customFormat="1" spans="1:21">
      <c r="A85" s="142" t="s">
        <v>1187</v>
      </c>
      <c r="B85" s="165">
        <v>5.28</v>
      </c>
      <c r="C85" s="165">
        <v>50.43</v>
      </c>
      <c r="D85" s="165">
        <v>31.93</v>
      </c>
      <c r="E85" s="165">
        <v>16.15</v>
      </c>
      <c r="F85" s="165">
        <v>42.09</v>
      </c>
      <c r="G85" s="165">
        <v>54.55</v>
      </c>
      <c r="H85" s="165">
        <v>22.13</v>
      </c>
      <c r="I85" s="165">
        <v>4.63</v>
      </c>
      <c r="J85" s="165">
        <v>0.2</v>
      </c>
      <c r="K85" s="165">
        <v>153.95</v>
      </c>
      <c r="L85" s="165">
        <v>32.34</v>
      </c>
      <c r="M85" s="165">
        <v>27.57</v>
      </c>
      <c r="N85" s="165">
        <v>0</v>
      </c>
      <c r="O85" s="165">
        <v>0</v>
      </c>
      <c r="P85" s="165">
        <v>0.59</v>
      </c>
      <c r="Q85" s="165">
        <v>4.67</v>
      </c>
      <c r="R85" s="13"/>
      <c r="S85" s="13"/>
      <c r="T85" s="213"/>
      <c r="U85" s="13"/>
    </row>
    <row r="86" customFormat="1" spans="1:21">
      <c r="A86" s="142" t="s">
        <v>1188</v>
      </c>
      <c r="B86" s="165">
        <v>5.08</v>
      </c>
      <c r="C86" s="165">
        <v>45.57</v>
      </c>
      <c r="D86" s="165">
        <v>29.24</v>
      </c>
      <c r="E86" s="165">
        <v>15.71</v>
      </c>
      <c r="F86" s="165">
        <v>40.62</v>
      </c>
      <c r="G86" s="165">
        <v>54.55</v>
      </c>
      <c r="H86" s="165">
        <v>22.13</v>
      </c>
      <c r="I86" s="165">
        <v>4.89</v>
      </c>
      <c r="J86" s="165">
        <v>0.17</v>
      </c>
      <c r="K86" s="165">
        <v>144.41</v>
      </c>
      <c r="L86" s="165">
        <v>31.92</v>
      </c>
      <c r="M86" s="165">
        <v>30.5</v>
      </c>
      <c r="N86" s="165">
        <v>0</v>
      </c>
      <c r="O86" s="165">
        <v>0</v>
      </c>
      <c r="P86" s="165">
        <v>0.62</v>
      </c>
      <c r="Q86" s="165">
        <v>4.66</v>
      </c>
      <c r="R86" s="13"/>
      <c r="S86" s="13"/>
      <c r="T86" s="213"/>
      <c r="U86" s="13"/>
    </row>
    <row r="87" customFormat="1" spans="1:21">
      <c r="A87" s="142" t="s">
        <v>1189</v>
      </c>
      <c r="B87" s="165">
        <v>6.01</v>
      </c>
      <c r="C87" s="165">
        <v>54.56</v>
      </c>
      <c r="D87" s="165">
        <v>34.67</v>
      </c>
      <c r="E87" s="165">
        <v>12.96</v>
      </c>
      <c r="F87" s="165">
        <v>26.04</v>
      </c>
      <c r="G87" s="165">
        <v>55.25</v>
      </c>
      <c r="H87" s="165">
        <v>21.39</v>
      </c>
      <c r="I87" s="165">
        <v>5.11</v>
      </c>
      <c r="J87" s="165">
        <v>0.17</v>
      </c>
      <c r="K87" s="165">
        <v>169.38</v>
      </c>
      <c r="L87" s="165">
        <v>31.03</v>
      </c>
      <c r="M87" s="165">
        <v>34.15</v>
      </c>
      <c r="N87" s="165">
        <v>0</v>
      </c>
      <c r="O87" s="165">
        <v>0</v>
      </c>
      <c r="P87" s="165">
        <v>0.63</v>
      </c>
      <c r="Q87" s="165">
        <v>4.71</v>
      </c>
      <c r="R87" s="13"/>
      <c r="S87" s="13"/>
      <c r="T87" s="213"/>
      <c r="U87" s="13"/>
    </row>
    <row r="88" customFormat="1" spans="1:21">
      <c r="A88" s="142" t="s">
        <v>1190</v>
      </c>
      <c r="B88" s="165">
        <v>5.83</v>
      </c>
      <c r="C88" s="165">
        <v>48.71</v>
      </c>
      <c r="D88" s="165">
        <v>31.48</v>
      </c>
      <c r="E88" s="165">
        <v>13.27</v>
      </c>
      <c r="F88" s="165">
        <v>32.24</v>
      </c>
      <c r="G88" s="165">
        <v>56.98</v>
      </c>
      <c r="H88" s="165">
        <v>20.16</v>
      </c>
      <c r="I88" s="165">
        <v>5.27</v>
      </c>
      <c r="J88" s="165">
        <v>0.12</v>
      </c>
      <c r="K88" s="165">
        <v>198.14</v>
      </c>
      <c r="L88" s="165">
        <v>30.73</v>
      </c>
      <c r="M88" s="165">
        <v>30.92</v>
      </c>
      <c r="N88" s="165">
        <v>0</v>
      </c>
      <c r="O88" s="165">
        <v>0</v>
      </c>
      <c r="P88" s="165">
        <v>0.63</v>
      </c>
      <c r="Q88" s="165">
        <v>4.72</v>
      </c>
      <c r="R88" s="13"/>
      <c r="S88" s="13"/>
      <c r="T88" s="213"/>
      <c r="U88" s="13"/>
    </row>
    <row r="89" customFormat="1" spans="1:21">
      <c r="A89" s="142" t="s">
        <v>1191</v>
      </c>
      <c r="B89" s="165">
        <v>6.1</v>
      </c>
      <c r="C89" s="165">
        <v>49.93</v>
      </c>
      <c r="D89" s="165">
        <v>32.33</v>
      </c>
      <c r="E89" s="165">
        <v>12.58</v>
      </c>
      <c r="F89" s="165">
        <v>26.01</v>
      </c>
      <c r="G89" s="165">
        <v>56.98</v>
      </c>
      <c r="H89" s="165">
        <v>20.16</v>
      </c>
      <c r="I89" s="165">
        <v>5.4</v>
      </c>
      <c r="J89" s="165">
        <v>0.1</v>
      </c>
      <c r="K89" s="165">
        <v>162.11</v>
      </c>
      <c r="L89" s="165">
        <v>30.8</v>
      </c>
      <c r="M89" s="165">
        <v>30.97</v>
      </c>
      <c r="N89" s="165">
        <v>0</v>
      </c>
      <c r="O89" s="165">
        <v>0</v>
      </c>
      <c r="P89" s="165">
        <v>0.66</v>
      </c>
      <c r="Q89" s="165">
        <v>4.74</v>
      </c>
      <c r="R89" s="13"/>
      <c r="S89" s="13"/>
      <c r="T89" s="213"/>
      <c r="U89" s="13"/>
    </row>
    <row r="90" customFormat="1" spans="1:21">
      <c r="A90" s="142" t="s">
        <v>1192</v>
      </c>
      <c r="B90" s="165">
        <v>6.36</v>
      </c>
      <c r="C90" s="165">
        <v>51.66</v>
      </c>
      <c r="D90" s="165">
        <v>33.45</v>
      </c>
      <c r="E90" s="165">
        <v>12.44</v>
      </c>
      <c r="F90" s="165">
        <v>26.71</v>
      </c>
      <c r="G90" s="165">
        <v>56.98</v>
      </c>
      <c r="H90" s="165">
        <v>20.16</v>
      </c>
      <c r="I90" s="165">
        <v>5.53</v>
      </c>
      <c r="J90" s="165">
        <v>0.12</v>
      </c>
      <c r="K90" s="165">
        <v>159.29</v>
      </c>
      <c r="L90" s="165">
        <v>30.6</v>
      </c>
      <c r="M90" s="165">
        <v>31.82</v>
      </c>
      <c r="N90" s="165">
        <v>0</v>
      </c>
      <c r="O90" s="165">
        <v>0</v>
      </c>
      <c r="P90" s="165">
        <v>0.67</v>
      </c>
      <c r="Q90" s="165">
        <v>4.74</v>
      </c>
      <c r="R90" s="13"/>
      <c r="S90" s="13"/>
      <c r="T90" s="213"/>
      <c r="U90" s="13"/>
    </row>
    <row r="91" customFormat="1" spans="1:21">
      <c r="A91" s="142" t="s">
        <v>1193</v>
      </c>
      <c r="B91" s="165">
        <v>6.79</v>
      </c>
      <c r="C91" s="165">
        <v>53.2</v>
      </c>
      <c r="D91" s="165">
        <v>34.59</v>
      </c>
      <c r="E91" s="165">
        <v>11.56</v>
      </c>
      <c r="F91" s="165">
        <v>21.1</v>
      </c>
      <c r="G91" s="165">
        <v>59.22</v>
      </c>
      <c r="H91" s="165">
        <v>21.49</v>
      </c>
      <c r="I91" s="165">
        <v>5.83</v>
      </c>
      <c r="J91" s="165">
        <v>0.2</v>
      </c>
      <c r="K91" s="165">
        <v>148.99</v>
      </c>
      <c r="L91" s="165">
        <v>30.45</v>
      </c>
      <c r="M91" s="165">
        <v>34.62</v>
      </c>
      <c r="N91" s="165">
        <v>0</v>
      </c>
      <c r="O91" s="165">
        <v>0</v>
      </c>
      <c r="P91" s="165">
        <v>0.69</v>
      </c>
      <c r="Q91" s="165">
        <v>4.78</v>
      </c>
      <c r="R91" s="13"/>
      <c r="S91" s="13"/>
      <c r="T91" s="213"/>
      <c r="U91" s="13"/>
    </row>
    <row r="92" customFormat="1" spans="1:21">
      <c r="A92" s="142" t="s">
        <v>1194</v>
      </c>
      <c r="B92" s="165">
        <v>7.2</v>
      </c>
      <c r="C92" s="165">
        <v>52.85</v>
      </c>
      <c r="D92" s="165">
        <v>34.74</v>
      </c>
      <c r="E92" s="165">
        <v>10.97</v>
      </c>
      <c r="F92" s="165">
        <v>19.76</v>
      </c>
      <c r="G92" s="165">
        <v>64.74</v>
      </c>
      <c r="H92" s="165">
        <v>23.65</v>
      </c>
      <c r="I92" s="165">
        <v>6.01</v>
      </c>
      <c r="J92" s="165">
        <v>0.23</v>
      </c>
      <c r="K92" s="165">
        <v>151.1</v>
      </c>
      <c r="L92" s="165">
        <v>30.17</v>
      </c>
      <c r="M92" s="165">
        <v>35.04</v>
      </c>
      <c r="N92" s="165">
        <v>0</v>
      </c>
      <c r="O92" s="165">
        <v>0</v>
      </c>
      <c r="P92" s="165">
        <v>0.69</v>
      </c>
      <c r="Q92" s="165">
        <v>4.81</v>
      </c>
      <c r="R92" s="13"/>
      <c r="S92" s="13"/>
      <c r="T92" s="213"/>
      <c r="U92" s="13"/>
    </row>
    <row r="93" customFormat="1" spans="1:21">
      <c r="A93" s="142" t="s">
        <v>1195</v>
      </c>
      <c r="B93" s="165">
        <v>7.5</v>
      </c>
      <c r="C93" s="165">
        <v>53.54</v>
      </c>
      <c r="D93" s="165">
        <v>35.34</v>
      </c>
      <c r="E93" s="165">
        <v>10.22</v>
      </c>
      <c r="F93" s="165">
        <v>17.12</v>
      </c>
      <c r="G93" s="165">
        <v>64.74</v>
      </c>
      <c r="H93" s="165">
        <v>23.65</v>
      </c>
      <c r="I93" s="165">
        <v>6.06</v>
      </c>
      <c r="J93" s="165">
        <v>0.14</v>
      </c>
      <c r="K93" s="165">
        <v>159.26</v>
      </c>
      <c r="L93" s="165">
        <v>29.66</v>
      </c>
      <c r="M93" s="165">
        <v>37.12</v>
      </c>
      <c r="N93" s="165">
        <v>0</v>
      </c>
      <c r="O93" s="165">
        <v>0</v>
      </c>
      <c r="P93" s="165">
        <v>0.7</v>
      </c>
      <c r="Q93" s="165">
        <v>4.84</v>
      </c>
      <c r="R93" s="13"/>
      <c r="S93" s="13"/>
      <c r="T93" s="213"/>
      <c r="U93" s="13"/>
    </row>
    <row r="94" customFormat="1" spans="1:21">
      <c r="A94" s="142" t="s">
        <v>1196</v>
      </c>
      <c r="B94" s="165">
        <v>7.27</v>
      </c>
      <c r="C94" s="165">
        <v>50.01</v>
      </c>
      <c r="D94" s="165">
        <v>33.31</v>
      </c>
      <c r="E94" s="165">
        <v>10.76</v>
      </c>
      <c r="F94" s="165">
        <v>25.13</v>
      </c>
      <c r="G94" s="165">
        <v>64.74</v>
      </c>
      <c r="H94" s="165">
        <v>23.65</v>
      </c>
      <c r="I94" s="165">
        <v>6.12</v>
      </c>
      <c r="J94" s="165">
        <v>0.07</v>
      </c>
      <c r="K94" s="165">
        <v>167.11</v>
      </c>
      <c r="L94" s="165">
        <v>29.38</v>
      </c>
      <c r="M94" s="165">
        <v>34.26</v>
      </c>
      <c r="N94" s="165">
        <v>0</v>
      </c>
      <c r="O94" s="165">
        <v>0</v>
      </c>
      <c r="P94" s="165">
        <v>0.69</v>
      </c>
      <c r="Q94" s="165">
        <v>4.88</v>
      </c>
      <c r="R94" s="13"/>
      <c r="S94" s="13"/>
      <c r="T94" s="213"/>
      <c r="U94" s="13"/>
    </row>
    <row r="95" customFormat="1" spans="1:21">
      <c r="A95" s="142" t="s">
        <v>1197</v>
      </c>
      <c r="B95" s="165">
        <v>8.3</v>
      </c>
      <c r="C95" s="165">
        <v>56.55</v>
      </c>
      <c r="D95" s="165">
        <v>37.55</v>
      </c>
      <c r="E95" s="165">
        <v>10.46</v>
      </c>
      <c r="F95" s="165">
        <v>16.9</v>
      </c>
      <c r="G95" s="165">
        <v>65.65</v>
      </c>
      <c r="H95" s="165">
        <v>25</v>
      </c>
      <c r="I95" s="165">
        <v>6.12</v>
      </c>
      <c r="J95" s="165">
        <v>0.16</v>
      </c>
      <c r="K95" s="165">
        <v>163.88</v>
      </c>
      <c r="L95" s="165">
        <v>29.33</v>
      </c>
      <c r="M95" s="165">
        <v>34.82</v>
      </c>
      <c r="N95" s="165">
        <v>0</v>
      </c>
      <c r="O95" s="165">
        <v>0</v>
      </c>
      <c r="P95" s="165">
        <v>0.68</v>
      </c>
      <c r="Q95" s="165">
        <v>4.86</v>
      </c>
      <c r="R95" s="13"/>
      <c r="S95" s="13"/>
      <c r="T95" s="213"/>
      <c r="U95" s="13"/>
    </row>
    <row r="96" customFormat="1" spans="1:26">
      <c r="A96" s="142" t="s">
        <v>1198</v>
      </c>
      <c r="B96" s="165">
        <v>8.38</v>
      </c>
      <c r="C96" s="165">
        <v>55.17</v>
      </c>
      <c r="D96" s="165">
        <v>36.9</v>
      </c>
      <c r="E96" s="165">
        <v>9.38</v>
      </c>
      <c r="F96" s="165">
        <v>13.88</v>
      </c>
      <c r="G96" s="165">
        <v>67.88</v>
      </c>
      <c r="H96" s="165">
        <v>27.11</v>
      </c>
      <c r="I96" s="165">
        <v>5.95</v>
      </c>
      <c r="J96" s="165">
        <v>0.21</v>
      </c>
      <c r="K96" s="165">
        <v>155.2</v>
      </c>
      <c r="L96" s="165">
        <v>28.96</v>
      </c>
      <c r="M96" s="165">
        <v>39.81</v>
      </c>
      <c r="N96" s="165">
        <v>0</v>
      </c>
      <c r="O96" s="165">
        <v>0</v>
      </c>
      <c r="P96" s="165">
        <v>0.7</v>
      </c>
      <c r="Q96" s="165">
        <v>4.95</v>
      </c>
      <c r="R96" s="13"/>
      <c r="S96" s="13"/>
      <c r="T96" s="213"/>
      <c r="U96" s="13"/>
      <c r="Z96" s="222"/>
    </row>
    <row r="97" customFormat="1" spans="1:21">
      <c r="A97" s="142" t="s">
        <v>1199</v>
      </c>
      <c r="B97" s="165">
        <v>8.97</v>
      </c>
      <c r="C97" s="165">
        <v>56.94</v>
      </c>
      <c r="D97" s="165">
        <v>38.29</v>
      </c>
      <c r="E97" s="165">
        <v>8.69</v>
      </c>
      <c r="F97" s="165">
        <v>11.91</v>
      </c>
      <c r="G97" s="165">
        <v>67.88</v>
      </c>
      <c r="H97" s="165">
        <v>27.11</v>
      </c>
      <c r="I97" s="165">
        <v>5.94</v>
      </c>
      <c r="J97" s="165">
        <v>0.27</v>
      </c>
      <c r="K97" s="165">
        <v>155.8</v>
      </c>
      <c r="L97" s="165">
        <v>28.55</v>
      </c>
      <c r="M97" s="165">
        <v>42.88</v>
      </c>
      <c r="N97" s="165">
        <v>0</v>
      </c>
      <c r="O97" s="165">
        <v>0</v>
      </c>
      <c r="P97" s="165">
        <v>0.7</v>
      </c>
      <c r="Q97" s="165">
        <v>4.94</v>
      </c>
      <c r="R97" s="13"/>
      <c r="S97" s="13"/>
      <c r="T97" s="213"/>
      <c r="U97" s="13"/>
    </row>
    <row r="98" customFormat="1" spans="1:21">
      <c r="A98" s="142" t="s">
        <v>1200</v>
      </c>
      <c r="B98" s="165">
        <v>9.26</v>
      </c>
      <c r="C98" s="165">
        <v>55.98</v>
      </c>
      <c r="D98" s="165">
        <v>38.02</v>
      </c>
      <c r="E98" s="165">
        <v>8.99</v>
      </c>
      <c r="F98" s="165">
        <v>12.07</v>
      </c>
      <c r="G98" s="165">
        <v>67.88</v>
      </c>
      <c r="H98" s="165">
        <v>27.11</v>
      </c>
      <c r="I98" s="165">
        <v>6.09</v>
      </c>
      <c r="J98" s="165">
        <v>0.17</v>
      </c>
      <c r="K98" s="165">
        <v>174.1</v>
      </c>
      <c r="L98" s="165">
        <v>28.2</v>
      </c>
      <c r="M98" s="165">
        <v>39.37</v>
      </c>
      <c r="N98" s="165">
        <v>0</v>
      </c>
      <c r="O98" s="165">
        <v>0</v>
      </c>
      <c r="P98" s="165">
        <v>0.7</v>
      </c>
      <c r="Q98" s="165">
        <v>4.97</v>
      </c>
      <c r="R98" s="13"/>
      <c r="S98" s="13"/>
      <c r="T98" s="213"/>
      <c r="U98" s="13"/>
    </row>
    <row r="99" customFormat="1" spans="1:21">
      <c r="A99" s="142" t="s">
        <v>1201</v>
      </c>
      <c r="B99" s="165">
        <v>9.61</v>
      </c>
      <c r="C99" s="165">
        <v>57.43</v>
      </c>
      <c r="D99" s="165">
        <v>39.06</v>
      </c>
      <c r="E99" s="165">
        <v>8.96</v>
      </c>
      <c r="F99" s="165">
        <v>11.44</v>
      </c>
      <c r="G99" s="165">
        <v>68.3</v>
      </c>
      <c r="H99" s="165">
        <v>26.05</v>
      </c>
      <c r="I99" s="165">
        <v>6.15</v>
      </c>
      <c r="J99" s="165">
        <v>0.11</v>
      </c>
      <c r="K99" s="165">
        <v>133.76</v>
      </c>
      <c r="L99" s="165">
        <v>28.1</v>
      </c>
      <c r="M99" s="165">
        <v>39.15</v>
      </c>
      <c r="N99" s="165">
        <v>0</v>
      </c>
      <c r="O99" s="165">
        <v>0</v>
      </c>
      <c r="P99" s="165">
        <v>0.71</v>
      </c>
      <c r="Q99" s="165">
        <v>5.03</v>
      </c>
      <c r="R99" s="13"/>
      <c r="S99" s="13"/>
      <c r="T99" s="213"/>
      <c r="U99" s="13"/>
    </row>
    <row r="100" customFormat="1" spans="1:33">
      <c r="A100" s="142" t="s">
        <v>1202</v>
      </c>
      <c r="B100" s="165">
        <v>9.87</v>
      </c>
      <c r="C100" s="165">
        <v>57.94</v>
      </c>
      <c r="D100" s="165">
        <v>39.54</v>
      </c>
      <c r="E100" s="165">
        <v>8.98</v>
      </c>
      <c r="F100" s="165">
        <v>13.56</v>
      </c>
      <c r="G100" s="165">
        <v>69.32</v>
      </c>
      <c r="H100" s="165">
        <v>24.32</v>
      </c>
      <c r="I100" s="165">
        <v>6.14</v>
      </c>
      <c r="J100" s="165">
        <v>0.13</v>
      </c>
      <c r="K100" s="165">
        <v>167.34</v>
      </c>
      <c r="L100" s="165">
        <v>28.24</v>
      </c>
      <c r="M100" s="165">
        <v>38.01</v>
      </c>
      <c r="N100" s="165">
        <v>0</v>
      </c>
      <c r="O100" s="165">
        <v>0</v>
      </c>
      <c r="P100" s="165">
        <v>0.71</v>
      </c>
      <c r="Q100" s="165">
        <v>5.1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1203</v>
      </c>
      <c r="B101" s="165">
        <v>10.07</v>
      </c>
      <c r="C101" s="165">
        <v>57.1</v>
      </c>
      <c r="D101" s="165">
        <v>39.26</v>
      </c>
      <c r="E101" s="165">
        <v>8.33</v>
      </c>
      <c r="F101" s="165">
        <v>12.07</v>
      </c>
      <c r="G101" s="165">
        <v>69.32</v>
      </c>
      <c r="H101" s="165">
        <v>24.32</v>
      </c>
      <c r="I101" s="165">
        <v>6.09</v>
      </c>
      <c r="J101" s="165">
        <v>0.17</v>
      </c>
      <c r="K101" s="165">
        <v>151.37</v>
      </c>
      <c r="L101" s="165">
        <v>28.1</v>
      </c>
      <c r="M101" s="165">
        <v>39.44</v>
      </c>
      <c r="N101" s="165">
        <v>0</v>
      </c>
      <c r="O101" s="165">
        <v>0</v>
      </c>
      <c r="P101" s="165">
        <v>0.7</v>
      </c>
      <c r="Q101" s="165">
        <v>5.1</v>
      </c>
      <c r="R101" s="13"/>
      <c r="S101" s="13"/>
      <c r="T101" s="213"/>
      <c r="U101" s="13"/>
    </row>
    <row r="102" customFormat="1" spans="1:21">
      <c r="A102" s="142" t="s">
        <v>1204</v>
      </c>
      <c r="B102" s="165">
        <v>10.84</v>
      </c>
      <c r="C102" s="165">
        <v>59.07</v>
      </c>
      <c r="D102" s="165">
        <v>40.91</v>
      </c>
      <c r="E102" s="165">
        <v>7.46</v>
      </c>
      <c r="F102" s="165">
        <v>8.17</v>
      </c>
      <c r="G102" s="165">
        <v>69.32</v>
      </c>
      <c r="H102" s="165">
        <v>24.32</v>
      </c>
      <c r="I102" s="165">
        <v>5.98</v>
      </c>
      <c r="J102" s="165">
        <v>0.27</v>
      </c>
      <c r="K102" s="165">
        <v>154.36</v>
      </c>
      <c r="L102" s="165">
        <v>27.79</v>
      </c>
      <c r="M102" s="165">
        <v>44.86</v>
      </c>
      <c r="N102" s="165">
        <v>0</v>
      </c>
      <c r="O102" s="165">
        <v>0</v>
      </c>
      <c r="P102" s="165">
        <v>0.71</v>
      </c>
      <c r="Q102" s="165">
        <v>5.13</v>
      </c>
      <c r="R102" s="13"/>
      <c r="S102" s="13"/>
      <c r="T102" s="213"/>
      <c r="U102" s="13"/>
    </row>
    <row r="103" customFormat="1" spans="1:21">
      <c r="A103" s="142" t="s">
        <v>1205</v>
      </c>
      <c r="B103" s="165">
        <v>11.78</v>
      </c>
      <c r="C103" s="165">
        <v>62.04</v>
      </c>
      <c r="D103" s="165">
        <v>43.21</v>
      </c>
      <c r="E103" s="165">
        <v>7.42</v>
      </c>
      <c r="F103" s="165">
        <v>7.12</v>
      </c>
      <c r="G103" s="165">
        <v>69.48</v>
      </c>
      <c r="H103" s="165">
        <v>25.37</v>
      </c>
      <c r="I103" s="165">
        <v>5.96</v>
      </c>
      <c r="J103" s="165">
        <v>0.21</v>
      </c>
      <c r="K103" s="165">
        <v>150.77</v>
      </c>
      <c r="L103" s="165">
        <v>27.68</v>
      </c>
      <c r="M103" s="165">
        <v>42.67</v>
      </c>
      <c r="N103" s="165">
        <v>0</v>
      </c>
      <c r="O103" s="165">
        <v>0</v>
      </c>
      <c r="P103" s="165">
        <v>0.72</v>
      </c>
      <c r="Q103" s="165">
        <v>5.19</v>
      </c>
      <c r="R103" s="13"/>
      <c r="S103" s="13"/>
      <c r="T103" s="213"/>
      <c r="U103" s="13"/>
    </row>
    <row r="104" customFormat="1" spans="1:21">
      <c r="A104" s="142" t="s">
        <v>1206</v>
      </c>
      <c r="B104" s="165">
        <v>12.18</v>
      </c>
      <c r="C104" s="165">
        <v>63.18</v>
      </c>
      <c r="D104" s="165">
        <v>44.13</v>
      </c>
      <c r="E104" s="165">
        <v>7.38</v>
      </c>
      <c r="F104" s="165">
        <v>7.37</v>
      </c>
      <c r="G104" s="165">
        <v>69.86</v>
      </c>
      <c r="H104" s="165">
        <v>27.1</v>
      </c>
      <c r="I104" s="165">
        <v>6.09</v>
      </c>
      <c r="J104" s="165">
        <v>0.19</v>
      </c>
      <c r="K104" s="165">
        <v>191.73</v>
      </c>
      <c r="L104" s="165">
        <v>27.68</v>
      </c>
      <c r="M104" s="165">
        <v>40.25</v>
      </c>
      <c r="N104" s="165">
        <v>0</v>
      </c>
      <c r="O104" s="165">
        <v>0</v>
      </c>
      <c r="P104" s="165">
        <v>0.73</v>
      </c>
      <c r="Q104" s="165">
        <v>5.37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4.44</v>
      </c>
      <c r="C106" s="215">
        <f>MIN(C9:C104)</f>
        <v>44.16</v>
      </c>
      <c r="D106" s="215">
        <f t="shared" ref="D106:Q106" si="0">MIN(D9:D104)</f>
        <v>28.25</v>
      </c>
      <c r="E106" s="215">
        <f t="shared" si="0"/>
        <v>6.23</v>
      </c>
      <c r="F106" s="215">
        <f t="shared" si="0"/>
        <v>3.51</v>
      </c>
      <c r="G106" s="215">
        <f t="shared" si="0"/>
        <v>45.12</v>
      </c>
      <c r="H106" s="215">
        <f t="shared" si="0"/>
        <v>20.16</v>
      </c>
      <c r="I106" s="215">
        <f t="shared" si="0"/>
        <v>4.07</v>
      </c>
      <c r="J106" s="215">
        <f t="shared" si="0"/>
        <v>-0.13</v>
      </c>
      <c r="K106" s="215">
        <f t="shared" si="0"/>
        <v>-0.17</v>
      </c>
      <c r="L106" s="215">
        <f t="shared" si="0"/>
        <v>23.58</v>
      </c>
      <c r="M106" s="215">
        <f t="shared" si="0"/>
        <v>10.01</v>
      </c>
      <c r="N106" s="215">
        <f t="shared" si="0"/>
        <v>0</v>
      </c>
      <c r="O106" s="215">
        <f t="shared" si="0"/>
        <v>0</v>
      </c>
      <c r="P106" s="215">
        <f t="shared" si="0"/>
        <v>0.52</v>
      </c>
      <c r="Q106" s="215">
        <f t="shared" si="0"/>
        <v>4.66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41.5</v>
      </c>
      <c r="C107" s="216">
        <f t="shared" ref="C107:Q107" si="1">MAX(C9:C104)</f>
        <v>78.81</v>
      </c>
      <c r="D107" s="216">
        <f t="shared" si="1"/>
        <v>75.47</v>
      </c>
      <c r="E107" s="216">
        <f t="shared" si="1"/>
        <v>30.75</v>
      </c>
      <c r="F107" s="216">
        <f t="shared" si="1"/>
        <v>68.19</v>
      </c>
      <c r="G107" s="216">
        <f t="shared" si="1"/>
        <v>103.47</v>
      </c>
      <c r="H107" s="216">
        <f t="shared" si="1"/>
        <v>31.57</v>
      </c>
      <c r="I107" s="216">
        <f t="shared" si="1"/>
        <v>8.24</v>
      </c>
      <c r="J107" s="216">
        <f t="shared" si="1"/>
        <v>0.85</v>
      </c>
      <c r="K107" s="216">
        <f t="shared" si="1"/>
        <v>347.18</v>
      </c>
      <c r="L107" s="216">
        <f t="shared" si="1"/>
        <v>41.25</v>
      </c>
      <c r="M107" s="216">
        <f t="shared" si="1"/>
        <v>65.46</v>
      </c>
      <c r="N107" s="216">
        <f t="shared" si="1"/>
        <v>768.9</v>
      </c>
      <c r="O107" s="216">
        <f t="shared" si="1"/>
        <v>0</v>
      </c>
      <c r="P107" s="216">
        <f t="shared" si="1"/>
        <v>0.89</v>
      </c>
      <c r="Q107" s="216">
        <f t="shared" si="1"/>
        <v>7.65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17.9994791666667</v>
      </c>
      <c r="C108" s="215">
        <f t="shared" ref="C108:Q108" si="2">AVERAGE(C9:C104)</f>
        <v>64.8110416666666</v>
      </c>
      <c r="D108" s="215">
        <f t="shared" si="2"/>
        <v>49.8020833333333</v>
      </c>
      <c r="E108" s="215">
        <f t="shared" si="2"/>
        <v>12.9728125</v>
      </c>
      <c r="F108" s="215">
        <f t="shared" si="2"/>
        <v>21.44</v>
      </c>
      <c r="G108" s="215">
        <f t="shared" si="2"/>
        <v>71.9376041666667</v>
      </c>
      <c r="H108" s="215">
        <f t="shared" si="2"/>
        <v>25.901875</v>
      </c>
      <c r="I108" s="215">
        <f t="shared" si="2"/>
        <v>6.48145833333333</v>
      </c>
      <c r="J108" s="215">
        <f t="shared" si="2"/>
        <v>0.277395833333334</v>
      </c>
      <c r="K108" s="215">
        <f t="shared" si="2"/>
        <v>151.9040625</v>
      </c>
      <c r="L108" s="215">
        <f t="shared" si="2"/>
        <v>32.274375</v>
      </c>
      <c r="M108" s="215">
        <f t="shared" si="2"/>
        <v>32.9176041666667</v>
      </c>
      <c r="N108" s="215">
        <f t="shared" si="2"/>
        <v>199.855208333333</v>
      </c>
      <c r="O108" s="215">
        <f t="shared" si="2"/>
        <v>0</v>
      </c>
      <c r="P108" s="215">
        <f t="shared" si="2"/>
        <v>0.721875</v>
      </c>
      <c r="Q108" s="215">
        <f t="shared" si="2"/>
        <v>5.93854166666667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13.089134374482</v>
      </c>
      <c r="C109" s="215">
        <f t="shared" ref="C109:Q109" si="3">STDEV(C9:C104)</f>
        <v>10.3332839309798</v>
      </c>
      <c r="D109" s="215">
        <f t="shared" si="3"/>
        <v>15.7796868701283</v>
      </c>
      <c r="E109" s="215">
        <f t="shared" si="3"/>
        <v>6.20976238262659</v>
      </c>
      <c r="F109" s="215">
        <f t="shared" si="3"/>
        <v>18.6071717356507</v>
      </c>
      <c r="G109" s="215">
        <f t="shared" si="3"/>
        <v>18.384595138596</v>
      </c>
      <c r="H109" s="215">
        <f t="shared" si="3"/>
        <v>3.44087942017888</v>
      </c>
      <c r="I109" s="215">
        <f t="shared" si="3"/>
        <v>1.25775069001993</v>
      </c>
      <c r="J109" s="215">
        <f t="shared" si="3"/>
        <v>0.188608448723339</v>
      </c>
      <c r="K109" s="215">
        <f t="shared" si="3"/>
        <v>68.0687931987405</v>
      </c>
      <c r="L109" s="215">
        <f t="shared" si="3"/>
        <v>6.1401198021057</v>
      </c>
      <c r="M109" s="215">
        <f t="shared" si="3"/>
        <v>19.4526806024418</v>
      </c>
      <c r="N109" s="215">
        <f t="shared" si="3"/>
        <v>274.949060495439</v>
      </c>
      <c r="O109" s="215">
        <f t="shared" si="3"/>
        <v>0</v>
      </c>
      <c r="P109" s="215">
        <f t="shared" si="3"/>
        <v>0.128081491328968</v>
      </c>
      <c r="Q109" s="215">
        <f t="shared" si="3"/>
        <v>1.03210156493965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45029.0104166667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01">
        <v>45029.0104166667</v>
      </c>
      <c r="B9" s="165">
        <v>13.38</v>
      </c>
      <c r="C9" s="165">
        <v>67.58</v>
      </c>
      <c r="D9" s="165">
        <v>47.39</v>
      </c>
      <c r="E9" s="165">
        <v>6.46</v>
      </c>
      <c r="F9" s="165">
        <v>5.67</v>
      </c>
      <c r="G9" s="165">
        <v>69.86</v>
      </c>
      <c r="H9" s="165">
        <v>27.1</v>
      </c>
      <c r="I9" s="165">
        <v>6.14</v>
      </c>
      <c r="J9" s="165">
        <v>0.2</v>
      </c>
      <c r="K9" s="165">
        <v>125.43</v>
      </c>
      <c r="L9" s="165">
        <v>27.3</v>
      </c>
      <c r="M9" s="165">
        <v>41.99</v>
      </c>
      <c r="N9" s="165">
        <v>0</v>
      </c>
      <c r="O9" s="165">
        <v>0</v>
      </c>
      <c r="P9" s="165">
        <v>0.74</v>
      </c>
      <c r="Q9" s="165">
        <v>5.41</v>
      </c>
      <c r="R9" s="13"/>
      <c r="S9" s="13"/>
      <c r="T9" s="213"/>
      <c r="U9" s="13"/>
    </row>
    <row r="10" customFormat="1" spans="1:21">
      <c r="A10" s="142" t="s">
        <v>1207</v>
      </c>
      <c r="B10" s="165">
        <v>14.57</v>
      </c>
      <c r="C10" s="165">
        <v>68.08</v>
      </c>
      <c r="D10" s="165">
        <v>48.61</v>
      </c>
      <c r="E10" s="165">
        <v>6.48</v>
      </c>
      <c r="F10" s="165">
        <v>4.51</v>
      </c>
      <c r="G10" s="165">
        <v>69.86</v>
      </c>
      <c r="H10" s="165">
        <v>27.1</v>
      </c>
      <c r="I10" s="165">
        <v>6.15</v>
      </c>
      <c r="J10" s="165">
        <v>0.17</v>
      </c>
      <c r="K10" s="165">
        <v>135.34</v>
      </c>
      <c r="L10" s="165">
        <v>27.4</v>
      </c>
      <c r="M10" s="165">
        <v>42.53</v>
      </c>
      <c r="N10" s="165">
        <v>0</v>
      </c>
      <c r="O10" s="165">
        <v>0</v>
      </c>
      <c r="P10" s="165">
        <v>0.74</v>
      </c>
      <c r="Q10" s="165">
        <v>5.46</v>
      </c>
      <c r="R10" s="13"/>
      <c r="S10" s="13"/>
      <c r="T10" s="213"/>
      <c r="U10" s="13"/>
    </row>
    <row r="11" customFormat="1" spans="1:21">
      <c r="A11" s="142" t="s">
        <v>1208</v>
      </c>
      <c r="B11" s="165">
        <v>13.24</v>
      </c>
      <c r="C11" s="165">
        <v>67.49</v>
      </c>
      <c r="D11" s="165">
        <v>47.23</v>
      </c>
      <c r="E11" s="165">
        <v>6.71</v>
      </c>
      <c r="F11" s="165">
        <v>4.94</v>
      </c>
      <c r="G11" s="165">
        <v>70.74</v>
      </c>
      <c r="H11" s="165">
        <v>27.13</v>
      </c>
      <c r="I11" s="165">
        <v>6.16</v>
      </c>
      <c r="J11" s="165">
        <v>0.08</v>
      </c>
      <c r="K11" s="165">
        <v>154.96</v>
      </c>
      <c r="L11" s="165">
        <v>27.3</v>
      </c>
      <c r="M11" s="165">
        <v>42.53</v>
      </c>
      <c r="N11" s="165">
        <v>0</v>
      </c>
      <c r="O11" s="165">
        <v>0</v>
      </c>
      <c r="P11" s="165">
        <v>0.74</v>
      </c>
      <c r="Q11" s="165">
        <v>5.51</v>
      </c>
      <c r="R11" s="13"/>
      <c r="S11" s="13"/>
      <c r="T11" s="213"/>
      <c r="U11" s="13"/>
    </row>
    <row r="12" customFormat="1" spans="1:21">
      <c r="A12" s="142" t="s">
        <v>1209</v>
      </c>
      <c r="B12" s="165">
        <v>13.12</v>
      </c>
      <c r="C12" s="165">
        <v>67.29</v>
      </c>
      <c r="D12" s="165">
        <v>47.03</v>
      </c>
      <c r="E12" s="165">
        <v>6.27</v>
      </c>
      <c r="F12" s="165">
        <v>5.21</v>
      </c>
      <c r="G12" s="165">
        <v>72.9</v>
      </c>
      <c r="H12" s="165">
        <v>27.22</v>
      </c>
      <c r="I12" s="165">
        <v>6.15</v>
      </c>
      <c r="J12" s="165">
        <v>0.25</v>
      </c>
      <c r="K12" s="165">
        <v>225.54</v>
      </c>
      <c r="L12" s="165">
        <v>27.02</v>
      </c>
      <c r="M12" s="165">
        <v>44.88</v>
      </c>
      <c r="N12" s="165">
        <v>0</v>
      </c>
      <c r="O12" s="165">
        <v>0</v>
      </c>
      <c r="P12" s="165">
        <v>0.74</v>
      </c>
      <c r="Q12" s="165">
        <v>5.55</v>
      </c>
      <c r="R12" s="13"/>
      <c r="S12" s="13"/>
      <c r="T12" s="213"/>
      <c r="U12" s="13"/>
    </row>
    <row r="13" customFormat="1" spans="1:21">
      <c r="A13" s="142" t="s">
        <v>1210</v>
      </c>
      <c r="B13" s="165">
        <v>13.35</v>
      </c>
      <c r="C13" s="165">
        <v>68.54</v>
      </c>
      <c r="D13" s="165">
        <v>47.87</v>
      </c>
      <c r="E13" s="165">
        <v>5.91</v>
      </c>
      <c r="F13" s="165">
        <v>4.34</v>
      </c>
      <c r="G13" s="165">
        <v>72.9</v>
      </c>
      <c r="H13" s="165">
        <v>27.22</v>
      </c>
      <c r="I13" s="165">
        <v>6.12</v>
      </c>
      <c r="J13" s="165">
        <v>0.33</v>
      </c>
      <c r="K13" s="165">
        <v>241.44</v>
      </c>
      <c r="L13" s="165">
        <v>26.62</v>
      </c>
      <c r="M13" s="165">
        <v>45.26</v>
      </c>
      <c r="N13" s="165">
        <v>0</v>
      </c>
      <c r="O13" s="165">
        <v>0</v>
      </c>
      <c r="P13" s="165">
        <v>0.74</v>
      </c>
      <c r="Q13" s="165">
        <v>5.53</v>
      </c>
      <c r="R13" s="13"/>
      <c r="S13" s="13"/>
      <c r="T13" s="213"/>
      <c r="U13" s="13"/>
    </row>
    <row r="14" customFormat="1" spans="1:21">
      <c r="A14" s="142" t="s">
        <v>1211</v>
      </c>
      <c r="B14" s="165">
        <v>13.98</v>
      </c>
      <c r="C14" s="165">
        <v>68.99</v>
      </c>
      <c r="D14" s="165">
        <v>48.6</v>
      </c>
      <c r="E14" s="165">
        <v>5.66</v>
      </c>
      <c r="F14" s="165">
        <v>3.83</v>
      </c>
      <c r="G14" s="165">
        <v>72.9</v>
      </c>
      <c r="H14" s="165">
        <v>27.22</v>
      </c>
      <c r="I14" s="165">
        <v>6.13</v>
      </c>
      <c r="J14" s="165">
        <v>0.03</v>
      </c>
      <c r="K14" s="165">
        <v>176.46</v>
      </c>
      <c r="L14" s="165">
        <v>26.65</v>
      </c>
      <c r="M14" s="165">
        <v>45.24</v>
      </c>
      <c r="N14" s="165">
        <v>0</v>
      </c>
      <c r="O14" s="165">
        <v>0</v>
      </c>
      <c r="P14" s="165">
        <v>0.75</v>
      </c>
      <c r="Q14" s="165">
        <v>5.59</v>
      </c>
      <c r="R14" s="13"/>
      <c r="S14" s="13"/>
      <c r="T14" s="213"/>
      <c r="U14" s="13"/>
    </row>
    <row r="15" customFormat="1" spans="1:21">
      <c r="A15" s="142" t="s">
        <v>1212</v>
      </c>
      <c r="B15" s="165">
        <v>15.72</v>
      </c>
      <c r="C15" s="165">
        <v>69.94</v>
      </c>
      <c r="D15" s="165">
        <v>50.5</v>
      </c>
      <c r="E15" s="165">
        <v>5.74</v>
      </c>
      <c r="F15" s="165">
        <v>3.84</v>
      </c>
      <c r="G15" s="165">
        <v>70.1</v>
      </c>
      <c r="H15" s="165">
        <v>26.15</v>
      </c>
      <c r="I15" s="165">
        <v>6.16</v>
      </c>
      <c r="J15" s="165">
        <v>0.23</v>
      </c>
      <c r="K15" s="165">
        <v>162.12</v>
      </c>
      <c r="L15" s="165">
        <v>26.94</v>
      </c>
      <c r="M15" s="165">
        <v>45.73</v>
      </c>
      <c r="N15" s="165">
        <v>0</v>
      </c>
      <c r="O15" s="165">
        <v>0</v>
      </c>
      <c r="P15" s="165">
        <v>0.75</v>
      </c>
      <c r="Q15" s="165">
        <v>5.71</v>
      </c>
      <c r="R15" s="13"/>
      <c r="S15" s="13"/>
      <c r="T15" s="213"/>
      <c r="U15" s="13"/>
    </row>
    <row r="16" customFormat="1" spans="1:21">
      <c r="A16" s="142" t="s">
        <v>1213</v>
      </c>
      <c r="B16" s="165">
        <v>17.38</v>
      </c>
      <c r="C16" s="165">
        <v>70.79</v>
      </c>
      <c r="D16" s="165">
        <v>52.27</v>
      </c>
      <c r="E16" s="165">
        <v>5.61</v>
      </c>
      <c r="F16" s="165">
        <v>3.75</v>
      </c>
      <c r="G16" s="165">
        <v>63.22</v>
      </c>
      <c r="H16" s="165">
        <v>24.36</v>
      </c>
      <c r="I16" s="165">
        <v>6.17</v>
      </c>
      <c r="J16" s="165">
        <v>0.23</v>
      </c>
      <c r="K16" s="165">
        <v>144.8</v>
      </c>
      <c r="L16" s="165">
        <v>26.75</v>
      </c>
      <c r="M16" s="165">
        <v>47.61</v>
      </c>
      <c r="N16" s="165">
        <v>0</v>
      </c>
      <c r="O16" s="165">
        <v>0</v>
      </c>
      <c r="P16" s="165">
        <v>0.76</v>
      </c>
      <c r="Q16" s="165">
        <v>5.85</v>
      </c>
      <c r="R16" s="13"/>
      <c r="S16" s="13"/>
      <c r="T16" s="213"/>
      <c r="U16" s="13"/>
    </row>
    <row r="17" customFormat="1" spans="1:21">
      <c r="A17" s="142" t="s">
        <v>1214</v>
      </c>
      <c r="B17" s="165">
        <v>18.6</v>
      </c>
      <c r="C17" s="165">
        <v>71.66</v>
      </c>
      <c r="D17" s="165">
        <v>53.71</v>
      </c>
      <c r="E17" s="165">
        <v>6.1</v>
      </c>
      <c r="F17" s="165">
        <v>3.74</v>
      </c>
      <c r="G17" s="165">
        <v>63.22</v>
      </c>
      <c r="H17" s="165">
        <v>24.36</v>
      </c>
      <c r="I17" s="165">
        <v>6.2</v>
      </c>
      <c r="J17" s="165">
        <v>0.16</v>
      </c>
      <c r="K17" s="165">
        <v>183.12</v>
      </c>
      <c r="L17" s="165">
        <v>26.22</v>
      </c>
      <c r="M17" s="165">
        <v>48.37</v>
      </c>
      <c r="N17" s="165">
        <v>0</v>
      </c>
      <c r="O17" s="165">
        <v>0</v>
      </c>
      <c r="P17" s="165">
        <v>0.76</v>
      </c>
      <c r="Q17" s="165">
        <v>5.97</v>
      </c>
      <c r="R17" s="13"/>
      <c r="S17" s="13"/>
      <c r="T17" s="213"/>
      <c r="U17" s="13"/>
    </row>
    <row r="18" customFormat="1" spans="1:21">
      <c r="A18" s="142" t="s">
        <v>1215</v>
      </c>
      <c r="B18" s="165">
        <v>19.4</v>
      </c>
      <c r="C18" s="165">
        <v>71.8</v>
      </c>
      <c r="D18" s="165">
        <v>54.42</v>
      </c>
      <c r="E18" s="165">
        <v>7.35</v>
      </c>
      <c r="F18" s="165">
        <v>3.67</v>
      </c>
      <c r="G18" s="165">
        <v>63.22</v>
      </c>
      <c r="H18" s="165">
        <v>24.36</v>
      </c>
      <c r="I18" s="165">
        <v>6.21</v>
      </c>
      <c r="J18" s="165">
        <v>0.15</v>
      </c>
      <c r="K18" s="165">
        <v>143.72</v>
      </c>
      <c r="L18" s="165">
        <v>26.03</v>
      </c>
      <c r="M18" s="165">
        <v>49.66</v>
      </c>
      <c r="N18" s="165">
        <v>0</v>
      </c>
      <c r="O18" s="165">
        <v>0</v>
      </c>
      <c r="P18" s="165">
        <v>0.76</v>
      </c>
      <c r="Q18" s="165">
        <v>6.07</v>
      </c>
      <c r="R18" s="13"/>
      <c r="S18" s="13"/>
      <c r="T18" s="213"/>
      <c r="U18" s="13"/>
    </row>
    <row r="19" customFormat="1" spans="1:21">
      <c r="A19" s="142" t="s">
        <v>1216</v>
      </c>
      <c r="B19" s="165">
        <v>20.22</v>
      </c>
      <c r="C19" s="165">
        <v>72.16</v>
      </c>
      <c r="D19" s="165">
        <v>55.27</v>
      </c>
      <c r="E19" s="165">
        <v>7.88</v>
      </c>
      <c r="F19" s="165">
        <v>3.73</v>
      </c>
      <c r="G19" s="165">
        <v>63.71</v>
      </c>
      <c r="H19" s="165">
        <v>25.48</v>
      </c>
      <c r="I19" s="165">
        <v>6.22</v>
      </c>
      <c r="J19" s="165">
        <v>0.26</v>
      </c>
      <c r="K19" s="165">
        <v>157.56</v>
      </c>
      <c r="L19" s="165">
        <v>26.02</v>
      </c>
      <c r="M19" s="165">
        <v>52.02</v>
      </c>
      <c r="N19" s="165">
        <v>0</v>
      </c>
      <c r="O19" s="165">
        <v>0</v>
      </c>
      <c r="P19" s="165">
        <v>0.77</v>
      </c>
      <c r="Q19" s="165">
        <v>6.12</v>
      </c>
      <c r="R19" s="13"/>
      <c r="S19" s="13"/>
      <c r="T19" s="213"/>
      <c r="U19" s="13"/>
    </row>
    <row r="20" customFormat="1" spans="1:21">
      <c r="A20" s="142" t="s">
        <v>1217</v>
      </c>
      <c r="B20" s="165">
        <v>20.94</v>
      </c>
      <c r="C20" s="165">
        <v>72.2</v>
      </c>
      <c r="D20" s="165">
        <v>55.87</v>
      </c>
      <c r="E20" s="165">
        <v>6.8</v>
      </c>
      <c r="F20" s="165">
        <v>3.76</v>
      </c>
      <c r="G20" s="165">
        <v>64.92</v>
      </c>
      <c r="H20" s="165">
        <v>27.32</v>
      </c>
      <c r="I20" s="165">
        <v>6.23</v>
      </c>
      <c r="J20" s="165">
        <v>0.22</v>
      </c>
      <c r="K20" s="165">
        <v>146.52</v>
      </c>
      <c r="L20" s="165">
        <v>25.87</v>
      </c>
      <c r="M20" s="165">
        <v>50.04</v>
      </c>
      <c r="N20" s="165">
        <v>0</v>
      </c>
      <c r="O20" s="165">
        <v>0</v>
      </c>
      <c r="P20" s="165">
        <v>0.77</v>
      </c>
      <c r="Q20" s="165">
        <v>6.15</v>
      </c>
      <c r="R20" s="13"/>
      <c r="S20" s="13"/>
      <c r="T20" s="213"/>
      <c r="U20" s="13"/>
    </row>
    <row r="21" customFormat="1" spans="1:21">
      <c r="A21" s="142" t="s">
        <v>1218</v>
      </c>
      <c r="B21" s="165">
        <v>22.06</v>
      </c>
      <c r="C21" s="165">
        <v>72.3</v>
      </c>
      <c r="D21" s="165">
        <v>56.81</v>
      </c>
      <c r="E21" s="165">
        <v>7.07</v>
      </c>
      <c r="F21" s="165">
        <v>3.76</v>
      </c>
      <c r="G21" s="165">
        <v>64.92</v>
      </c>
      <c r="H21" s="165">
        <v>27.32</v>
      </c>
      <c r="I21" s="165">
        <v>6.25</v>
      </c>
      <c r="J21" s="165">
        <v>0.2</v>
      </c>
      <c r="K21" s="165">
        <v>102.66</v>
      </c>
      <c r="L21" s="165">
        <v>25.96</v>
      </c>
      <c r="M21" s="165">
        <v>48.41</v>
      </c>
      <c r="N21" s="165">
        <v>0</v>
      </c>
      <c r="O21" s="165">
        <v>0</v>
      </c>
      <c r="P21" s="165">
        <v>0.77</v>
      </c>
      <c r="Q21" s="165">
        <v>6.18</v>
      </c>
      <c r="R21" s="13"/>
      <c r="S21" s="13"/>
      <c r="T21" s="213"/>
      <c r="U21" s="13"/>
    </row>
    <row r="22" customFormat="1" spans="1:21">
      <c r="A22" s="142" t="s">
        <v>1219</v>
      </c>
      <c r="B22" s="165">
        <v>24.86</v>
      </c>
      <c r="C22" s="165">
        <v>72.8</v>
      </c>
      <c r="D22" s="165">
        <v>59.32</v>
      </c>
      <c r="E22" s="165">
        <v>7.11</v>
      </c>
      <c r="F22" s="165">
        <v>3.65</v>
      </c>
      <c r="G22" s="165">
        <v>64.92</v>
      </c>
      <c r="H22" s="165">
        <v>27.32</v>
      </c>
      <c r="I22" s="165">
        <v>6.27</v>
      </c>
      <c r="J22" s="165">
        <v>0.18</v>
      </c>
      <c r="K22" s="165">
        <v>149.97</v>
      </c>
      <c r="L22" s="165">
        <v>25.92</v>
      </c>
      <c r="M22" s="165">
        <v>52.12</v>
      </c>
      <c r="N22" s="165">
        <v>0</v>
      </c>
      <c r="O22" s="165">
        <v>0</v>
      </c>
      <c r="P22" s="165">
        <v>0.77</v>
      </c>
      <c r="Q22" s="165">
        <v>6.3</v>
      </c>
      <c r="R22" s="13"/>
      <c r="S22" s="13"/>
      <c r="T22" s="213"/>
      <c r="U22" s="13"/>
    </row>
    <row r="23" customFormat="1" spans="1:21">
      <c r="A23" s="142" t="s">
        <v>1220</v>
      </c>
      <c r="B23" s="165">
        <v>28.86</v>
      </c>
      <c r="C23" s="165">
        <v>72.72</v>
      </c>
      <c r="D23" s="165">
        <v>62.49</v>
      </c>
      <c r="E23" s="165">
        <v>6.99</v>
      </c>
      <c r="F23" s="165">
        <v>3.6</v>
      </c>
      <c r="G23" s="165">
        <v>66.71</v>
      </c>
      <c r="H23" s="165">
        <v>26.83</v>
      </c>
      <c r="I23" s="165">
        <v>6.3</v>
      </c>
      <c r="J23" s="165">
        <v>0.15</v>
      </c>
      <c r="K23" s="165">
        <v>130.66</v>
      </c>
      <c r="L23" s="165">
        <v>25.76</v>
      </c>
      <c r="M23" s="165">
        <v>51.52</v>
      </c>
      <c r="N23" s="165">
        <v>0</v>
      </c>
      <c r="O23" s="165">
        <v>0</v>
      </c>
      <c r="P23" s="165">
        <v>0.78</v>
      </c>
      <c r="Q23" s="165">
        <v>6.49</v>
      </c>
      <c r="R23" s="13"/>
      <c r="S23" s="13"/>
      <c r="T23" s="213"/>
      <c r="U23" s="13"/>
    </row>
    <row r="24" customFormat="1" spans="1:21">
      <c r="A24" s="142" t="s">
        <v>1221</v>
      </c>
      <c r="B24" s="165">
        <v>32</v>
      </c>
      <c r="C24" s="165">
        <v>73.53</v>
      </c>
      <c r="D24" s="165">
        <v>65.43</v>
      </c>
      <c r="E24" s="165">
        <v>7.29</v>
      </c>
      <c r="F24" s="165">
        <v>3.5</v>
      </c>
      <c r="G24" s="165">
        <v>71.12</v>
      </c>
      <c r="H24" s="165">
        <v>26.07</v>
      </c>
      <c r="I24" s="165">
        <v>6.4</v>
      </c>
      <c r="J24" s="165">
        <v>0.22</v>
      </c>
      <c r="K24" s="165">
        <v>126.21</v>
      </c>
      <c r="L24" s="165">
        <v>25.9</v>
      </c>
      <c r="M24" s="165">
        <v>52.44</v>
      </c>
      <c r="N24" s="165">
        <v>0</v>
      </c>
      <c r="O24" s="165">
        <v>0</v>
      </c>
      <c r="P24" s="165">
        <v>0.8</v>
      </c>
      <c r="Q24" s="165">
        <v>6.73</v>
      </c>
      <c r="R24" s="13"/>
      <c r="S24" s="13"/>
      <c r="T24" s="213"/>
      <c r="U24" s="13"/>
    </row>
    <row r="25" customFormat="1" spans="1:21">
      <c r="A25" s="142" t="s">
        <v>1222</v>
      </c>
      <c r="B25" s="165">
        <v>33.58</v>
      </c>
      <c r="C25" s="165">
        <v>73.8</v>
      </c>
      <c r="D25" s="165">
        <v>66.84</v>
      </c>
      <c r="E25" s="165">
        <v>7.34</v>
      </c>
      <c r="F25" s="165">
        <v>3.63</v>
      </c>
      <c r="G25" s="165">
        <v>71.12</v>
      </c>
      <c r="H25" s="165">
        <v>26.07</v>
      </c>
      <c r="I25" s="165">
        <v>6.79</v>
      </c>
      <c r="J25" s="165">
        <v>0.31</v>
      </c>
      <c r="K25" s="165">
        <v>176.04</v>
      </c>
      <c r="L25" s="165">
        <v>25.41</v>
      </c>
      <c r="M25" s="165">
        <v>55.26</v>
      </c>
      <c r="N25" s="165">
        <v>0</v>
      </c>
      <c r="O25" s="165">
        <v>0</v>
      </c>
      <c r="P25" s="165">
        <v>0.8</v>
      </c>
      <c r="Q25" s="165">
        <v>6.93</v>
      </c>
      <c r="R25" s="13"/>
      <c r="S25" s="13"/>
      <c r="T25" s="213"/>
      <c r="U25" s="13"/>
    </row>
    <row r="26" customFormat="1" spans="1:21">
      <c r="A26" s="142" t="s">
        <v>1223</v>
      </c>
      <c r="B26" s="165">
        <v>34.23</v>
      </c>
      <c r="C26" s="165">
        <v>73.76</v>
      </c>
      <c r="D26" s="165">
        <v>67.34</v>
      </c>
      <c r="E26" s="165">
        <v>7.35</v>
      </c>
      <c r="F26" s="165">
        <v>3.7</v>
      </c>
      <c r="G26" s="165">
        <v>71.12</v>
      </c>
      <c r="H26" s="165">
        <v>26.07</v>
      </c>
      <c r="I26" s="165">
        <v>7.43</v>
      </c>
      <c r="J26" s="165">
        <v>0.2</v>
      </c>
      <c r="K26" s="165">
        <v>153.57</v>
      </c>
      <c r="L26" s="165">
        <v>24.91</v>
      </c>
      <c r="M26" s="165">
        <v>56.06</v>
      </c>
      <c r="N26" s="165">
        <v>0</v>
      </c>
      <c r="O26" s="165">
        <v>0</v>
      </c>
      <c r="P26" s="165">
        <v>0.81</v>
      </c>
      <c r="Q26" s="165">
        <v>6.99</v>
      </c>
      <c r="R26" s="13"/>
      <c r="S26" s="13"/>
      <c r="T26" s="213"/>
      <c r="U26" s="13"/>
    </row>
    <row r="27" customFormat="1" spans="1:21">
      <c r="A27" s="142" t="s">
        <v>1224</v>
      </c>
      <c r="B27" s="165">
        <v>34.62</v>
      </c>
      <c r="C27" s="165">
        <v>71.53</v>
      </c>
      <c r="D27" s="165">
        <v>66.48</v>
      </c>
      <c r="E27" s="165">
        <v>7</v>
      </c>
      <c r="F27" s="165">
        <v>3.91</v>
      </c>
      <c r="G27" s="165">
        <v>73.47</v>
      </c>
      <c r="H27" s="165">
        <v>27</v>
      </c>
      <c r="I27" s="165">
        <v>7.96</v>
      </c>
      <c r="J27" s="165">
        <v>0.18</v>
      </c>
      <c r="K27" s="165">
        <v>107.16</v>
      </c>
      <c r="L27" s="165">
        <v>24.43</v>
      </c>
      <c r="M27" s="165">
        <v>56.91</v>
      </c>
      <c r="N27" s="165">
        <v>0</v>
      </c>
      <c r="O27" s="165">
        <v>0</v>
      </c>
      <c r="P27" s="165">
        <v>0.81</v>
      </c>
      <c r="Q27" s="165">
        <v>6.92</v>
      </c>
      <c r="R27" s="13"/>
      <c r="S27" s="13"/>
      <c r="T27" s="213"/>
      <c r="U27" s="13"/>
    </row>
    <row r="28" customFormat="1" spans="1:21">
      <c r="A28" s="142" t="s">
        <v>1225</v>
      </c>
      <c r="B28" s="165">
        <v>35.46</v>
      </c>
      <c r="C28" s="165">
        <v>71.22</v>
      </c>
      <c r="D28" s="165">
        <v>67</v>
      </c>
      <c r="E28" s="165">
        <v>7.5</v>
      </c>
      <c r="F28" s="165">
        <v>3.8</v>
      </c>
      <c r="G28" s="165">
        <v>79.26</v>
      </c>
      <c r="H28" s="165">
        <v>28.51</v>
      </c>
      <c r="I28" s="165">
        <v>8.35</v>
      </c>
      <c r="J28" s="165">
        <v>0.23</v>
      </c>
      <c r="K28" s="165">
        <v>108.43</v>
      </c>
      <c r="L28" s="165">
        <v>24.67</v>
      </c>
      <c r="M28" s="165">
        <v>55.54</v>
      </c>
      <c r="N28" s="165">
        <v>0</v>
      </c>
      <c r="O28" s="165">
        <v>0</v>
      </c>
      <c r="P28" s="165">
        <v>0.8</v>
      </c>
      <c r="Q28" s="165">
        <v>6.87</v>
      </c>
      <c r="R28" s="13"/>
      <c r="S28" s="13"/>
      <c r="T28" s="213"/>
      <c r="U28" s="13"/>
    </row>
    <row r="29" customFormat="1" spans="1:21">
      <c r="A29" s="142" t="s">
        <v>1226</v>
      </c>
      <c r="B29" s="165">
        <v>36.9</v>
      </c>
      <c r="C29" s="165">
        <v>71.88</v>
      </c>
      <c r="D29" s="165">
        <v>68.5</v>
      </c>
      <c r="E29" s="165">
        <v>7.36</v>
      </c>
      <c r="F29" s="165">
        <v>3.69</v>
      </c>
      <c r="G29" s="165">
        <v>79.26</v>
      </c>
      <c r="H29" s="165">
        <v>28.51</v>
      </c>
      <c r="I29" s="165">
        <v>8.72</v>
      </c>
      <c r="J29" s="165">
        <v>0.17</v>
      </c>
      <c r="K29" s="165">
        <v>144.67</v>
      </c>
      <c r="L29" s="165">
        <v>24.56</v>
      </c>
      <c r="M29" s="165">
        <v>56.76</v>
      </c>
      <c r="N29" s="165">
        <v>0</v>
      </c>
      <c r="O29" s="165">
        <v>0</v>
      </c>
      <c r="P29" s="165">
        <v>0.8</v>
      </c>
      <c r="Q29" s="165">
        <v>6.88</v>
      </c>
      <c r="R29" s="13"/>
      <c r="S29" s="13"/>
      <c r="T29" s="213"/>
      <c r="U29" s="13"/>
    </row>
    <row r="30" customFormat="1" spans="1:21">
      <c r="A30" s="142" t="s">
        <v>1227</v>
      </c>
      <c r="B30" s="165">
        <v>38.2</v>
      </c>
      <c r="C30" s="165">
        <v>72.18</v>
      </c>
      <c r="D30" s="165">
        <v>69.69</v>
      </c>
      <c r="E30" s="165">
        <v>7.97</v>
      </c>
      <c r="F30" s="165">
        <v>3.65</v>
      </c>
      <c r="G30" s="165">
        <v>79.26</v>
      </c>
      <c r="H30" s="165">
        <v>28.51</v>
      </c>
      <c r="I30" s="165">
        <v>9.1</v>
      </c>
      <c r="J30" s="165">
        <v>0.17</v>
      </c>
      <c r="K30" s="165">
        <v>139.23</v>
      </c>
      <c r="L30" s="165">
        <v>24.16</v>
      </c>
      <c r="M30" s="165">
        <v>58.55</v>
      </c>
      <c r="N30" s="165">
        <v>0</v>
      </c>
      <c r="O30" s="165">
        <v>0</v>
      </c>
      <c r="P30" s="165">
        <v>0.82</v>
      </c>
      <c r="Q30" s="165">
        <v>6.96</v>
      </c>
      <c r="R30" s="13"/>
      <c r="S30" s="13"/>
      <c r="T30" s="213"/>
      <c r="U30" s="13"/>
    </row>
    <row r="31" customFormat="1" spans="1:21">
      <c r="A31" s="142" t="s">
        <v>1228</v>
      </c>
      <c r="B31" s="165">
        <v>39.98</v>
      </c>
      <c r="C31" s="165">
        <v>72.24</v>
      </c>
      <c r="D31" s="165">
        <v>71.15</v>
      </c>
      <c r="E31" s="165">
        <v>7.93</v>
      </c>
      <c r="F31" s="165">
        <v>3.68</v>
      </c>
      <c r="G31" s="165">
        <v>85.22</v>
      </c>
      <c r="H31" s="165">
        <v>31.33</v>
      </c>
      <c r="I31" s="165">
        <v>9.49</v>
      </c>
      <c r="J31" s="165">
        <v>0.22</v>
      </c>
      <c r="K31" s="165">
        <v>215.53</v>
      </c>
      <c r="L31" s="165">
        <v>24.09</v>
      </c>
      <c r="M31" s="165">
        <v>59.77</v>
      </c>
      <c r="N31" s="165">
        <v>0</v>
      </c>
      <c r="O31" s="165">
        <v>0</v>
      </c>
      <c r="P31" s="165">
        <v>0.85</v>
      </c>
      <c r="Q31" s="165">
        <v>7.03</v>
      </c>
      <c r="R31" s="13"/>
      <c r="S31" s="13"/>
      <c r="T31" s="213"/>
      <c r="U31" s="13"/>
    </row>
    <row r="32" customFormat="1" spans="1:21">
      <c r="A32" s="142" t="s">
        <v>1229</v>
      </c>
      <c r="B32" s="165">
        <v>41.26</v>
      </c>
      <c r="C32" s="165">
        <v>72.49</v>
      </c>
      <c r="D32" s="165">
        <v>72.32</v>
      </c>
      <c r="E32" s="165">
        <v>7.96</v>
      </c>
      <c r="F32" s="165">
        <v>3.65</v>
      </c>
      <c r="G32" s="165">
        <v>99.89</v>
      </c>
      <c r="H32" s="165">
        <v>35.97</v>
      </c>
      <c r="I32" s="165">
        <v>9.94</v>
      </c>
      <c r="J32" s="165">
        <v>0.13</v>
      </c>
      <c r="K32" s="165">
        <v>171.93</v>
      </c>
      <c r="L32" s="165">
        <v>23.86</v>
      </c>
      <c r="M32" s="165">
        <v>61.15</v>
      </c>
      <c r="N32" s="165">
        <v>1.3</v>
      </c>
      <c r="O32" s="165">
        <v>0</v>
      </c>
      <c r="P32" s="165">
        <v>0.87</v>
      </c>
      <c r="Q32" s="165">
        <v>7.13</v>
      </c>
      <c r="R32" s="13"/>
      <c r="S32" s="13"/>
      <c r="T32" s="213"/>
      <c r="U32" s="13"/>
    </row>
    <row r="33" customFormat="1" spans="1:21">
      <c r="A33" s="142" t="s">
        <v>1230</v>
      </c>
      <c r="B33" s="165">
        <v>42.02</v>
      </c>
      <c r="C33" s="165">
        <v>72.53</v>
      </c>
      <c r="D33" s="165">
        <v>72.94</v>
      </c>
      <c r="E33" s="165">
        <v>8.12</v>
      </c>
      <c r="F33" s="165">
        <v>3.58</v>
      </c>
      <c r="G33" s="165">
        <v>99.89</v>
      </c>
      <c r="H33" s="165">
        <v>35.97</v>
      </c>
      <c r="I33" s="165">
        <v>10.4</v>
      </c>
      <c r="J33" s="165">
        <v>0.21</v>
      </c>
      <c r="K33" s="165">
        <v>172.01</v>
      </c>
      <c r="L33" s="165">
        <v>23.89</v>
      </c>
      <c r="M33" s="165">
        <v>61.22</v>
      </c>
      <c r="N33" s="165">
        <v>11.8</v>
      </c>
      <c r="O33" s="165">
        <v>0</v>
      </c>
      <c r="P33" s="165">
        <v>0.87</v>
      </c>
      <c r="Q33" s="165">
        <v>7.23</v>
      </c>
      <c r="R33" s="13"/>
      <c r="S33" s="13"/>
      <c r="T33" s="213"/>
      <c r="U33" s="13"/>
    </row>
    <row r="34" customFormat="1" spans="1:21">
      <c r="A34" s="142" t="s">
        <v>1231</v>
      </c>
      <c r="B34" s="165">
        <v>42.07</v>
      </c>
      <c r="C34" s="165">
        <v>71.89</v>
      </c>
      <c r="D34" s="165">
        <v>72.64</v>
      </c>
      <c r="E34" s="165">
        <v>7.88</v>
      </c>
      <c r="F34" s="165">
        <v>3.55</v>
      </c>
      <c r="G34" s="165">
        <v>99.89</v>
      </c>
      <c r="H34" s="165">
        <v>35.97</v>
      </c>
      <c r="I34" s="165">
        <v>10.71</v>
      </c>
      <c r="J34" s="165">
        <v>0.13</v>
      </c>
      <c r="K34" s="165">
        <v>177.5</v>
      </c>
      <c r="L34" s="165">
        <v>24.14</v>
      </c>
      <c r="M34" s="165">
        <v>59.85</v>
      </c>
      <c r="N34" s="165">
        <v>24.2</v>
      </c>
      <c r="O34" s="165">
        <v>0</v>
      </c>
      <c r="P34" s="165">
        <v>0.88</v>
      </c>
      <c r="Q34" s="165">
        <v>7.23</v>
      </c>
      <c r="R34" s="13"/>
      <c r="S34" s="13"/>
      <c r="T34" s="213"/>
      <c r="U34" s="13"/>
    </row>
    <row r="35" customFormat="1" spans="1:21">
      <c r="A35" s="142" t="s">
        <v>1232</v>
      </c>
      <c r="B35" s="165">
        <v>41.28</v>
      </c>
      <c r="C35" s="165">
        <v>70.53</v>
      </c>
      <c r="D35" s="165">
        <v>71.31</v>
      </c>
      <c r="E35" s="165">
        <v>7.92</v>
      </c>
      <c r="F35" s="165">
        <v>3.65</v>
      </c>
      <c r="G35" s="165">
        <v>103.51</v>
      </c>
      <c r="H35" s="165">
        <v>36</v>
      </c>
      <c r="I35" s="165">
        <v>10.96</v>
      </c>
      <c r="J35" s="165">
        <v>0.08</v>
      </c>
      <c r="K35" s="165">
        <v>120.98</v>
      </c>
      <c r="L35" s="165">
        <v>24.77</v>
      </c>
      <c r="M35" s="165">
        <v>58.6</v>
      </c>
      <c r="N35" s="165">
        <v>36.7</v>
      </c>
      <c r="O35" s="165">
        <v>0</v>
      </c>
      <c r="P35" s="165">
        <v>0.89</v>
      </c>
      <c r="Q35" s="165">
        <v>7.24</v>
      </c>
      <c r="R35" s="13"/>
      <c r="S35" s="13"/>
      <c r="T35" s="213"/>
      <c r="U35" s="13"/>
    </row>
    <row r="36" customFormat="1" spans="1:21">
      <c r="A36" s="142" t="s">
        <v>1233</v>
      </c>
      <c r="B36" s="165">
        <v>40.53</v>
      </c>
      <c r="C36" s="165">
        <v>70.2</v>
      </c>
      <c r="D36" s="165">
        <v>70.53</v>
      </c>
      <c r="E36" s="165">
        <v>8.24</v>
      </c>
      <c r="F36" s="165">
        <v>3.68</v>
      </c>
      <c r="G36" s="165">
        <v>112.41</v>
      </c>
      <c r="H36" s="165">
        <v>36.18</v>
      </c>
      <c r="I36" s="165">
        <v>11.16</v>
      </c>
      <c r="J36" s="165">
        <v>0.18</v>
      </c>
      <c r="K36" s="165">
        <v>179.13</v>
      </c>
      <c r="L36" s="165">
        <v>25.78</v>
      </c>
      <c r="M36" s="165">
        <v>55.35</v>
      </c>
      <c r="N36" s="165">
        <v>49</v>
      </c>
      <c r="O36" s="165">
        <v>0</v>
      </c>
      <c r="P36" s="165">
        <v>0.9</v>
      </c>
      <c r="Q36" s="165">
        <v>7.25</v>
      </c>
      <c r="R36" s="13"/>
      <c r="S36" s="13"/>
      <c r="T36" s="213"/>
      <c r="U36" s="13"/>
    </row>
    <row r="37" customFormat="1" spans="1:21">
      <c r="A37" s="142" t="s">
        <v>1234</v>
      </c>
      <c r="B37" s="165">
        <v>39.84</v>
      </c>
      <c r="C37" s="165">
        <v>68.57</v>
      </c>
      <c r="D37" s="165">
        <v>69.13</v>
      </c>
      <c r="E37" s="165">
        <v>8.2</v>
      </c>
      <c r="F37" s="165">
        <v>3.84</v>
      </c>
      <c r="G37" s="165">
        <v>112.41</v>
      </c>
      <c r="H37" s="165">
        <v>36.18</v>
      </c>
      <c r="I37" s="165">
        <v>11.41</v>
      </c>
      <c r="J37" s="165">
        <v>0.13</v>
      </c>
      <c r="K37" s="165">
        <v>174.06</v>
      </c>
      <c r="L37" s="165">
        <v>26.63</v>
      </c>
      <c r="M37" s="165">
        <v>52.51</v>
      </c>
      <c r="N37" s="165">
        <v>61.4</v>
      </c>
      <c r="O37" s="165">
        <v>0</v>
      </c>
      <c r="P37" s="165">
        <v>0.91</v>
      </c>
      <c r="Q37" s="165">
        <v>7.23</v>
      </c>
      <c r="R37" s="13"/>
      <c r="S37" s="13"/>
      <c r="T37" s="213"/>
      <c r="U37" s="13"/>
    </row>
    <row r="38" customFormat="1" spans="1:21">
      <c r="A38" s="142" t="s">
        <v>1235</v>
      </c>
      <c r="B38" s="165">
        <v>38.31</v>
      </c>
      <c r="C38" s="165">
        <v>66.56</v>
      </c>
      <c r="D38" s="165">
        <v>66.85</v>
      </c>
      <c r="E38" s="165">
        <v>8.53</v>
      </c>
      <c r="F38" s="165">
        <v>4.51</v>
      </c>
      <c r="G38" s="165">
        <v>112.41</v>
      </c>
      <c r="H38" s="165">
        <v>36.18</v>
      </c>
      <c r="I38" s="165">
        <v>11.59</v>
      </c>
      <c r="J38" s="165">
        <v>0.15</v>
      </c>
      <c r="K38" s="165">
        <v>150.13</v>
      </c>
      <c r="L38" s="165">
        <v>27.84</v>
      </c>
      <c r="M38" s="165">
        <v>49.08</v>
      </c>
      <c r="N38" s="165">
        <v>80.7</v>
      </c>
      <c r="O38" s="165">
        <v>0</v>
      </c>
      <c r="P38" s="165">
        <v>0.92</v>
      </c>
      <c r="Q38" s="165">
        <v>7.22</v>
      </c>
      <c r="R38" s="13"/>
      <c r="S38" s="13"/>
      <c r="T38" s="213"/>
      <c r="U38" s="13"/>
    </row>
    <row r="39" customFormat="1" spans="1:21">
      <c r="A39" s="142" t="s">
        <v>1236</v>
      </c>
      <c r="B39" s="165">
        <v>35.67</v>
      </c>
      <c r="C39" s="165">
        <v>66.53</v>
      </c>
      <c r="D39" s="165">
        <v>64.72</v>
      </c>
      <c r="E39" s="165">
        <v>8.59</v>
      </c>
      <c r="F39" s="165">
        <v>8.18</v>
      </c>
      <c r="G39" s="165">
        <v>111.31</v>
      </c>
      <c r="H39" s="165">
        <v>36.28</v>
      </c>
      <c r="I39" s="165">
        <v>11.72</v>
      </c>
      <c r="J39" s="165">
        <v>0.23</v>
      </c>
      <c r="K39" s="165">
        <v>140.98</v>
      </c>
      <c r="L39" s="165">
        <v>29.53</v>
      </c>
      <c r="M39" s="165">
        <v>42.55</v>
      </c>
      <c r="N39" s="165">
        <v>149.9</v>
      </c>
      <c r="O39" s="165">
        <v>0</v>
      </c>
      <c r="P39" s="165">
        <v>0.93</v>
      </c>
      <c r="Q39" s="165">
        <v>7.16</v>
      </c>
      <c r="R39" s="13"/>
      <c r="S39" s="13"/>
      <c r="T39" s="213"/>
      <c r="U39" s="13"/>
    </row>
    <row r="40" customFormat="1" spans="1:21">
      <c r="A40" s="142" t="s">
        <v>1237</v>
      </c>
      <c r="B40" s="165">
        <v>34.36</v>
      </c>
      <c r="C40" s="165">
        <v>65.95</v>
      </c>
      <c r="D40" s="165">
        <v>63.36</v>
      </c>
      <c r="E40" s="165">
        <v>8.96</v>
      </c>
      <c r="F40" s="165">
        <v>9.95</v>
      </c>
      <c r="G40" s="165">
        <v>108.61</v>
      </c>
      <c r="H40" s="165">
        <v>36.45</v>
      </c>
      <c r="I40" s="165">
        <v>11.79</v>
      </c>
      <c r="J40" s="165">
        <v>0.31</v>
      </c>
      <c r="K40" s="165">
        <v>88</v>
      </c>
      <c r="L40" s="165">
        <v>30.93</v>
      </c>
      <c r="M40" s="165">
        <v>39.08</v>
      </c>
      <c r="N40" s="165">
        <v>213.5</v>
      </c>
      <c r="O40" s="165">
        <v>0</v>
      </c>
      <c r="P40" s="165">
        <v>0.92</v>
      </c>
      <c r="Q40" s="165">
        <v>7.08</v>
      </c>
      <c r="R40" s="13"/>
      <c r="S40" s="13"/>
      <c r="T40" s="213"/>
      <c r="U40" s="13"/>
    </row>
    <row r="41" customFormat="1" spans="1:21">
      <c r="A41" s="142" t="s">
        <v>1238</v>
      </c>
      <c r="B41" s="165">
        <v>32.36</v>
      </c>
      <c r="C41" s="165">
        <v>64.01</v>
      </c>
      <c r="D41" s="165">
        <v>60.74</v>
      </c>
      <c r="E41" s="165">
        <v>9.44</v>
      </c>
      <c r="F41" s="165">
        <v>12.19</v>
      </c>
      <c r="G41" s="165">
        <v>108.61</v>
      </c>
      <c r="H41" s="165">
        <v>36.45</v>
      </c>
      <c r="I41" s="165">
        <v>11.63</v>
      </c>
      <c r="J41" s="165">
        <v>0.18</v>
      </c>
      <c r="K41" s="165">
        <v>150.26</v>
      </c>
      <c r="L41" s="165">
        <v>31.88</v>
      </c>
      <c r="M41" s="165">
        <v>35.28</v>
      </c>
      <c r="N41" s="165">
        <v>262.2</v>
      </c>
      <c r="O41" s="165">
        <v>0</v>
      </c>
      <c r="P41" s="165">
        <v>0.9</v>
      </c>
      <c r="Q41" s="165">
        <v>6.97</v>
      </c>
      <c r="R41" s="13"/>
      <c r="S41" s="13"/>
      <c r="T41" s="213"/>
      <c r="U41" s="13"/>
    </row>
    <row r="42" customFormat="1" spans="1:21">
      <c r="A42" s="142" t="s">
        <v>1239</v>
      </c>
      <c r="B42" s="165">
        <v>30.76</v>
      </c>
      <c r="C42" s="165">
        <v>65.6</v>
      </c>
      <c r="D42" s="165">
        <v>60.29</v>
      </c>
      <c r="E42" s="165">
        <v>9.34</v>
      </c>
      <c r="F42" s="165">
        <v>12.22</v>
      </c>
      <c r="G42" s="165">
        <v>108.61</v>
      </c>
      <c r="H42" s="165">
        <v>36.45</v>
      </c>
      <c r="I42" s="165">
        <v>11.35</v>
      </c>
      <c r="J42" s="165">
        <v>0.16</v>
      </c>
      <c r="K42" s="165">
        <v>243.97</v>
      </c>
      <c r="L42" s="165">
        <v>32.34</v>
      </c>
      <c r="M42" s="165">
        <v>33.89</v>
      </c>
      <c r="N42" s="165">
        <v>292.8</v>
      </c>
      <c r="O42" s="165">
        <v>0</v>
      </c>
      <c r="P42" s="165">
        <v>0.9</v>
      </c>
      <c r="Q42" s="165">
        <v>6.85</v>
      </c>
      <c r="R42" s="13"/>
      <c r="S42" s="13"/>
      <c r="T42" s="213"/>
      <c r="U42" s="13"/>
    </row>
    <row r="43" customFormat="1" spans="1:21">
      <c r="A43" s="142" t="s">
        <v>1240</v>
      </c>
      <c r="B43" s="165">
        <v>28.18</v>
      </c>
      <c r="C43" s="165">
        <v>65.24</v>
      </c>
      <c r="D43" s="165">
        <v>58.03</v>
      </c>
      <c r="E43" s="165">
        <v>9.03</v>
      </c>
      <c r="F43" s="165">
        <v>15.8</v>
      </c>
      <c r="G43" s="165">
        <v>104.07</v>
      </c>
      <c r="H43" s="165">
        <v>35.72</v>
      </c>
      <c r="I43" s="165">
        <v>11.09</v>
      </c>
      <c r="J43" s="165">
        <v>0.49</v>
      </c>
      <c r="K43" s="165">
        <v>258.56</v>
      </c>
      <c r="L43" s="165">
        <v>32.78</v>
      </c>
      <c r="M43" s="165">
        <v>33.07</v>
      </c>
      <c r="N43" s="165">
        <v>193.4</v>
      </c>
      <c r="O43" s="165">
        <v>0</v>
      </c>
      <c r="P43" s="165">
        <v>0.89</v>
      </c>
      <c r="Q43" s="165">
        <v>6.71</v>
      </c>
      <c r="R43" s="13"/>
      <c r="S43" s="13"/>
      <c r="T43" s="213"/>
      <c r="U43" s="13"/>
    </row>
    <row r="44" customFormat="1" spans="1:21">
      <c r="A44" s="142" t="s">
        <v>1241</v>
      </c>
      <c r="B44" s="165">
        <v>27.04</v>
      </c>
      <c r="C44" s="165">
        <v>68.84</v>
      </c>
      <c r="D44" s="165">
        <v>59</v>
      </c>
      <c r="E44" s="165">
        <v>9.09</v>
      </c>
      <c r="F44" s="165">
        <v>12.04</v>
      </c>
      <c r="G44" s="165">
        <v>92.88</v>
      </c>
      <c r="H44" s="165">
        <v>34.57</v>
      </c>
      <c r="I44" s="165">
        <v>10.87</v>
      </c>
      <c r="J44" s="165">
        <v>0.41</v>
      </c>
      <c r="K44" s="165">
        <v>218.87</v>
      </c>
      <c r="L44" s="165">
        <v>33.89</v>
      </c>
      <c r="M44" s="165">
        <v>31.02</v>
      </c>
      <c r="N44" s="165">
        <v>204.1</v>
      </c>
      <c r="O44" s="165">
        <v>0</v>
      </c>
      <c r="P44" s="165">
        <v>0.89</v>
      </c>
      <c r="Q44" s="165">
        <v>6.58</v>
      </c>
      <c r="R44" s="13"/>
      <c r="S44" s="13"/>
      <c r="T44" s="213"/>
      <c r="U44" s="13"/>
    </row>
    <row r="45" customFormat="1" spans="1:21">
      <c r="A45" s="142" t="s">
        <v>1242</v>
      </c>
      <c r="B45" s="165">
        <v>24.39</v>
      </c>
      <c r="C45" s="165">
        <v>68.85</v>
      </c>
      <c r="D45" s="165">
        <v>56.89</v>
      </c>
      <c r="E45" s="165">
        <v>9.27</v>
      </c>
      <c r="F45" s="165">
        <v>12.86</v>
      </c>
      <c r="G45" s="165">
        <v>92.88</v>
      </c>
      <c r="H45" s="165">
        <v>34.57</v>
      </c>
      <c r="I45" s="165">
        <v>10.69</v>
      </c>
      <c r="J45" s="165">
        <v>0.65</v>
      </c>
      <c r="K45" s="165">
        <v>230.04</v>
      </c>
      <c r="L45" s="165">
        <v>34.13</v>
      </c>
      <c r="M45" s="165">
        <v>30.17</v>
      </c>
      <c r="N45" s="165">
        <v>216.6</v>
      </c>
      <c r="O45" s="165">
        <v>0</v>
      </c>
      <c r="P45" s="165">
        <v>0.87</v>
      </c>
      <c r="Q45" s="165">
        <v>6.44</v>
      </c>
      <c r="R45" s="13"/>
      <c r="S45" s="13"/>
      <c r="T45" s="213"/>
      <c r="U45" s="13"/>
    </row>
    <row r="46" customFormat="1" spans="1:21">
      <c r="A46" s="142" t="s">
        <v>1243</v>
      </c>
      <c r="B46" s="165">
        <v>22.88</v>
      </c>
      <c r="C46" s="165">
        <v>69.19</v>
      </c>
      <c r="D46" s="165">
        <v>55.85</v>
      </c>
      <c r="E46" s="165">
        <v>9.26</v>
      </c>
      <c r="F46" s="165">
        <v>9.58</v>
      </c>
      <c r="G46" s="165">
        <v>92.88</v>
      </c>
      <c r="H46" s="165">
        <v>34.57</v>
      </c>
      <c r="I46" s="165">
        <v>10.52</v>
      </c>
      <c r="J46" s="165">
        <v>0.68</v>
      </c>
      <c r="K46" s="165">
        <v>223.82</v>
      </c>
      <c r="L46" s="165">
        <v>34.78</v>
      </c>
      <c r="M46" s="165">
        <v>29.26</v>
      </c>
      <c r="N46" s="165">
        <v>395.1</v>
      </c>
      <c r="O46" s="165">
        <v>0</v>
      </c>
      <c r="P46" s="165">
        <v>0.87</v>
      </c>
      <c r="Q46" s="165">
        <v>6.35</v>
      </c>
      <c r="R46" s="13"/>
      <c r="S46" s="13"/>
      <c r="T46" s="213"/>
      <c r="U46" s="13"/>
    </row>
    <row r="47" customFormat="1" spans="1:21">
      <c r="A47" s="142" t="s">
        <v>1244</v>
      </c>
      <c r="B47" s="165">
        <v>19.55</v>
      </c>
      <c r="C47" s="165">
        <v>69.82</v>
      </c>
      <c r="D47" s="165">
        <v>53.51</v>
      </c>
      <c r="E47" s="165">
        <v>8.78</v>
      </c>
      <c r="F47" s="165">
        <v>10.99</v>
      </c>
      <c r="G47" s="165">
        <v>87.78</v>
      </c>
      <c r="H47" s="165">
        <v>34.33</v>
      </c>
      <c r="I47" s="165">
        <v>10.27</v>
      </c>
      <c r="J47" s="165">
        <v>0.87</v>
      </c>
      <c r="K47" s="165">
        <v>259.2</v>
      </c>
      <c r="L47" s="165">
        <v>35.16</v>
      </c>
      <c r="M47" s="165">
        <v>28.83</v>
      </c>
      <c r="N47" s="165">
        <v>492.8</v>
      </c>
      <c r="O47" s="165">
        <v>0</v>
      </c>
      <c r="P47" s="165">
        <v>0.87</v>
      </c>
      <c r="Q47" s="165">
        <v>6.28</v>
      </c>
      <c r="R47" s="13"/>
      <c r="S47" s="13"/>
      <c r="T47" s="213"/>
      <c r="U47" s="13"/>
    </row>
    <row r="48" customFormat="1" spans="1:21">
      <c r="A48" s="142" t="s">
        <v>1245</v>
      </c>
      <c r="B48" s="165">
        <v>17.37</v>
      </c>
      <c r="C48" s="165">
        <v>69.75</v>
      </c>
      <c r="D48" s="165">
        <v>51.73</v>
      </c>
      <c r="E48" s="165">
        <v>8.88</v>
      </c>
      <c r="F48" s="165">
        <v>8.97</v>
      </c>
      <c r="G48" s="165">
        <v>75.22</v>
      </c>
      <c r="H48" s="165">
        <v>33.95</v>
      </c>
      <c r="I48" s="165">
        <v>10.11</v>
      </c>
      <c r="J48" s="165">
        <v>1.11</v>
      </c>
      <c r="K48" s="165">
        <v>255.88</v>
      </c>
      <c r="L48" s="165">
        <v>35.16</v>
      </c>
      <c r="M48" s="165">
        <v>30.11</v>
      </c>
      <c r="N48" s="165">
        <v>419.9</v>
      </c>
      <c r="O48" s="165">
        <v>0</v>
      </c>
      <c r="P48" s="165">
        <v>0.88</v>
      </c>
      <c r="Q48" s="165">
        <v>6.17</v>
      </c>
      <c r="R48" s="13"/>
      <c r="S48" s="13"/>
      <c r="T48" s="213"/>
      <c r="U48" s="13"/>
    </row>
    <row r="49" customFormat="1" spans="1:21">
      <c r="A49" s="142" t="s">
        <v>1246</v>
      </c>
      <c r="B49" s="165">
        <v>14.85</v>
      </c>
      <c r="C49" s="165">
        <v>71.21</v>
      </c>
      <c r="D49" s="165">
        <v>50.46</v>
      </c>
      <c r="E49" s="165">
        <v>8.67</v>
      </c>
      <c r="F49" s="165">
        <v>11.17</v>
      </c>
      <c r="G49" s="165">
        <v>75.22</v>
      </c>
      <c r="H49" s="165">
        <v>33.95</v>
      </c>
      <c r="I49" s="165">
        <v>9.99</v>
      </c>
      <c r="J49" s="165">
        <v>0.86</v>
      </c>
      <c r="K49" s="165">
        <v>252.64</v>
      </c>
      <c r="L49" s="165">
        <v>35.69</v>
      </c>
      <c r="M49" s="165">
        <v>30.5</v>
      </c>
      <c r="N49" s="165">
        <v>517.5</v>
      </c>
      <c r="O49" s="165">
        <v>0</v>
      </c>
      <c r="P49" s="165">
        <v>0.88</v>
      </c>
      <c r="Q49" s="165">
        <v>6.04</v>
      </c>
      <c r="R49" s="13"/>
      <c r="S49" s="13"/>
      <c r="T49" s="213"/>
      <c r="U49" s="13"/>
    </row>
    <row r="50" customFormat="1" spans="1:21">
      <c r="A50" s="142" t="s">
        <v>1247</v>
      </c>
      <c r="B50" s="165">
        <v>12.07</v>
      </c>
      <c r="C50" s="165">
        <v>71.29</v>
      </c>
      <c r="D50" s="165">
        <v>48.28</v>
      </c>
      <c r="E50" s="165">
        <v>10.41</v>
      </c>
      <c r="F50" s="165">
        <v>8.37</v>
      </c>
      <c r="G50" s="165">
        <v>75.22</v>
      </c>
      <c r="H50" s="165">
        <v>33.95</v>
      </c>
      <c r="I50" s="165">
        <v>9.83</v>
      </c>
      <c r="J50" s="165">
        <v>1.2</v>
      </c>
      <c r="K50" s="165">
        <v>272.6</v>
      </c>
      <c r="L50" s="165">
        <v>36.09</v>
      </c>
      <c r="M50" s="165">
        <v>29.96</v>
      </c>
      <c r="N50" s="165">
        <v>398.3</v>
      </c>
      <c r="O50" s="165">
        <v>0</v>
      </c>
      <c r="P50" s="165">
        <v>0.88</v>
      </c>
      <c r="Q50" s="165">
        <v>5.86</v>
      </c>
      <c r="R50" s="13"/>
      <c r="S50" s="13"/>
      <c r="T50" s="213"/>
      <c r="U50" s="13"/>
    </row>
    <row r="51" customFormat="1" spans="1:21">
      <c r="A51" s="142" t="s">
        <v>1248</v>
      </c>
      <c r="B51" s="165">
        <v>10.14</v>
      </c>
      <c r="C51" s="165">
        <v>70.5</v>
      </c>
      <c r="D51" s="165">
        <v>46.32</v>
      </c>
      <c r="E51" s="165">
        <v>10.06</v>
      </c>
      <c r="F51" s="165">
        <v>12.27</v>
      </c>
      <c r="G51" s="165">
        <v>75.99</v>
      </c>
      <c r="H51" s="165">
        <v>34.75</v>
      </c>
      <c r="I51" s="165">
        <v>9.64</v>
      </c>
      <c r="J51" s="165">
        <v>1.03</v>
      </c>
      <c r="K51" s="165">
        <v>261.37</v>
      </c>
      <c r="L51" s="165">
        <v>36.45</v>
      </c>
      <c r="M51" s="165">
        <v>27.89</v>
      </c>
      <c r="N51" s="165">
        <v>616.5</v>
      </c>
      <c r="O51" s="165">
        <v>0</v>
      </c>
      <c r="P51" s="165">
        <v>0.88</v>
      </c>
      <c r="Q51" s="165">
        <v>5.75</v>
      </c>
      <c r="R51" s="13"/>
      <c r="S51" s="13"/>
      <c r="T51" s="213"/>
      <c r="U51" s="13"/>
    </row>
    <row r="52" customFormat="1" spans="1:21">
      <c r="A52" s="142" t="s">
        <v>1249</v>
      </c>
      <c r="B52" s="165">
        <v>8.28</v>
      </c>
      <c r="C52" s="165">
        <v>69.94</v>
      </c>
      <c r="D52" s="165">
        <v>44.53</v>
      </c>
      <c r="E52" s="165">
        <v>11.45</v>
      </c>
      <c r="F52" s="165">
        <v>17.09</v>
      </c>
      <c r="G52" s="165">
        <v>77.88</v>
      </c>
      <c r="H52" s="165">
        <v>36.07</v>
      </c>
      <c r="I52" s="165">
        <v>9.51</v>
      </c>
      <c r="J52" s="165">
        <v>0.72</v>
      </c>
      <c r="K52" s="165">
        <v>266.31</v>
      </c>
      <c r="L52" s="165">
        <v>37.22</v>
      </c>
      <c r="M52" s="165">
        <v>26.62</v>
      </c>
      <c r="N52" s="165">
        <v>643</v>
      </c>
      <c r="O52" s="165">
        <v>0</v>
      </c>
      <c r="P52" s="165">
        <v>0.88</v>
      </c>
      <c r="Q52" s="165">
        <v>5.68</v>
      </c>
      <c r="R52" s="13"/>
      <c r="S52" s="13"/>
      <c r="T52" s="213"/>
      <c r="U52" s="13"/>
    </row>
    <row r="53" customFormat="1" spans="1:21">
      <c r="A53" s="142" t="s">
        <v>1250</v>
      </c>
      <c r="B53" s="165">
        <v>7.09</v>
      </c>
      <c r="C53" s="165">
        <v>66.96</v>
      </c>
      <c r="D53" s="165">
        <v>42.02</v>
      </c>
      <c r="E53" s="165">
        <v>16.39</v>
      </c>
      <c r="F53" s="165">
        <v>24.08</v>
      </c>
      <c r="G53" s="165">
        <v>77.88</v>
      </c>
      <c r="H53" s="165">
        <v>36.07</v>
      </c>
      <c r="I53" s="165">
        <v>9.21</v>
      </c>
      <c r="J53" s="165">
        <v>0.75</v>
      </c>
      <c r="K53" s="165">
        <v>258.03</v>
      </c>
      <c r="L53" s="165">
        <v>37.86</v>
      </c>
      <c r="M53" s="165">
        <v>26.16</v>
      </c>
      <c r="N53" s="165">
        <v>608.2</v>
      </c>
      <c r="O53" s="165">
        <v>0</v>
      </c>
      <c r="P53" s="165">
        <v>0.93</v>
      </c>
      <c r="Q53" s="165">
        <v>5.57</v>
      </c>
      <c r="R53" s="13"/>
      <c r="S53" s="13"/>
      <c r="T53" s="213"/>
      <c r="U53" s="13"/>
    </row>
    <row r="54" customFormat="1" spans="1:21">
      <c r="A54" s="142" t="s">
        <v>1251</v>
      </c>
      <c r="B54" s="165">
        <v>6.08</v>
      </c>
      <c r="C54" s="165">
        <v>68.24</v>
      </c>
      <c r="D54" s="165">
        <v>41.88</v>
      </c>
      <c r="E54" s="165">
        <v>22.63</v>
      </c>
      <c r="F54" s="165">
        <v>33.14</v>
      </c>
      <c r="G54" s="165">
        <v>77.88</v>
      </c>
      <c r="H54" s="165">
        <v>36.07</v>
      </c>
      <c r="I54" s="165">
        <v>9.07</v>
      </c>
      <c r="J54" s="165">
        <v>0.9</v>
      </c>
      <c r="K54" s="165">
        <v>285.2</v>
      </c>
      <c r="L54" s="165">
        <v>38.08</v>
      </c>
      <c r="M54" s="165">
        <v>25.92</v>
      </c>
      <c r="N54" s="165">
        <v>648.3</v>
      </c>
      <c r="O54" s="165">
        <v>0</v>
      </c>
      <c r="P54" s="165">
        <v>1.02</v>
      </c>
      <c r="Q54" s="165">
        <v>5.53</v>
      </c>
      <c r="R54" s="13"/>
      <c r="S54" s="13"/>
      <c r="T54" s="213"/>
      <c r="U54" s="13"/>
    </row>
    <row r="55" customFormat="1" spans="1:21">
      <c r="A55" s="142" t="s">
        <v>1252</v>
      </c>
      <c r="B55" s="165">
        <v>5.07</v>
      </c>
      <c r="C55" s="165">
        <v>67.32</v>
      </c>
      <c r="D55" s="165">
        <v>40.59</v>
      </c>
      <c r="E55" s="165">
        <v>23.73</v>
      </c>
      <c r="F55" s="165">
        <v>37.1</v>
      </c>
      <c r="G55" s="165">
        <v>79.16</v>
      </c>
      <c r="H55" s="165">
        <v>36.33</v>
      </c>
      <c r="I55" s="165">
        <v>9.67</v>
      </c>
      <c r="J55" s="165">
        <v>0.77</v>
      </c>
      <c r="K55" s="165">
        <v>267.75</v>
      </c>
      <c r="L55" s="165">
        <v>38.44</v>
      </c>
      <c r="M55" s="165">
        <v>24.95</v>
      </c>
      <c r="N55" s="165">
        <v>664.8</v>
      </c>
      <c r="O55" s="165">
        <v>0</v>
      </c>
      <c r="P55" s="165">
        <v>1.09</v>
      </c>
      <c r="Q55" s="165">
        <v>5.47</v>
      </c>
      <c r="R55" s="13"/>
      <c r="S55" s="13"/>
      <c r="T55" s="213"/>
      <c r="U55" s="13"/>
    </row>
    <row r="56" customFormat="1" spans="1:21">
      <c r="A56" s="142" t="s">
        <v>1253</v>
      </c>
      <c r="B56" s="165">
        <v>4.24</v>
      </c>
      <c r="C56" s="165">
        <v>56.49</v>
      </c>
      <c r="D56" s="165">
        <v>34.27</v>
      </c>
      <c r="E56" s="165">
        <v>35.36</v>
      </c>
      <c r="F56" s="165">
        <v>68.86</v>
      </c>
      <c r="G56" s="165">
        <v>82.32</v>
      </c>
      <c r="H56" s="165">
        <v>36.75</v>
      </c>
      <c r="I56" s="165">
        <v>10.68</v>
      </c>
      <c r="J56" s="165">
        <v>0.86</v>
      </c>
      <c r="K56" s="165">
        <v>261.16</v>
      </c>
      <c r="L56" s="165">
        <v>38.75</v>
      </c>
      <c r="M56" s="165">
        <v>24.32</v>
      </c>
      <c r="N56" s="165">
        <v>635.9</v>
      </c>
      <c r="O56" s="165">
        <v>0</v>
      </c>
      <c r="P56" s="165">
        <v>1.21</v>
      </c>
      <c r="Q56" s="165">
        <v>5.44</v>
      </c>
      <c r="R56" s="13"/>
      <c r="S56" s="13"/>
      <c r="T56" s="213"/>
      <c r="U56" s="13"/>
    </row>
    <row r="57" customFormat="1" spans="1:21">
      <c r="A57" s="142" t="s">
        <v>1254</v>
      </c>
      <c r="B57" s="165">
        <v>4.19</v>
      </c>
      <c r="C57" s="165">
        <v>48.7</v>
      </c>
      <c r="D57" s="165">
        <v>30.15</v>
      </c>
      <c r="E57" s="165">
        <v>42.84</v>
      </c>
      <c r="F57" s="165">
        <v>100.03</v>
      </c>
      <c r="G57" s="165">
        <v>82.32</v>
      </c>
      <c r="H57" s="165">
        <v>36.75</v>
      </c>
      <c r="I57" s="165">
        <v>11.62</v>
      </c>
      <c r="J57" s="165">
        <v>1.1</v>
      </c>
      <c r="K57" s="165">
        <v>286.13</v>
      </c>
      <c r="L57" s="165">
        <v>38.94</v>
      </c>
      <c r="M57" s="165">
        <v>23.66</v>
      </c>
      <c r="N57" s="165">
        <v>651.3</v>
      </c>
      <c r="O57" s="165">
        <v>0</v>
      </c>
      <c r="P57" s="165">
        <v>1.32</v>
      </c>
      <c r="Q57" s="165">
        <v>5.33</v>
      </c>
      <c r="R57" s="13"/>
      <c r="S57" s="13"/>
      <c r="T57" s="213"/>
      <c r="U57" s="13"/>
    </row>
    <row r="58" customFormat="1" spans="1:21">
      <c r="A58" s="142" t="s">
        <v>1255</v>
      </c>
      <c r="B58" s="165">
        <v>3.73</v>
      </c>
      <c r="C58" s="165">
        <v>39.83</v>
      </c>
      <c r="D58" s="165">
        <v>25.16</v>
      </c>
      <c r="E58" s="165">
        <v>48.31</v>
      </c>
      <c r="F58" s="165">
        <v>115.57</v>
      </c>
      <c r="G58" s="165">
        <v>82.32</v>
      </c>
      <c r="H58" s="165">
        <v>36.75</v>
      </c>
      <c r="I58" s="165">
        <v>13.16</v>
      </c>
      <c r="J58" s="165">
        <v>0.82</v>
      </c>
      <c r="K58" s="165">
        <v>266.8</v>
      </c>
      <c r="L58" s="165">
        <v>39.39</v>
      </c>
      <c r="M58" s="165">
        <v>20.76</v>
      </c>
      <c r="N58" s="165">
        <v>731.8</v>
      </c>
      <c r="O58" s="165">
        <v>0</v>
      </c>
      <c r="P58" s="165">
        <v>1.13</v>
      </c>
      <c r="Q58" s="165">
        <v>5.27</v>
      </c>
      <c r="R58" s="13"/>
      <c r="S58" s="13"/>
      <c r="T58" s="213"/>
      <c r="U58" s="13"/>
    </row>
    <row r="59" customFormat="1" spans="1:21">
      <c r="A59" s="142" t="s">
        <v>1256</v>
      </c>
      <c r="B59" s="165">
        <v>3.86</v>
      </c>
      <c r="C59" s="165">
        <v>40.42</v>
      </c>
      <c r="D59" s="165">
        <v>25.57</v>
      </c>
      <c r="E59" s="165">
        <v>40.98</v>
      </c>
      <c r="F59" s="165">
        <v>100.6</v>
      </c>
      <c r="G59" s="165">
        <v>83.49</v>
      </c>
      <c r="H59" s="165">
        <v>36.8</v>
      </c>
      <c r="I59" s="165">
        <v>13.72</v>
      </c>
      <c r="J59" s="165">
        <v>1.2</v>
      </c>
      <c r="K59" s="165">
        <v>273.46</v>
      </c>
      <c r="L59" s="165">
        <v>39.87</v>
      </c>
      <c r="M59" s="165">
        <v>18.68</v>
      </c>
      <c r="N59" s="165">
        <v>722.7</v>
      </c>
      <c r="O59" s="165">
        <v>0</v>
      </c>
      <c r="P59" s="165">
        <v>0.91</v>
      </c>
      <c r="Q59" s="165">
        <v>5.13</v>
      </c>
      <c r="R59" s="13"/>
      <c r="S59" s="13"/>
      <c r="T59" s="213"/>
      <c r="U59" s="13"/>
    </row>
    <row r="60" customFormat="1" spans="1:21">
      <c r="A60" s="142" t="s">
        <v>1257</v>
      </c>
      <c r="B60" s="165">
        <v>3.44</v>
      </c>
      <c r="C60" s="165">
        <v>34.65</v>
      </c>
      <c r="D60" s="165">
        <v>22.21</v>
      </c>
      <c r="E60" s="165">
        <v>31.85</v>
      </c>
      <c r="F60" s="165">
        <v>89.76</v>
      </c>
      <c r="G60" s="165">
        <v>86.37</v>
      </c>
      <c r="H60" s="165">
        <v>36.98</v>
      </c>
      <c r="I60" s="165">
        <v>12.25</v>
      </c>
      <c r="J60" s="165">
        <v>0.49</v>
      </c>
      <c r="K60" s="165">
        <v>230.84</v>
      </c>
      <c r="L60" s="165">
        <v>40.63</v>
      </c>
      <c r="M60" s="165">
        <v>17.25</v>
      </c>
      <c r="N60" s="165">
        <v>674</v>
      </c>
      <c r="O60" s="165">
        <v>0</v>
      </c>
      <c r="P60" s="165">
        <v>0.76</v>
      </c>
      <c r="Q60" s="165">
        <v>4.96</v>
      </c>
      <c r="R60" s="13"/>
      <c r="S60" s="13"/>
      <c r="T60" s="213"/>
      <c r="U60" s="13"/>
    </row>
    <row r="61" customFormat="1" spans="1:21">
      <c r="A61" s="142" t="s">
        <v>1258</v>
      </c>
      <c r="B61" s="165">
        <v>3.36</v>
      </c>
      <c r="C61" s="165">
        <v>31.89</v>
      </c>
      <c r="D61" s="165">
        <v>20.71</v>
      </c>
      <c r="E61" s="165">
        <v>28.93</v>
      </c>
      <c r="F61" s="165">
        <v>82.09</v>
      </c>
      <c r="G61" s="165">
        <v>86.37</v>
      </c>
      <c r="H61" s="165">
        <v>36.98</v>
      </c>
      <c r="I61" s="165">
        <v>10.2</v>
      </c>
      <c r="J61" s="165">
        <v>0.54</v>
      </c>
      <c r="K61" s="165">
        <v>218.36</v>
      </c>
      <c r="L61" s="165">
        <v>40.9</v>
      </c>
      <c r="M61" s="165">
        <v>17.85</v>
      </c>
      <c r="N61" s="165">
        <v>679.5</v>
      </c>
      <c r="O61" s="165">
        <v>0</v>
      </c>
      <c r="P61" s="165">
        <v>0.69</v>
      </c>
      <c r="Q61" s="165">
        <v>4.84</v>
      </c>
      <c r="R61" s="13"/>
      <c r="S61" s="13"/>
      <c r="T61" s="213"/>
      <c r="U61" s="13"/>
    </row>
    <row r="62" customFormat="1" spans="1:21">
      <c r="A62" s="142" t="s">
        <v>1259</v>
      </c>
      <c r="B62" s="165">
        <v>3.6</v>
      </c>
      <c r="C62" s="165">
        <v>32.82</v>
      </c>
      <c r="D62" s="165">
        <v>21.39</v>
      </c>
      <c r="E62" s="165">
        <v>32.32</v>
      </c>
      <c r="F62" s="165">
        <v>81.58</v>
      </c>
      <c r="G62" s="165">
        <v>86.37</v>
      </c>
      <c r="H62" s="165">
        <v>36.98</v>
      </c>
      <c r="I62" s="165">
        <v>8.46</v>
      </c>
      <c r="J62" s="165">
        <v>0.73</v>
      </c>
      <c r="K62" s="165">
        <v>243.94</v>
      </c>
      <c r="L62" s="165">
        <v>40.88</v>
      </c>
      <c r="M62" s="165">
        <v>18.62</v>
      </c>
      <c r="N62" s="165">
        <v>650.1</v>
      </c>
      <c r="O62" s="165">
        <v>0</v>
      </c>
      <c r="P62" s="165">
        <v>0.71</v>
      </c>
      <c r="Q62" s="165">
        <v>4.74</v>
      </c>
      <c r="R62" s="13"/>
      <c r="S62" s="13"/>
      <c r="T62" s="213"/>
      <c r="U62" s="13"/>
    </row>
    <row r="63" customFormat="1" spans="1:21">
      <c r="A63" s="142" t="s">
        <v>1260</v>
      </c>
      <c r="B63" s="165">
        <v>3.56</v>
      </c>
      <c r="C63" s="165">
        <v>32.09</v>
      </c>
      <c r="D63" s="165">
        <v>20.97</v>
      </c>
      <c r="E63" s="165">
        <v>37.98</v>
      </c>
      <c r="F63" s="165">
        <v>96.88</v>
      </c>
      <c r="G63" s="165">
        <v>82.61</v>
      </c>
      <c r="H63" s="165">
        <v>34.38</v>
      </c>
      <c r="I63" s="165">
        <v>7.45</v>
      </c>
      <c r="J63" s="165">
        <v>0.67</v>
      </c>
      <c r="K63" s="165">
        <v>283.13</v>
      </c>
      <c r="L63" s="165">
        <v>41.02</v>
      </c>
      <c r="M63" s="165">
        <v>17.01</v>
      </c>
      <c r="N63" s="165">
        <v>603.9</v>
      </c>
      <c r="O63" s="165">
        <v>0</v>
      </c>
      <c r="P63" s="165">
        <v>0.72</v>
      </c>
      <c r="Q63" s="165">
        <v>4.66</v>
      </c>
      <c r="R63" s="13"/>
      <c r="S63" s="13"/>
      <c r="T63" s="213"/>
      <c r="U63" s="13"/>
    </row>
    <row r="64" customFormat="1" spans="1:21">
      <c r="A64" s="142" t="s">
        <v>1261</v>
      </c>
      <c r="B64" s="165">
        <v>3.49</v>
      </c>
      <c r="C64" s="165">
        <v>36</v>
      </c>
      <c r="D64" s="165">
        <v>22.96</v>
      </c>
      <c r="E64" s="165">
        <v>31.75</v>
      </c>
      <c r="F64" s="165">
        <v>57.06</v>
      </c>
      <c r="G64" s="165">
        <v>73.34</v>
      </c>
      <c r="H64" s="165">
        <v>30.11</v>
      </c>
      <c r="I64" s="165">
        <v>7.38</v>
      </c>
      <c r="J64" s="165">
        <v>0.38</v>
      </c>
      <c r="K64" s="165">
        <v>249.22</v>
      </c>
      <c r="L64" s="165">
        <v>41.27</v>
      </c>
      <c r="M64" s="165">
        <v>16.61</v>
      </c>
      <c r="N64" s="165">
        <v>596.5</v>
      </c>
      <c r="O64" s="165">
        <v>0</v>
      </c>
      <c r="P64" s="165">
        <v>0.76</v>
      </c>
      <c r="Q64" s="165">
        <v>4.65</v>
      </c>
      <c r="R64" s="13"/>
      <c r="S64" s="13"/>
      <c r="T64" s="213"/>
      <c r="U64" s="13"/>
    </row>
    <row r="65" customFormat="1" spans="1:21">
      <c r="A65" s="142" t="s">
        <v>1262</v>
      </c>
      <c r="B65" s="165">
        <v>3.48</v>
      </c>
      <c r="C65" s="165">
        <v>43.08</v>
      </c>
      <c r="D65" s="165">
        <v>26.65</v>
      </c>
      <c r="E65" s="165">
        <v>22.26</v>
      </c>
      <c r="F65" s="165">
        <v>32.02</v>
      </c>
      <c r="G65" s="165">
        <v>73.34</v>
      </c>
      <c r="H65" s="165">
        <v>30.11</v>
      </c>
      <c r="I65" s="165">
        <v>7.35</v>
      </c>
      <c r="J65" s="165">
        <v>0.89</v>
      </c>
      <c r="K65" s="165">
        <v>251.11</v>
      </c>
      <c r="L65" s="165">
        <v>40.67</v>
      </c>
      <c r="M65" s="165">
        <v>18.33</v>
      </c>
      <c r="N65" s="165">
        <v>573.2</v>
      </c>
      <c r="O65" s="165">
        <v>0</v>
      </c>
      <c r="P65" s="165">
        <v>0.8</v>
      </c>
      <c r="Q65" s="165">
        <v>4.7</v>
      </c>
      <c r="R65" s="13"/>
      <c r="S65" s="13"/>
      <c r="T65" s="213"/>
      <c r="U65" s="13"/>
    </row>
    <row r="66" customFormat="1" spans="1:21">
      <c r="A66" s="142" t="s">
        <v>1263</v>
      </c>
      <c r="B66" s="165">
        <v>3.87</v>
      </c>
      <c r="C66" s="165">
        <v>43.2</v>
      </c>
      <c r="D66" s="165">
        <v>27.03</v>
      </c>
      <c r="E66" s="165">
        <v>22.33</v>
      </c>
      <c r="F66" s="165">
        <v>52.87</v>
      </c>
      <c r="G66" s="165">
        <v>73.34</v>
      </c>
      <c r="H66" s="165">
        <v>30.11</v>
      </c>
      <c r="I66" s="165">
        <v>7.4</v>
      </c>
      <c r="J66" s="165">
        <v>0.72</v>
      </c>
      <c r="K66" s="165">
        <v>232.89</v>
      </c>
      <c r="L66" s="165">
        <v>40.69</v>
      </c>
      <c r="M66" s="165">
        <v>17.73</v>
      </c>
      <c r="N66" s="165">
        <v>463.5</v>
      </c>
      <c r="O66" s="165">
        <v>0</v>
      </c>
      <c r="P66" s="165">
        <v>0.86</v>
      </c>
      <c r="Q66" s="165">
        <v>4.75</v>
      </c>
      <c r="R66" s="13"/>
      <c r="S66" s="13"/>
      <c r="T66" s="213"/>
      <c r="U66" s="13"/>
    </row>
    <row r="67" customFormat="1" spans="1:21">
      <c r="A67" s="142" t="s">
        <v>1264</v>
      </c>
      <c r="B67" s="165">
        <v>4.1</v>
      </c>
      <c r="C67" s="165">
        <v>44.57</v>
      </c>
      <c r="D67" s="165">
        <v>27.92</v>
      </c>
      <c r="E67" s="165">
        <v>23.73</v>
      </c>
      <c r="F67" s="165">
        <v>60.08</v>
      </c>
      <c r="G67" s="165">
        <v>70.97</v>
      </c>
      <c r="H67" s="165">
        <v>30.8</v>
      </c>
      <c r="I67" s="165">
        <v>7.66</v>
      </c>
      <c r="J67" s="165">
        <v>0.35</v>
      </c>
      <c r="K67" s="165">
        <v>228.9</v>
      </c>
      <c r="L67" s="165">
        <v>40.77</v>
      </c>
      <c r="M67" s="165">
        <v>17.08</v>
      </c>
      <c r="N67" s="165">
        <v>485.5</v>
      </c>
      <c r="O67" s="165">
        <v>0</v>
      </c>
      <c r="P67" s="165">
        <v>0.86</v>
      </c>
      <c r="Q67" s="165">
        <v>4.72</v>
      </c>
      <c r="R67" s="13"/>
      <c r="S67" s="13"/>
      <c r="T67" s="213"/>
      <c r="U67" s="13"/>
    </row>
    <row r="68" customFormat="1" spans="1:21">
      <c r="A68" s="142" t="s">
        <v>1265</v>
      </c>
      <c r="B68" s="165">
        <v>4.32</v>
      </c>
      <c r="C68" s="165">
        <v>47.25</v>
      </c>
      <c r="D68" s="165">
        <v>29.5</v>
      </c>
      <c r="E68" s="165">
        <v>24.86</v>
      </c>
      <c r="F68" s="165">
        <v>53.43</v>
      </c>
      <c r="G68" s="165">
        <v>65.16</v>
      </c>
      <c r="H68" s="165">
        <v>31.88</v>
      </c>
      <c r="I68" s="165">
        <v>7.68</v>
      </c>
      <c r="J68" s="165">
        <v>0.55</v>
      </c>
      <c r="K68" s="165">
        <v>251.05</v>
      </c>
      <c r="L68" s="165">
        <v>40.98</v>
      </c>
      <c r="M68" s="165">
        <v>17.48</v>
      </c>
      <c r="N68" s="165">
        <v>463.7</v>
      </c>
      <c r="O68" s="165">
        <v>0</v>
      </c>
      <c r="P68" s="165">
        <v>0.83</v>
      </c>
      <c r="Q68" s="165">
        <v>4.76</v>
      </c>
      <c r="R68" s="13"/>
      <c r="S68" s="13"/>
      <c r="T68" s="213"/>
      <c r="U68" s="13"/>
    </row>
    <row r="69" customFormat="1" spans="1:21">
      <c r="A69" s="142" t="s">
        <v>1266</v>
      </c>
      <c r="B69" s="165">
        <v>4.35</v>
      </c>
      <c r="C69" s="165">
        <v>47.18</v>
      </c>
      <c r="D69" s="165">
        <v>29.49</v>
      </c>
      <c r="E69" s="165">
        <v>22.55</v>
      </c>
      <c r="F69" s="165">
        <v>60.7</v>
      </c>
      <c r="G69" s="165">
        <v>65.16</v>
      </c>
      <c r="H69" s="165">
        <v>31.88</v>
      </c>
      <c r="I69" s="165">
        <v>7.32</v>
      </c>
      <c r="J69" s="165">
        <v>0.44</v>
      </c>
      <c r="K69" s="165">
        <v>237.05</v>
      </c>
      <c r="L69" s="165">
        <v>40.27</v>
      </c>
      <c r="M69" s="165">
        <v>18.01</v>
      </c>
      <c r="N69" s="165">
        <v>221</v>
      </c>
      <c r="O69" s="165">
        <v>0</v>
      </c>
      <c r="P69" s="165">
        <v>0.81</v>
      </c>
      <c r="Q69" s="165">
        <v>4.79</v>
      </c>
      <c r="R69" s="13"/>
      <c r="S69" s="13"/>
      <c r="T69" s="213"/>
      <c r="U69" s="13"/>
    </row>
    <row r="70" customFormat="1" spans="1:21">
      <c r="A70" s="142" t="s">
        <v>1267</v>
      </c>
      <c r="B70" s="165">
        <v>4.3</v>
      </c>
      <c r="C70" s="165">
        <v>41.91</v>
      </c>
      <c r="D70" s="165">
        <v>26.69</v>
      </c>
      <c r="E70" s="165">
        <v>24.36</v>
      </c>
      <c r="F70" s="165">
        <v>71.98</v>
      </c>
      <c r="G70" s="165">
        <v>65.16</v>
      </c>
      <c r="H70" s="165">
        <v>31.88</v>
      </c>
      <c r="I70" s="165">
        <v>7.2</v>
      </c>
      <c r="J70" s="165">
        <v>0.27</v>
      </c>
      <c r="K70" s="165">
        <v>214.55</v>
      </c>
      <c r="L70" s="165">
        <v>39.27</v>
      </c>
      <c r="M70" s="165">
        <v>19.54</v>
      </c>
      <c r="N70" s="165">
        <v>120.3</v>
      </c>
      <c r="O70" s="165">
        <v>0</v>
      </c>
      <c r="P70" s="165">
        <v>0.77</v>
      </c>
      <c r="Q70" s="165">
        <v>4.71</v>
      </c>
      <c r="R70" s="13"/>
      <c r="S70" s="13"/>
      <c r="T70" s="213"/>
      <c r="U70" s="13"/>
    </row>
    <row r="71" customFormat="1" spans="1:21">
      <c r="A71" s="142" t="s">
        <v>1268</v>
      </c>
      <c r="B71" s="165">
        <v>4.24</v>
      </c>
      <c r="C71" s="165">
        <v>42.49</v>
      </c>
      <c r="D71" s="165">
        <v>26.95</v>
      </c>
      <c r="E71" s="165">
        <v>24.97</v>
      </c>
      <c r="F71" s="165">
        <v>69.19</v>
      </c>
      <c r="G71" s="165">
        <v>64.16</v>
      </c>
      <c r="H71" s="165">
        <v>30.96</v>
      </c>
      <c r="I71" s="165">
        <v>6.66</v>
      </c>
      <c r="J71" s="165">
        <v>0.45</v>
      </c>
      <c r="K71" s="165">
        <v>231.3</v>
      </c>
      <c r="L71" s="165">
        <v>38.81</v>
      </c>
      <c r="M71" s="165">
        <v>19.69</v>
      </c>
      <c r="N71" s="165">
        <v>106.3</v>
      </c>
      <c r="O71" s="165">
        <v>0</v>
      </c>
      <c r="P71" s="165">
        <v>0.75</v>
      </c>
      <c r="Q71" s="165">
        <v>4.65</v>
      </c>
      <c r="R71" s="13"/>
      <c r="S71" s="13"/>
      <c r="T71" s="213"/>
      <c r="U71" s="13"/>
    </row>
    <row r="72" customFormat="1" spans="1:21">
      <c r="A72" s="142" t="s">
        <v>1269</v>
      </c>
      <c r="B72" s="165">
        <v>4.2</v>
      </c>
      <c r="C72" s="165">
        <v>43.74</v>
      </c>
      <c r="D72" s="165">
        <v>27.57</v>
      </c>
      <c r="E72" s="165">
        <v>24.78</v>
      </c>
      <c r="F72" s="165">
        <v>74.96</v>
      </c>
      <c r="G72" s="165">
        <v>61.7</v>
      </c>
      <c r="H72" s="165">
        <v>29.45</v>
      </c>
      <c r="I72" s="165">
        <v>6.26</v>
      </c>
      <c r="J72" s="165">
        <v>0.35</v>
      </c>
      <c r="K72" s="165">
        <v>221.92</v>
      </c>
      <c r="L72" s="165">
        <v>38.59</v>
      </c>
      <c r="M72" s="165">
        <v>20.55</v>
      </c>
      <c r="N72" s="165">
        <v>118.1</v>
      </c>
      <c r="O72" s="165">
        <v>0</v>
      </c>
      <c r="P72" s="165">
        <v>0.74</v>
      </c>
      <c r="Q72" s="165">
        <v>4.67</v>
      </c>
      <c r="R72" s="13"/>
      <c r="S72" s="13"/>
      <c r="T72" s="213"/>
      <c r="U72" s="13"/>
    </row>
    <row r="73" customFormat="1" spans="1:21">
      <c r="A73" s="142" t="s">
        <v>1270</v>
      </c>
      <c r="B73" s="165">
        <v>4.24</v>
      </c>
      <c r="C73" s="165">
        <v>45.98</v>
      </c>
      <c r="D73" s="165">
        <v>28.78</v>
      </c>
      <c r="E73" s="165">
        <v>25.6</v>
      </c>
      <c r="F73" s="165">
        <v>66.51</v>
      </c>
      <c r="G73" s="165">
        <v>61.7</v>
      </c>
      <c r="H73" s="165">
        <v>29.45</v>
      </c>
      <c r="I73" s="165">
        <v>6.24</v>
      </c>
      <c r="J73" s="165">
        <v>0.32</v>
      </c>
      <c r="K73" s="165">
        <v>208.8</v>
      </c>
      <c r="L73" s="165">
        <v>38.91</v>
      </c>
      <c r="M73" s="165">
        <v>20.08</v>
      </c>
      <c r="N73" s="165">
        <v>190</v>
      </c>
      <c r="O73" s="165">
        <v>0</v>
      </c>
      <c r="P73" s="165">
        <v>0.73</v>
      </c>
      <c r="Q73" s="165">
        <v>4.68</v>
      </c>
      <c r="R73" s="13"/>
      <c r="S73" s="13"/>
      <c r="T73" s="213"/>
      <c r="U73" s="13"/>
    </row>
    <row r="74" customFormat="1" spans="1:21">
      <c r="A74" s="142" t="s">
        <v>1271</v>
      </c>
      <c r="B74" s="165">
        <v>4.43</v>
      </c>
      <c r="C74" s="165">
        <v>47.09</v>
      </c>
      <c r="D74" s="165">
        <v>29.51</v>
      </c>
      <c r="E74" s="165">
        <v>23.59</v>
      </c>
      <c r="F74" s="165">
        <v>61.11</v>
      </c>
      <c r="G74" s="165">
        <v>61.7</v>
      </c>
      <c r="H74" s="165">
        <v>29.45</v>
      </c>
      <c r="I74" s="165">
        <v>5.98</v>
      </c>
      <c r="J74" s="165">
        <v>0.51</v>
      </c>
      <c r="K74" s="165">
        <v>229.93</v>
      </c>
      <c r="L74" s="165">
        <v>39.31</v>
      </c>
      <c r="M74" s="165">
        <v>19.38</v>
      </c>
      <c r="N74" s="165">
        <v>242</v>
      </c>
      <c r="O74" s="165">
        <v>0</v>
      </c>
      <c r="P74" s="165">
        <v>0.74</v>
      </c>
      <c r="Q74" s="165">
        <v>4.75</v>
      </c>
      <c r="R74" s="13"/>
      <c r="S74" s="13"/>
      <c r="T74" s="213"/>
      <c r="U74" s="13"/>
    </row>
    <row r="75" customFormat="1" spans="1:21">
      <c r="A75" s="142" t="s">
        <v>1272</v>
      </c>
      <c r="B75" s="165">
        <v>4.57</v>
      </c>
      <c r="C75" s="165">
        <v>49.03</v>
      </c>
      <c r="D75" s="165">
        <v>30.63</v>
      </c>
      <c r="E75" s="165">
        <v>23.12</v>
      </c>
      <c r="F75" s="165">
        <v>58.27</v>
      </c>
      <c r="G75" s="165">
        <v>60.82</v>
      </c>
      <c r="H75" s="165">
        <v>28.55</v>
      </c>
      <c r="I75" s="165">
        <v>5.79</v>
      </c>
      <c r="J75" s="165">
        <v>0.61</v>
      </c>
      <c r="K75" s="165">
        <v>240.38</v>
      </c>
      <c r="L75" s="165">
        <v>38.89</v>
      </c>
      <c r="M75" s="165">
        <v>19.03</v>
      </c>
      <c r="N75" s="165">
        <v>143.3</v>
      </c>
      <c r="O75" s="165">
        <v>0</v>
      </c>
      <c r="P75" s="165">
        <v>0.74</v>
      </c>
      <c r="Q75" s="165">
        <v>4.75</v>
      </c>
      <c r="R75" s="13"/>
      <c r="S75" s="13"/>
      <c r="T75" s="213"/>
      <c r="U75" s="13"/>
    </row>
    <row r="76" customFormat="1" spans="1:21">
      <c r="A76" s="142" t="s">
        <v>1273</v>
      </c>
      <c r="B76" s="165">
        <v>4.33</v>
      </c>
      <c r="C76" s="165">
        <v>46.26</v>
      </c>
      <c r="D76" s="165">
        <v>28.99</v>
      </c>
      <c r="E76" s="165">
        <v>23.53</v>
      </c>
      <c r="F76" s="165">
        <v>69.3</v>
      </c>
      <c r="G76" s="165">
        <v>58.66</v>
      </c>
      <c r="H76" s="165">
        <v>27.07</v>
      </c>
      <c r="I76" s="165">
        <v>6.05</v>
      </c>
      <c r="J76" s="165">
        <v>0.39</v>
      </c>
      <c r="K76" s="165">
        <v>219.16</v>
      </c>
      <c r="L76" s="165">
        <v>38.51</v>
      </c>
      <c r="M76" s="165">
        <v>20.01</v>
      </c>
      <c r="N76" s="165">
        <v>74.3</v>
      </c>
      <c r="O76" s="165">
        <v>0</v>
      </c>
      <c r="P76" s="165">
        <v>0.7</v>
      </c>
      <c r="Q76" s="165">
        <v>4.78</v>
      </c>
      <c r="R76" s="13"/>
      <c r="S76" s="13"/>
      <c r="T76" s="213"/>
      <c r="U76" s="13"/>
    </row>
    <row r="77" customFormat="1" spans="1:21">
      <c r="A77" s="142" t="s">
        <v>1274</v>
      </c>
      <c r="B77" s="165">
        <v>4.22</v>
      </c>
      <c r="C77" s="165">
        <v>42.6</v>
      </c>
      <c r="D77" s="165">
        <v>26.99</v>
      </c>
      <c r="E77" s="165">
        <v>24.31</v>
      </c>
      <c r="F77" s="165">
        <v>67.21</v>
      </c>
      <c r="G77" s="165">
        <v>58.66</v>
      </c>
      <c r="H77" s="165">
        <v>27.07</v>
      </c>
      <c r="I77" s="165">
        <v>5.96</v>
      </c>
      <c r="J77" s="165">
        <v>0.38</v>
      </c>
      <c r="K77" s="165">
        <v>236.92</v>
      </c>
      <c r="L77" s="165">
        <v>37.87</v>
      </c>
      <c r="M77" s="165">
        <v>21.35</v>
      </c>
      <c r="N77" s="165">
        <v>48.4</v>
      </c>
      <c r="O77" s="165">
        <v>0</v>
      </c>
      <c r="P77" s="165">
        <v>0.69</v>
      </c>
      <c r="Q77" s="165">
        <v>4.74</v>
      </c>
      <c r="R77" s="13"/>
      <c r="S77" s="13"/>
      <c r="T77" s="213"/>
      <c r="U77" s="13"/>
    </row>
    <row r="78" customFormat="1" spans="1:21">
      <c r="A78" s="142" t="s">
        <v>1275</v>
      </c>
      <c r="B78" s="165">
        <v>4.21</v>
      </c>
      <c r="C78" s="165">
        <v>40.76</v>
      </c>
      <c r="D78" s="165">
        <v>26.02</v>
      </c>
      <c r="E78" s="165">
        <v>24.95</v>
      </c>
      <c r="F78" s="165">
        <v>66.07</v>
      </c>
      <c r="G78" s="165">
        <v>58.66</v>
      </c>
      <c r="H78" s="165">
        <v>27.07</v>
      </c>
      <c r="I78" s="165">
        <v>5.47</v>
      </c>
      <c r="J78" s="165">
        <v>0.27</v>
      </c>
      <c r="K78" s="165">
        <v>231.18</v>
      </c>
      <c r="L78" s="165">
        <v>37.26</v>
      </c>
      <c r="M78" s="165">
        <v>22.83</v>
      </c>
      <c r="N78" s="165">
        <v>27.6</v>
      </c>
      <c r="O78" s="165">
        <v>0</v>
      </c>
      <c r="P78" s="165">
        <v>0.68</v>
      </c>
      <c r="Q78" s="165">
        <v>4.72</v>
      </c>
      <c r="R78" s="13"/>
      <c r="S78" s="13"/>
      <c r="T78" s="213"/>
      <c r="U78" s="13"/>
    </row>
    <row r="79" customFormat="1" spans="1:21">
      <c r="A79" s="142" t="s">
        <v>1276</v>
      </c>
      <c r="B79" s="165">
        <v>4.18</v>
      </c>
      <c r="C79" s="165">
        <v>38.59</v>
      </c>
      <c r="D79" s="165">
        <v>24.86</v>
      </c>
      <c r="E79" s="165">
        <v>26.07</v>
      </c>
      <c r="F79" s="165">
        <v>69.38</v>
      </c>
      <c r="G79" s="165">
        <v>57.63</v>
      </c>
      <c r="H79" s="165">
        <v>27.24</v>
      </c>
      <c r="I79" s="165">
        <v>5.01</v>
      </c>
      <c r="J79" s="165">
        <v>0.15</v>
      </c>
      <c r="K79" s="165">
        <v>203.13</v>
      </c>
      <c r="L79" s="165">
        <v>36.76</v>
      </c>
      <c r="M79" s="165">
        <v>24.22</v>
      </c>
      <c r="N79" s="165">
        <v>13.3</v>
      </c>
      <c r="O79" s="165">
        <v>0</v>
      </c>
      <c r="P79" s="165">
        <v>0.67</v>
      </c>
      <c r="Q79" s="165">
        <v>4.71</v>
      </c>
      <c r="R79" s="13"/>
      <c r="S79" s="13"/>
      <c r="T79" s="213"/>
      <c r="U79" s="13"/>
    </row>
    <row r="80" customFormat="1" spans="1:21">
      <c r="A80" s="142" t="s">
        <v>1277</v>
      </c>
      <c r="B80" s="165">
        <v>4.3</v>
      </c>
      <c r="C80" s="165">
        <v>40.85</v>
      </c>
      <c r="D80" s="165">
        <v>26.14</v>
      </c>
      <c r="E80" s="165">
        <v>25.99</v>
      </c>
      <c r="F80" s="165">
        <v>63.31</v>
      </c>
      <c r="G80" s="165">
        <v>55.08</v>
      </c>
      <c r="H80" s="165">
        <v>27.5</v>
      </c>
      <c r="I80" s="165">
        <v>4.76</v>
      </c>
      <c r="J80" s="165">
        <v>0.15</v>
      </c>
      <c r="K80" s="165">
        <v>192.41</v>
      </c>
      <c r="L80" s="165">
        <v>36.29</v>
      </c>
      <c r="M80" s="165">
        <v>25.25</v>
      </c>
      <c r="N80" s="165">
        <v>4.2</v>
      </c>
      <c r="O80" s="165">
        <v>0</v>
      </c>
      <c r="P80" s="165">
        <v>0.7</v>
      </c>
      <c r="Q80" s="165">
        <v>4.7</v>
      </c>
      <c r="R80" s="13"/>
      <c r="S80" s="13"/>
      <c r="T80" s="213"/>
      <c r="U80" s="13"/>
    </row>
    <row r="81" customFormat="1" spans="1:21">
      <c r="A81" s="142" t="s">
        <v>1278</v>
      </c>
      <c r="B81" s="165">
        <v>4.59</v>
      </c>
      <c r="C81" s="165">
        <v>44.54</v>
      </c>
      <c r="D81" s="165">
        <v>28.3</v>
      </c>
      <c r="E81" s="165">
        <v>12.61</v>
      </c>
      <c r="F81" s="165">
        <v>56.21</v>
      </c>
      <c r="G81" s="165">
        <v>55.08</v>
      </c>
      <c r="H81" s="165">
        <v>27.5</v>
      </c>
      <c r="I81" s="165">
        <v>4.77</v>
      </c>
      <c r="J81" s="165">
        <v>0.16</v>
      </c>
      <c r="K81" s="165">
        <v>160.08</v>
      </c>
      <c r="L81" s="165">
        <v>35.81</v>
      </c>
      <c r="M81" s="165">
        <v>26.92</v>
      </c>
      <c r="N81" s="165">
        <v>0</v>
      </c>
      <c r="O81" s="165">
        <v>0</v>
      </c>
      <c r="P81" s="165">
        <v>0.72</v>
      </c>
      <c r="Q81" s="165">
        <v>4.7</v>
      </c>
      <c r="R81" s="13"/>
      <c r="S81" s="13"/>
      <c r="T81" s="213"/>
      <c r="U81" s="13"/>
    </row>
    <row r="82" customFormat="1" spans="1:21">
      <c r="A82" s="142" t="s">
        <v>1279</v>
      </c>
      <c r="B82" s="165">
        <v>4.25</v>
      </c>
      <c r="C82" s="165">
        <v>37.13</v>
      </c>
      <c r="D82" s="165">
        <v>24.16</v>
      </c>
      <c r="E82" s="165">
        <v>16.93</v>
      </c>
      <c r="F82" s="165">
        <v>60.44</v>
      </c>
      <c r="G82" s="165">
        <v>55.08</v>
      </c>
      <c r="H82" s="165">
        <v>27.5</v>
      </c>
      <c r="I82" s="165">
        <v>4.85</v>
      </c>
      <c r="J82" s="165">
        <v>0.19</v>
      </c>
      <c r="K82" s="165">
        <v>149.53</v>
      </c>
      <c r="L82" s="165">
        <v>35.27</v>
      </c>
      <c r="M82" s="165">
        <v>29.58</v>
      </c>
      <c r="N82" s="165">
        <v>0</v>
      </c>
      <c r="O82" s="165">
        <v>0</v>
      </c>
      <c r="P82" s="165">
        <v>0.76</v>
      </c>
      <c r="Q82" s="165">
        <v>4.72</v>
      </c>
      <c r="R82" s="13"/>
      <c r="S82" s="13"/>
      <c r="T82" s="213"/>
      <c r="U82" s="13"/>
    </row>
    <row r="83" customFormat="1" spans="1:21">
      <c r="A83" s="142" t="s">
        <v>1280</v>
      </c>
      <c r="B83" s="165">
        <v>4.64</v>
      </c>
      <c r="C83" s="165">
        <v>42.48</v>
      </c>
      <c r="D83" s="165">
        <v>27.26</v>
      </c>
      <c r="E83" s="165">
        <v>15.81</v>
      </c>
      <c r="F83" s="165">
        <v>50.6</v>
      </c>
      <c r="G83" s="165">
        <v>56.96</v>
      </c>
      <c r="H83" s="165">
        <v>27.81</v>
      </c>
      <c r="I83" s="165">
        <v>5.09</v>
      </c>
      <c r="J83" s="165">
        <v>0.29</v>
      </c>
      <c r="K83" s="165">
        <v>150.09</v>
      </c>
      <c r="L83" s="165">
        <v>34.58</v>
      </c>
      <c r="M83" s="165">
        <v>33.82</v>
      </c>
      <c r="N83" s="165">
        <v>0</v>
      </c>
      <c r="O83" s="165">
        <v>0</v>
      </c>
      <c r="P83" s="165">
        <v>0.81</v>
      </c>
      <c r="Q83" s="165">
        <v>4.76</v>
      </c>
      <c r="R83" s="13"/>
      <c r="S83" s="13"/>
      <c r="T83" s="213"/>
      <c r="U83" s="13"/>
    </row>
    <row r="84" customFormat="1" spans="1:21">
      <c r="A84" s="142" t="s">
        <v>1281</v>
      </c>
      <c r="B84" s="165">
        <v>5.46</v>
      </c>
      <c r="C84" s="165">
        <v>48.65</v>
      </c>
      <c r="D84" s="165">
        <v>31.15</v>
      </c>
      <c r="E84" s="165">
        <v>13.85</v>
      </c>
      <c r="F84" s="165">
        <v>35.97</v>
      </c>
      <c r="G84" s="165">
        <v>61.57</v>
      </c>
      <c r="H84" s="165">
        <v>28.96</v>
      </c>
      <c r="I84" s="165">
        <v>5.4</v>
      </c>
      <c r="J84" s="165">
        <v>0.21</v>
      </c>
      <c r="K84" s="165">
        <v>161.47</v>
      </c>
      <c r="L84" s="165">
        <v>34.01</v>
      </c>
      <c r="M84" s="165">
        <v>35.99</v>
      </c>
      <c r="N84" s="165">
        <v>0</v>
      </c>
      <c r="O84" s="165">
        <v>0</v>
      </c>
      <c r="P84" s="165">
        <v>0.83</v>
      </c>
      <c r="Q84" s="165">
        <v>4.81</v>
      </c>
      <c r="R84" s="13"/>
      <c r="S84" s="13"/>
      <c r="T84" s="213"/>
      <c r="U84" s="13"/>
    </row>
    <row r="85" customFormat="1" spans="1:21">
      <c r="A85" s="142" t="s">
        <v>1282</v>
      </c>
      <c r="B85" s="165">
        <v>5.47</v>
      </c>
      <c r="C85" s="165">
        <v>49.05</v>
      </c>
      <c r="D85" s="165">
        <v>31.37</v>
      </c>
      <c r="E85" s="165">
        <v>17.1</v>
      </c>
      <c r="F85" s="165">
        <v>49.74</v>
      </c>
      <c r="G85" s="165">
        <v>61.57</v>
      </c>
      <c r="H85" s="165">
        <v>28.96</v>
      </c>
      <c r="I85" s="165">
        <v>6.01</v>
      </c>
      <c r="J85" s="165">
        <v>0.15</v>
      </c>
      <c r="K85" s="165">
        <v>209.99</v>
      </c>
      <c r="L85" s="165">
        <v>33.98</v>
      </c>
      <c r="M85" s="165">
        <v>30.83</v>
      </c>
      <c r="N85" s="165">
        <v>0</v>
      </c>
      <c r="O85" s="165">
        <v>0</v>
      </c>
      <c r="P85" s="165">
        <v>0.74</v>
      </c>
      <c r="Q85" s="165">
        <v>4.84</v>
      </c>
      <c r="R85" s="13"/>
      <c r="S85" s="13"/>
      <c r="T85" s="213"/>
      <c r="U85" s="13"/>
    </row>
    <row r="86" customFormat="1" spans="1:21">
      <c r="A86" s="142" t="s">
        <v>1283</v>
      </c>
      <c r="B86" s="165">
        <v>7.54</v>
      </c>
      <c r="C86" s="165">
        <v>59.78</v>
      </c>
      <c r="D86" s="165">
        <v>38.63</v>
      </c>
      <c r="E86" s="165">
        <v>14.24</v>
      </c>
      <c r="F86" s="165">
        <v>23.6</v>
      </c>
      <c r="G86" s="165">
        <v>61.57</v>
      </c>
      <c r="H86" s="165">
        <v>28.96</v>
      </c>
      <c r="I86" s="165">
        <v>6.07</v>
      </c>
      <c r="J86" s="165">
        <v>0.62</v>
      </c>
      <c r="K86" s="165">
        <v>302.16</v>
      </c>
      <c r="L86" s="165">
        <v>34.22</v>
      </c>
      <c r="M86" s="165">
        <v>28.66</v>
      </c>
      <c r="N86" s="165">
        <v>0</v>
      </c>
      <c r="O86" s="165">
        <v>0</v>
      </c>
      <c r="P86" s="165">
        <v>0.82</v>
      </c>
      <c r="Q86" s="165">
        <v>4.93</v>
      </c>
      <c r="R86" s="13"/>
      <c r="S86" s="13"/>
      <c r="T86" s="213"/>
      <c r="U86" s="13"/>
    </row>
    <row r="87" customFormat="1" spans="1:21">
      <c r="A87" s="142" t="s">
        <v>1284</v>
      </c>
      <c r="B87" s="165">
        <v>7.25</v>
      </c>
      <c r="C87" s="165">
        <v>59.95</v>
      </c>
      <c r="D87" s="165">
        <v>38.49</v>
      </c>
      <c r="E87" s="165">
        <v>14.61</v>
      </c>
      <c r="F87" s="165">
        <v>25.11</v>
      </c>
      <c r="G87" s="165">
        <v>63.93</v>
      </c>
      <c r="H87" s="165">
        <v>28.67</v>
      </c>
      <c r="I87" s="165">
        <v>5.77</v>
      </c>
      <c r="J87" s="165">
        <v>0.9</v>
      </c>
      <c r="K87" s="165">
        <v>28.33</v>
      </c>
      <c r="L87" s="165">
        <v>34.98</v>
      </c>
      <c r="M87" s="165">
        <v>23.33</v>
      </c>
      <c r="N87" s="165">
        <v>0</v>
      </c>
      <c r="O87" s="165">
        <v>0</v>
      </c>
      <c r="P87" s="165">
        <v>0.82</v>
      </c>
      <c r="Q87" s="165">
        <v>5.09</v>
      </c>
      <c r="R87" s="13"/>
      <c r="S87" s="13"/>
      <c r="T87" s="213"/>
      <c r="U87" s="13"/>
    </row>
    <row r="88" customFormat="1" spans="1:21">
      <c r="A88" s="142" t="s">
        <v>1285</v>
      </c>
      <c r="B88" s="165">
        <v>7.06</v>
      </c>
      <c r="C88" s="165">
        <v>60.21</v>
      </c>
      <c r="D88" s="165">
        <v>38.47</v>
      </c>
      <c r="E88" s="165">
        <v>12.78</v>
      </c>
      <c r="F88" s="165">
        <v>25.6</v>
      </c>
      <c r="G88" s="165">
        <v>69.75</v>
      </c>
      <c r="H88" s="165">
        <v>28.2</v>
      </c>
      <c r="I88" s="165">
        <v>6.19</v>
      </c>
      <c r="J88" s="165">
        <v>0.82</v>
      </c>
      <c r="K88" s="165">
        <v>39.73</v>
      </c>
      <c r="L88" s="165">
        <v>35.5</v>
      </c>
      <c r="M88" s="165">
        <v>17.2</v>
      </c>
      <c r="N88" s="165">
        <v>0</v>
      </c>
      <c r="O88" s="165">
        <v>0</v>
      </c>
      <c r="P88" s="165">
        <v>0.78</v>
      </c>
      <c r="Q88" s="165">
        <v>5.23</v>
      </c>
      <c r="R88" s="13"/>
      <c r="S88" s="13"/>
      <c r="T88" s="213"/>
      <c r="U88" s="13"/>
    </row>
    <row r="89" customFormat="1" spans="1:21">
      <c r="A89" s="142" t="s">
        <v>1286</v>
      </c>
      <c r="B89" s="165">
        <v>7.7</v>
      </c>
      <c r="C89" s="165">
        <v>56.95</v>
      </c>
      <c r="D89" s="165">
        <v>37.28</v>
      </c>
      <c r="E89" s="165">
        <v>10.63</v>
      </c>
      <c r="F89" s="165">
        <v>33.25</v>
      </c>
      <c r="G89" s="165">
        <v>69.75</v>
      </c>
      <c r="H89" s="165">
        <v>28.2</v>
      </c>
      <c r="I89" s="165">
        <v>6.22</v>
      </c>
      <c r="J89" s="165">
        <v>0.28</v>
      </c>
      <c r="K89" s="165">
        <v>163.54</v>
      </c>
      <c r="L89" s="165">
        <v>35.7</v>
      </c>
      <c r="M89" s="165">
        <v>16.65</v>
      </c>
      <c r="N89" s="165">
        <v>0</v>
      </c>
      <c r="O89" s="165">
        <v>0</v>
      </c>
      <c r="P89" s="165">
        <v>0.74</v>
      </c>
      <c r="Q89" s="165">
        <v>5.26</v>
      </c>
      <c r="R89" s="13"/>
      <c r="S89" s="13"/>
      <c r="T89" s="213"/>
      <c r="U89" s="13"/>
    </row>
    <row r="90" customFormat="1" spans="1:21">
      <c r="A90" s="142" t="s">
        <v>1287</v>
      </c>
      <c r="B90" s="165">
        <v>5.91</v>
      </c>
      <c r="C90" s="165">
        <v>52.79</v>
      </c>
      <c r="D90" s="165">
        <v>33.67</v>
      </c>
      <c r="E90" s="165">
        <v>9.73</v>
      </c>
      <c r="F90" s="165">
        <v>32.44</v>
      </c>
      <c r="G90" s="165">
        <v>69.75</v>
      </c>
      <c r="H90" s="165">
        <v>28.2</v>
      </c>
      <c r="I90" s="165">
        <v>5.59</v>
      </c>
      <c r="J90" s="165">
        <v>0.22</v>
      </c>
      <c r="K90" s="165">
        <v>179.95</v>
      </c>
      <c r="L90" s="165">
        <v>34.68</v>
      </c>
      <c r="M90" s="165">
        <v>20.34</v>
      </c>
      <c r="N90" s="165">
        <v>0</v>
      </c>
      <c r="O90" s="165">
        <v>0</v>
      </c>
      <c r="P90" s="165">
        <v>0.71</v>
      </c>
      <c r="Q90" s="165">
        <v>5.25</v>
      </c>
      <c r="R90" s="13"/>
      <c r="S90" s="13"/>
      <c r="T90" s="213"/>
      <c r="U90" s="13"/>
    </row>
    <row r="91" customFormat="1" spans="1:21">
      <c r="A91" s="142" t="s">
        <v>1288</v>
      </c>
      <c r="B91" s="165">
        <v>6.03</v>
      </c>
      <c r="C91" s="165">
        <v>56.98</v>
      </c>
      <c r="D91" s="165">
        <v>35.95</v>
      </c>
      <c r="E91" s="165">
        <v>9.79</v>
      </c>
      <c r="F91" s="165">
        <v>23.64</v>
      </c>
      <c r="G91" s="165">
        <v>68.36</v>
      </c>
      <c r="H91" s="165">
        <v>27.62</v>
      </c>
      <c r="I91" s="165">
        <v>5.31</v>
      </c>
      <c r="J91" s="165">
        <v>0.26</v>
      </c>
      <c r="K91" s="165">
        <v>175.99</v>
      </c>
      <c r="L91" s="165">
        <v>33.67</v>
      </c>
      <c r="M91" s="165">
        <v>23.53</v>
      </c>
      <c r="N91" s="165">
        <v>0</v>
      </c>
      <c r="O91" s="165">
        <v>0</v>
      </c>
      <c r="P91" s="165">
        <v>0.73</v>
      </c>
      <c r="Q91" s="165">
        <v>5.2</v>
      </c>
      <c r="R91" s="13"/>
      <c r="S91" s="13"/>
      <c r="T91" s="213"/>
      <c r="U91" s="13"/>
    </row>
    <row r="92" customFormat="1" spans="1:21">
      <c r="A92" s="142" t="s">
        <v>1289</v>
      </c>
      <c r="B92" s="165">
        <v>5.69</v>
      </c>
      <c r="C92" s="165">
        <v>53.68</v>
      </c>
      <c r="D92" s="165">
        <v>33.96</v>
      </c>
      <c r="E92" s="165">
        <v>9.36</v>
      </c>
      <c r="F92" s="165">
        <v>25.33</v>
      </c>
      <c r="G92" s="165">
        <v>65.1</v>
      </c>
      <c r="H92" s="165">
        <v>26.71</v>
      </c>
      <c r="I92" s="165">
        <v>5.19</v>
      </c>
      <c r="J92" s="165">
        <v>0.18</v>
      </c>
      <c r="K92" s="165">
        <v>181.58</v>
      </c>
      <c r="L92" s="165">
        <v>32.68</v>
      </c>
      <c r="M92" s="165">
        <v>25.7</v>
      </c>
      <c r="N92" s="165">
        <v>0</v>
      </c>
      <c r="O92" s="165">
        <v>0</v>
      </c>
      <c r="P92" s="165">
        <v>0.72</v>
      </c>
      <c r="Q92" s="165">
        <v>5.15</v>
      </c>
      <c r="R92" s="13"/>
      <c r="S92" s="13"/>
      <c r="T92" s="213"/>
      <c r="U92" s="13"/>
    </row>
    <row r="93" customFormat="1" spans="1:21">
      <c r="A93" s="142" t="s">
        <v>1290</v>
      </c>
      <c r="B93" s="165">
        <v>5.93</v>
      </c>
      <c r="C93" s="165">
        <v>54.95</v>
      </c>
      <c r="D93" s="165">
        <v>34.82</v>
      </c>
      <c r="E93" s="165">
        <v>9.13</v>
      </c>
      <c r="F93" s="165">
        <v>20.68</v>
      </c>
      <c r="G93" s="165">
        <v>65.1</v>
      </c>
      <c r="H93" s="165">
        <v>26.71</v>
      </c>
      <c r="I93" s="165">
        <v>5.13</v>
      </c>
      <c r="J93" s="165">
        <v>0.13</v>
      </c>
      <c r="K93" s="165">
        <v>162.22</v>
      </c>
      <c r="L93" s="165">
        <v>32.14</v>
      </c>
      <c r="M93" s="165">
        <v>27.91</v>
      </c>
      <c r="N93" s="165">
        <v>0</v>
      </c>
      <c r="O93" s="165">
        <v>0</v>
      </c>
      <c r="P93" s="165">
        <v>0.73</v>
      </c>
      <c r="Q93" s="165">
        <v>5.12</v>
      </c>
      <c r="R93" s="13"/>
      <c r="S93" s="13"/>
      <c r="T93" s="213"/>
      <c r="U93" s="13"/>
    </row>
    <row r="94" customFormat="1" spans="1:21">
      <c r="A94" s="142" t="s">
        <v>1291</v>
      </c>
      <c r="B94" s="165">
        <v>5.93</v>
      </c>
      <c r="C94" s="165">
        <v>54.91</v>
      </c>
      <c r="D94" s="165">
        <v>34.8</v>
      </c>
      <c r="E94" s="165">
        <v>8.51</v>
      </c>
      <c r="F94" s="165">
        <v>18.65</v>
      </c>
      <c r="G94" s="165">
        <v>65.1</v>
      </c>
      <c r="H94" s="165">
        <v>26.71</v>
      </c>
      <c r="I94" s="165">
        <v>5.25</v>
      </c>
      <c r="J94" s="165">
        <v>0.16</v>
      </c>
      <c r="K94" s="165">
        <v>210.25</v>
      </c>
      <c r="L94" s="165">
        <v>31.74</v>
      </c>
      <c r="M94" s="165">
        <v>29.99</v>
      </c>
      <c r="N94" s="165">
        <v>0</v>
      </c>
      <c r="O94" s="165">
        <v>0</v>
      </c>
      <c r="P94" s="165">
        <v>0.75</v>
      </c>
      <c r="Q94" s="165">
        <v>5.13</v>
      </c>
      <c r="R94" s="13"/>
      <c r="S94" s="13"/>
      <c r="T94" s="213"/>
      <c r="U94" s="13"/>
    </row>
    <row r="95" customFormat="1" spans="1:21">
      <c r="A95" s="142" t="s">
        <v>1292</v>
      </c>
      <c r="B95" s="165">
        <v>6.23</v>
      </c>
      <c r="C95" s="165">
        <v>56.27</v>
      </c>
      <c r="D95" s="165">
        <v>35.75</v>
      </c>
      <c r="E95" s="165">
        <v>9.1</v>
      </c>
      <c r="F95" s="165">
        <v>16.36</v>
      </c>
      <c r="G95" s="165">
        <v>68.18</v>
      </c>
      <c r="H95" s="165">
        <v>27.93</v>
      </c>
      <c r="I95" s="165">
        <v>5.35</v>
      </c>
      <c r="J95" s="165">
        <v>0.19</v>
      </c>
      <c r="K95" s="165">
        <v>160.88</v>
      </c>
      <c r="L95" s="165">
        <v>31.48</v>
      </c>
      <c r="M95" s="165">
        <v>32.83</v>
      </c>
      <c r="N95" s="165">
        <v>0</v>
      </c>
      <c r="O95" s="165">
        <v>0</v>
      </c>
      <c r="P95" s="165">
        <v>0.77</v>
      </c>
      <c r="Q95" s="165">
        <v>5.14</v>
      </c>
      <c r="R95" s="13"/>
      <c r="S95" s="13"/>
      <c r="T95" s="213"/>
      <c r="U95" s="13"/>
    </row>
    <row r="96" customFormat="1" spans="1:26">
      <c r="A96" s="142" t="s">
        <v>1293</v>
      </c>
      <c r="B96" s="165">
        <v>6.66</v>
      </c>
      <c r="C96" s="165">
        <v>57.44</v>
      </c>
      <c r="D96" s="165">
        <v>36.7</v>
      </c>
      <c r="E96" s="165">
        <v>8.58</v>
      </c>
      <c r="F96" s="165">
        <v>15.66</v>
      </c>
      <c r="G96" s="165">
        <v>75.75</v>
      </c>
      <c r="H96" s="165">
        <v>29.86</v>
      </c>
      <c r="I96" s="165">
        <v>5.49</v>
      </c>
      <c r="J96" s="165">
        <v>0.15</v>
      </c>
      <c r="K96" s="165">
        <v>177.4</v>
      </c>
      <c r="L96" s="165">
        <v>31.03</v>
      </c>
      <c r="M96" s="165">
        <v>32.17</v>
      </c>
      <c r="N96" s="165">
        <v>0</v>
      </c>
      <c r="O96" s="165">
        <v>0</v>
      </c>
      <c r="P96" s="165">
        <v>0.79</v>
      </c>
      <c r="Q96" s="165">
        <v>5.17</v>
      </c>
      <c r="R96" s="13"/>
      <c r="S96" s="13"/>
      <c r="T96" s="213"/>
      <c r="U96" s="13"/>
      <c r="Z96" s="222"/>
    </row>
    <row r="97" customFormat="1" spans="1:21">
      <c r="A97" s="142" t="s">
        <v>1294</v>
      </c>
      <c r="B97" s="165">
        <v>7.14</v>
      </c>
      <c r="C97" s="165">
        <v>59.69</v>
      </c>
      <c r="D97" s="165">
        <v>38.26</v>
      </c>
      <c r="E97" s="165">
        <v>7.87</v>
      </c>
      <c r="F97" s="165">
        <v>11.82</v>
      </c>
      <c r="G97" s="165">
        <v>75.75</v>
      </c>
      <c r="H97" s="165">
        <v>29.86</v>
      </c>
      <c r="I97" s="165">
        <v>5.59</v>
      </c>
      <c r="J97" s="165">
        <v>0.2</v>
      </c>
      <c r="K97" s="165">
        <v>226.08</v>
      </c>
      <c r="L97" s="165">
        <v>30.7</v>
      </c>
      <c r="M97" s="165">
        <v>34.32</v>
      </c>
      <c r="N97" s="165">
        <v>0</v>
      </c>
      <c r="O97" s="165">
        <v>0</v>
      </c>
      <c r="P97" s="165">
        <v>0.78</v>
      </c>
      <c r="Q97" s="165">
        <v>5.19</v>
      </c>
      <c r="R97" s="13"/>
      <c r="S97" s="13"/>
      <c r="T97" s="213"/>
      <c r="U97" s="13"/>
    </row>
    <row r="98" customFormat="1" spans="1:21">
      <c r="A98" s="142" t="s">
        <v>1295</v>
      </c>
      <c r="B98" s="165">
        <v>7.33</v>
      </c>
      <c r="C98" s="165">
        <v>58.69</v>
      </c>
      <c r="D98" s="165">
        <v>37.89</v>
      </c>
      <c r="E98" s="165">
        <v>7.02</v>
      </c>
      <c r="F98" s="165">
        <v>11.36</v>
      </c>
      <c r="G98" s="165">
        <v>75.75</v>
      </c>
      <c r="H98" s="165">
        <v>29.86</v>
      </c>
      <c r="I98" s="165">
        <v>5.69</v>
      </c>
      <c r="J98" s="165">
        <v>0.21</v>
      </c>
      <c r="K98" s="165">
        <v>168.41</v>
      </c>
      <c r="L98" s="165">
        <v>30.6</v>
      </c>
      <c r="M98" s="165">
        <v>37.25</v>
      </c>
      <c r="N98" s="165">
        <v>0</v>
      </c>
      <c r="O98" s="165">
        <v>0</v>
      </c>
      <c r="P98" s="165">
        <v>0.8</v>
      </c>
      <c r="Q98" s="165">
        <v>5.22</v>
      </c>
      <c r="R98" s="13"/>
      <c r="S98" s="13"/>
      <c r="T98" s="213"/>
      <c r="U98" s="13"/>
    </row>
    <row r="99" customFormat="1" spans="1:21">
      <c r="A99" s="142" t="s">
        <v>1296</v>
      </c>
      <c r="B99" s="165">
        <v>7.91</v>
      </c>
      <c r="C99" s="165">
        <v>60.25</v>
      </c>
      <c r="D99" s="165">
        <v>39.17</v>
      </c>
      <c r="E99" s="165">
        <v>6.85</v>
      </c>
      <c r="F99" s="165">
        <v>8.25</v>
      </c>
      <c r="G99" s="165">
        <v>81.76</v>
      </c>
      <c r="H99" s="165">
        <v>30.57</v>
      </c>
      <c r="I99" s="165">
        <v>5.82</v>
      </c>
      <c r="J99" s="165">
        <v>0.24</v>
      </c>
      <c r="K99" s="165">
        <v>164.64</v>
      </c>
      <c r="L99" s="165">
        <v>30.36</v>
      </c>
      <c r="M99" s="165">
        <v>37.37</v>
      </c>
      <c r="N99" s="165">
        <v>0</v>
      </c>
      <c r="O99" s="165">
        <v>0</v>
      </c>
      <c r="P99" s="165">
        <v>0.81</v>
      </c>
      <c r="Q99" s="165">
        <v>5.31</v>
      </c>
      <c r="R99" s="13"/>
      <c r="S99" s="13"/>
      <c r="T99" s="213"/>
      <c r="U99" s="13"/>
    </row>
    <row r="100" customFormat="1" spans="1:33">
      <c r="A100" s="142" t="s">
        <v>1297</v>
      </c>
      <c r="B100" s="165">
        <v>8.28</v>
      </c>
      <c r="C100" s="165">
        <v>60.93</v>
      </c>
      <c r="D100" s="165">
        <v>39.82</v>
      </c>
      <c r="E100" s="165">
        <v>6.98</v>
      </c>
      <c r="F100" s="165">
        <v>10.6</v>
      </c>
      <c r="G100" s="165">
        <v>95.78</v>
      </c>
      <c r="H100" s="165">
        <v>31.68</v>
      </c>
      <c r="I100" s="165">
        <v>5.91</v>
      </c>
      <c r="J100" s="165">
        <v>0.17</v>
      </c>
      <c r="K100" s="165">
        <v>174.21</v>
      </c>
      <c r="L100" s="165">
        <v>30.11</v>
      </c>
      <c r="M100" s="165">
        <v>38.24</v>
      </c>
      <c r="N100" s="165">
        <v>0</v>
      </c>
      <c r="O100" s="165">
        <v>0</v>
      </c>
      <c r="P100" s="165">
        <v>0.83</v>
      </c>
      <c r="Q100" s="165">
        <v>5.33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1298</v>
      </c>
      <c r="B101" s="165">
        <v>8.8</v>
      </c>
      <c r="C101" s="165">
        <v>61.73</v>
      </c>
      <c r="D101" s="165">
        <v>40.66</v>
      </c>
      <c r="E101" s="165">
        <v>7.39</v>
      </c>
      <c r="F101" s="165">
        <v>8.15</v>
      </c>
      <c r="G101" s="165">
        <v>95.78</v>
      </c>
      <c r="H101" s="165">
        <v>31.68</v>
      </c>
      <c r="I101" s="165">
        <v>5.98</v>
      </c>
      <c r="J101" s="165">
        <v>0.22</v>
      </c>
      <c r="K101" s="165">
        <v>171.35</v>
      </c>
      <c r="L101" s="165">
        <v>30.07</v>
      </c>
      <c r="M101" s="165">
        <v>40.2</v>
      </c>
      <c r="N101" s="165">
        <v>0</v>
      </c>
      <c r="O101" s="165">
        <v>0</v>
      </c>
      <c r="P101" s="165">
        <v>0.83</v>
      </c>
      <c r="Q101" s="165">
        <v>5.38</v>
      </c>
      <c r="R101" s="13"/>
      <c r="S101" s="13"/>
      <c r="T101" s="213"/>
      <c r="U101" s="13"/>
    </row>
    <row r="102" customFormat="1" spans="1:21">
      <c r="A102" s="142" t="s">
        <v>1299</v>
      </c>
      <c r="B102" s="165">
        <v>9.22</v>
      </c>
      <c r="C102" s="165">
        <v>62.23</v>
      </c>
      <c r="D102" s="165">
        <v>41.26</v>
      </c>
      <c r="E102" s="165">
        <v>6.69</v>
      </c>
      <c r="F102" s="165">
        <v>7.84</v>
      </c>
      <c r="G102" s="165">
        <v>95.78</v>
      </c>
      <c r="H102" s="165">
        <v>31.68</v>
      </c>
      <c r="I102" s="165">
        <v>6.06</v>
      </c>
      <c r="J102" s="165">
        <v>0.11</v>
      </c>
      <c r="K102" s="165">
        <v>162.67</v>
      </c>
      <c r="L102" s="165">
        <v>29.6</v>
      </c>
      <c r="M102" s="165">
        <v>42.56</v>
      </c>
      <c r="N102" s="165">
        <v>0</v>
      </c>
      <c r="O102" s="165">
        <v>0</v>
      </c>
      <c r="P102" s="165">
        <v>0.84</v>
      </c>
      <c r="Q102" s="165">
        <v>5.42</v>
      </c>
      <c r="R102" s="13"/>
      <c r="S102" s="13"/>
      <c r="T102" s="213"/>
      <c r="U102" s="13"/>
    </row>
    <row r="103" customFormat="1" spans="1:21">
      <c r="A103" s="142" t="s">
        <v>1300</v>
      </c>
      <c r="B103" s="165">
        <v>9.33</v>
      </c>
      <c r="C103" s="165">
        <v>60.65</v>
      </c>
      <c r="D103" s="165">
        <v>40.52</v>
      </c>
      <c r="E103" s="165">
        <v>6.25</v>
      </c>
      <c r="F103" s="165">
        <v>12.01</v>
      </c>
      <c r="G103" s="165">
        <v>95.23</v>
      </c>
      <c r="H103" s="165">
        <v>32.26</v>
      </c>
      <c r="I103" s="165">
        <v>6.13</v>
      </c>
      <c r="J103" s="165">
        <v>0.21</v>
      </c>
      <c r="K103" s="165">
        <v>241.13</v>
      </c>
      <c r="L103" s="165">
        <v>29.73</v>
      </c>
      <c r="M103" s="165">
        <v>41.45</v>
      </c>
      <c r="N103" s="165">
        <v>0</v>
      </c>
      <c r="O103" s="165">
        <v>0</v>
      </c>
      <c r="P103" s="165">
        <v>0.85</v>
      </c>
      <c r="Q103" s="165">
        <v>5.47</v>
      </c>
      <c r="R103" s="13"/>
      <c r="S103" s="13"/>
      <c r="T103" s="213"/>
      <c r="U103" s="13"/>
    </row>
    <row r="104" customFormat="1" spans="1:21">
      <c r="A104" s="142" t="s">
        <v>1301</v>
      </c>
      <c r="B104" s="165">
        <v>9.21</v>
      </c>
      <c r="C104" s="165">
        <v>60.75</v>
      </c>
      <c r="D104" s="165">
        <v>40.47</v>
      </c>
      <c r="E104" s="165">
        <v>6.58</v>
      </c>
      <c r="F104" s="165">
        <v>10.76</v>
      </c>
      <c r="G104" s="165">
        <v>93.87</v>
      </c>
      <c r="H104" s="165">
        <v>33.17</v>
      </c>
      <c r="I104" s="165">
        <v>6.15</v>
      </c>
      <c r="J104" s="165">
        <v>0.24</v>
      </c>
      <c r="K104" s="165">
        <v>240.66</v>
      </c>
      <c r="L104" s="165">
        <v>30.01</v>
      </c>
      <c r="M104" s="165">
        <v>40.74</v>
      </c>
      <c r="N104" s="165">
        <v>0</v>
      </c>
      <c r="O104" s="165">
        <v>0</v>
      </c>
      <c r="P104" s="165">
        <v>0.84</v>
      </c>
      <c r="Q104" s="165">
        <v>5.49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3.36</v>
      </c>
      <c r="C106" s="215">
        <f>MIN(C9:C104)</f>
        <v>31.89</v>
      </c>
      <c r="D106" s="215">
        <f t="shared" ref="D106:Q106" si="0">MIN(D9:D104)</f>
        <v>20.71</v>
      </c>
      <c r="E106" s="215">
        <f t="shared" si="0"/>
        <v>5.61</v>
      </c>
      <c r="F106" s="215">
        <f t="shared" si="0"/>
        <v>3.5</v>
      </c>
      <c r="G106" s="215">
        <f t="shared" si="0"/>
        <v>55.08</v>
      </c>
      <c r="H106" s="215">
        <f t="shared" si="0"/>
        <v>24.36</v>
      </c>
      <c r="I106" s="215">
        <f t="shared" si="0"/>
        <v>4.76</v>
      </c>
      <c r="J106" s="215">
        <f t="shared" si="0"/>
        <v>0.03</v>
      </c>
      <c r="K106" s="215">
        <f t="shared" si="0"/>
        <v>28.33</v>
      </c>
      <c r="L106" s="215">
        <f t="shared" si="0"/>
        <v>23.86</v>
      </c>
      <c r="M106" s="215">
        <f t="shared" si="0"/>
        <v>16.61</v>
      </c>
      <c r="N106" s="215">
        <f t="shared" si="0"/>
        <v>0</v>
      </c>
      <c r="O106" s="215">
        <f t="shared" si="0"/>
        <v>0</v>
      </c>
      <c r="P106" s="215">
        <f t="shared" si="0"/>
        <v>0.67</v>
      </c>
      <c r="Q106" s="215">
        <f t="shared" si="0"/>
        <v>4.65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42.07</v>
      </c>
      <c r="C107" s="216">
        <f t="shared" ref="C107:Q107" si="1">MAX(C9:C104)</f>
        <v>73.8</v>
      </c>
      <c r="D107" s="216">
        <f t="shared" si="1"/>
        <v>72.94</v>
      </c>
      <c r="E107" s="216">
        <f t="shared" si="1"/>
        <v>48.31</v>
      </c>
      <c r="F107" s="216">
        <f t="shared" si="1"/>
        <v>115.57</v>
      </c>
      <c r="G107" s="216">
        <f t="shared" si="1"/>
        <v>112.41</v>
      </c>
      <c r="H107" s="216">
        <f t="shared" si="1"/>
        <v>36.98</v>
      </c>
      <c r="I107" s="216">
        <f t="shared" si="1"/>
        <v>13.72</v>
      </c>
      <c r="J107" s="216">
        <f t="shared" si="1"/>
        <v>1.2</v>
      </c>
      <c r="K107" s="216">
        <f t="shared" si="1"/>
        <v>302.16</v>
      </c>
      <c r="L107" s="216">
        <f t="shared" si="1"/>
        <v>41.27</v>
      </c>
      <c r="M107" s="216">
        <f t="shared" si="1"/>
        <v>61.22</v>
      </c>
      <c r="N107" s="216">
        <f t="shared" si="1"/>
        <v>731.8</v>
      </c>
      <c r="O107" s="216">
        <f t="shared" si="1"/>
        <v>0</v>
      </c>
      <c r="P107" s="216">
        <f t="shared" si="1"/>
        <v>1.32</v>
      </c>
      <c r="Q107" s="216">
        <f t="shared" si="1"/>
        <v>7.25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15.0048958333333</v>
      </c>
      <c r="C108" s="215">
        <f t="shared" ref="C108:Q108" si="2">AVERAGE(C9:C104)</f>
        <v>59.1108333333333</v>
      </c>
      <c r="D108" s="215">
        <f t="shared" si="2"/>
        <v>44.2672916666667</v>
      </c>
      <c r="E108" s="215">
        <f t="shared" si="2"/>
        <v>14.316875</v>
      </c>
      <c r="F108" s="215">
        <f t="shared" si="2"/>
        <v>28.7178125</v>
      </c>
      <c r="G108" s="215">
        <f t="shared" si="2"/>
        <v>76.9388541666666</v>
      </c>
      <c r="H108" s="215">
        <f t="shared" si="2"/>
        <v>30.8723958333333</v>
      </c>
      <c r="I108" s="215">
        <f t="shared" si="2"/>
        <v>7.7390625</v>
      </c>
      <c r="J108" s="215">
        <f t="shared" si="2"/>
        <v>0.385104166666667</v>
      </c>
      <c r="K108" s="215">
        <f t="shared" si="2"/>
        <v>195.171041666667</v>
      </c>
      <c r="L108" s="215">
        <f t="shared" si="2"/>
        <v>32.6183333333333</v>
      </c>
      <c r="M108" s="215">
        <f t="shared" si="2"/>
        <v>34.6366666666666</v>
      </c>
      <c r="N108" s="215">
        <f t="shared" si="2"/>
        <v>171.275</v>
      </c>
      <c r="O108" s="215">
        <f t="shared" si="2"/>
        <v>0</v>
      </c>
      <c r="P108" s="215">
        <f t="shared" si="2"/>
        <v>0.8190625</v>
      </c>
      <c r="Q108" s="215">
        <f t="shared" si="2"/>
        <v>5.66802083333333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12.7291723793308</v>
      </c>
      <c r="C109" s="215">
        <f t="shared" ref="C109:Q109" si="3">STDEV(C9:C104)</f>
        <v>12.5692768846704</v>
      </c>
      <c r="D109" s="215">
        <f t="shared" si="3"/>
        <v>15.623854600825</v>
      </c>
      <c r="E109" s="215">
        <f t="shared" si="3"/>
        <v>9.80965467630849</v>
      </c>
      <c r="F109" s="215">
        <f t="shared" si="3"/>
        <v>29.5064615297494</v>
      </c>
      <c r="G109" s="215">
        <f t="shared" si="3"/>
        <v>15.2727847989602</v>
      </c>
      <c r="H109" s="215">
        <f t="shared" si="3"/>
        <v>3.91841448730201</v>
      </c>
      <c r="I109" s="215">
        <f t="shared" si="3"/>
        <v>2.33602680145269</v>
      </c>
      <c r="J109" s="215">
        <f t="shared" si="3"/>
        <v>0.291211606158483</v>
      </c>
      <c r="K109" s="215">
        <f t="shared" si="3"/>
        <v>55.0573051604879</v>
      </c>
      <c r="L109" s="215">
        <f t="shared" si="3"/>
        <v>5.5711553496402</v>
      </c>
      <c r="M109" s="215">
        <f t="shared" si="3"/>
        <v>13.6721749447298</v>
      </c>
      <c r="N109" s="215">
        <f t="shared" si="3"/>
        <v>245.522277690041</v>
      </c>
      <c r="O109" s="215">
        <f t="shared" si="3"/>
        <v>0</v>
      </c>
      <c r="P109" s="215">
        <f t="shared" si="3"/>
        <v>0.105512065910168</v>
      </c>
      <c r="Q109" s="215">
        <f t="shared" si="3"/>
        <v>0.856576564054679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14/04/2023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1302</v>
      </c>
      <c r="B9" s="165">
        <v>8.87</v>
      </c>
      <c r="C9" s="165">
        <v>59.3</v>
      </c>
      <c r="D9" s="165">
        <v>39.44</v>
      </c>
      <c r="E9" s="165">
        <v>6.43</v>
      </c>
      <c r="F9" s="165">
        <v>13.83</v>
      </c>
      <c r="G9" s="165">
        <v>93.87</v>
      </c>
      <c r="H9" s="165">
        <v>33.17</v>
      </c>
      <c r="I9" s="165">
        <v>6.1</v>
      </c>
      <c r="J9" s="165">
        <v>0.1</v>
      </c>
      <c r="K9" s="165">
        <v>156.05</v>
      </c>
      <c r="L9" s="165">
        <v>29.67</v>
      </c>
      <c r="M9" s="165">
        <v>42.55</v>
      </c>
      <c r="N9" s="165">
        <v>0</v>
      </c>
      <c r="O9" s="165">
        <v>0</v>
      </c>
      <c r="P9" s="165">
        <v>0.83</v>
      </c>
      <c r="Q9" s="165">
        <v>5.46</v>
      </c>
      <c r="R9" s="13"/>
      <c r="S9" s="13"/>
      <c r="T9" s="213"/>
      <c r="U9" s="13"/>
    </row>
    <row r="10" customFormat="1" spans="1:21">
      <c r="A10" s="142" t="s">
        <v>1303</v>
      </c>
      <c r="B10" s="165">
        <v>8.12</v>
      </c>
      <c r="C10" s="165">
        <v>53.74</v>
      </c>
      <c r="D10" s="165">
        <v>35.95</v>
      </c>
      <c r="E10" s="165">
        <v>7.01</v>
      </c>
      <c r="F10" s="165">
        <v>19.62</v>
      </c>
      <c r="G10" s="165">
        <v>93.87</v>
      </c>
      <c r="H10" s="165">
        <v>33.17</v>
      </c>
      <c r="I10" s="165">
        <v>6.07</v>
      </c>
      <c r="J10" s="165">
        <v>0.18</v>
      </c>
      <c r="K10" s="165">
        <v>152.34</v>
      </c>
      <c r="L10" s="165">
        <v>29.23</v>
      </c>
      <c r="M10" s="165">
        <v>44.47</v>
      </c>
      <c r="N10" s="165">
        <v>0</v>
      </c>
      <c r="O10" s="165">
        <v>0</v>
      </c>
      <c r="P10" s="165">
        <v>0.81</v>
      </c>
      <c r="Q10" s="165">
        <v>5.42</v>
      </c>
      <c r="R10" s="13"/>
      <c r="S10" s="13"/>
      <c r="T10" s="213"/>
      <c r="U10" s="13"/>
    </row>
    <row r="11" customFormat="1" spans="1:21">
      <c r="A11" s="142" t="s">
        <v>1304</v>
      </c>
      <c r="B11" s="165">
        <v>8.53</v>
      </c>
      <c r="C11" s="165">
        <v>55.83</v>
      </c>
      <c r="D11" s="165">
        <v>37.36</v>
      </c>
      <c r="E11" s="165">
        <v>6.23</v>
      </c>
      <c r="F11" s="165">
        <v>19.36</v>
      </c>
      <c r="G11" s="165">
        <v>89.77</v>
      </c>
      <c r="H11" s="165">
        <v>33.19</v>
      </c>
      <c r="I11" s="165">
        <v>5.87</v>
      </c>
      <c r="J11" s="165">
        <v>0.13</v>
      </c>
      <c r="K11" s="165">
        <v>146.39</v>
      </c>
      <c r="L11" s="165">
        <v>28.81</v>
      </c>
      <c r="M11" s="165">
        <v>45.72</v>
      </c>
      <c r="N11" s="165">
        <v>0</v>
      </c>
      <c r="O11" s="165">
        <v>0</v>
      </c>
      <c r="P11" s="165">
        <v>0.8</v>
      </c>
      <c r="Q11" s="165">
        <v>5.31</v>
      </c>
      <c r="R11" s="13"/>
      <c r="S11" s="13"/>
      <c r="T11" s="213"/>
      <c r="U11" s="13"/>
    </row>
    <row r="12" customFormat="1" spans="1:21">
      <c r="A12" s="142" t="s">
        <v>1305</v>
      </c>
      <c r="B12" s="165">
        <v>8.42</v>
      </c>
      <c r="C12" s="165">
        <v>53.21</v>
      </c>
      <c r="D12" s="165">
        <v>35.9</v>
      </c>
      <c r="E12" s="165">
        <v>6.84</v>
      </c>
      <c r="F12" s="165">
        <v>21.77</v>
      </c>
      <c r="G12" s="165">
        <v>79.68</v>
      </c>
      <c r="H12" s="165">
        <v>33.27</v>
      </c>
      <c r="I12" s="165">
        <v>5.74</v>
      </c>
      <c r="J12" s="165">
        <v>0.11</v>
      </c>
      <c r="K12" s="165">
        <v>205.47</v>
      </c>
      <c r="L12" s="165">
        <v>28.77</v>
      </c>
      <c r="M12" s="165">
        <v>44.16</v>
      </c>
      <c r="N12" s="165">
        <v>0</v>
      </c>
      <c r="O12" s="165">
        <v>0</v>
      </c>
      <c r="P12" s="165">
        <v>0.78</v>
      </c>
      <c r="Q12" s="165">
        <v>5.27</v>
      </c>
      <c r="R12" s="13"/>
      <c r="S12" s="13"/>
      <c r="T12" s="213"/>
      <c r="U12" s="13"/>
    </row>
    <row r="13" customFormat="1" spans="1:21">
      <c r="A13" s="142" t="s">
        <v>1306</v>
      </c>
      <c r="B13" s="165">
        <v>9.1</v>
      </c>
      <c r="C13" s="165">
        <v>56.69</v>
      </c>
      <c r="D13" s="165">
        <v>38.26</v>
      </c>
      <c r="E13" s="165">
        <v>6.96</v>
      </c>
      <c r="F13" s="165">
        <v>17.23</v>
      </c>
      <c r="G13" s="165">
        <v>79.68</v>
      </c>
      <c r="H13" s="165">
        <v>33.27</v>
      </c>
      <c r="I13" s="165">
        <v>5.65</v>
      </c>
      <c r="J13" s="165">
        <v>0.16</v>
      </c>
      <c r="K13" s="165">
        <v>169.73</v>
      </c>
      <c r="L13" s="165">
        <v>28.91</v>
      </c>
      <c r="M13" s="165">
        <v>42.74</v>
      </c>
      <c r="N13" s="165">
        <v>0</v>
      </c>
      <c r="O13" s="165">
        <v>0</v>
      </c>
      <c r="P13" s="165">
        <v>0.77</v>
      </c>
      <c r="Q13" s="165">
        <v>5.24</v>
      </c>
      <c r="R13" s="13"/>
      <c r="S13" s="13"/>
      <c r="T13" s="213"/>
      <c r="U13" s="13"/>
    </row>
    <row r="14" customFormat="1" spans="1:21">
      <c r="A14" s="142" t="s">
        <v>1307</v>
      </c>
      <c r="B14" s="165">
        <v>8.53</v>
      </c>
      <c r="C14" s="165">
        <v>53.77</v>
      </c>
      <c r="D14" s="165">
        <v>36.29</v>
      </c>
      <c r="E14" s="165">
        <v>7.09</v>
      </c>
      <c r="F14" s="165">
        <v>23.66</v>
      </c>
      <c r="G14" s="165">
        <v>79.68</v>
      </c>
      <c r="H14" s="165">
        <v>33.27</v>
      </c>
      <c r="I14" s="165">
        <v>5.58</v>
      </c>
      <c r="J14" s="165">
        <v>0.15</v>
      </c>
      <c r="K14" s="165">
        <v>192.07</v>
      </c>
      <c r="L14" s="165">
        <v>28.79</v>
      </c>
      <c r="M14" s="165">
        <v>42.34</v>
      </c>
      <c r="N14" s="165">
        <v>0</v>
      </c>
      <c r="O14" s="165">
        <v>0</v>
      </c>
      <c r="P14" s="165">
        <v>0.76</v>
      </c>
      <c r="Q14" s="165">
        <v>5.23</v>
      </c>
      <c r="R14" s="13"/>
      <c r="S14" s="13"/>
      <c r="T14" s="213"/>
      <c r="U14" s="13"/>
    </row>
    <row r="15" customFormat="1" spans="1:21">
      <c r="A15" s="142" t="s">
        <v>1308</v>
      </c>
      <c r="B15" s="165">
        <v>8.88</v>
      </c>
      <c r="C15" s="165">
        <v>57.08</v>
      </c>
      <c r="D15" s="165">
        <v>38.29</v>
      </c>
      <c r="E15" s="165">
        <v>6.47</v>
      </c>
      <c r="F15" s="165">
        <v>18.31</v>
      </c>
      <c r="G15" s="165">
        <v>74.44</v>
      </c>
      <c r="H15" s="165">
        <v>32.04</v>
      </c>
      <c r="I15" s="165">
        <v>5.57</v>
      </c>
      <c r="J15" s="165">
        <v>0.2</v>
      </c>
      <c r="K15" s="165">
        <v>177.41</v>
      </c>
      <c r="L15" s="165">
        <v>28.77</v>
      </c>
      <c r="M15" s="165">
        <v>41.81</v>
      </c>
      <c r="N15" s="165">
        <v>0</v>
      </c>
      <c r="O15" s="165">
        <v>0</v>
      </c>
      <c r="P15" s="165">
        <v>0.76</v>
      </c>
      <c r="Q15" s="165">
        <v>5.24</v>
      </c>
      <c r="R15" s="13"/>
      <c r="S15" s="13"/>
      <c r="T15" s="213"/>
      <c r="U15" s="13"/>
    </row>
    <row r="16" customFormat="1" spans="1:21">
      <c r="A16" s="142" t="s">
        <v>1309</v>
      </c>
      <c r="B16" s="165">
        <v>8.87</v>
      </c>
      <c r="C16" s="165">
        <v>56.86</v>
      </c>
      <c r="D16" s="165">
        <v>38.17</v>
      </c>
      <c r="E16" s="165">
        <v>6.56</v>
      </c>
      <c r="F16" s="165">
        <v>18.6</v>
      </c>
      <c r="G16" s="165">
        <v>61.53</v>
      </c>
      <c r="H16" s="165">
        <v>30.02</v>
      </c>
      <c r="I16" s="165">
        <v>5.55</v>
      </c>
      <c r="J16" s="165">
        <v>0.19</v>
      </c>
      <c r="K16" s="165">
        <v>178.29</v>
      </c>
      <c r="L16" s="165">
        <v>28.7</v>
      </c>
      <c r="M16" s="165">
        <v>41.48</v>
      </c>
      <c r="N16" s="165">
        <v>0</v>
      </c>
      <c r="O16" s="165">
        <v>0</v>
      </c>
      <c r="P16" s="165">
        <v>0.76</v>
      </c>
      <c r="Q16" s="165">
        <v>5.26</v>
      </c>
      <c r="R16" s="13"/>
      <c r="S16" s="13"/>
      <c r="T16" s="213"/>
      <c r="U16" s="13"/>
    </row>
    <row r="17" customFormat="1" spans="1:21">
      <c r="A17" s="142" t="s">
        <v>1310</v>
      </c>
      <c r="B17" s="165">
        <v>9.04</v>
      </c>
      <c r="C17" s="165">
        <v>57.45</v>
      </c>
      <c r="D17" s="165">
        <v>38.62</v>
      </c>
      <c r="E17" s="165">
        <v>7.31</v>
      </c>
      <c r="F17" s="165">
        <v>16.67</v>
      </c>
      <c r="G17" s="165">
        <v>61.53</v>
      </c>
      <c r="H17" s="165">
        <v>30.02</v>
      </c>
      <c r="I17" s="165">
        <v>5.48</v>
      </c>
      <c r="J17" s="165">
        <v>0.18</v>
      </c>
      <c r="K17" s="165">
        <v>209.32</v>
      </c>
      <c r="L17" s="165">
        <v>28.57</v>
      </c>
      <c r="M17" s="165">
        <v>42.19</v>
      </c>
      <c r="N17" s="165">
        <v>0</v>
      </c>
      <c r="O17" s="165">
        <v>0</v>
      </c>
      <c r="P17" s="165">
        <v>0.76</v>
      </c>
      <c r="Q17" s="165">
        <v>5.21</v>
      </c>
      <c r="R17" s="13"/>
      <c r="S17" s="13"/>
      <c r="T17" s="213"/>
      <c r="U17" s="13"/>
    </row>
    <row r="18" customFormat="1" spans="1:21">
      <c r="A18" s="142" t="s">
        <v>1311</v>
      </c>
      <c r="B18" s="165">
        <v>8.9</v>
      </c>
      <c r="C18" s="165">
        <v>58.79</v>
      </c>
      <c r="D18" s="165">
        <v>39.2</v>
      </c>
      <c r="E18" s="165">
        <v>8.52</v>
      </c>
      <c r="F18" s="165">
        <v>15.63</v>
      </c>
      <c r="G18" s="165">
        <v>61.53</v>
      </c>
      <c r="H18" s="165">
        <v>30.02</v>
      </c>
      <c r="I18" s="165">
        <v>5.43</v>
      </c>
      <c r="J18" s="165">
        <v>0.2</v>
      </c>
      <c r="K18" s="165">
        <v>183.95</v>
      </c>
      <c r="L18" s="165">
        <v>28.4</v>
      </c>
      <c r="M18" s="165">
        <v>43.24</v>
      </c>
      <c r="N18" s="165">
        <v>0</v>
      </c>
      <c r="O18" s="165">
        <v>0</v>
      </c>
      <c r="P18" s="165">
        <v>0.75</v>
      </c>
      <c r="Q18" s="165">
        <v>5.22</v>
      </c>
      <c r="R18" s="13"/>
      <c r="S18" s="13"/>
      <c r="T18" s="213"/>
      <c r="U18" s="13"/>
    </row>
    <row r="19" customFormat="1" spans="1:21">
      <c r="A19" s="142" t="s">
        <v>1312</v>
      </c>
      <c r="B19" s="165">
        <v>8.74</v>
      </c>
      <c r="C19" s="165">
        <v>56.01</v>
      </c>
      <c r="D19" s="165">
        <v>37.63</v>
      </c>
      <c r="E19" s="165">
        <v>8.7</v>
      </c>
      <c r="F19" s="165">
        <v>17.87</v>
      </c>
      <c r="G19" s="165">
        <v>56.63</v>
      </c>
      <c r="H19" s="165">
        <v>28.75</v>
      </c>
      <c r="I19" s="165">
        <v>5.43</v>
      </c>
      <c r="J19" s="165">
        <v>0.22</v>
      </c>
      <c r="K19" s="165">
        <v>163.67</v>
      </c>
      <c r="L19" s="165">
        <v>28.35</v>
      </c>
      <c r="M19" s="165">
        <v>43.94</v>
      </c>
      <c r="N19" s="165">
        <v>0</v>
      </c>
      <c r="O19" s="165">
        <v>0</v>
      </c>
      <c r="P19" s="165">
        <v>0.74</v>
      </c>
      <c r="Q19" s="165">
        <v>5.24</v>
      </c>
      <c r="R19" s="13"/>
      <c r="S19" s="13"/>
      <c r="T19" s="213"/>
      <c r="U19" s="13"/>
    </row>
    <row r="20" customFormat="1" spans="1:21">
      <c r="A20" s="142" t="s">
        <v>1313</v>
      </c>
      <c r="B20" s="165">
        <v>9.56</v>
      </c>
      <c r="C20" s="165">
        <v>61.12</v>
      </c>
      <c r="D20" s="165">
        <v>40.95</v>
      </c>
      <c r="E20" s="165">
        <v>8.33</v>
      </c>
      <c r="F20" s="165">
        <v>8.71</v>
      </c>
      <c r="G20" s="165">
        <v>44.55</v>
      </c>
      <c r="H20" s="165">
        <v>26.61</v>
      </c>
      <c r="I20" s="165">
        <v>5.42</v>
      </c>
      <c r="J20" s="165">
        <v>0.33</v>
      </c>
      <c r="K20" s="165">
        <v>159.41</v>
      </c>
      <c r="L20" s="165">
        <v>27.81</v>
      </c>
      <c r="M20" s="165">
        <v>47</v>
      </c>
      <c r="N20" s="165">
        <v>0</v>
      </c>
      <c r="O20" s="165">
        <v>0</v>
      </c>
      <c r="P20" s="165">
        <v>0.75</v>
      </c>
      <c r="Q20" s="165">
        <v>5.28</v>
      </c>
      <c r="R20" s="13"/>
      <c r="S20" s="13"/>
      <c r="T20" s="213"/>
      <c r="U20" s="13"/>
    </row>
    <row r="21" customFormat="1" spans="1:21">
      <c r="A21" s="142" t="s">
        <v>1314</v>
      </c>
      <c r="B21" s="165">
        <v>9.49</v>
      </c>
      <c r="C21" s="165">
        <v>63.1</v>
      </c>
      <c r="D21" s="165">
        <v>41.93</v>
      </c>
      <c r="E21" s="165">
        <v>7.71</v>
      </c>
      <c r="F21" s="165">
        <v>9.24</v>
      </c>
      <c r="G21" s="165">
        <v>44.55</v>
      </c>
      <c r="H21" s="165">
        <v>26.61</v>
      </c>
      <c r="I21" s="165">
        <v>5.41</v>
      </c>
      <c r="J21" s="165">
        <v>0.15</v>
      </c>
      <c r="K21" s="165">
        <v>177.08</v>
      </c>
      <c r="L21" s="165">
        <v>27.16</v>
      </c>
      <c r="M21" s="165">
        <v>49.39</v>
      </c>
      <c r="N21" s="165">
        <v>0</v>
      </c>
      <c r="O21" s="165">
        <v>0</v>
      </c>
      <c r="P21" s="165">
        <v>0.76</v>
      </c>
      <c r="Q21" s="165">
        <v>5.29</v>
      </c>
      <c r="R21" s="13"/>
      <c r="S21" s="13"/>
      <c r="T21" s="213"/>
      <c r="U21" s="13"/>
    </row>
    <row r="22" customFormat="1" spans="1:21">
      <c r="A22" s="142" t="s">
        <v>1315</v>
      </c>
      <c r="B22" s="165">
        <v>9.6</v>
      </c>
      <c r="C22" s="165">
        <v>61.46</v>
      </c>
      <c r="D22" s="165">
        <v>41.16</v>
      </c>
      <c r="E22" s="165">
        <v>7.49</v>
      </c>
      <c r="F22" s="165">
        <v>10.2</v>
      </c>
      <c r="G22" s="165">
        <v>44.55</v>
      </c>
      <c r="H22" s="165">
        <v>26.61</v>
      </c>
      <c r="I22" s="165">
        <v>5.52</v>
      </c>
      <c r="J22" s="165">
        <v>0.16</v>
      </c>
      <c r="K22" s="165">
        <v>174.98</v>
      </c>
      <c r="L22" s="165">
        <v>26.8</v>
      </c>
      <c r="M22" s="165">
        <v>50.85</v>
      </c>
      <c r="N22" s="165">
        <v>0</v>
      </c>
      <c r="O22" s="165">
        <v>0</v>
      </c>
      <c r="P22" s="165">
        <v>0.75</v>
      </c>
      <c r="Q22" s="165">
        <v>5.32</v>
      </c>
      <c r="R22" s="13"/>
      <c r="S22" s="13"/>
      <c r="T22" s="213"/>
      <c r="U22" s="13"/>
    </row>
    <row r="23" customFormat="1" spans="1:21">
      <c r="A23" s="142" t="s">
        <v>1316</v>
      </c>
      <c r="B23" s="165">
        <v>9.81</v>
      </c>
      <c r="C23" s="165">
        <v>59.23</v>
      </c>
      <c r="D23" s="165">
        <v>40.16</v>
      </c>
      <c r="E23" s="165">
        <v>7.82</v>
      </c>
      <c r="F23" s="165">
        <v>11.35</v>
      </c>
      <c r="G23" s="165">
        <v>44.01</v>
      </c>
      <c r="H23" s="165">
        <v>26.31</v>
      </c>
      <c r="I23" s="165">
        <v>5.56</v>
      </c>
      <c r="J23" s="165">
        <v>0.18</v>
      </c>
      <c r="K23" s="165">
        <v>159.15</v>
      </c>
      <c r="L23" s="165">
        <v>26.63</v>
      </c>
      <c r="M23" s="165">
        <v>51.44</v>
      </c>
      <c r="N23" s="165">
        <v>0</v>
      </c>
      <c r="O23" s="165">
        <v>0</v>
      </c>
      <c r="P23" s="165">
        <v>0.75</v>
      </c>
      <c r="Q23" s="165">
        <v>5.35</v>
      </c>
      <c r="R23" s="13"/>
      <c r="S23" s="13"/>
      <c r="T23" s="213"/>
      <c r="U23" s="13"/>
    </row>
    <row r="24" customFormat="1" spans="1:21">
      <c r="A24" s="142" t="s">
        <v>1317</v>
      </c>
      <c r="B24" s="165">
        <v>10.59</v>
      </c>
      <c r="C24" s="165">
        <v>62.35</v>
      </c>
      <c r="D24" s="165">
        <v>42.42</v>
      </c>
      <c r="E24" s="165">
        <v>7.96</v>
      </c>
      <c r="F24" s="165">
        <v>8.03</v>
      </c>
      <c r="G24" s="165">
        <v>42.69</v>
      </c>
      <c r="H24" s="165">
        <v>25.83</v>
      </c>
      <c r="I24" s="165">
        <v>5.51</v>
      </c>
      <c r="J24" s="165">
        <v>0.16</v>
      </c>
      <c r="K24" s="165">
        <v>157.65</v>
      </c>
      <c r="L24" s="165">
        <v>26.6</v>
      </c>
      <c r="M24" s="165">
        <v>52.2</v>
      </c>
      <c r="N24" s="165">
        <v>0</v>
      </c>
      <c r="O24" s="165">
        <v>0</v>
      </c>
      <c r="P24" s="165">
        <v>0.75</v>
      </c>
      <c r="Q24" s="165">
        <v>5.31</v>
      </c>
      <c r="R24" s="13"/>
      <c r="S24" s="13"/>
      <c r="T24" s="213"/>
      <c r="U24" s="13"/>
    </row>
    <row r="25" customFormat="1" spans="1:21">
      <c r="A25" s="142" t="s">
        <v>1318</v>
      </c>
      <c r="B25" s="165">
        <v>10.86</v>
      </c>
      <c r="C25" s="165">
        <v>63.53</v>
      </c>
      <c r="D25" s="165">
        <v>43.25</v>
      </c>
      <c r="E25" s="165">
        <v>7.4</v>
      </c>
      <c r="F25" s="165">
        <v>7.96</v>
      </c>
      <c r="G25" s="165">
        <v>42.69</v>
      </c>
      <c r="H25" s="165">
        <v>25.83</v>
      </c>
      <c r="I25" s="165">
        <v>5.4</v>
      </c>
      <c r="J25" s="165">
        <v>0.16</v>
      </c>
      <c r="K25" s="165">
        <v>175.53</v>
      </c>
      <c r="L25" s="165">
        <v>26.23</v>
      </c>
      <c r="M25" s="165">
        <v>53.91</v>
      </c>
      <c r="N25" s="165">
        <v>0</v>
      </c>
      <c r="O25" s="165">
        <v>0</v>
      </c>
      <c r="P25" s="165">
        <v>0.75</v>
      </c>
      <c r="Q25" s="165">
        <v>5.36</v>
      </c>
      <c r="R25" s="13"/>
      <c r="S25" s="13"/>
      <c r="T25" s="213"/>
      <c r="U25" s="13"/>
    </row>
    <row r="26" customFormat="1" spans="1:21">
      <c r="A26" s="142" t="s">
        <v>1319</v>
      </c>
      <c r="B26" s="165">
        <v>11.17</v>
      </c>
      <c r="C26" s="165">
        <v>63.27</v>
      </c>
      <c r="D26" s="165">
        <v>43.36</v>
      </c>
      <c r="E26" s="165">
        <v>7.56</v>
      </c>
      <c r="F26" s="165">
        <v>7.19</v>
      </c>
      <c r="G26" s="165">
        <v>42.69</v>
      </c>
      <c r="H26" s="165">
        <v>25.83</v>
      </c>
      <c r="I26" s="165">
        <v>5.43</v>
      </c>
      <c r="J26" s="165">
        <v>0.19</v>
      </c>
      <c r="K26" s="165">
        <v>178.66</v>
      </c>
      <c r="L26" s="165">
        <v>25.97</v>
      </c>
      <c r="M26" s="165">
        <v>54.02</v>
      </c>
      <c r="N26" s="165">
        <v>0</v>
      </c>
      <c r="O26" s="165">
        <v>0</v>
      </c>
      <c r="P26" s="165">
        <v>0.75</v>
      </c>
      <c r="Q26" s="165">
        <v>5.39</v>
      </c>
      <c r="R26" s="13"/>
      <c r="S26" s="13"/>
      <c r="T26" s="213"/>
      <c r="U26" s="13"/>
    </row>
    <row r="27" customFormat="1" spans="1:21">
      <c r="A27" s="142" t="s">
        <v>1320</v>
      </c>
      <c r="B27" s="165">
        <v>11.09</v>
      </c>
      <c r="C27" s="165">
        <v>61.21</v>
      </c>
      <c r="D27" s="165">
        <v>42.22</v>
      </c>
      <c r="E27" s="165">
        <v>7</v>
      </c>
      <c r="F27" s="165">
        <v>8.86</v>
      </c>
      <c r="G27" s="165">
        <v>42.12</v>
      </c>
      <c r="H27" s="165">
        <v>25.19</v>
      </c>
      <c r="I27" s="165">
        <v>5.47</v>
      </c>
      <c r="J27" s="165">
        <v>0.15</v>
      </c>
      <c r="K27" s="165">
        <v>156.46</v>
      </c>
      <c r="L27" s="165">
        <v>25.97</v>
      </c>
      <c r="M27" s="165">
        <v>54.48</v>
      </c>
      <c r="N27" s="165">
        <v>0</v>
      </c>
      <c r="O27" s="165">
        <v>0</v>
      </c>
      <c r="P27" s="165">
        <v>0.73</v>
      </c>
      <c r="Q27" s="165">
        <v>5.38</v>
      </c>
      <c r="R27" s="13"/>
      <c r="S27" s="13"/>
      <c r="T27" s="213"/>
      <c r="U27" s="13"/>
    </row>
    <row r="28" customFormat="1" spans="1:21">
      <c r="A28" s="142" t="s">
        <v>1321</v>
      </c>
      <c r="B28" s="165">
        <v>11.85</v>
      </c>
      <c r="C28" s="165">
        <v>65.83</v>
      </c>
      <c r="D28" s="165">
        <v>45.25</v>
      </c>
      <c r="E28" s="165">
        <v>7.18</v>
      </c>
      <c r="F28" s="165">
        <v>7.08</v>
      </c>
      <c r="G28" s="165">
        <v>40.72</v>
      </c>
      <c r="H28" s="165">
        <v>24.14</v>
      </c>
      <c r="I28" s="165">
        <v>5.47</v>
      </c>
      <c r="J28" s="165">
        <v>0.12</v>
      </c>
      <c r="K28" s="165">
        <v>141.67</v>
      </c>
      <c r="L28" s="165">
        <v>25.88</v>
      </c>
      <c r="M28" s="165">
        <v>55.26</v>
      </c>
      <c r="N28" s="165">
        <v>0</v>
      </c>
      <c r="O28" s="165">
        <v>0</v>
      </c>
      <c r="P28" s="165">
        <v>0.75</v>
      </c>
      <c r="Q28" s="165">
        <v>5.45</v>
      </c>
      <c r="R28" s="13"/>
      <c r="S28" s="13"/>
      <c r="T28" s="213"/>
      <c r="U28" s="13"/>
    </row>
    <row r="29" customFormat="1" spans="1:21">
      <c r="A29" s="142" t="s">
        <v>1322</v>
      </c>
      <c r="B29" s="165">
        <v>12.44</v>
      </c>
      <c r="C29" s="165">
        <v>68.61</v>
      </c>
      <c r="D29" s="165">
        <v>47.17</v>
      </c>
      <c r="E29" s="165">
        <v>6.96</v>
      </c>
      <c r="F29" s="165">
        <v>5.38</v>
      </c>
      <c r="G29" s="165">
        <v>40.72</v>
      </c>
      <c r="H29" s="165">
        <v>24.14</v>
      </c>
      <c r="I29" s="165">
        <v>5.4</v>
      </c>
      <c r="J29" s="165">
        <v>0.14</v>
      </c>
      <c r="K29" s="165">
        <v>176.41</v>
      </c>
      <c r="L29" s="165">
        <v>25.87</v>
      </c>
      <c r="M29" s="165">
        <v>55.14</v>
      </c>
      <c r="N29" s="165">
        <v>0</v>
      </c>
      <c r="O29" s="165">
        <v>0</v>
      </c>
      <c r="P29" s="165">
        <v>0.75</v>
      </c>
      <c r="Q29" s="165">
        <v>5.58</v>
      </c>
      <c r="R29" s="13"/>
      <c r="S29" s="13"/>
      <c r="T29" s="213"/>
      <c r="U29" s="13"/>
    </row>
    <row r="30" customFormat="1" spans="1:21">
      <c r="A30" s="142" t="s">
        <v>1323</v>
      </c>
      <c r="B30" s="165">
        <v>12.53</v>
      </c>
      <c r="C30" s="165">
        <v>69.51</v>
      </c>
      <c r="D30" s="165">
        <v>47.72</v>
      </c>
      <c r="E30" s="165">
        <v>6.37</v>
      </c>
      <c r="F30" s="165">
        <v>4.72</v>
      </c>
      <c r="G30" s="165">
        <v>40.72</v>
      </c>
      <c r="H30" s="165">
        <v>24.14</v>
      </c>
      <c r="I30" s="165">
        <v>5.38</v>
      </c>
      <c r="J30" s="165">
        <v>0.2</v>
      </c>
      <c r="K30" s="165">
        <v>187.93</v>
      </c>
      <c r="L30" s="165">
        <v>26.2</v>
      </c>
      <c r="M30" s="165">
        <v>53.79</v>
      </c>
      <c r="N30" s="165">
        <v>0</v>
      </c>
      <c r="O30" s="165">
        <v>0</v>
      </c>
      <c r="P30" s="165">
        <v>0.76</v>
      </c>
      <c r="Q30" s="165">
        <v>5.64</v>
      </c>
      <c r="R30" s="13"/>
      <c r="S30" s="13"/>
      <c r="T30" s="213"/>
      <c r="U30" s="13"/>
    </row>
    <row r="31" customFormat="1" spans="1:21">
      <c r="A31" s="142" t="s">
        <v>1324</v>
      </c>
      <c r="B31" s="165">
        <v>12.56</v>
      </c>
      <c r="C31" s="165">
        <v>69.93</v>
      </c>
      <c r="D31" s="165">
        <v>47.96</v>
      </c>
      <c r="E31" s="165">
        <v>6.97</v>
      </c>
      <c r="F31" s="165">
        <v>4.39</v>
      </c>
      <c r="G31" s="165">
        <v>40.46</v>
      </c>
      <c r="H31" s="165">
        <v>23.81</v>
      </c>
      <c r="I31" s="165">
        <v>5.44</v>
      </c>
      <c r="J31" s="165">
        <v>0.24</v>
      </c>
      <c r="K31" s="165">
        <v>164.32</v>
      </c>
      <c r="L31" s="165">
        <v>26.16</v>
      </c>
      <c r="M31" s="165">
        <v>55.17</v>
      </c>
      <c r="N31" s="165">
        <v>0</v>
      </c>
      <c r="O31" s="165">
        <v>0</v>
      </c>
      <c r="P31" s="165">
        <v>0.75</v>
      </c>
      <c r="Q31" s="165">
        <v>5.67</v>
      </c>
      <c r="R31" s="13"/>
      <c r="S31" s="13"/>
      <c r="T31" s="213"/>
      <c r="U31" s="13"/>
    </row>
    <row r="32" customFormat="1" spans="1:21">
      <c r="A32" s="142" t="s">
        <v>1325</v>
      </c>
      <c r="B32" s="165">
        <v>12.66</v>
      </c>
      <c r="C32" s="165">
        <v>69.89</v>
      </c>
      <c r="D32" s="165">
        <v>48.02</v>
      </c>
      <c r="E32" s="165">
        <v>6.31</v>
      </c>
      <c r="F32" s="165">
        <v>4.33</v>
      </c>
      <c r="G32" s="165">
        <v>39.82</v>
      </c>
      <c r="H32" s="165">
        <v>23.26</v>
      </c>
      <c r="I32" s="165">
        <v>5.42</v>
      </c>
      <c r="J32" s="165">
        <v>0.23</v>
      </c>
      <c r="K32" s="165">
        <v>150.42</v>
      </c>
      <c r="L32" s="165">
        <v>26.06</v>
      </c>
      <c r="M32" s="165">
        <v>55.21</v>
      </c>
      <c r="N32" s="165">
        <v>1</v>
      </c>
      <c r="O32" s="165">
        <v>0</v>
      </c>
      <c r="P32" s="165">
        <v>0.75</v>
      </c>
      <c r="Q32" s="165">
        <v>5.68</v>
      </c>
      <c r="R32" s="13"/>
      <c r="S32" s="13"/>
      <c r="T32" s="213"/>
      <c r="U32" s="13"/>
    </row>
    <row r="33" customFormat="1" spans="1:21">
      <c r="A33" s="142" t="s">
        <v>1326</v>
      </c>
      <c r="B33" s="165">
        <v>12.67</v>
      </c>
      <c r="C33" s="165">
        <v>70.21</v>
      </c>
      <c r="D33" s="165">
        <v>48.19</v>
      </c>
      <c r="E33" s="165">
        <v>6.69</v>
      </c>
      <c r="F33" s="165">
        <v>4.15</v>
      </c>
      <c r="G33" s="165">
        <v>39.82</v>
      </c>
      <c r="H33" s="165">
        <v>23.26</v>
      </c>
      <c r="I33" s="165">
        <v>5.41</v>
      </c>
      <c r="J33" s="165">
        <v>0.23</v>
      </c>
      <c r="K33" s="165">
        <v>153.51</v>
      </c>
      <c r="L33" s="165">
        <v>26.03</v>
      </c>
      <c r="M33" s="165">
        <v>56.1</v>
      </c>
      <c r="N33" s="165">
        <v>10.7</v>
      </c>
      <c r="O33" s="165">
        <v>0</v>
      </c>
      <c r="P33" s="165">
        <v>0.75</v>
      </c>
      <c r="Q33" s="165">
        <v>5.71</v>
      </c>
      <c r="R33" s="13"/>
      <c r="S33" s="13"/>
      <c r="T33" s="213"/>
      <c r="U33" s="13"/>
    </row>
    <row r="34" customFormat="1" spans="1:21">
      <c r="A34" s="142" t="s">
        <v>1327</v>
      </c>
      <c r="B34" s="165">
        <v>12.64</v>
      </c>
      <c r="C34" s="165">
        <v>70.37</v>
      </c>
      <c r="D34" s="165">
        <v>48.25</v>
      </c>
      <c r="E34" s="165">
        <v>6.45</v>
      </c>
      <c r="F34" s="165">
        <v>4.19</v>
      </c>
      <c r="G34" s="165">
        <v>39.82</v>
      </c>
      <c r="H34" s="165">
        <v>23.26</v>
      </c>
      <c r="I34" s="165">
        <v>5.39</v>
      </c>
      <c r="J34" s="165">
        <v>0.24</v>
      </c>
      <c r="K34" s="165">
        <v>138.67</v>
      </c>
      <c r="L34" s="165">
        <v>26.24</v>
      </c>
      <c r="M34" s="165">
        <v>55.59</v>
      </c>
      <c r="N34" s="165">
        <v>24</v>
      </c>
      <c r="O34" s="165">
        <v>0</v>
      </c>
      <c r="P34" s="165">
        <v>0.75</v>
      </c>
      <c r="Q34" s="165">
        <v>5.73</v>
      </c>
      <c r="R34" s="13"/>
      <c r="S34" s="13"/>
      <c r="T34" s="213"/>
      <c r="U34" s="13"/>
    </row>
    <row r="35" customFormat="1" spans="1:21">
      <c r="A35" s="142" t="s">
        <v>1328</v>
      </c>
      <c r="B35" s="165">
        <v>12.71</v>
      </c>
      <c r="C35" s="165">
        <v>70.73</v>
      </c>
      <c r="D35" s="165">
        <v>48.5</v>
      </c>
      <c r="E35" s="165">
        <v>6.01</v>
      </c>
      <c r="F35" s="165">
        <v>4.09</v>
      </c>
      <c r="G35" s="165">
        <v>40.88</v>
      </c>
      <c r="H35" s="165">
        <v>23.44</v>
      </c>
      <c r="I35" s="165">
        <v>5.36</v>
      </c>
      <c r="J35" s="165">
        <v>0.39</v>
      </c>
      <c r="K35" s="165">
        <v>157.28</v>
      </c>
      <c r="L35" s="165">
        <v>26.88</v>
      </c>
      <c r="M35" s="165">
        <v>53.47</v>
      </c>
      <c r="N35" s="165">
        <v>37.7</v>
      </c>
      <c r="O35" s="165">
        <v>0</v>
      </c>
      <c r="P35" s="165">
        <v>0.75</v>
      </c>
      <c r="Q35" s="165">
        <v>5.73</v>
      </c>
      <c r="R35" s="13"/>
      <c r="S35" s="13"/>
      <c r="T35" s="213"/>
      <c r="U35" s="13"/>
    </row>
    <row r="36" customFormat="1" spans="1:21">
      <c r="A36" s="142" t="s">
        <v>1329</v>
      </c>
      <c r="B36" s="165">
        <v>12.9</v>
      </c>
      <c r="C36" s="165">
        <v>71.03</v>
      </c>
      <c r="D36" s="165">
        <v>48.81</v>
      </c>
      <c r="E36" s="165">
        <v>6.12</v>
      </c>
      <c r="F36" s="165">
        <v>4.11</v>
      </c>
      <c r="G36" s="165">
        <v>43.48</v>
      </c>
      <c r="H36" s="165">
        <v>24.18</v>
      </c>
      <c r="I36" s="165">
        <v>5.36</v>
      </c>
      <c r="J36" s="165">
        <v>0.37</v>
      </c>
      <c r="K36" s="165">
        <v>157.25</v>
      </c>
      <c r="L36" s="165">
        <v>27.4</v>
      </c>
      <c r="M36" s="165">
        <v>53.71</v>
      </c>
      <c r="N36" s="165">
        <v>47.2</v>
      </c>
      <c r="O36" s="165">
        <v>0</v>
      </c>
      <c r="P36" s="165">
        <v>0.75</v>
      </c>
      <c r="Q36" s="165">
        <v>5.77</v>
      </c>
      <c r="R36" s="13"/>
      <c r="S36" s="13"/>
      <c r="T36" s="213"/>
      <c r="U36" s="13"/>
    </row>
    <row r="37" customFormat="1" spans="1:21">
      <c r="A37" s="142" t="s">
        <v>1330</v>
      </c>
      <c r="B37" s="165">
        <v>12.95</v>
      </c>
      <c r="C37" s="165">
        <v>71.03</v>
      </c>
      <c r="D37" s="165">
        <v>48.84</v>
      </c>
      <c r="E37" s="165">
        <v>6.09</v>
      </c>
      <c r="F37" s="165">
        <v>4.29</v>
      </c>
      <c r="G37" s="165">
        <v>43.48</v>
      </c>
      <c r="H37" s="165">
        <v>24.18</v>
      </c>
      <c r="I37" s="165">
        <v>5.36</v>
      </c>
      <c r="J37" s="165">
        <v>0.37</v>
      </c>
      <c r="K37" s="165">
        <v>157.49</v>
      </c>
      <c r="L37" s="165">
        <v>28.13</v>
      </c>
      <c r="M37" s="165">
        <v>51.78</v>
      </c>
      <c r="N37" s="165">
        <v>58.5</v>
      </c>
      <c r="O37" s="165">
        <v>0</v>
      </c>
      <c r="P37" s="165">
        <v>0.76</v>
      </c>
      <c r="Q37" s="165">
        <v>5.76</v>
      </c>
      <c r="R37" s="13"/>
      <c r="S37" s="13"/>
      <c r="T37" s="213"/>
      <c r="U37" s="13"/>
    </row>
    <row r="38" customFormat="1" spans="1:21">
      <c r="A38" s="142" t="s">
        <v>1331</v>
      </c>
      <c r="B38" s="165">
        <v>12.9</v>
      </c>
      <c r="C38" s="165">
        <v>70.8</v>
      </c>
      <c r="D38" s="165">
        <v>48.68</v>
      </c>
      <c r="E38" s="165">
        <v>6.08</v>
      </c>
      <c r="F38" s="165">
        <v>4.75</v>
      </c>
      <c r="G38" s="165">
        <v>43.48</v>
      </c>
      <c r="H38" s="165">
        <v>24.18</v>
      </c>
      <c r="I38" s="165">
        <v>5.43</v>
      </c>
      <c r="J38" s="165">
        <v>0.43</v>
      </c>
      <c r="K38" s="165">
        <v>218.29</v>
      </c>
      <c r="L38" s="165">
        <v>28.75</v>
      </c>
      <c r="M38" s="165">
        <v>48.85</v>
      </c>
      <c r="N38" s="165">
        <v>79.3</v>
      </c>
      <c r="O38" s="165">
        <v>0</v>
      </c>
      <c r="P38" s="165">
        <v>0.76</v>
      </c>
      <c r="Q38" s="165">
        <v>5.74</v>
      </c>
      <c r="R38" s="13"/>
      <c r="S38" s="13"/>
      <c r="T38" s="213"/>
      <c r="U38" s="13"/>
    </row>
    <row r="39" customFormat="1" spans="1:21">
      <c r="A39" s="142" t="s">
        <v>1332</v>
      </c>
      <c r="B39" s="165">
        <v>12.69</v>
      </c>
      <c r="C39" s="165">
        <v>71.08</v>
      </c>
      <c r="D39" s="165">
        <v>48.67</v>
      </c>
      <c r="E39" s="165">
        <v>5.89</v>
      </c>
      <c r="F39" s="165">
        <v>4.5</v>
      </c>
      <c r="G39" s="165">
        <v>44.35</v>
      </c>
      <c r="H39" s="165">
        <v>23.88</v>
      </c>
      <c r="I39" s="165">
        <v>5.52</v>
      </c>
      <c r="J39" s="165">
        <v>0.63</v>
      </c>
      <c r="K39" s="165">
        <v>227.49</v>
      </c>
      <c r="L39" s="165">
        <v>29.52</v>
      </c>
      <c r="M39" s="165">
        <v>45.25</v>
      </c>
      <c r="N39" s="165">
        <v>140.4</v>
      </c>
      <c r="O39" s="165">
        <v>0</v>
      </c>
      <c r="P39" s="165">
        <v>0.77</v>
      </c>
      <c r="Q39" s="165">
        <v>5.72</v>
      </c>
      <c r="R39" s="13"/>
      <c r="S39" s="13"/>
      <c r="T39" s="213"/>
      <c r="U39" s="13"/>
    </row>
    <row r="40" customFormat="1" spans="1:21">
      <c r="A40" s="142" t="s">
        <v>1333</v>
      </c>
      <c r="B40" s="165">
        <v>12.23</v>
      </c>
      <c r="C40" s="165">
        <v>71.13</v>
      </c>
      <c r="D40" s="165">
        <v>48.32</v>
      </c>
      <c r="E40" s="165">
        <v>5.91</v>
      </c>
      <c r="F40" s="165">
        <v>4.91</v>
      </c>
      <c r="G40" s="165">
        <v>46.49</v>
      </c>
      <c r="H40" s="165">
        <v>23.42</v>
      </c>
      <c r="I40" s="165">
        <v>5.55</v>
      </c>
      <c r="J40" s="165">
        <v>0.5</v>
      </c>
      <c r="K40" s="165">
        <v>214.95</v>
      </c>
      <c r="L40" s="165">
        <v>30.26</v>
      </c>
      <c r="M40" s="165">
        <v>43.2</v>
      </c>
      <c r="N40" s="165">
        <v>207</v>
      </c>
      <c r="O40" s="165">
        <v>0</v>
      </c>
      <c r="P40" s="165">
        <v>0.77</v>
      </c>
      <c r="Q40" s="165">
        <v>5.73</v>
      </c>
      <c r="R40" s="13"/>
      <c r="S40" s="13"/>
      <c r="T40" s="213"/>
      <c r="U40" s="13"/>
    </row>
    <row r="41" customFormat="1" spans="1:21">
      <c r="A41" s="142" t="s">
        <v>1334</v>
      </c>
      <c r="B41" s="165">
        <v>11.74</v>
      </c>
      <c r="C41" s="165">
        <v>69.94</v>
      </c>
      <c r="D41" s="165">
        <v>47.31</v>
      </c>
      <c r="E41" s="165">
        <v>6.03</v>
      </c>
      <c r="F41" s="165">
        <v>5.28</v>
      </c>
      <c r="G41" s="165">
        <v>46.49</v>
      </c>
      <c r="H41" s="165">
        <v>23.42</v>
      </c>
      <c r="I41" s="165">
        <v>5.6</v>
      </c>
      <c r="J41" s="165">
        <v>0.67</v>
      </c>
      <c r="K41" s="165">
        <v>236.01</v>
      </c>
      <c r="L41" s="165">
        <v>31.04</v>
      </c>
      <c r="M41" s="165">
        <v>41.09</v>
      </c>
      <c r="N41" s="165">
        <v>279.4</v>
      </c>
      <c r="O41" s="165">
        <v>0</v>
      </c>
      <c r="P41" s="165">
        <v>0.77</v>
      </c>
      <c r="Q41" s="165">
        <v>5.73</v>
      </c>
      <c r="R41" s="13"/>
      <c r="S41" s="13"/>
      <c r="T41" s="213"/>
      <c r="U41" s="13"/>
    </row>
    <row r="42" customFormat="1" spans="1:21">
      <c r="A42" s="142" t="s">
        <v>1335</v>
      </c>
      <c r="B42" s="165">
        <v>11.1</v>
      </c>
      <c r="C42" s="165">
        <v>70.37</v>
      </c>
      <c r="D42" s="165">
        <v>47.02</v>
      </c>
      <c r="E42" s="165">
        <v>5.9</v>
      </c>
      <c r="F42" s="165">
        <v>6.15</v>
      </c>
      <c r="G42" s="165">
        <v>46.49</v>
      </c>
      <c r="H42" s="165">
        <v>23.42</v>
      </c>
      <c r="I42" s="165">
        <v>5.62</v>
      </c>
      <c r="J42" s="165">
        <v>0.71</v>
      </c>
      <c r="K42" s="165">
        <v>231.89</v>
      </c>
      <c r="L42" s="165">
        <v>31.7</v>
      </c>
      <c r="M42" s="165">
        <v>39.19</v>
      </c>
      <c r="N42" s="165">
        <v>270.8</v>
      </c>
      <c r="O42" s="165">
        <v>0</v>
      </c>
      <c r="P42" s="165">
        <v>0.77</v>
      </c>
      <c r="Q42" s="165">
        <v>5.69</v>
      </c>
      <c r="R42" s="13"/>
      <c r="S42" s="13"/>
      <c r="T42" s="213"/>
      <c r="U42" s="13"/>
    </row>
    <row r="43" customFormat="1" spans="1:21">
      <c r="A43" s="142" t="s">
        <v>1336</v>
      </c>
      <c r="B43" s="165">
        <v>10.4</v>
      </c>
      <c r="C43" s="165">
        <v>70.1</v>
      </c>
      <c r="D43" s="165">
        <v>46.31</v>
      </c>
      <c r="E43" s="165">
        <v>6.15</v>
      </c>
      <c r="F43" s="165">
        <v>6.23</v>
      </c>
      <c r="G43" s="165">
        <v>46.03</v>
      </c>
      <c r="H43" s="165">
        <v>23.48</v>
      </c>
      <c r="I43" s="165">
        <v>5.62</v>
      </c>
      <c r="J43" s="165">
        <v>0.77</v>
      </c>
      <c r="K43" s="165">
        <v>233.62</v>
      </c>
      <c r="L43" s="165">
        <v>32.54</v>
      </c>
      <c r="M43" s="165">
        <v>37.11</v>
      </c>
      <c r="N43" s="165">
        <v>213.9</v>
      </c>
      <c r="O43" s="165">
        <v>0</v>
      </c>
      <c r="P43" s="165">
        <v>0.77</v>
      </c>
      <c r="Q43" s="165">
        <v>5.66</v>
      </c>
      <c r="R43" s="13"/>
      <c r="S43" s="13"/>
      <c r="T43" s="213"/>
      <c r="U43" s="13"/>
    </row>
    <row r="44" customFormat="1" spans="1:21">
      <c r="A44" s="142" t="s">
        <v>1337</v>
      </c>
      <c r="B44" s="165">
        <v>9.8</v>
      </c>
      <c r="C44" s="165">
        <v>70.56</v>
      </c>
      <c r="D44" s="165">
        <v>46.07</v>
      </c>
      <c r="E44" s="165">
        <v>6.01</v>
      </c>
      <c r="F44" s="165">
        <v>6.45</v>
      </c>
      <c r="G44" s="165">
        <v>44.9</v>
      </c>
      <c r="H44" s="165">
        <v>23.58</v>
      </c>
      <c r="I44" s="165">
        <v>5.62</v>
      </c>
      <c r="J44" s="165">
        <v>0.74</v>
      </c>
      <c r="K44" s="165">
        <v>230.72</v>
      </c>
      <c r="L44" s="165">
        <v>33.51</v>
      </c>
      <c r="M44" s="165">
        <v>35.92</v>
      </c>
      <c r="N44" s="165">
        <v>220.6</v>
      </c>
      <c r="O44" s="165">
        <v>0</v>
      </c>
      <c r="P44" s="165">
        <v>0.77</v>
      </c>
      <c r="Q44" s="165">
        <v>5.61</v>
      </c>
      <c r="R44" s="13"/>
      <c r="S44" s="13"/>
      <c r="T44" s="213"/>
      <c r="U44" s="13"/>
    </row>
    <row r="45" customFormat="1" spans="1:21">
      <c r="A45" s="142" t="s">
        <v>1338</v>
      </c>
      <c r="B45" s="165">
        <v>9.21</v>
      </c>
      <c r="C45" s="165">
        <v>68.75</v>
      </c>
      <c r="D45" s="165">
        <v>44.66</v>
      </c>
      <c r="E45" s="165">
        <v>6.15</v>
      </c>
      <c r="F45" s="165">
        <v>7.97</v>
      </c>
      <c r="G45" s="165">
        <v>44.9</v>
      </c>
      <c r="H45" s="165">
        <v>23.58</v>
      </c>
      <c r="I45" s="165">
        <v>5.6</v>
      </c>
      <c r="J45" s="165">
        <v>0.83</v>
      </c>
      <c r="K45" s="165">
        <v>229.56</v>
      </c>
      <c r="L45" s="165">
        <v>34.22</v>
      </c>
      <c r="M45" s="165">
        <v>35.33</v>
      </c>
      <c r="N45" s="165">
        <v>205.9</v>
      </c>
      <c r="O45" s="165">
        <v>0</v>
      </c>
      <c r="P45" s="165">
        <v>0.78</v>
      </c>
      <c r="Q45" s="165">
        <v>5.6</v>
      </c>
      <c r="R45" s="13"/>
      <c r="S45" s="13"/>
      <c r="T45" s="213"/>
      <c r="U45" s="13"/>
    </row>
    <row r="46" customFormat="1" spans="1:21">
      <c r="A46" s="142" t="s">
        <v>1339</v>
      </c>
      <c r="B46" s="165">
        <v>8.46</v>
      </c>
      <c r="C46" s="165">
        <v>70.49</v>
      </c>
      <c r="D46" s="165">
        <v>44.97</v>
      </c>
      <c r="E46" s="165">
        <v>6.53</v>
      </c>
      <c r="F46" s="165">
        <v>7.87</v>
      </c>
      <c r="G46" s="165">
        <v>44.9</v>
      </c>
      <c r="H46" s="165">
        <v>23.58</v>
      </c>
      <c r="I46" s="165">
        <v>5.6</v>
      </c>
      <c r="J46" s="165">
        <v>0.8</v>
      </c>
      <c r="K46" s="165">
        <v>221.46</v>
      </c>
      <c r="L46" s="165">
        <v>34.69</v>
      </c>
      <c r="M46" s="165">
        <v>35.63</v>
      </c>
      <c r="N46" s="165">
        <v>345.1</v>
      </c>
      <c r="O46" s="165">
        <v>0</v>
      </c>
      <c r="P46" s="165">
        <v>0.78</v>
      </c>
      <c r="Q46" s="165">
        <v>5.57</v>
      </c>
      <c r="R46" s="13"/>
      <c r="S46" s="13"/>
      <c r="T46" s="213"/>
      <c r="U46" s="13"/>
    </row>
    <row r="47" customFormat="1" spans="1:21">
      <c r="A47" s="142" t="s">
        <v>1340</v>
      </c>
      <c r="B47" s="165">
        <v>7.68</v>
      </c>
      <c r="C47" s="165">
        <v>66.75</v>
      </c>
      <c r="D47" s="165">
        <v>42.39</v>
      </c>
      <c r="E47" s="165">
        <v>6.4</v>
      </c>
      <c r="F47" s="165">
        <v>10.05</v>
      </c>
      <c r="G47" s="165">
        <v>46.2</v>
      </c>
      <c r="H47" s="165">
        <v>24.83</v>
      </c>
      <c r="I47" s="165">
        <v>5.63</v>
      </c>
      <c r="J47" s="165">
        <v>0.99</v>
      </c>
      <c r="K47" s="165">
        <v>237.8</v>
      </c>
      <c r="L47" s="165">
        <v>35.49</v>
      </c>
      <c r="M47" s="165">
        <v>33.06</v>
      </c>
      <c r="N47" s="165">
        <v>515.8</v>
      </c>
      <c r="O47" s="165">
        <v>0</v>
      </c>
      <c r="P47" s="165">
        <v>0.78</v>
      </c>
      <c r="Q47" s="165">
        <v>5.57</v>
      </c>
      <c r="R47" s="13"/>
      <c r="S47" s="13"/>
      <c r="T47" s="213"/>
      <c r="U47" s="13"/>
    </row>
    <row r="48" customFormat="1" spans="1:21">
      <c r="A48" s="142" t="s">
        <v>1341</v>
      </c>
      <c r="B48" s="165">
        <v>7.04</v>
      </c>
      <c r="C48" s="165">
        <v>65.97</v>
      </c>
      <c r="D48" s="165">
        <v>41.46</v>
      </c>
      <c r="E48" s="165">
        <v>6.96</v>
      </c>
      <c r="F48" s="165">
        <v>11.39</v>
      </c>
      <c r="G48" s="165">
        <v>49.39</v>
      </c>
      <c r="H48" s="165">
        <v>26.8</v>
      </c>
      <c r="I48" s="165">
        <v>5.66</v>
      </c>
      <c r="J48" s="165">
        <v>0.93</v>
      </c>
      <c r="K48" s="165">
        <v>235.81</v>
      </c>
      <c r="L48" s="165">
        <v>36.38</v>
      </c>
      <c r="M48" s="165">
        <v>31.09</v>
      </c>
      <c r="N48" s="165">
        <v>441</v>
      </c>
      <c r="O48" s="165">
        <v>0</v>
      </c>
      <c r="P48" s="165">
        <v>0.78</v>
      </c>
      <c r="Q48" s="165">
        <v>5.5</v>
      </c>
      <c r="R48" s="13"/>
      <c r="S48" s="13"/>
      <c r="T48" s="213"/>
      <c r="U48" s="13"/>
    </row>
    <row r="49" customFormat="1" spans="1:21">
      <c r="A49" s="142" t="s">
        <v>1342</v>
      </c>
      <c r="B49" s="165">
        <v>6.52</v>
      </c>
      <c r="C49" s="165">
        <v>64.15</v>
      </c>
      <c r="D49" s="165">
        <v>40.09</v>
      </c>
      <c r="E49" s="165">
        <v>8.26</v>
      </c>
      <c r="F49" s="165">
        <v>13.43</v>
      </c>
      <c r="G49" s="165">
        <v>49.39</v>
      </c>
      <c r="H49" s="165">
        <v>26.8</v>
      </c>
      <c r="I49" s="165">
        <v>5.63</v>
      </c>
      <c r="J49" s="165">
        <v>0.86</v>
      </c>
      <c r="K49" s="165">
        <v>228.38</v>
      </c>
      <c r="L49" s="165">
        <v>36.88</v>
      </c>
      <c r="M49" s="165">
        <v>29.45</v>
      </c>
      <c r="N49" s="165">
        <v>570.8</v>
      </c>
      <c r="O49" s="165">
        <v>0</v>
      </c>
      <c r="P49" s="165">
        <v>0.79</v>
      </c>
      <c r="Q49" s="165">
        <v>5.4</v>
      </c>
      <c r="R49" s="13"/>
      <c r="S49" s="13"/>
      <c r="T49" s="213"/>
      <c r="U49" s="13"/>
    </row>
    <row r="50" customFormat="1" spans="1:21">
      <c r="A50" s="142" t="s">
        <v>1343</v>
      </c>
      <c r="B50" s="165">
        <v>6.27</v>
      </c>
      <c r="C50" s="165">
        <v>60.02</v>
      </c>
      <c r="D50" s="165">
        <v>37.74</v>
      </c>
      <c r="E50" s="165">
        <v>9.82</v>
      </c>
      <c r="F50" s="165">
        <v>17.65</v>
      </c>
      <c r="G50" s="165">
        <v>49.39</v>
      </c>
      <c r="H50" s="165">
        <v>26.8</v>
      </c>
      <c r="I50" s="165">
        <v>5.63</v>
      </c>
      <c r="J50" s="165">
        <v>0.69</v>
      </c>
      <c r="K50" s="165">
        <v>216.4</v>
      </c>
      <c r="L50" s="165">
        <v>37.66</v>
      </c>
      <c r="M50" s="165">
        <v>28.18</v>
      </c>
      <c r="N50" s="165">
        <v>409.2</v>
      </c>
      <c r="O50" s="165">
        <v>0</v>
      </c>
      <c r="P50" s="165">
        <v>0.78</v>
      </c>
      <c r="Q50" s="165">
        <v>5.24</v>
      </c>
      <c r="R50" s="13"/>
      <c r="S50" s="13"/>
      <c r="T50" s="213"/>
      <c r="U50" s="13"/>
    </row>
    <row r="51" customFormat="1" spans="1:21">
      <c r="A51" s="142" t="s">
        <v>1344</v>
      </c>
      <c r="B51" s="165">
        <v>6.13</v>
      </c>
      <c r="C51" s="165">
        <v>59.36</v>
      </c>
      <c r="D51" s="165">
        <v>37.28</v>
      </c>
      <c r="E51" s="165">
        <v>11.91</v>
      </c>
      <c r="F51" s="165">
        <v>24.17</v>
      </c>
      <c r="G51" s="165">
        <v>51.53</v>
      </c>
      <c r="H51" s="165">
        <v>28.05</v>
      </c>
      <c r="I51" s="165">
        <v>5.66</v>
      </c>
      <c r="J51" s="165">
        <v>0.98</v>
      </c>
      <c r="K51" s="165">
        <v>253.92</v>
      </c>
      <c r="L51" s="165">
        <v>37.72</v>
      </c>
      <c r="M51" s="165">
        <v>27.71</v>
      </c>
      <c r="N51" s="165">
        <v>669</v>
      </c>
      <c r="O51" s="165">
        <v>0</v>
      </c>
      <c r="P51" s="165">
        <v>0.79</v>
      </c>
      <c r="Q51" s="165">
        <v>5.22</v>
      </c>
      <c r="R51" s="13"/>
      <c r="S51" s="13"/>
      <c r="T51" s="213"/>
      <c r="U51" s="13"/>
    </row>
    <row r="52" customFormat="1" spans="1:21">
      <c r="A52" s="142" t="s">
        <v>1345</v>
      </c>
      <c r="B52" s="165">
        <v>6</v>
      </c>
      <c r="C52" s="165">
        <v>61.72</v>
      </c>
      <c r="D52" s="165">
        <v>38.41</v>
      </c>
      <c r="E52" s="165">
        <v>11.96</v>
      </c>
      <c r="F52" s="165">
        <v>17.61</v>
      </c>
      <c r="G52" s="165">
        <v>56.8</v>
      </c>
      <c r="H52" s="165">
        <v>30.03</v>
      </c>
      <c r="I52" s="165">
        <v>5.65</v>
      </c>
      <c r="J52" s="165">
        <v>0.81</v>
      </c>
      <c r="K52" s="165">
        <v>252.13</v>
      </c>
      <c r="L52" s="165">
        <v>38.38</v>
      </c>
      <c r="M52" s="165">
        <v>23.98</v>
      </c>
      <c r="N52" s="165">
        <v>698.6</v>
      </c>
      <c r="O52" s="165">
        <v>0</v>
      </c>
      <c r="P52" s="165">
        <v>0.77</v>
      </c>
      <c r="Q52" s="165">
        <v>5.22</v>
      </c>
      <c r="R52" s="13"/>
      <c r="S52" s="13"/>
      <c r="T52" s="213"/>
      <c r="U52" s="13"/>
    </row>
    <row r="53" customFormat="1" spans="1:21">
      <c r="A53" s="142" t="s">
        <v>1346</v>
      </c>
      <c r="B53" s="165">
        <v>5.59</v>
      </c>
      <c r="C53" s="165">
        <v>62.56</v>
      </c>
      <c r="D53" s="165">
        <v>38.52</v>
      </c>
      <c r="E53" s="165">
        <v>13.46</v>
      </c>
      <c r="F53" s="165">
        <v>24.5</v>
      </c>
      <c r="G53" s="165">
        <v>56.8</v>
      </c>
      <c r="H53" s="165">
        <v>30.03</v>
      </c>
      <c r="I53" s="165">
        <v>5.69</v>
      </c>
      <c r="J53" s="165">
        <v>0.81</v>
      </c>
      <c r="K53" s="165">
        <v>249.96</v>
      </c>
      <c r="L53" s="165">
        <v>38.83</v>
      </c>
      <c r="M53" s="165">
        <v>21.96</v>
      </c>
      <c r="N53" s="165">
        <v>666.7</v>
      </c>
      <c r="O53" s="165">
        <v>0</v>
      </c>
      <c r="P53" s="165">
        <v>0.78</v>
      </c>
      <c r="Q53" s="165">
        <v>5.22</v>
      </c>
      <c r="R53" s="13"/>
      <c r="S53" s="13"/>
      <c r="T53" s="213"/>
      <c r="U53" s="13"/>
    </row>
    <row r="54" customFormat="1" spans="1:21">
      <c r="A54" s="142" t="s">
        <v>1347</v>
      </c>
      <c r="B54" s="165">
        <v>5.35</v>
      </c>
      <c r="C54" s="165">
        <v>61.48</v>
      </c>
      <c r="D54" s="165">
        <v>37.76</v>
      </c>
      <c r="E54" s="165">
        <v>15.33</v>
      </c>
      <c r="F54" s="165">
        <v>30.2</v>
      </c>
      <c r="G54" s="165">
        <v>56.8</v>
      </c>
      <c r="H54" s="165">
        <v>30.03</v>
      </c>
      <c r="I54" s="165">
        <v>5.8</v>
      </c>
      <c r="J54" s="165">
        <v>0.73</v>
      </c>
      <c r="K54" s="165">
        <v>247.25</v>
      </c>
      <c r="L54" s="165">
        <v>39.52</v>
      </c>
      <c r="M54" s="165">
        <v>20.5</v>
      </c>
      <c r="N54" s="165">
        <v>727.4</v>
      </c>
      <c r="O54" s="165">
        <v>0</v>
      </c>
      <c r="P54" s="165">
        <v>0.79</v>
      </c>
      <c r="Q54" s="165">
        <v>5.24</v>
      </c>
      <c r="R54" s="13"/>
      <c r="S54" s="13"/>
      <c r="T54" s="213"/>
      <c r="U54" s="13"/>
    </row>
    <row r="55" customFormat="1" spans="1:21">
      <c r="A55" s="142" t="s">
        <v>1348</v>
      </c>
      <c r="B55" s="165">
        <v>4.94</v>
      </c>
      <c r="C55" s="165">
        <v>60.32</v>
      </c>
      <c r="D55" s="165">
        <v>36.83</v>
      </c>
      <c r="E55" s="165">
        <v>17.66</v>
      </c>
      <c r="F55" s="165">
        <v>37.64</v>
      </c>
      <c r="G55" s="165">
        <v>56.25</v>
      </c>
      <c r="H55" s="165">
        <v>29.38</v>
      </c>
      <c r="I55" s="165">
        <v>5.98</v>
      </c>
      <c r="J55" s="165">
        <v>0.87</v>
      </c>
      <c r="K55" s="165">
        <v>241.86</v>
      </c>
      <c r="L55" s="165">
        <v>39.57</v>
      </c>
      <c r="M55" s="165">
        <v>19.96</v>
      </c>
      <c r="N55" s="165">
        <v>731.2</v>
      </c>
      <c r="O55" s="165">
        <v>0</v>
      </c>
      <c r="P55" s="165">
        <v>0.78</v>
      </c>
      <c r="Q55" s="165">
        <v>5.25</v>
      </c>
      <c r="R55" s="13"/>
      <c r="S55" s="13"/>
      <c r="T55" s="213"/>
      <c r="U55" s="13"/>
    </row>
    <row r="56" customFormat="1" spans="1:21">
      <c r="A56" s="142" t="s">
        <v>1349</v>
      </c>
      <c r="B56" s="165">
        <v>4.98</v>
      </c>
      <c r="C56" s="165">
        <v>60.38</v>
      </c>
      <c r="D56" s="165">
        <v>36.89</v>
      </c>
      <c r="E56" s="165">
        <v>19.07</v>
      </c>
      <c r="F56" s="165">
        <v>43.69</v>
      </c>
      <c r="G56" s="165">
        <v>54.91</v>
      </c>
      <c r="H56" s="165">
        <v>28.32</v>
      </c>
      <c r="I56" s="165">
        <v>6.42</v>
      </c>
      <c r="J56" s="165">
        <v>0.79</v>
      </c>
      <c r="K56" s="165">
        <v>284.04</v>
      </c>
      <c r="L56" s="165">
        <v>40.07</v>
      </c>
      <c r="M56" s="165">
        <v>19.22</v>
      </c>
      <c r="N56" s="165">
        <v>703.2</v>
      </c>
      <c r="O56" s="165">
        <v>0</v>
      </c>
      <c r="P56" s="165">
        <v>0.81</v>
      </c>
      <c r="Q56" s="165">
        <v>5.22</v>
      </c>
      <c r="R56" s="13"/>
      <c r="S56" s="13"/>
      <c r="T56" s="213"/>
      <c r="U56" s="13"/>
    </row>
    <row r="57" customFormat="1" spans="1:21">
      <c r="A57" s="142" t="s">
        <v>1350</v>
      </c>
      <c r="B57" s="165">
        <v>5.27</v>
      </c>
      <c r="C57" s="165">
        <v>61.04</v>
      </c>
      <c r="D57" s="165">
        <v>37.47</v>
      </c>
      <c r="E57" s="165">
        <v>17.79</v>
      </c>
      <c r="F57" s="165">
        <v>30.49</v>
      </c>
      <c r="G57" s="165">
        <v>54.91</v>
      </c>
      <c r="H57" s="165">
        <v>28.32</v>
      </c>
      <c r="I57" s="165">
        <v>6.82</v>
      </c>
      <c r="J57" s="165">
        <v>0.91</v>
      </c>
      <c r="K57" s="165">
        <v>322.16</v>
      </c>
      <c r="L57" s="165">
        <v>40.14</v>
      </c>
      <c r="M57" s="165">
        <v>15.88</v>
      </c>
      <c r="N57" s="165">
        <v>715.4</v>
      </c>
      <c r="O57" s="165">
        <v>0</v>
      </c>
      <c r="P57" s="165">
        <v>0.79</v>
      </c>
      <c r="Q57" s="165">
        <v>5.22</v>
      </c>
      <c r="R57" s="13"/>
      <c r="S57" s="13"/>
      <c r="T57" s="213"/>
      <c r="U57" s="13"/>
    </row>
    <row r="58" customFormat="1" spans="1:21">
      <c r="A58" s="142" t="s">
        <v>1351</v>
      </c>
      <c r="B58" s="165">
        <v>5.79</v>
      </c>
      <c r="C58" s="165">
        <v>60.02</v>
      </c>
      <c r="D58" s="165">
        <v>37.36</v>
      </c>
      <c r="E58" s="165">
        <v>13.8</v>
      </c>
      <c r="F58" s="165">
        <v>26.39</v>
      </c>
      <c r="G58" s="165">
        <v>54.91</v>
      </c>
      <c r="H58" s="165">
        <v>28.32</v>
      </c>
      <c r="I58" s="165">
        <v>7.03</v>
      </c>
      <c r="J58" s="165">
        <v>1.12</v>
      </c>
      <c r="K58" s="165">
        <v>290.49</v>
      </c>
      <c r="L58" s="165">
        <v>40.64</v>
      </c>
      <c r="M58" s="165">
        <v>13.51</v>
      </c>
      <c r="N58" s="165">
        <v>710.6</v>
      </c>
      <c r="O58" s="165">
        <v>0</v>
      </c>
      <c r="P58" s="165">
        <v>0.74</v>
      </c>
      <c r="Q58" s="165">
        <v>5.25</v>
      </c>
      <c r="R58" s="13"/>
      <c r="S58" s="13"/>
      <c r="T58" s="213"/>
      <c r="U58" s="13"/>
    </row>
    <row r="59" customFormat="1" spans="1:21">
      <c r="A59" s="142" t="s">
        <v>1352</v>
      </c>
      <c r="B59" s="165">
        <v>5.5</v>
      </c>
      <c r="C59" s="165">
        <v>55.04</v>
      </c>
      <c r="D59" s="165">
        <v>34.52</v>
      </c>
      <c r="E59" s="165">
        <v>12.78</v>
      </c>
      <c r="F59" s="165">
        <v>44.8</v>
      </c>
      <c r="G59" s="165">
        <v>55.63</v>
      </c>
      <c r="H59" s="165">
        <v>28.07</v>
      </c>
      <c r="I59" s="165">
        <v>6.53</v>
      </c>
      <c r="J59" s="165">
        <v>0.63</v>
      </c>
      <c r="K59" s="165">
        <v>325.23</v>
      </c>
      <c r="L59" s="165">
        <v>40.54</v>
      </c>
      <c r="M59" s="165">
        <v>13.04</v>
      </c>
      <c r="N59" s="165">
        <v>743.7</v>
      </c>
      <c r="O59" s="165">
        <v>0</v>
      </c>
      <c r="P59" s="165">
        <v>0.71</v>
      </c>
      <c r="Q59" s="165">
        <v>5.24</v>
      </c>
      <c r="R59" s="13"/>
      <c r="S59" s="13"/>
      <c r="T59" s="213"/>
      <c r="U59" s="13"/>
    </row>
    <row r="60" customFormat="1" spans="1:21">
      <c r="A60" s="142" t="s">
        <v>1353</v>
      </c>
      <c r="B60" s="165">
        <v>6.13</v>
      </c>
      <c r="C60" s="165">
        <v>56.34</v>
      </c>
      <c r="D60" s="165">
        <v>35.71</v>
      </c>
      <c r="E60" s="165">
        <v>13.74</v>
      </c>
      <c r="F60" s="165">
        <v>37.19</v>
      </c>
      <c r="G60" s="165">
        <v>57.4</v>
      </c>
      <c r="H60" s="165">
        <v>27.12</v>
      </c>
      <c r="I60" s="165">
        <v>6.16</v>
      </c>
      <c r="J60" s="165">
        <v>0.75</v>
      </c>
      <c r="K60" s="165">
        <v>5.45</v>
      </c>
      <c r="L60" s="165">
        <v>41.04</v>
      </c>
      <c r="M60" s="165">
        <v>13.31</v>
      </c>
      <c r="N60" s="165">
        <v>723.6</v>
      </c>
      <c r="O60" s="165">
        <v>0</v>
      </c>
      <c r="P60" s="165">
        <v>0.7</v>
      </c>
      <c r="Q60" s="165">
        <v>5.24</v>
      </c>
      <c r="R60" s="13"/>
      <c r="S60" s="13"/>
      <c r="T60" s="213"/>
      <c r="U60" s="13"/>
    </row>
    <row r="61" customFormat="1" spans="1:21">
      <c r="A61" s="142" t="s">
        <v>1354</v>
      </c>
      <c r="B61" s="165">
        <v>6</v>
      </c>
      <c r="C61" s="165">
        <v>55.68</v>
      </c>
      <c r="D61" s="165">
        <v>35.25</v>
      </c>
      <c r="E61" s="165">
        <v>17.25</v>
      </c>
      <c r="F61" s="165">
        <v>42.06</v>
      </c>
      <c r="G61" s="165">
        <v>57.4</v>
      </c>
      <c r="H61" s="165">
        <v>27.12</v>
      </c>
      <c r="I61" s="165">
        <v>5.63</v>
      </c>
      <c r="J61" s="165">
        <v>0.43</v>
      </c>
      <c r="K61" s="165">
        <v>328.9</v>
      </c>
      <c r="L61" s="165">
        <v>41.31</v>
      </c>
      <c r="M61" s="165">
        <v>13.16</v>
      </c>
      <c r="N61" s="165">
        <v>595.8</v>
      </c>
      <c r="O61" s="165">
        <v>0</v>
      </c>
      <c r="P61" s="165">
        <v>0.68</v>
      </c>
      <c r="Q61" s="165">
        <v>5.17</v>
      </c>
      <c r="R61" s="13"/>
      <c r="S61" s="13"/>
      <c r="T61" s="213"/>
      <c r="U61" s="13"/>
    </row>
    <row r="62" customFormat="1" spans="1:21">
      <c r="A62" s="142" t="s">
        <v>1355</v>
      </c>
      <c r="B62" s="165">
        <v>6.14</v>
      </c>
      <c r="C62" s="165">
        <v>58.66</v>
      </c>
      <c r="D62" s="165">
        <v>36.92</v>
      </c>
      <c r="E62" s="165">
        <v>17.93</v>
      </c>
      <c r="F62" s="165">
        <v>32.34</v>
      </c>
      <c r="G62" s="165">
        <v>57.4</v>
      </c>
      <c r="H62" s="165">
        <v>27.12</v>
      </c>
      <c r="I62" s="165">
        <v>5.42</v>
      </c>
      <c r="J62" s="165">
        <v>0.74</v>
      </c>
      <c r="K62" s="165">
        <v>304.93</v>
      </c>
      <c r="L62" s="165">
        <v>41.1</v>
      </c>
      <c r="M62" s="165">
        <v>12.71</v>
      </c>
      <c r="N62" s="165">
        <v>579.2</v>
      </c>
      <c r="O62" s="165">
        <v>0</v>
      </c>
      <c r="P62" s="165">
        <v>0.69</v>
      </c>
      <c r="Q62" s="165">
        <v>5.18</v>
      </c>
      <c r="R62" s="13"/>
      <c r="S62" s="13"/>
      <c r="T62" s="213"/>
      <c r="U62" s="13"/>
    </row>
    <row r="63" customFormat="1" spans="1:21">
      <c r="A63" s="142" t="s">
        <v>1356</v>
      </c>
      <c r="B63" s="165">
        <v>5.97</v>
      </c>
      <c r="C63" s="165">
        <v>53.45</v>
      </c>
      <c r="D63" s="165">
        <v>34.06</v>
      </c>
      <c r="E63" s="165">
        <v>19.36</v>
      </c>
      <c r="F63" s="165">
        <v>49.09</v>
      </c>
      <c r="G63" s="165">
        <v>56.4</v>
      </c>
      <c r="H63" s="165">
        <v>24.08</v>
      </c>
      <c r="I63" s="165">
        <v>5.56</v>
      </c>
      <c r="J63" s="165">
        <v>0.6</v>
      </c>
      <c r="K63" s="165">
        <v>21.22</v>
      </c>
      <c r="L63" s="165">
        <v>40.91</v>
      </c>
      <c r="M63" s="165">
        <v>12.29</v>
      </c>
      <c r="N63" s="165">
        <v>488.7</v>
      </c>
      <c r="O63" s="165">
        <v>0</v>
      </c>
      <c r="P63" s="165">
        <v>0.65</v>
      </c>
      <c r="Q63" s="165">
        <v>5.19</v>
      </c>
      <c r="R63" s="13"/>
      <c r="S63" s="13"/>
      <c r="T63" s="213"/>
      <c r="U63" s="13"/>
    </row>
    <row r="64" customFormat="1" spans="1:21">
      <c r="A64" s="142" t="s">
        <v>1357</v>
      </c>
      <c r="B64" s="165">
        <v>5.83</v>
      </c>
      <c r="C64" s="165">
        <v>55.4</v>
      </c>
      <c r="D64" s="165">
        <v>34.97</v>
      </c>
      <c r="E64" s="165">
        <v>18.61</v>
      </c>
      <c r="F64" s="165">
        <v>42.58</v>
      </c>
      <c r="G64" s="165">
        <v>53.91</v>
      </c>
      <c r="H64" s="165">
        <v>19.28</v>
      </c>
      <c r="I64" s="165">
        <v>5.55</v>
      </c>
      <c r="J64" s="165">
        <v>0.23</v>
      </c>
      <c r="K64" s="165">
        <v>310.27</v>
      </c>
      <c r="L64" s="165">
        <v>40.87</v>
      </c>
      <c r="M64" s="165">
        <v>12.43</v>
      </c>
      <c r="N64" s="165">
        <v>509.5</v>
      </c>
      <c r="O64" s="165">
        <v>0</v>
      </c>
      <c r="P64" s="165">
        <v>0.64</v>
      </c>
      <c r="Q64" s="165">
        <v>5.15</v>
      </c>
      <c r="R64" s="13"/>
      <c r="S64" s="13"/>
      <c r="T64" s="213"/>
      <c r="U64" s="13"/>
    </row>
    <row r="65" customFormat="1" spans="1:21">
      <c r="A65" s="142" t="s">
        <v>1358</v>
      </c>
      <c r="B65" s="165">
        <v>5.31</v>
      </c>
      <c r="C65" s="165">
        <v>54.47</v>
      </c>
      <c r="D65" s="165">
        <v>34.07</v>
      </c>
      <c r="E65" s="165">
        <v>17.94</v>
      </c>
      <c r="F65" s="165">
        <v>44.87</v>
      </c>
      <c r="G65" s="165">
        <v>53.91</v>
      </c>
      <c r="H65" s="165">
        <v>19.28</v>
      </c>
      <c r="I65" s="165">
        <v>5.14</v>
      </c>
      <c r="J65" s="165">
        <v>0.21</v>
      </c>
      <c r="K65" s="165">
        <v>357.76</v>
      </c>
      <c r="L65" s="165">
        <v>41.49</v>
      </c>
      <c r="M65" s="165">
        <v>12.2</v>
      </c>
      <c r="N65" s="165">
        <v>497.4</v>
      </c>
      <c r="O65" s="165">
        <v>0</v>
      </c>
      <c r="P65" s="165">
        <v>0.54</v>
      </c>
      <c r="Q65" s="165">
        <v>5.07</v>
      </c>
      <c r="R65" s="13"/>
      <c r="S65" s="13"/>
      <c r="T65" s="213"/>
      <c r="U65" s="13"/>
    </row>
    <row r="66" customFormat="1" spans="1:21">
      <c r="A66" s="142" t="s">
        <v>1359</v>
      </c>
      <c r="B66" s="165">
        <v>5.07</v>
      </c>
      <c r="C66" s="165">
        <v>53.83</v>
      </c>
      <c r="D66" s="165">
        <v>33.54</v>
      </c>
      <c r="E66" s="165">
        <v>17.62</v>
      </c>
      <c r="F66" s="165">
        <v>49.25</v>
      </c>
      <c r="G66" s="165">
        <v>53.91</v>
      </c>
      <c r="H66" s="165">
        <v>19.28</v>
      </c>
      <c r="I66" s="165">
        <v>4.93</v>
      </c>
      <c r="J66" s="165">
        <v>0.18</v>
      </c>
      <c r="K66" s="165">
        <v>80.1</v>
      </c>
      <c r="L66" s="165">
        <v>41.63</v>
      </c>
      <c r="M66" s="165">
        <v>12.13</v>
      </c>
      <c r="N66" s="165">
        <v>432</v>
      </c>
      <c r="O66" s="165">
        <v>0</v>
      </c>
      <c r="P66" s="165">
        <v>0.58</v>
      </c>
      <c r="Q66" s="165">
        <v>5.06</v>
      </c>
      <c r="R66" s="13"/>
      <c r="S66" s="13"/>
      <c r="T66" s="213"/>
      <c r="U66" s="13"/>
    </row>
    <row r="67" customFormat="1" spans="1:21">
      <c r="A67" s="142" t="s">
        <v>1360</v>
      </c>
      <c r="B67" s="165">
        <v>5.94</v>
      </c>
      <c r="C67" s="165">
        <v>51.74</v>
      </c>
      <c r="D67" s="165">
        <v>33.15</v>
      </c>
      <c r="E67" s="165">
        <v>24.86</v>
      </c>
      <c r="F67" s="165">
        <v>62.14</v>
      </c>
      <c r="G67" s="165">
        <v>54.29</v>
      </c>
      <c r="H67" s="165">
        <v>19.89</v>
      </c>
      <c r="I67" s="165">
        <v>5.04</v>
      </c>
      <c r="J67" s="165">
        <v>0.92</v>
      </c>
      <c r="K67" s="165">
        <v>42.66</v>
      </c>
      <c r="L67" s="165">
        <v>41.07</v>
      </c>
      <c r="M67" s="165">
        <v>12.1</v>
      </c>
      <c r="N67" s="165">
        <v>398.2</v>
      </c>
      <c r="O67" s="165">
        <v>0</v>
      </c>
      <c r="P67" s="165">
        <v>0.57</v>
      </c>
      <c r="Q67" s="165">
        <v>5.07</v>
      </c>
      <c r="R67" s="13"/>
      <c r="S67" s="13"/>
      <c r="T67" s="213"/>
      <c r="U67" s="13"/>
    </row>
    <row r="68" customFormat="1" spans="1:21">
      <c r="A68" s="142" t="s">
        <v>1361</v>
      </c>
      <c r="B68" s="165">
        <v>6.1</v>
      </c>
      <c r="C68" s="165">
        <v>61.07</v>
      </c>
      <c r="D68" s="165">
        <v>38.15</v>
      </c>
      <c r="E68" s="165">
        <v>17.95</v>
      </c>
      <c r="F68" s="165">
        <v>30.86</v>
      </c>
      <c r="G68" s="165">
        <v>55.21</v>
      </c>
      <c r="H68" s="165">
        <v>20.9</v>
      </c>
      <c r="I68" s="165">
        <v>4.9</v>
      </c>
      <c r="J68" s="165">
        <v>0.62</v>
      </c>
      <c r="K68" s="165">
        <v>353.52</v>
      </c>
      <c r="L68" s="165">
        <v>41.16</v>
      </c>
      <c r="M68" s="165">
        <v>12.51</v>
      </c>
      <c r="N68" s="165">
        <v>365.6</v>
      </c>
      <c r="O68" s="165">
        <v>0</v>
      </c>
      <c r="P68" s="165">
        <v>0.61</v>
      </c>
      <c r="Q68" s="165">
        <v>5.1</v>
      </c>
      <c r="R68" s="13"/>
      <c r="S68" s="13"/>
      <c r="T68" s="213"/>
      <c r="U68" s="13"/>
    </row>
    <row r="69" customFormat="1" spans="1:21">
      <c r="A69" s="142" t="s">
        <v>1362</v>
      </c>
      <c r="B69" s="165">
        <v>6.13</v>
      </c>
      <c r="C69" s="165">
        <v>59.1</v>
      </c>
      <c r="D69" s="165">
        <v>37.14</v>
      </c>
      <c r="E69" s="165">
        <v>16.06</v>
      </c>
      <c r="F69" s="165">
        <v>37.97</v>
      </c>
      <c r="G69" s="165">
        <v>55.21</v>
      </c>
      <c r="H69" s="165">
        <v>20.9</v>
      </c>
      <c r="I69" s="165">
        <v>4.7</v>
      </c>
      <c r="J69" s="165">
        <v>0.67</v>
      </c>
      <c r="K69" s="165">
        <v>348.91</v>
      </c>
      <c r="L69" s="165">
        <v>40.39</v>
      </c>
      <c r="M69" s="165">
        <v>13.27</v>
      </c>
      <c r="N69" s="165">
        <v>218.6</v>
      </c>
      <c r="O69" s="165">
        <v>0</v>
      </c>
      <c r="P69" s="165">
        <v>0.62</v>
      </c>
      <c r="Q69" s="165">
        <v>5.22</v>
      </c>
      <c r="R69" s="13"/>
      <c r="S69" s="13"/>
      <c r="T69" s="213"/>
      <c r="U69" s="13"/>
    </row>
    <row r="70" customFormat="1" spans="1:21">
      <c r="A70" s="142" t="s">
        <v>1363</v>
      </c>
      <c r="B70" s="165">
        <v>5.83</v>
      </c>
      <c r="C70" s="165">
        <v>58.37</v>
      </c>
      <c r="D70" s="165">
        <v>36.52</v>
      </c>
      <c r="E70" s="165">
        <v>16.74</v>
      </c>
      <c r="F70" s="165">
        <v>42.81</v>
      </c>
      <c r="G70" s="165">
        <v>55.21</v>
      </c>
      <c r="H70" s="165">
        <v>20.9</v>
      </c>
      <c r="I70" s="165">
        <v>5.02</v>
      </c>
      <c r="J70" s="165">
        <v>0.41</v>
      </c>
      <c r="K70" s="165">
        <v>10.66</v>
      </c>
      <c r="L70" s="165">
        <v>40.58</v>
      </c>
      <c r="M70" s="165">
        <v>13.16</v>
      </c>
      <c r="N70" s="165">
        <v>370.1</v>
      </c>
      <c r="O70" s="165">
        <v>0</v>
      </c>
      <c r="P70" s="165">
        <v>0.6</v>
      </c>
      <c r="Q70" s="165">
        <v>5.26</v>
      </c>
      <c r="R70" s="13"/>
      <c r="S70" s="13"/>
      <c r="T70" s="213"/>
      <c r="U70" s="13"/>
    </row>
    <row r="71" customFormat="1" spans="1:21">
      <c r="A71" s="142" t="s">
        <v>1364</v>
      </c>
      <c r="B71" s="165">
        <v>5.47</v>
      </c>
      <c r="C71" s="165">
        <v>58.46</v>
      </c>
      <c r="D71" s="165">
        <v>36.27</v>
      </c>
      <c r="E71" s="165">
        <v>16.16</v>
      </c>
      <c r="F71" s="165">
        <v>46.54</v>
      </c>
      <c r="G71" s="165">
        <v>54.42</v>
      </c>
      <c r="H71" s="165">
        <v>21.01</v>
      </c>
      <c r="I71" s="165">
        <v>5.07</v>
      </c>
      <c r="J71" s="165">
        <v>0.73</v>
      </c>
      <c r="K71" s="165">
        <v>31.21</v>
      </c>
      <c r="L71" s="165">
        <v>40.91</v>
      </c>
      <c r="M71" s="165">
        <v>13.11</v>
      </c>
      <c r="N71" s="165">
        <v>316.7</v>
      </c>
      <c r="O71" s="165">
        <v>0</v>
      </c>
      <c r="P71" s="165">
        <v>0.6</v>
      </c>
      <c r="Q71" s="165">
        <v>5.26</v>
      </c>
      <c r="R71" s="13"/>
      <c r="S71" s="13"/>
      <c r="T71" s="213"/>
      <c r="U71" s="13"/>
    </row>
    <row r="72" customFormat="1" spans="1:21">
      <c r="A72" s="142" t="s">
        <v>1365</v>
      </c>
      <c r="B72" s="165">
        <v>5.18</v>
      </c>
      <c r="C72" s="165">
        <v>56.73</v>
      </c>
      <c r="D72" s="165">
        <v>35.14</v>
      </c>
      <c r="E72" s="165">
        <v>16.28</v>
      </c>
      <c r="F72" s="165">
        <v>50.71</v>
      </c>
      <c r="G72" s="165">
        <v>52.57</v>
      </c>
      <c r="H72" s="165">
        <v>21.19</v>
      </c>
      <c r="I72" s="165">
        <v>4.95</v>
      </c>
      <c r="J72" s="165">
        <v>0.39</v>
      </c>
      <c r="K72" s="165">
        <v>52.26</v>
      </c>
      <c r="L72" s="165">
        <v>40.52</v>
      </c>
      <c r="M72" s="165">
        <v>13.23</v>
      </c>
      <c r="N72" s="165">
        <v>163.4</v>
      </c>
      <c r="O72" s="165">
        <v>0</v>
      </c>
      <c r="P72" s="165">
        <v>0.6</v>
      </c>
      <c r="Q72" s="165">
        <v>5.27</v>
      </c>
      <c r="R72" s="13"/>
      <c r="S72" s="13"/>
      <c r="T72" s="213"/>
      <c r="U72" s="13"/>
    </row>
    <row r="73" customFormat="1" spans="1:21">
      <c r="A73" s="142" t="s">
        <v>1366</v>
      </c>
      <c r="B73" s="165">
        <v>5.19</v>
      </c>
      <c r="C73" s="165">
        <v>58.19</v>
      </c>
      <c r="D73" s="165">
        <v>35.92</v>
      </c>
      <c r="E73" s="165">
        <v>16.12</v>
      </c>
      <c r="F73" s="165">
        <v>45.38</v>
      </c>
      <c r="G73" s="165">
        <v>52.57</v>
      </c>
      <c r="H73" s="165">
        <v>21.19</v>
      </c>
      <c r="I73" s="165">
        <v>4.81</v>
      </c>
      <c r="J73" s="165">
        <v>0.2</v>
      </c>
      <c r="K73" s="165">
        <v>15.69</v>
      </c>
      <c r="L73" s="165">
        <v>39.85</v>
      </c>
      <c r="M73" s="165">
        <v>14.14</v>
      </c>
      <c r="N73" s="165">
        <v>70.3</v>
      </c>
      <c r="O73" s="165">
        <v>0</v>
      </c>
      <c r="P73" s="165">
        <v>0.62</v>
      </c>
      <c r="Q73" s="165">
        <v>5.23</v>
      </c>
      <c r="R73" s="13"/>
      <c r="S73" s="13"/>
      <c r="T73" s="213"/>
      <c r="U73" s="13"/>
    </row>
    <row r="74" customFormat="1" spans="1:21">
      <c r="A74" s="142" t="s">
        <v>1367</v>
      </c>
      <c r="B74" s="165">
        <v>4.95</v>
      </c>
      <c r="C74" s="165">
        <v>56.93</v>
      </c>
      <c r="D74" s="165">
        <v>35.07</v>
      </c>
      <c r="E74" s="165">
        <v>15.92</v>
      </c>
      <c r="F74" s="165">
        <v>50.56</v>
      </c>
      <c r="G74" s="165">
        <v>52.57</v>
      </c>
      <c r="H74" s="165">
        <v>21.19</v>
      </c>
      <c r="I74" s="165">
        <v>4.57</v>
      </c>
      <c r="J74" s="165">
        <v>0.18</v>
      </c>
      <c r="K74" s="165">
        <v>159.32</v>
      </c>
      <c r="L74" s="165">
        <v>39.28</v>
      </c>
      <c r="M74" s="165">
        <v>16.9</v>
      </c>
      <c r="N74" s="165">
        <v>44.5</v>
      </c>
      <c r="O74" s="165">
        <v>0</v>
      </c>
      <c r="P74" s="165">
        <v>0.61</v>
      </c>
      <c r="Q74" s="165">
        <v>5.25</v>
      </c>
      <c r="R74" s="13"/>
      <c r="S74" s="13"/>
      <c r="T74" s="213"/>
      <c r="U74" s="13"/>
    </row>
    <row r="75" customFormat="1" spans="1:21">
      <c r="A75" s="142" t="s">
        <v>1368</v>
      </c>
      <c r="B75" s="165">
        <v>4.52</v>
      </c>
      <c r="C75" s="165">
        <v>51.25</v>
      </c>
      <c r="D75" s="165">
        <v>31.75</v>
      </c>
      <c r="E75" s="165">
        <v>15.18</v>
      </c>
      <c r="F75" s="165">
        <v>56.78</v>
      </c>
      <c r="G75" s="165">
        <v>52.5</v>
      </c>
      <c r="H75" s="165">
        <v>20.97</v>
      </c>
      <c r="I75" s="165">
        <v>4.55</v>
      </c>
      <c r="J75" s="165">
        <v>0.26</v>
      </c>
      <c r="K75" s="165">
        <v>188.85</v>
      </c>
      <c r="L75" s="165">
        <v>38.22</v>
      </c>
      <c r="M75" s="165">
        <v>19.39</v>
      </c>
      <c r="N75" s="165">
        <v>34.4</v>
      </c>
      <c r="O75" s="165">
        <v>0</v>
      </c>
      <c r="P75" s="165">
        <v>0.57</v>
      </c>
      <c r="Q75" s="165">
        <v>5.23</v>
      </c>
      <c r="R75" s="13"/>
      <c r="S75" s="13"/>
      <c r="T75" s="213"/>
      <c r="U75" s="13"/>
    </row>
    <row r="76" customFormat="1" spans="1:21">
      <c r="A76" s="142" t="s">
        <v>1369</v>
      </c>
      <c r="B76" s="165">
        <v>4.42</v>
      </c>
      <c r="C76" s="165">
        <v>49.86</v>
      </c>
      <c r="D76" s="165">
        <v>30.95</v>
      </c>
      <c r="E76" s="165">
        <v>14.19</v>
      </c>
      <c r="F76" s="165">
        <v>54</v>
      </c>
      <c r="G76" s="165">
        <v>52.32</v>
      </c>
      <c r="H76" s="165">
        <v>20.62</v>
      </c>
      <c r="I76" s="165">
        <v>4.35</v>
      </c>
      <c r="J76" s="165">
        <v>0.21</v>
      </c>
      <c r="K76" s="165">
        <v>174.83</v>
      </c>
      <c r="L76" s="165">
        <v>37.59</v>
      </c>
      <c r="M76" s="165">
        <v>21.54</v>
      </c>
      <c r="N76" s="165">
        <v>30.7</v>
      </c>
      <c r="O76" s="165">
        <v>0</v>
      </c>
      <c r="P76" s="165">
        <v>0.57</v>
      </c>
      <c r="Q76" s="165">
        <v>5.12</v>
      </c>
      <c r="R76" s="13"/>
      <c r="S76" s="13"/>
      <c r="T76" s="213"/>
      <c r="U76" s="13"/>
    </row>
    <row r="77" customFormat="1" spans="1:21">
      <c r="A77" s="142" t="s">
        <v>1370</v>
      </c>
      <c r="B77" s="165">
        <v>4.46</v>
      </c>
      <c r="C77" s="165">
        <v>50.37</v>
      </c>
      <c r="D77" s="165">
        <v>31.24</v>
      </c>
      <c r="E77" s="165">
        <v>13.67</v>
      </c>
      <c r="F77" s="165">
        <v>53.16</v>
      </c>
      <c r="G77" s="165">
        <v>52.32</v>
      </c>
      <c r="H77" s="165">
        <v>20.62</v>
      </c>
      <c r="I77" s="165">
        <v>4.17</v>
      </c>
      <c r="J77" s="165">
        <v>0.19</v>
      </c>
      <c r="K77" s="165">
        <v>161.45</v>
      </c>
      <c r="L77" s="165">
        <v>37.17</v>
      </c>
      <c r="M77" s="165">
        <v>23</v>
      </c>
      <c r="N77" s="165">
        <v>16.9</v>
      </c>
      <c r="O77" s="165">
        <v>0</v>
      </c>
      <c r="P77" s="165">
        <v>0.57</v>
      </c>
      <c r="Q77" s="165">
        <v>5.06</v>
      </c>
      <c r="R77" s="13"/>
      <c r="S77" s="13"/>
      <c r="T77" s="213"/>
      <c r="U77" s="13"/>
    </row>
    <row r="78" customFormat="1" spans="1:21">
      <c r="A78" s="142" t="s">
        <v>1371</v>
      </c>
      <c r="B78" s="165">
        <v>4.47</v>
      </c>
      <c r="C78" s="165">
        <v>48.5</v>
      </c>
      <c r="D78" s="165">
        <v>30.27</v>
      </c>
      <c r="E78" s="165">
        <v>15.23</v>
      </c>
      <c r="F78" s="165">
        <v>58.1</v>
      </c>
      <c r="G78" s="165">
        <v>52.32</v>
      </c>
      <c r="H78" s="165">
        <v>20.62</v>
      </c>
      <c r="I78" s="165">
        <v>4.16</v>
      </c>
      <c r="J78" s="165">
        <v>0.15</v>
      </c>
      <c r="K78" s="165">
        <v>178.6</v>
      </c>
      <c r="L78" s="165">
        <v>36.56</v>
      </c>
      <c r="M78" s="165">
        <v>24.56</v>
      </c>
      <c r="N78" s="165">
        <v>7.2</v>
      </c>
      <c r="O78" s="165">
        <v>0</v>
      </c>
      <c r="P78" s="165">
        <v>0.58</v>
      </c>
      <c r="Q78" s="165">
        <v>5.02</v>
      </c>
      <c r="R78" s="13"/>
      <c r="S78" s="13"/>
      <c r="T78" s="213"/>
      <c r="U78" s="13"/>
    </row>
    <row r="79" customFormat="1" spans="1:21">
      <c r="A79" s="142" t="s">
        <v>1372</v>
      </c>
      <c r="B79" s="165">
        <v>4.34</v>
      </c>
      <c r="C79" s="165">
        <v>46.35</v>
      </c>
      <c r="D79" s="165">
        <v>29.04</v>
      </c>
      <c r="E79" s="165">
        <v>15.26</v>
      </c>
      <c r="F79" s="165">
        <v>54.99</v>
      </c>
      <c r="G79" s="165">
        <v>52.03</v>
      </c>
      <c r="H79" s="165">
        <v>20.58</v>
      </c>
      <c r="I79" s="165">
        <v>4.18</v>
      </c>
      <c r="J79" s="165">
        <v>0.18</v>
      </c>
      <c r="K79" s="165">
        <v>168.39</v>
      </c>
      <c r="L79" s="165">
        <v>36.09</v>
      </c>
      <c r="M79" s="165">
        <v>26.71</v>
      </c>
      <c r="N79" s="165">
        <v>1</v>
      </c>
      <c r="O79" s="165">
        <v>0</v>
      </c>
      <c r="P79" s="165">
        <v>0.62</v>
      </c>
      <c r="Q79" s="165">
        <v>4.96</v>
      </c>
      <c r="R79" s="13"/>
      <c r="S79" s="13"/>
      <c r="T79" s="213"/>
      <c r="U79" s="13"/>
    </row>
    <row r="80" customFormat="1" spans="1:21">
      <c r="A80" s="142" t="s">
        <v>1373</v>
      </c>
      <c r="B80" s="165">
        <v>4.47</v>
      </c>
      <c r="C80" s="165">
        <v>49.97</v>
      </c>
      <c r="D80" s="165">
        <v>31.04</v>
      </c>
      <c r="E80" s="165">
        <v>15.96</v>
      </c>
      <c r="F80" s="165">
        <v>46.63</v>
      </c>
      <c r="G80" s="165">
        <v>51.3</v>
      </c>
      <c r="H80" s="165">
        <v>20.5</v>
      </c>
      <c r="I80" s="165">
        <v>4.37</v>
      </c>
      <c r="J80" s="165">
        <v>0.28</v>
      </c>
      <c r="K80" s="165">
        <v>149.59</v>
      </c>
      <c r="L80" s="165">
        <v>35.83</v>
      </c>
      <c r="M80" s="165">
        <v>27.36</v>
      </c>
      <c r="N80" s="165">
        <v>0</v>
      </c>
      <c r="O80" s="165">
        <v>0</v>
      </c>
      <c r="P80" s="165">
        <v>0.61</v>
      </c>
      <c r="Q80" s="165">
        <v>4.97</v>
      </c>
      <c r="R80" s="13"/>
      <c r="S80" s="13"/>
      <c r="T80" s="213"/>
      <c r="U80" s="13"/>
    </row>
    <row r="81" customFormat="1" spans="1:21">
      <c r="A81" s="142" t="s">
        <v>1374</v>
      </c>
      <c r="B81" s="165">
        <v>4.54</v>
      </c>
      <c r="C81" s="165">
        <v>46.38</v>
      </c>
      <c r="D81" s="165">
        <v>29.22</v>
      </c>
      <c r="E81" s="165">
        <v>11.25</v>
      </c>
      <c r="F81" s="165">
        <v>49.83</v>
      </c>
      <c r="G81" s="165">
        <v>51.3</v>
      </c>
      <c r="H81" s="165">
        <v>20.5</v>
      </c>
      <c r="I81" s="165">
        <v>4.5</v>
      </c>
      <c r="J81" s="165">
        <v>0.2</v>
      </c>
      <c r="K81" s="165">
        <v>154.79</v>
      </c>
      <c r="L81" s="165">
        <v>35.26</v>
      </c>
      <c r="M81" s="165">
        <v>29.62</v>
      </c>
      <c r="N81" s="165">
        <v>0</v>
      </c>
      <c r="O81" s="165">
        <v>0</v>
      </c>
      <c r="P81" s="165">
        <v>0.66</v>
      </c>
      <c r="Q81" s="165">
        <v>4.92</v>
      </c>
      <c r="R81" s="13"/>
      <c r="S81" s="13"/>
      <c r="T81" s="213"/>
      <c r="U81" s="13"/>
    </row>
    <row r="82" customFormat="1" spans="1:21">
      <c r="A82" s="142" t="s">
        <v>1375</v>
      </c>
      <c r="B82" s="165">
        <v>4.65</v>
      </c>
      <c r="C82" s="165">
        <v>49.36</v>
      </c>
      <c r="D82" s="165">
        <v>30.86</v>
      </c>
      <c r="E82" s="165">
        <v>13.29</v>
      </c>
      <c r="F82" s="165">
        <v>47.17</v>
      </c>
      <c r="G82" s="165">
        <v>51.3</v>
      </c>
      <c r="H82" s="165">
        <v>20.5</v>
      </c>
      <c r="I82" s="165">
        <v>4.75</v>
      </c>
      <c r="J82" s="165">
        <v>0.18</v>
      </c>
      <c r="K82" s="165">
        <v>168.34</v>
      </c>
      <c r="L82" s="165">
        <v>34.64</v>
      </c>
      <c r="M82" s="165">
        <v>30.46</v>
      </c>
      <c r="N82" s="165">
        <v>0</v>
      </c>
      <c r="O82" s="165">
        <v>0</v>
      </c>
      <c r="P82" s="165">
        <v>0.68</v>
      </c>
      <c r="Q82" s="165">
        <v>4.97</v>
      </c>
      <c r="R82" s="13"/>
      <c r="S82" s="13"/>
      <c r="T82" s="213"/>
      <c r="U82" s="13"/>
    </row>
    <row r="83" customFormat="1" spans="1:21">
      <c r="A83" s="142" t="s">
        <v>1376</v>
      </c>
      <c r="B83" s="165">
        <v>4.44</v>
      </c>
      <c r="C83" s="165">
        <v>47.33</v>
      </c>
      <c r="D83" s="165">
        <v>29.65</v>
      </c>
      <c r="E83" s="165">
        <v>13.78</v>
      </c>
      <c r="F83" s="165">
        <v>48.73</v>
      </c>
      <c r="G83" s="165">
        <v>54.06</v>
      </c>
      <c r="H83" s="165">
        <v>20.9</v>
      </c>
      <c r="I83" s="165">
        <v>5.08</v>
      </c>
      <c r="J83" s="165">
        <v>0.13</v>
      </c>
      <c r="K83" s="165">
        <v>145</v>
      </c>
      <c r="L83" s="165">
        <v>34.17</v>
      </c>
      <c r="M83" s="165">
        <v>30.77</v>
      </c>
      <c r="N83" s="165">
        <v>0</v>
      </c>
      <c r="O83" s="165">
        <v>0</v>
      </c>
      <c r="P83" s="165">
        <v>0.7</v>
      </c>
      <c r="Q83" s="165">
        <v>4.95</v>
      </c>
      <c r="R83" s="13"/>
      <c r="S83" s="13"/>
      <c r="T83" s="213"/>
      <c r="U83" s="13"/>
    </row>
    <row r="84" customFormat="1" spans="1:21">
      <c r="A84" s="142" t="s">
        <v>1377</v>
      </c>
      <c r="B84" s="165">
        <v>4.5</v>
      </c>
      <c r="C84" s="165">
        <v>51.63</v>
      </c>
      <c r="D84" s="165">
        <v>31.94</v>
      </c>
      <c r="E84" s="165">
        <v>14.99</v>
      </c>
      <c r="F84" s="165">
        <v>40.21</v>
      </c>
      <c r="G84" s="165">
        <v>60.86</v>
      </c>
      <c r="H84" s="165">
        <v>22.54</v>
      </c>
      <c r="I84" s="165">
        <v>5.34</v>
      </c>
      <c r="J84" s="165">
        <v>0.08</v>
      </c>
      <c r="K84" s="165">
        <v>175.42</v>
      </c>
      <c r="L84" s="165">
        <v>34.02</v>
      </c>
      <c r="M84" s="165">
        <v>29.9</v>
      </c>
      <c r="N84" s="165">
        <v>0</v>
      </c>
      <c r="O84" s="165">
        <v>0</v>
      </c>
      <c r="P84" s="165">
        <v>0.72</v>
      </c>
      <c r="Q84" s="165">
        <v>5</v>
      </c>
      <c r="R84" s="13"/>
      <c r="S84" s="13"/>
      <c r="T84" s="213"/>
      <c r="U84" s="13"/>
    </row>
    <row r="85" customFormat="1" spans="1:21">
      <c r="A85" s="142" t="s">
        <v>1378</v>
      </c>
      <c r="B85" s="165">
        <v>4.81</v>
      </c>
      <c r="C85" s="165">
        <v>52.78</v>
      </c>
      <c r="D85" s="165">
        <v>32.79</v>
      </c>
      <c r="E85" s="165">
        <v>13.07</v>
      </c>
      <c r="F85" s="165">
        <v>33.9</v>
      </c>
      <c r="G85" s="165">
        <v>60.86</v>
      </c>
      <c r="H85" s="165">
        <v>22.54</v>
      </c>
      <c r="I85" s="165">
        <v>5.61</v>
      </c>
      <c r="J85" s="165">
        <v>0.27</v>
      </c>
      <c r="K85" s="165">
        <v>248.81</v>
      </c>
      <c r="L85" s="165">
        <v>34</v>
      </c>
      <c r="M85" s="165">
        <v>29.95</v>
      </c>
      <c r="N85" s="165">
        <v>0</v>
      </c>
      <c r="O85" s="165">
        <v>0</v>
      </c>
      <c r="P85" s="165">
        <v>0.71</v>
      </c>
      <c r="Q85" s="165">
        <v>5.01</v>
      </c>
      <c r="R85" s="13"/>
      <c r="S85" s="13"/>
      <c r="T85" s="213"/>
      <c r="U85" s="13"/>
    </row>
    <row r="86" customFormat="1" spans="1:21">
      <c r="A86" s="142" t="s">
        <v>1379</v>
      </c>
      <c r="B86" s="165">
        <v>4.85</v>
      </c>
      <c r="C86" s="165">
        <v>51.1</v>
      </c>
      <c r="D86" s="165">
        <v>31.94</v>
      </c>
      <c r="E86" s="165">
        <v>12.32</v>
      </c>
      <c r="F86" s="165">
        <v>34.45</v>
      </c>
      <c r="G86" s="165">
        <v>60.86</v>
      </c>
      <c r="H86" s="165">
        <v>22.54</v>
      </c>
      <c r="I86" s="165">
        <v>5.85</v>
      </c>
      <c r="J86" s="165">
        <v>0.11</v>
      </c>
      <c r="K86" s="165">
        <v>194.68</v>
      </c>
      <c r="L86" s="165">
        <v>33.99</v>
      </c>
      <c r="M86" s="165">
        <v>30.04</v>
      </c>
      <c r="N86" s="165">
        <v>0</v>
      </c>
      <c r="O86" s="165">
        <v>0</v>
      </c>
      <c r="P86" s="165">
        <v>0.74</v>
      </c>
      <c r="Q86" s="165">
        <v>5</v>
      </c>
      <c r="R86" s="13"/>
      <c r="S86" s="13"/>
      <c r="T86" s="213"/>
      <c r="U86" s="13"/>
    </row>
    <row r="87" customFormat="1" spans="1:21">
      <c r="A87" s="142" t="s">
        <v>1380</v>
      </c>
      <c r="B87" s="165">
        <v>5.18</v>
      </c>
      <c r="C87" s="165">
        <v>54.91</v>
      </c>
      <c r="D87" s="165">
        <v>34.19</v>
      </c>
      <c r="E87" s="165">
        <v>11.57</v>
      </c>
      <c r="F87" s="165">
        <v>29.28</v>
      </c>
      <c r="G87" s="165">
        <v>60.51</v>
      </c>
      <c r="H87" s="165">
        <v>22.45</v>
      </c>
      <c r="I87" s="165">
        <v>6.02</v>
      </c>
      <c r="J87" s="165">
        <v>0.39</v>
      </c>
      <c r="K87" s="165">
        <v>244.37</v>
      </c>
      <c r="L87" s="165">
        <v>33.93</v>
      </c>
      <c r="M87" s="165">
        <v>29.78</v>
      </c>
      <c r="N87" s="165">
        <v>0</v>
      </c>
      <c r="O87" s="165">
        <v>0</v>
      </c>
      <c r="P87" s="165">
        <v>0.74</v>
      </c>
      <c r="Q87" s="165">
        <v>5.02</v>
      </c>
      <c r="R87" s="13"/>
      <c r="S87" s="13"/>
      <c r="T87" s="213"/>
      <c r="U87" s="13"/>
    </row>
    <row r="88" customFormat="1" spans="1:21">
      <c r="A88" s="142" t="s">
        <v>1381</v>
      </c>
      <c r="B88" s="165">
        <v>5.79</v>
      </c>
      <c r="C88" s="165">
        <v>54.5</v>
      </c>
      <c r="D88" s="165">
        <v>34.47</v>
      </c>
      <c r="E88" s="165">
        <v>11.94</v>
      </c>
      <c r="F88" s="165">
        <v>32.22</v>
      </c>
      <c r="G88" s="165">
        <v>59.67</v>
      </c>
      <c r="H88" s="165">
        <v>22.3</v>
      </c>
      <c r="I88" s="165">
        <v>6.1</v>
      </c>
      <c r="J88" s="165">
        <v>0.28</v>
      </c>
      <c r="K88" s="165">
        <v>200.75</v>
      </c>
      <c r="L88" s="165">
        <v>34.09</v>
      </c>
      <c r="M88" s="165">
        <v>29.38</v>
      </c>
      <c r="N88" s="165">
        <v>0</v>
      </c>
      <c r="O88" s="165">
        <v>0</v>
      </c>
      <c r="P88" s="165">
        <v>0.8</v>
      </c>
      <c r="Q88" s="165">
        <v>4.99</v>
      </c>
      <c r="R88" s="13"/>
      <c r="S88" s="13"/>
      <c r="T88" s="213"/>
      <c r="U88" s="13"/>
    </row>
    <row r="89" customFormat="1" spans="1:21">
      <c r="A89" s="142" t="s">
        <v>1382</v>
      </c>
      <c r="B89" s="165">
        <v>5.44</v>
      </c>
      <c r="C89" s="165">
        <v>50.26</v>
      </c>
      <c r="D89" s="165">
        <v>31.97</v>
      </c>
      <c r="E89" s="165">
        <v>11.76</v>
      </c>
      <c r="F89" s="165">
        <v>38.62</v>
      </c>
      <c r="G89" s="165">
        <v>59.67</v>
      </c>
      <c r="H89" s="165">
        <v>22.3</v>
      </c>
      <c r="I89" s="165">
        <v>6.16</v>
      </c>
      <c r="J89" s="165">
        <v>0.2</v>
      </c>
      <c r="K89" s="165">
        <v>160.22</v>
      </c>
      <c r="L89" s="165">
        <v>33.61</v>
      </c>
      <c r="M89" s="165">
        <v>31.84</v>
      </c>
      <c r="N89" s="165">
        <v>0</v>
      </c>
      <c r="O89" s="165">
        <v>0</v>
      </c>
      <c r="P89" s="165">
        <v>0.79</v>
      </c>
      <c r="Q89" s="165">
        <v>4.99</v>
      </c>
      <c r="R89" s="13"/>
      <c r="S89" s="13"/>
      <c r="T89" s="213"/>
      <c r="U89" s="13"/>
    </row>
    <row r="90" customFormat="1" spans="1:21">
      <c r="A90" s="142" t="s">
        <v>1383</v>
      </c>
      <c r="B90" s="165">
        <v>5.83</v>
      </c>
      <c r="C90" s="165">
        <v>50.64</v>
      </c>
      <c r="D90" s="165">
        <v>32.48</v>
      </c>
      <c r="E90" s="165">
        <v>11.1</v>
      </c>
      <c r="F90" s="165">
        <v>28.31</v>
      </c>
      <c r="G90" s="165">
        <v>59.67</v>
      </c>
      <c r="H90" s="165">
        <v>22.3</v>
      </c>
      <c r="I90" s="165">
        <v>6.31</v>
      </c>
      <c r="J90" s="165">
        <v>0.23</v>
      </c>
      <c r="K90" s="165">
        <v>148.37</v>
      </c>
      <c r="L90" s="165">
        <v>33.22</v>
      </c>
      <c r="M90" s="165">
        <v>33.46</v>
      </c>
      <c r="N90" s="165">
        <v>0</v>
      </c>
      <c r="O90" s="165">
        <v>0</v>
      </c>
      <c r="P90" s="165">
        <v>0.79</v>
      </c>
      <c r="Q90" s="165">
        <v>4.91</v>
      </c>
      <c r="R90" s="13"/>
      <c r="S90" s="13"/>
      <c r="T90" s="213"/>
      <c r="U90" s="13"/>
    </row>
    <row r="91" customFormat="1" spans="1:21">
      <c r="A91" s="142" t="s">
        <v>1384</v>
      </c>
      <c r="B91" s="165">
        <v>6.74</v>
      </c>
      <c r="C91" s="165">
        <v>52.69</v>
      </c>
      <c r="D91" s="165">
        <v>34.28</v>
      </c>
      <c r="E91" s="165">
        <v>10.56</v>
      </c>
      <c r="F91" s="165">
        <v>25.79</v>
      </c>
      <c r="G91" s="165">
        <v>60.87</v>
      </c>
      <c r="H91" s="165">
        <v>23.24</v>
      </c>
      <c r="I91" s="165">
        <v>6.5</v>
      </c>
      <c r="J91" s="165">
        <v>0.27</v>
      </c>
      <c r="K91" s="165">
        <v>152.55</v>
      </c>
      <c r="L91" s="165">
        <v>32.79</v>
      </c>
      <c r="M91" s="165">
        <v>34.9</v>
      </c>
      <c r="N91" s="165">
        <v>0</v>
      </c>
      <c r="O91" s="165">
        <v>0</v>
      </c>
      <c r="P91" s="165">
        <v>0.8</v>
      </c>
      <c r="Q91" s="165">
        <v>4.96</v>
      </c>
      <c r="R91" s="13"/>
      <c r="S91" s="13"/>
      <c r="T91" s="213"/>
      <c r="U91" s="13"/>
    </row>
    <row r="92" customFormat="1" spans="1:21">
      <c r="A92" s="142" t="s">
        <v>1385</v>
      </c>
      <c r="B92" s="165">
        <v>6.76</v>
      </c>
      <c r="C92" s="165">
        <v>52.45</v>
      </c>
      <c r="D92" s="165">
        <v>34.17</v>
      </c>
      <c r="E92" s="165">
        <v>10.67</v>
      </c>
      <c r="F92" s="165">
        <v>23.96</v>
      </c>
      <c r="G92" s="165">
        <v>63.67</v>
      </c>
      <c r="H92" s="165">
        <v>24.73</v>
      </c>
      <c r="I92" s="165">
        <v>6.61</v>
      </c>
      <c r="J92" s="165">
        <v>0.22</v>
      </c>
      <c r="K92" s="165">
        <v>148.91</v>
      </c>
      <c r="L92" s="165">
        <v>32.61</v>
      </c>
      <c r="M92" s="165">
        <v>36.24</v>
      </c>
      <c r="N92" s="165">
        <v>0</v>
      </c>
      <c r="O92" s="165">
        <v>0</v>
      </c>
      <c r="P92" s="165">
        <v>0.81</v>
      </c>
      <c r="Q92" s="165">
        <v>4.99</v>
      </c>
      <c r="R92" s="13"/>
      <c r="S92" s="13"/>
      <c r="T92" s="213"/>
      <c r="U92" s="13"/>
    </row>
    <row r="93" customFormat="1" spans="1:21">
      <c r="A93" s="142" t="s">
        <v>1386</v>
      </c>
      <c r="B93" s="165">
        <v>6.52</v>
      </c>
      <c r="C93" s="165">
        <v>48.52</v>
      </c>
      <c r="D93" s="165">
        <v>31.93</v>
      </c>
      <c r="E93" s="165">
        <v>9.88</v>
      </c>
      <c r="F93" s="165">
        <v>24.21</v>
      </c>
      <c r="G93" s="165">
        <v>63.67</v>
      </c>
      <c r="H93" s="165">
        <v>24.73</v>
      </c>
      <c r="I93" s="165">
        <v>6.65</v>
      </c>
      <c r="J93" s="165">
        <v>0.19</v>
      </c>
      <c r="K93" s="165">
        <v>149.58</v>
      </c>
      <c r="L93" s="165">
        <v>32.06</v>
      </c>
      <c r="M93" s="165">
        <v>37.66</v>
      </c>
      <c r="N93" s="165">
        <v>0</v>
      </c>
      <c r="O93" s="165">
        <v>0</v>
      </c>
      <c r="P93" s="165">
        <v>0.82</v>
      </c>
      <c r="Q93" s="165">
        <v>4.99</v>
      </c>
      <c r="R93" s="13"/>
      <c r="S93" s="13"/>
      <c r="T93" s="213"/>
      <c r="U93" s="13"/>
    </row>
    <row r="94" customFormat="1" spans="1:21">
      <c r="A94" s="142" t="s">
        <v>1387</v>
      </c>
      <c r="B94" s="165">
        <v>6.56</v>
      </c>
      <c r="C94" s="165">
        <v>47.14</v>
      </c>
      <c r="D94" s="165">
        <v>31.24</v>
      </c>
      <c r="E94" s="165">
        <v>10.84</v>
      </c>
      <c r="F94" s="165">
        <v>24.81</v>
      </c>
      <c r="G94" s="165">
        <v>63.67</v>
      </c>
      <c r="H94" s="165">
        <v>24.73</v>
      </c>
      <c r="I94" s="165">
        <v>6.74</v>
      </c>
      <c r="J94" s="165">
        <v>0.17</v>
      </c>
      <c r="K94" s="165">
        <v>155.79</v>
      </c>
      <c r="L94" s="165">
        <v>31.77</v>
      </c>
      <c r="M94" s="165">
        <v>37.29</v>
      </c>
      <c r="N94" s="165">
        <v>0</v>
      </c>
      <c r="O94" s="165">
        <v>0</v>
      </c>
      <c r="P94" s="165">
        <v>0.82</v>
      </c>
      <c r="Q94" s="165">
        <v>5.02</v>
      </c>
      <c r="R94" s="13"/>
      <c r="S94" s="13"/>
      <c r="T94" s="213"/>
      <c r="U94" s="13"/>
    </row>
    <row r="95" customFormat="1" spans="1:21">
      <c r="A95" s="142" t="s">
        <v>1388</v>
      </c>
      <c r="B95" s="165">
        <v>13.51</v>
      </c>
      <c r="C95" s="165">
        <v>53.11</v>
      </c>
      <c r="D95" s="165">
        <v>39.93</v>
      </c>
      <c r="E95" s="165">
        <v>11.25</v>
      </c>
      <c r="F95" s="165">
        <v>20.79</v>
      </c>
      <c r="G95" s="165">
        <v>63.93</v>
      </c>
      <c r="H95" s="165">
        <v>25.17</v>
      </c>
      <c r="I95" s="165">
        <v>6.77</v>
      </c>
      <c r="J95" s="165">
        <v>0.14</v>
      </c>
      <c r="K95" s="165">
        <v>154.75</v>
      </c>
      <c r="L95" s="165">
        <v>31.63</v>
      </c>
      <c r="M95" s="165">
        <v>36.36</v>
      </c>
      <c r="N95" s="165">
        <v>0</v>
      </c>
      <c r="O95" s="165">
        <v>0</v>
      </c>
      <c r="P95" s="165">
        <v>0.87</v>
      </c>
      <c r="Q95" s="165">
        <v>5</v>
      </c>
      <c r="R95" s="13"/>
      <c r="S95" s="13"/>
      <c r="T95" s="213"/>
      <c r="U95" s="13"/>
    </row>
    <row r="96" customFormat="1" spans="1:26">
      <c r="A96" s="142" t="s">
        <v>1389</v>
      </c>
      <c r="B96" s="165">
        <v>43.57</v>
      </c>
      <c r="C96" s="165">
        <v>71.19</v>
      </c>
      <c r="D96" s="165">
        <v>73.89</v>
      </c>
      <c r="E96" s="165">
        <v>11.31</v>
      </c>
      <c r="F96" s="165">
        <v>4.63</v>
      </c>
      <c r="G96" s="165">
        <v>64.59</v>
      </c>
      <c r="H96" s="165">
        <v>25.88</v>
      </c>
      <c r="I96" s="165">
        <v>6.67</v>
      </c>
      <c r="J96" s="165">
        <v>0.12</v>
      </c>
      <c r="K96" s="165">
        <v>149.68</v>
      </c>
      <c r="L96" s="165">
        <v>31.51</v>
      </c>
      <c r="M96" s="165">
        <v>37.62</v>
      </c>
      <c r="N96" s="165">
        <v>0</v>
      </c>
      <c r="O96" s="165">
        <v>0</v>
      </c>
      <c r="P96" s="165">
        <v>1.05</v>
      </c>
      <c r="Q96" s="165">
        <v>5.14</v>
      </c>
      <c r="R96" s="13"/>
      <c r="S96" s="13"/>
      <c r="T96" s="213"/>
      <c r="U96" s="13"/>
      <c r="Z96" s="222"/>
    </row>
    <row r="97" customFormat="1" spans="1:21">
      <c r="A97" s="142" t="s">
        <v>1390</v>
      </c>
      <c r="B97" s="165">
        <v>38.02</v>
      </c>
      <c r="C97" s="165">
        <v>69.28</v>
      </c>
      <c r="D97" s="165">
        <v>68.14</v>
      </c>
      <c r="E97" s="165">
        <v>10.05</v>
      </c>
      <c r="F97" s="165">
        <v>3.75</v>
      </c>
      <c r="G97" s="165">
        <v>64.59</v>
      </c>
      <c r="H97" s="165">
        <v>25.88</v>
      </c>
      <c r="I97" s="165">
        <v>6.95</v>
      </c>
      <c r="J97" s="165">
        <v>0.2</v>
      </c>
      <c r="K97" s="165">
        <v>119.9</v>
      </c>
      <c r="L97" s="165">
        <v>31.37</v>
      </c>
      <c r="M97" s="165">
        <v>39.02</v>
      </c>
      <c r="N97" s="165">
        <v>0</v>
      </c>
      <c r="O97" s="165">
        <v>0</v>
      </c>
      <c r="P97" s="165">
        <v>1.07</v>
      </c>
      <c r="Q97" s="165">
        <v>5.9</v>
      </c>
      <c r="R97" s="13"/>
      <c r="S97" s="13"/>
      <c r="T97" s="213"/>
      <c r="U97" s="13"/>
    </row>
    <row r="98" customFormat="1" spans="1:21">
      <c r="A98" s="142" t="s">
        <v>1391</v>
      </c>
      <c r="B98" s="165">
        <v>37.02</v>
      </c>
      <c r="C98" s="165">
        <v>70.3</v>
      </c>
      <c r="D98" s="165">
        <v>67.77</v>
      </c>
      <c r="E98" s="165">
        <v>10.84</v>
      </c>
      <c r="F98" s="165">
        <v>3.75</v>
      </c>
      <c r="G98" s="165">
        <v>64.59</v>
      </c>
      <c r="H98" s="165">
        <v>25.88</v>
      </c>
      <c r="I98" s="165">
        <v>7.61</v>
      </c>
      <c r="J98" s="165">
        <v>0.18</v>
      </c>
      <c r="K98" s="165">
        <v>151.66</v>
      </c>
      <c r="L98" s="165">
        <v>31.05</v>
      </c>
      <c r="M98" s="165">
        <v>40.96</v>
      </c>
      <c r="N98" s="165">
        <v>0</v>
      </c>
      <c r="O98" s="165">
        <v>0</v>
      </c>
      <c r="P98" s="165">
        <v>1.15</v>
      </c>
      <c r="Q98" s="165">
        <v>6.33</v>
      </c>
      <c r="R98" s="13"/>
      <c r="S98" s="13"/>
      <c r="T98" s="213"/>
      <c r="U98" s="13"/>
    </row>
    <row r="99" customFormat="1" spans="1:21">
      <c r="A99" s="142" t="s">
        <v>1392</v>
      </c>
      <c r="B99" s="165">
        <v>41.85</v>
      </c>
      <c r="C99" s="165">
        <v>68.29</v>
      </c>
      <c r="D99" s="165">
        <v>70.59</v>
      </c>
      <c r="E99" s="165">
        <v>10.68</v>
      </c>
      <c r="F99" s="165">
        <v>3.57</v>
      </c>
      <c r="G99" s="165">
        <v>72.19</v>
      </c>
      <c r="H99" s="165">
        <v>28.71</v>
      </c>
      <c r="I99" s="165">
        <v>8.07</v>
      </c>
      <c r="J99" s="165">
        <v>0.18</v>
      </c>
      <c r="K99" s="165">
        <v>150.45</v>
      </c>
      <c r="L99" s="165">
        <v>30.8</v>
      </c>
      <c r="M99" s="165">
        <v>41.98</v>
      </c>
      <c r="N99" s="165">
        <v>0</v>
      </c>
      <c r="O99" s="165">
        <v>0</v>
      </c>
      <c r="P99" s="165">
        <v>1.18</v>
      </c>
      <c r="Q99" s="165">
        <v>6.46</v>
      </c>
      <c r="R99" s="13"/>
      <c r="S99" s="13"/>
      <c r="T99" s="213"/>
      <c r="U99" s="13"/>
    </row>
    <row r="100" customFormat="1" spans="1:33">
      <c r="A100" s="142" t="s">
        <v>1393</v>
      </c>
      <c r="B100" s="165">
        <v>27.78</v>
      </c>
      <c r="C100" s="165">
        <v>70.83</v>
      </c>
      <c r="D100" s="165">
        <v>60.63</v>
      </c>
      <c r="E100" s="165">
        <v>9.46</v>
      </c>
      <c r="F100" s="165">
        <v>3.92</v>
      </c>
      <c r="G100" s="165">
        <v>89.92</v>
      </c>
      <c r="H100" s="165">
        <v>33.17</v>
      </c>
      <c r="I100" s="165">
        <v>8.37</v>
      </c>
      <c r="J100" s="165">
        <v>0.27</v>
      </c>
      <c r="K100" s="165">
        <v>173.7</v>
      </c>
      <c r="L100" s="165">
        <v>30</v>
      </c>
      <c r="M100" s="165">
        <v>44.5</v>
      </c>
      <c r="N100" s="165">
        <v>0</v>
      </c>
      <c r="O100" s="165">
        <v>0</v>
      </c>
      <c r="P100" s="165">
        <v>1.03</v>
      </c>
      <c r="Q100" s="165">
        <v>6.6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1394</v>
      </c>
      <c r="B101" s="165">
        <v>23.21</v>
      </c>
      <c r="C101" s="165">
        <v>66.5</v>
      </c>
      <c r="D101" s="165">
        <v>54.71</v>
      </c>
      <c r="E101" s="165">
        <v>8.01</v>
      </c>
      <c r="F101" s="165">
        <v>3.89</v>
      </c>
      <c r="G101" s="165">
        <v>89.92</v>
      </c>
      <c r="H101" s="165">
        <v>33.17</v>
      </c>
      <c r="I101" s="165">
        <v>8.69</v>
      </c>
      <c r="J101" s="165">
        <v>0.19</v>
      </c>
      <c r="K101" s="165">
        <v>185.81</v>
      </c>
      <c r="L101" s="165">
        <v>29.15</v>
      </c>
      <c r="M101" s="165">
        <v>46.68</v>
      </c>
      <c r="N101" s="165">
        <v>0</v>
      </c>
      <c r="O101" s="165">
        <v>0</v>
      </c>
      <c r="P101" s="165">
        <v>1.04</v>
      </c>
      <c r="Q101" s="165">
        <v>6.6</v>
      </c>
      <c r="R101" s="13"/>
      <c r="S101" s="13"/>
      <c r="T101" s="213"/>
      <c r="U101" s="13"/>
    </row>
    <row r="102" customFormat="1" spans="1:21">
      <c r="A102" s="142" t="s">
        <v>1395</v>
      </c>
      <c r="B102" s="165">
        <v>23.24</v>
      </c>
      <c r="C102" s="165">
        <v>66.69</v>
      </c>
      <c r="D102" s="165">
        <v>54.83</v>
      </c>
      <c r="E102" s="165">
        <v>8.24</v>
      </c>
      <c r="F102" s="165">
        <v>3.83</v>
      </c>
      <c r="G102" s="165">
        <v>89.92</v>
      </c>
      <c r="H102" s="165">
        <v>33.17</v>
      </c>
      <c r="I102" s="165">
        <v>8.39</v>
      </c>
      <c r="J102" s="165">
        <v>0.18</v>
      </c>
      <c r="K102" s="165">
        <v>202.14</v>
      </c>
      <c r="L102" s="165">
        <v>29.1</v>
      </c>
      <c r="M102" s="165">
        <v>47.14</v>
      </c>
      <c r="N102" s="165">
        <v>0</v>
      </c>
      <c r="O102" s="165">
        <v>0</v>
      </c>
      <c r="P102" s="165">
        <v>1.08</v>
      </c>
      <c r="Q102" s="165">
        <v>6.48</v>
      </c>
      <c r="R102" s="13"/>
      <c r="S102" s="13"/>
      <c r="T102" s="213"/>
      <c r="U102" s="13"/>
    </row>
    <row r="103" customFormat="1" spans="1:21">
      <c r="A103" s="142" t="s">
        <v>1396</v>
      </c>
      <c r="B103" s="165">
        <v>20.72</v>
      </c>
      <c r="C103" s="165">
        <v>62.4</v>
      </c>
      <c r="D103" s="165">
        <v>50.57</v>
      </c>
      <c r="E103" s="165">
        <v>8.46</v>
      </c>
      <c r="F103" s="165">
        <v>4.59</v>
      </c>
      <c r="G103" s="165">
        <v>90.14</v>
      </c>
      <c r="H103" s="165">
        <v>32.19</v>
      </c>
      <c r="I103" s="165">
        <v>8.21</v>
      </c>
      <c r="J103" s="165">
        <v>0.14</v>
      </c>
      <c r="K103" s="165">
        <v>190.78</v>
      </c>
      <c r="L103" s="165">
        <v>29.21</v>
      </c>
      <c r="M103" s="165">
        <v>45.61</v>
      </c>
      <c r="N103" s="165">
        <v>0</v>
      </c>
      <c r="O103" s="165">
        <v>0</v>
      </c>
      <c r="P103" s="165">
        <v>1.16</v>
      </c>
      <c r="Q103" s="165">
        <v>6.46</v>
      </c>
      <c r="R103" s="13"/>
      <c r="S103" s="13"/>
      <c r="T103" s="213"/>
      <c r="U103" s="13"/>
    </row>
    <row r="104" customFormat="1" spans="1:21">
      <c r="A104" s="142" t="s">
        <v>1397</v>
      </c>
      <c r="B104" s="165">
        <v>24.38</v>
      </c>
      <c r="C104" s="165">
        <v>68.2</v>
      </c>
      <c r="D104" s="165">
        <v>56.53</v>
      </c>
      <c r="E104" s="165">
        <v>7.61</v>
      </c>
      <c r="F104" s="165">
        <v>4.94</v>
      </c>
      <c r="G104" s="165">
        <v>90.68</v>
      </c>
      <c r="H104" s="165">
        <v>30.64</v>
      </c>
      <c r="I104" s="165">
        <v>8.44</v>
      </c>
      <c r="J104" s="165">
        <v>0.22</v>
      </c>
      <c r="K104" s="165">
        <v>166.12</v>
      </c>
      <c r="L104" s="165">
        <v>29.28</v>
      </c>
      <c r="M104" s="165">
        <v>47.68</v>
      </c>
      <c r="N104" s="165">
        <v>0</v>
      </c>
      <c r="O104" s="165">
        <v>0</v>
      </c>
      <c r="P104" s="165">
        <v>1.08</v>
      </c>
      <c r="Q104" s="165">
        <v>6.45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4.34</v>
      </c>
      <c r="C106" s="215">
        <f>MIN(C9:C104)</f>
        <v>46.35</v>
      </c>
      <c r="D106" s="215">
        <f t="shared" ref="D106:Q106" si="0">MIN(D9:D104)</f>
        <v>29.04</v>
      </c>
      <c r="E106" s="215">
        <f t="shared" si="0"/>
        <v>5.89</v>
      </c>
      <c r="F106" s="215">
        <f t="shared" si="0"/>
        <v>3.57</v>
      </c>
      <c r="G106" s="215">
        <f t="shared" si="0"/>
        <v>39.82</v>
      </c>
      <c r="H106" s="215">
        <f t="shared" si="0"/>
        <v>19.28</v>
      </c>
      <c r="I106" s="215">
        <f t="shared" si="0"/>
        <v>4.16</v>
      </c>
      <c r="J106" s="215">
        <f t="shared" si="0"/>
        <v>0.08</v>
      </c>
      <c r="K106" s="215">
        <f t="shared" si="0"/>
        <v>5.45</v>
      </c>
      <c r="L106" s="215">
        <f t="shared" si="0"/>
        <v>25.87</v>
      </c>
      <c r="M106" s="215">
        <f t="shared" si="0"/>
        <v>12.1</v>
      </c>
      <c r="N106" s="215">
        <f t="shared" si="0"/>
        <v>0</v>
      </c>
      <c r="O106" s="215">
        <f t="shared" si="0"/>
        <v>0</v>
      </c>
      <c r="P106" s="215">
        <f t="shared" si="0"/>
        <v>0.54</v>
      </c>
      <c r="Q106" s="215">
        <f t="shared" si="0"/>
        <v>4.91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43.57</v>
      </c>
      <c r="C107" s="216">
        <f t="shared" ref="C107:Q107" si="1">MAX(C9:C104)</f>
        <v>71.19</v>
      </c>
      <c r="D107" s="216">
        <f t="shared" si="1"/>
        <v>73.89</v>
      </c>
      <c r="E107" s="216">
        <f t="shared" si="1"/>
        <v>24.86</v>
      </c>
      <c r="F107" s="216">
        <f t="shared" si="1"/>
        <v>62.14</v>
      </c>
      <c r="G107" s="216">
        <f t="shared" si="1"/>
        <v>93.87</v>
      </c>
      <c r="H107" s="216">
        <f t="shared" si="1"/>
        <v>33.27</v>
      </c>
      <c r="I107" s="216">
        <f t="shared" si="1"/>
        <v>8.69</v>
      </c>
      <c r="J107" s="216">
        <f t="shared" si="1"/>
        <v>1.12</v>
      </c>
      <c r="K107" s="216">
        <f t="shared" si="1"/>
        <v>357.76</v>
      </c>
      <c r="L107" s="216">
        <f t="shared" si="1"/>
        <v>41.63</v>
      </c>
      <c r="M107" s="216">
        <f t="shared" si="1"/>
        <v>56.1</v>
      </c>
      <c r="N107" s="216">
        <f t="shared" si="1"/>
        <v>743.7</v>
      </c>
      <c r="O107" s="216">
        <f t="shared" si="1"/>
        <v>0</v>
      </c>
      <c r="P107" s="216">
        <f t="shared" si="1"/>
        <v>1.18</v>
      </c>
      <c r="Q107" s="216">
        <f t="shared" si="1"/>
        <v>6.6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10.015625</v>
      </c>
      <c r="C108" s="215">
        <f t="shared" ref="C108:Q108" si="2">AVERAGE(C9:C104)</f>
        <v>60.0455208333333</v>
      </c>
      <c r="D108" s="215">
        <f t="shared" si="2"/>
        <v>40.7592708333333</v>
      </c>
      <c r="E108" s="215">
        <f t="shared" si="2"/>
        <v>10.8265625</v>
      </c>
      <c r="F108" s="215">
        <f t="shared" si="2"/>
        <v>23.271875</v>
      </c>
      <c r="G108" s="215">
        <f t="shared" si="2"/>
        <v>56.6375</v>
      </c>
      <c r="H108" s="215">
        <f t="shared" si="2"/>
        <v>25.413125</v>
      </c>
      <c r="I108" s="215">
        <f t="shared" si="2"/>
        <v>5.7509375</v>
      </c>
      <c r="J108" s="215">
        <f t="shared" si="2"/>
        <v>0.378125</v>
      </c>
      <c r="K108" s="215">
        <f t="shared" si="2"/>
        <v>185.678333333333</v>
      </c>
      <c r="L108" s="215">
        <f t="shared" si="2"/>
        <v>33.2278125</v>
      </c>
      <c r="M108" s="215">
        <f t="shared" si="2"/>
        <v>34.4823958333333</v>
      </c>
      <c r="N108" s="215">
        <f t="shared" si="2"/>
        <v>169.873958333333</v>
      </c>
      <c r="O108" s="215">
        <f t="shared" si="2"/>
        <v>0</v>
      </c>
      <c r="P108" s="215">
        <f t="shared" si="2"/>
        <v>0.762291666666667</v>
      </c>
      <c r="Q108" s="215">
        <f t="shared" si="2"/>
        <v>5.38083333333333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7.78895342101472</v>
      </c>
      <c r="C109" s="215">
        <f t="shared" ref="C109:Q109" si="3">STDEV(C9:C104)</f>
        <v>7.45826011455778</v>
      </c>
      <c r="D109" s="215">
        <f t="shared" si="3"/>
        <v>9.09534539661754</v>
      </c>
      <c r="E109" s="215">
        <f t="shared" si="3"/>
        <v>4.36792129968743</v>
      </c>
      <c r="F109" s="215">
        <f t="shared" si="3"/>
        <v>17.534389927556</v>
      </c>
      <c r="G109" s="215">
        <f t="shared" si="3"/>
        <v>13.6877993310216</v>
      </c>
      <c r="H109" s="215">
        <f t="shared" si="3"/>
        <v>3.97384721781378</v>
      </c>
      <c r="I109" s="215">
        <f t="shared" si="3"/>
        <v>0.930128545869927</v>
      </c>
      <c r="J109" s="215">
        <f t="shared" si="3"/>
        <v>0.277216664267083</v>
      </c>
      <c r="K109" s="215">
        <f t="shared" si="3"/>
        <v>70.9505734061865</v>
      </c>
      <c r="L109" s="215">
        <f t="shared" si="3"/>
        <v>5.18010205205813</v>
      </c>
      <c r="M109" s="215">
        <f t="shared" si="3"/>
        <v>14.0200341425211</v>
      </c>
      <c r="N109" s="215">
        <f t="shared" si="3"/>
        <v>249.957246973744</v>
      </c>
      <c r="O109" s="215">
        <f t="shared" si="3"/>
        <v>0</v>
      </c>
      <c r="P109" s="215">
        <f t="shared" si="3"/>
        <v>0.129894525363074</v>
      </c>
      <c r="Q109" s="215">
        <f t="shared" si="3"/>
        <v>0.395321765458992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15/04/2023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1398</v>
      </c>
      <c r="B9" s="165">
        <v>25.96</v>
      </c>
      <c r="C9" s="165">
        <v>67.97</v>
      </c>
      <c r="D9" s="165">
        <v>57.68</v>
      </c>
      <c r="E9" s="165">
        <v>7.53</v>
      </c>
      <c r="F9" s="165">
        <v>4.93</v>
      </c>
      <c r="G9" s="165">
        <v>90.68</v>
      </c>
      <c r="H9" s="165">
        <v>30.64</v>
      </c>
      <c r="I9" s="165">
        <v>8.85</v>
      </c>
      <c r="J9" s="165">
        <v>0.26</v>
      </c>
      <c r="K9" s="165">
        <v>193.74</v>
      </c>
      <c r="L9" s="165">
        <v>28.67</v>
      </c>
      <c r="M9" s="165">
        <v>48.28</v>
      </c>
      <c r="N9" s="165">
        <v>0</v>
      </c>
      <c r="O9" s="165">
        <v>0</v>
      </c>
      <c r="P9" s="165">
        <v>1.09</v>
      </c>
      <c r="Q9" s="165">
        <v>6.42</v>
      </c>
      <c r="R9" s="13"/>
      <c r="S9" s="13"/>
      <c r="T9" s="213"/>
      <c r="U9" s="13"/>
    </row>
    <row r="10" customFormat="1" spans="1:21">
      <c r="A10" s="142" t="s">
        <v>1399</v>
      </c>
      <c r="B10" s="165">
        <v>24.47</v>
      </c>
      <c r="C10" s="165">
        <v>64.6</v>
      </c>
      <c r="D10" s="165">
        <v>54.73</v>
      </c>
      <c r="E10" s="165">
        <v>7.35</v>
      </c>
      <c r="F10" s="165">
        <v>7.24</v>
      </c>
      <c r="G10" s="165">
        <v>90.68</v>
      </c>
      <c r="H10" s="165">
        <v>30.64</v>
      </c>
      <c r="I10" s="165">
        <v>8.86</v>
      </c>
      <c r="J10" s="165">
        <v>0.33</v>
      </c>
      <c r="K10" s="165">
        <v>237.2</v>
      </c>
      <c r="L10" s="165">
        <v>28.93</v>
      </c>
      <c r="M10" s="165">
        <v>44.87</v>
      </c>
      <c r="N10" s="165">
        <v>0</v>
      </c>
      <c r="O10" s="165">
        <v>0</v>
      </c>
      <c r="P10" s="165">
        <v>1.07</v>
      </c>
      <c r="Q10" s="165">
        <v>6.45</v>
      </c>
      <c r="R10" s="13"/>
      <c r="S10" s="13"/>
      <c r="T10" s="213"/>
      <c r="U10" s="13"/>
    </row>
    <row r="11" customFormat="1" spans="1:21">
      <c r="A11" s="142" t="s">
        <v>1400</v>
      </c>
      <c r="B11" s="165">
        <v>24.31</v>
      </c>
      <c r="C11" s="165">
        <v>64.57</v>
      </c>
      <c r="D11" s="165">
        <v>54.58</v>
      </c>
      <c r="E11" s="165">
        <v>8.15</v>
      </c>
      <c r="F11" s="165">
        <v>9.71</v>
      </c>
      <c r="G11" s="165">
        <v>88.98</v>
      </c>
      <c r="H11" s="165">
        <v>30.53</v>
      </c>
      <c r="I11" s="165">
        <v>8.69</v>
      </c>
      <c r="J11" s="165">
        <v>0.27</v>
      </c>
      <c r="K11" s="165">
        <v>229.97</v>
      </c>
      <c r="L11" s="165">
        <v>29.13</v>
      </c>
      <c r="M11" s="165">
        <v>43.13</v>
      </c>
      <c r="N11" s="165">
        <v>0</v>
      </c>
      <c r="O11" s="165">
        <v>0</v>
      </c>
      <c r="P11" s="165">
        <v>1.06</v>
      </c>
      <c r="Q11" s="165">
        <v>6.46</v>
      </c>
      <c r="R11" s="13"/>
      <c r="S11" s="13"/>
      <c r="T11" s="213"/>
      <c r="U11" s="13"/>
    </row>
    <row r="12" customFormat="1" spans="1:21">
      <c r="A12" s="142" t="s">
        <v>1401</v>
      </c>
      <c r="B12" s="165">
        <v>24.42</v>
      </c>
      <c r="C12" s="165">
        <v>64.03</v>
      </c>
      <c r="D12" s="165">
        <v>54.39</v>
      </c>
      <c r="E12" s="165">
        <v>7.1</v>
      </c>
      <c r="F12" s="165">
        <v>9.38</v>
      </c>
      <c r="G12" s="165">
        <v>85.03</v>
      </c>
      <c r="H12" s="165">
        <v>30.13</v>
      </c>
      <c r="I12" s="165">
        <v>8.69</v>
      </c>
      <c r="J12" s="165">
        <v>0.33</v>
      </c>
      <c r="K12" s="165">
        <v>223.37</v>
      </c>
      <c r="L12" s="165">
        <v>29.45</v>
      </c>
      <c r="M12" s="165">
        <v>40.51</v>
      </c>
      <c r="N12" s="165">
        <v>0</v>
      </c>
      <c r="O12" s="165">
        <v>0</v>
      </c>
      <c r="P12" s="165">
        <v>1.06</v>
      </c>
      <c r="Q12" s="165">
        <v>6.52</v>
      </c>
      <c r="R12" s="13"/>
      <c r="S12" s="13"/>
      <c r="T12" s="213"/>
      <c r="U12" s="13"/>
    </row>
    <row r="13" customFormat="1" spans="1:21">
      <c r="A13" s="142" t="s">
        <v>1402</v>
      </c>
      <c r="B13" s="165">
        <v>24.33</v>
      </c>
      <c r="C13" s="165">
        <v>68.57</v>
      </c>
      <c r="D13" s="165">
        <v>56.69</v>
      </c>
      <c r="E13" s="165">
        <v>6.7</v>
      </c>
      <c r="F13" s="165">
        <v>7.42</v>
      </c>
      <c r="G13" s="165">
        <v>85.03</v>
      </c>
      <c r="H13" s="165">
        <v>30.13</v>
      </c>
      <c r="I13" s="165">
        <v>8.56</v>
      </c>
      <c r="J13" s="165">
        <v>0.6</v>
      </c>
      <c r="K13" s="165">
        <v>249.03</v>
      </c>
      <c r="L13" s="165">
        <v>29.66</v>
      </c>
      <c r="M13" s="165">
        <v>38.47</v>
      </c>
      <c r="N13" s="165">
        <v>0</v>
      </c>
      <c r="O13" s="165">
        <v>0</v>
      </c>
      <c r="P13" s="165">
        <v>1.07</v>
      </c>
      <c r="Q13" s="165">
        <v>6.49</v>
      </c>
      <c r="R13" s="13"/>
      <c r="S13" s="13"/>
      <c r="T13" s="213"/>
      <c r="U13" s="13"/>
    </row>
    <row r="14" customFormat="1" spans="1:21">
      <c r="A14" s="142" t="s">
        <v>1403</v>
      </c>
      <c r="B14" s="165">
        <v>22.38</v>
      </c>
      <c r="C14" s="165">
        <v>66.58</v>
      </c>
      <c r="D14" s="165">
        <v>54.09</v>
      </c>
      <c r="E14" s="165">
        <v>6.98</v>
      </c>
      <c r="F14" s="165">
        <v>8.5</v>
      </c>
      <c r="G14" s="165">
        <v>85.03</v>
      </c>
      <c r="H14" s="165">
        <v>30.13</v>
      </c>
      <c r="I14" s="165">
        <v>8.64</v>
      </c>
      <c r="J14" s="165">
        <v>0.44</v>
      </c>
      <c r="K14" s="165">
        <v>233.84</v>
      </c>
      <c r="L14" s="165">
        <v>30.13</v>
      </c>
      <c r="M14" s="165">
        <v>35.6</v>
      </c>
      <c r="N14" s="165">
        <v>0</v>
      </c>
      <c r="O14" s="165">
        <v>0</v>
      </c>
      <c r="P14" s="165">
        <v>1.06</v>
      </c>
      <c r="Q14" s="165">
        <v>6.45</v>
      </c>
      <c r="R14" s="13"/>
      <c r="S14" s="13"/>
      <c r="T14" s="213"/>
      <c r="U14" s="13"/>
    </row>
    <row r="15" customFormat="1" spans="1:21">
      <c r="A15" s="142" t="s">
        <v>1404</v>
      </c>
      <c r="B15" s="165">
        <v>21.25</v>
      </c>
      <c r="C15" s="165">
        <v>66.65</v>
      </c>
      <c r="D15" s="165">
        <v>53.22</v>
      </c>
      <c r="E15" s="165">
        <v>6.58</v>
      </c>
      <c r="F15" s="165">
        <v>8.92</v>
      </c>
      <c r="G15" s="165">
        <v>81.02</v>
      </c>
      <c r="H15" s="165">
        <v>29.09</v>
      </c>
      <c r="I15" s="165">
        <v>8.79</v>
      </c>
      <c r="J15" s="165">
        <v>0.65</v>
      </c>
      <c r="K15" s="165">
        <v>243.2</v>
      </c>
      <c r="L15" s="165">
        <v>30.58</v>
      </c>
      <c r="M15" s="165">
        <v>32.28</v>
      </c>
      <c r="N15" s="165">
        <v>0</v>
      </c>
      <c r="O15" s="165">
        <v>0</v>
      </c>
      <c r="P15" s="165">
        <v>1.04</v>
      </c>
      <c r="Q15" s="165">
        <v>6.41</v>
      </c>
      <c r="R15" s="13"/>
      <c r="S15" s="13"/>
      <c r="T15" s="213"/>
      <c r="U15" s="13"/>
    </row>
    <row r="16" customFormat="1" spans="1:21">
      <c r="A16" s="142" t="s">
        <v>1405</v>
      </c>
      <c r="B16" s="165">
        <v>20.88</v>
      </c>
      <c r="C16" s="165">
        <v>68.69</v>
      </c>
      <c r="D16" s="165">
        <v>53.98</v>
      </c>
      <c r="E16" s="165">
        <v>6.63</v>
      </c>
      <c r="F16" s="165">
        <v>7.63</v>
      </c>
      <c r="G16" s="165">
        <v>71.16</v>
      </c>
      <c r="H16" s="165">
        <v>27.4</v>
      </c>
      <c r="I16" s="165">
        <v>8.8</v>
      </c>
      <c r="J16" s="165">
        <v>0.63</v>
      </c>
      <c r="K16" s="165">
        <v>258.41</v>
      </c>
      <c r="L16" s="165">
        <v>31.03</v>
      </c>
      <c r="M16" s="165">
        <v>29.5</v>
      </c>
      <c r="N16" s="165">
        <v>0</v>
      </c>
      <c r="O16" s="165">
        <v>0</v>
      </c>
      <c r="P16" s="165">
        <v>1.02</v>
      </c>
      <c r="Q16" s="165">
        <v>6.33</v>
      </c>
      <c r="R16" s="13"/>
      <c r="S16" s="13"/>
      <c r="T16" s="213"/>
      <c r="U16" s="13"/>
    </row>
    <row r="17" customFormat="1" spans="1:21">
      <c r="A17" s="142" t="s">
        <v>1406</v>
      </c>
      <c r="B17" s="165">
        <v>20.84</v>
      </c>
      <c r="C17" s="165">
        <v>69.11</v>
      </c>
      <c r="D17" s="165">
        <v>54.17</v>
      </c>
      <c r="E17" s="165">
        <v>7.42</v>
      </c>
      <c r="F17" s="165">
        <v>8.56</v>
      </c>
      <c r="G17" s="165">
        <v>71.16</v>
      </c>
      <c r="H17" s="165">
        <v>27.4</v>
      </c>
      <c r="I17" s="165">
        <v>8.7</v>
      </c>
      <c r="J17" s="165">
        <v>1.02</v>
      </c>
      <c r="K17" s="165">
        <v>264.93</v>
      </c>
      <c r="L17" s="165">
        <v>31.73</v>
      </c>
      <c r="M17" s="165">
        <v>26.15</v>
      </c>
      <c r="N17" s="165">
        <v>0</v>
      </c>
      <c r="O17" s="165">
        <v>0</v>
      </c>
      <c r="P17" s="165">
        <v>1</v>
      </c>
      <c r="Q17" s="165">
        <v>6.25</v>
      </c>
      <c r="R17" s="13"/>
      <c r="S17" s="13"/>
      <c r="T17" s="213"/>
      <c r="U17" s="13"/>
    </row>
    <row r="18" customFormat="1" spans="1:21">
      <c r="A18" s="142" t="s">
        <v>1407</v>
      </c>
      <c r="B18" s="165">
        <v>18.46</v>
      </c>
      <c r="C18" s="165">
        <v>68.03</v>
      </c>
      <c r="D18" s="165">
        <v>51.7</v>
      </c>
      <c r="E18" s="165">
        <v>9.4</v>
      </c>
      <c r="F18" s="165">
        <v>7.95</v>
      </c>
      <c r="G18" s="165">
        <v>71.16</v>
      </c>
      <c r="H18" s="165">
        <v>27.4</v>
      </c>
      <c r="I18" s="165">
        <v>8.56</v>
      </c>
      <c r="J18" s="165">
        <v>1.06</v>
      </c>
      <c r="K18" s="165">
        <v>278.38</v>
      </c>
      <c r="L18" s="165">
        <v>31.9</v>
      </c>
      <c r="M18" s="165">
        <v>25.66</v>
      </c>
      <c r="N18" s="165">
        <v>0</v>
      </c>
      <c r="O18" s="165">
        <v>0</v>
      </c>
      <c r="P18" s="165">
        <v>1.02</v>
      </c>
      <c r="Q18" s="165">
        <v>6.21</v>
      </c>
      <c r="R18" s="13"/>
      <c r="S18" s="13"/>
      <c r="T18" s="213"/>
      <c r="U18" s="13"/>
    </row>
    <row r="19" customFormat="1" spans="1:21">
      <c r="A19" s="142" t="s">
        <v>1408</v>
      </c>
      <c r="B19" s="165">
        <v>18.68</v>
      </c>
      <c r="C19" s="165">
        <v>69.8</v>
      </c>
      <c r="D19" s="165">
        <v>52.8</v>
      </c>
      <c r="E19" s="165">
        <v>10.59</v>
      </c>
      <c r="F19" s="165">
        <v>7.85</v>
      </c>
      <c r="G19" s="165">
        <v>69.36</v>
      </c>
      <c r="H19" s="165">
        <v>25.8</v>
      </c>
      <c r="I19" s="165">
        <v>8.37</v>
      </c>
      <c r="J19" s="165">
        <v>1.43</v>
      </c>
      <c r="K19" s="165">
        <v>290.15</v>
      </c>
      <c r="L19" s="165">
        <v>32.19</v>
      </c>
      <c r="M19" s="165">
        <v>24.35</v>
      </c>
      <c r="N19" s="165">
        <v>0</v>
      </c>
      <c r="O19" s="165">
        <v>0</v>
      </c>
      <c r="P19" s="165">
        <v>1.08</v>
      </c>
      <c r="Q19" s="165">
        <v>6.17</v>
      </c>
      <c r="R19" s="13"/>
      <c r="S19" s="13"/>
      <c r="T19" s="213"/>
      <c r="U19" s="13"/>
    </row>
    <row r="20" customFormat="1" spans="1:21">
      <c r="A20" s="142" t="s">
        <v>1409</v>
      </c>
      <c r="B20" s="165">
        <v>18.17</v>
      </c>
      <c r="C20" s="165">
        <v>70.18</v>
      </c>
      <c r="D20" s="165">
        <v>52.59</v>
      </c>
      <c r="E20" s="165">
        <v>10.43</v>
      </c>
      <c r="F20" s="165">
        <v>7.87</v>
      </c>
      <c r="G20" s="165">
        <v>64.91</v>
      </c>
      <c r="H20" s="165">
        <v>23.18</v>
      </c>
      <c r="I20" s="165">
        <v>8.81</v>
      </c>
      <c r="J20" s="165">
        <v>1.06</v>
      </c>
      <c r="K20" s="165">
        <v>282.23</v>
      </c>
      <c r="L20" s="165">
        <v>32.13</v>
      </c>
      <c r="M20" s="165">
        <v>23.99</v>
      </c>
      <c r="N20" s="165">
        <v>0</v>
      </c>
      <c r="O20" s="165">
        <v>0</v>
      </c>
      <c r="P20" s="165">
        <v>1.07</v>
      </c>
      <c r="Q20" s="165">
        <v>6.14</v>
      </c>
      <c r="R20" s="13"/>
      <c r="S20" s="13"/>
      <c r="T20" s="213"/>
      <c r="U20" s="13"/>
    </row>
    <row r="21" customFormat="1" spans="1:21">
      <c r="A21" s="142" t="s">
        <v>1410</v>
      </c>
      <c r="B21" s="165">
        <v>18.15</v>
      </c>
      <c r="C21" s="165">
        <v>69.72</v>
      </c>
      <c r="D21" s="165">
        <v>52.33</v>
      </c>
      <c r="E21" s="165">
        <v>9.55</v>
      </c>
      <c r="F21" s="165">
        <v>7.54</v>
      </c>
      <c r="G21" s="165">
        <v>64.91</v>
      </c>
      <c r="H21" s="165">
        <v>23.18</v>
      </c>
      <c r="I21" s="165">
        <v>9.21</v>
      </c>
      <c r="J21" s="165">
        <v>1.03</v>
      </c>
      <c r="K21" s="165">
        <v>276.3</v>
      </c>
      <c r="L21" s="165">
        <v>32.06</v>
      </c>
      <c r="M21" s="165">
        <v>23.74</v>
      </c>
      <c r="N21" s="165">
        <v>0</v>
      </c>
      <c r="O21" s="165">
        <v>0</v>
      </c>
      <c r="P21" s="165">
        <v>1.05</v>
      </c>
      <c r="Q21" s="165">
        <v>6.1</v>
      </c>
      <c r="R21" s="13"/>
      <c r="S21" s="13"/>
      <c r="T21" s="213"/>
      <c r="U21" s="13"/>
    </row>
    <row r="22" customFormat="1" spans="1:21">
      <c r="A22" s="142" t="s">
        <v>1411</v>
      </c>
      <c r="B22" s="165">
        <v>17.73</v>
      </c>
      <c r="C22" s="165">
        <v>68.96</v>
      </c>
      <c r="D22" s="165">
        <v>51.6</v>
      </c>
      <c r="E22" s="165">
        <v>8.81</v>
      </c>
      <c r="F22" s="165">
        <v>8.12</v>
      </c>
      <c r="G22" s="165">
        <v>64.91</v>
      </c>
      <c r="H22" s="165">
        <v>23.18</v>
      </c>
      <c r="I22" s="165">
        <v>9.11</v>
      </c>
      <c r="J22" s="165">
        <v>1</v>
      </c>
      <c r="K22" s="165">
        <v>294.96</v>
      </c>
      <c r="L22" s="165">
        <v>31.82</v>
      </c>
      <c r="M22" s="165">
        <v>24.31</v>
      </c>
      <c r="N22" s="165">
        <v>0</v>
      </c>
      <c r="O22" s="165">
        <v>0</v>
      </c>
      <c r="P22" s="165">
        <v>1.02</v>
      </c>
      <c r="Q22" s="165">
        <v>6.07</v>
      </c>
      <c r="R22" s="13"/>
      <c r="S22" s="13"/>
      <c r="T22" s="213"/>
      <c r="U22" s="13"/>
    </row>
    <row r="23" customFormat="1" spans="1:21">
      <c r="A23" s="142" t="s">
        <v>1412</v>
      </c>
      <c r="B23" s="165">
        <v>17.45</v>
      </c>
      <c r="C23" s="165">
        <v>70.01</v>
      </c>
      <c r="D23" s="165">
        <v>51.92</v>
      </c>
      <c r="E23" s="165">
        <v>8.94</v>
      </c>
      <c r="F23" s="165">
        <v>8.32</v>
      </c>
      <c r="G23" s="165">
        <v>62.82</v>
      </c>
      <c r="H23" s="165">
        <v>22.82</v>
      </c>
      <c r="I23" s="165">
        <v>8.93</v>
      </c>
      <c r="J23" s="165">
        <v>1.29</v>
      </c>
      <c r="K23" s="165">
        <v>288.54</v>
      </c>
      <c r="L23" s="165">
        <v>31.88</v>
      </c>
      <c r="M23" s="165">
        <v>23.84</v>
      </c>
      <c r="N23" s="165">
        <v>0</v>
      </c>
      <c r="O23" s="165">
        <v>0</v>
      </c>
      <c r="P23" s="165">
        <v>0.99</v>
      </c>
      <c r="Q23" s="165">
        <v>6.04</v>
      </c>
      <c r="R23" s="13"/>
      <c r="S23" s="13"/>
      <c r="T23" s="213"/>
      <c r="U23" s="13"/>
    </row>
    <row r="24" customFormat="1" spans="1:21">
      <c r="A24" s="142" t="s">
        <v>1413</v>
      </c>
      <c r="B24" s="165">
        <v>17.01</v>
      </c>
      <c r="C24" s="165">
        <v>70.89</v>
      </c>
      <c r="D24" s="165">
        <v>52.03</v>
      </c>
      <c r="E24" s="165">
        <v>8.38</v>
      </c>
      <c r="F24" s="165">
        <v>6.55</v>
      </c>
      <c r="G24" s="165">
        <v>57.67</v>
      </c>
      <c r="H24" s="165">
        <v>22.22</v>
      </c>
      <c r="I24" s="165">
        <v>8.71</v>
      </c>
      <c r="J24" s="165">
        <v>0.99</v>
      </c>
      <c r="K24" s="165">
        <v>283.19</v>
      </c>
      <c r="L24" s="165">
        <v>31.93</v>
      </c>
      <c r="M24" s="165">
        <v>23.58</v>
      </c>
      <c r="N24" s="165">
        <v>0</v>
      </c>
      <c r="O24" s="165">
        <v>0</v>
      </c>
      <c r="P24" s="165">
        <v>0.96</v>
      </c>
      <c r="Q24" s="165">
        <v>5.99</v>
      </c>
      <c r="R24" s="13"/>
      <c r="S24" s="13"/>
      <c r="T24" s="213"/>
      <c r="U24" s="13"/>
    </row>
    <row r="25" customFormat="1" spans="1:21">
      <c r="A25" s="142" t="s">
        <v>1414</v>
      </c>
      <c r="B25" s="165">
        <v>15.55</v>
      </c>
      <c r="C25" s="165">
        <v>68.85</v>
      </c>
      <c r="D25" s="165">
        <v>49.8</v>
      </c>
      <c r="E25" s="165">
        <v>9.29</v>
      </c>
      <c r="F25" s="165">
        <v>8.16</v>
      </c>
      <c r="G25" s="165">
        <v>57.67</v>
      </c>
      <c r="H25" s="165">
        <v>22.22</v>
      </c>
      <c r="I25" s="165">
        <v>8.41</v>
      </c>
      <c r="J25" s="165">
        <v>1.14</v>
      </c>
      <c r="K25" s="165">
        <v>292.29</v>
      </c>
      <c r="L25" s="165">
        <v>31.71</v>
      </c>
      <c r="M25" s="165">
        <v>24.18</v>
      </c>
      <c r="N25" s="165">
        <v>0</v>
      </c>
      <c r="O25" s="165">
        <v>0</v>
      </c>
      <c r="P25" s="165">
        <v>0.93</v>
      </c>
      <c r="Q25" s="165">
        <v>5.91</v>
      </c>
      <c r="R25" s="13"/>
      <c r="S25" s="13"/>
      <c r="T25" s="213"/>
      <c r="U25" s="13"/>
    </row>
    <row r="26" customFormat="1" spans="1:21">
      <c r="A26" s="142" t="s">
        <v>1415</v>
      </c>
      <c r="B26" s="165">
        <v>15.62</v>
      </c>
      <c r="C26" s="165">
        <v>69.73</v>
      </c>
      <c r="D26" s="165">
        <v>50.31</v>
      </c>
      <c r="E26" s="165">
        <v>8.87</v>
      </c>
      <c r="F26" s="165">
        <v>7.6</v>
      </c>
      <c r="G26" s="165">
        <v>57.67</v>
      </c>
      <c r="H26" s="165">
        <v>22.22</v>
      </c>
      <c r="I26" s="165">
        <v>8.17</v>
      </c>
      <c r="J26" s="165">
        <v>0.51</v>
      </c>
      <c r="K26" s="165">
        <v>253.13</v>
      </c>
      <c r="L26" s="165">
        <v>31.34</v>
      </c>
      <c r="M26" s="165">
        <v>25.47</v>
      </c>
      <c r="N26" s="165">
        <v>0</v>
      </c>
      <c r="O26" s="165">
        <v>0</v>
      </c>
      <c r="P26" s="165">
        <v>0.9</v>
      </c>
      <c r="Q26" s="165">
        <v>5.86</v>
      </c>
      <c r="R26" s="13"/>
      <c r="S26" s="13"/>
      <c r="T26" s="213"/>
      <c r="U26" s="13"/>
    </row>
    <row r="27" customFormat="1" spans="1:21">
      <c r="A27" s="142" t="s">
        <v>1416</v>
      </c>
      <c r="B27" s="165">
        <v>15.69</v>
      </c>
      <c r="C27" s="165">
        <v>68.45</v>
      </c>
      <c r="D27" s="165">
        <v>49.7</v>
      </c>
      <c r="E27" s="165">
        <v>8.58</v>
      </c>
      <c r="F27" s="165">
        <v>8.01</v>
      </c>
      <c r="G27" s="165">
        <v>55.9</v>
      </c>
      <c r="H27" s="165">
        <v>21.17</v>
      </c>
      <c r="I27" s="165">
        <v>7.91</v>
      </c>
      <c r="J27" s="165">
        <v>0.32</v>
      </c>
      <c r="K27" s="165">
        <v>263</v>
      </c>
      <c r="L27" s="165">
        <v>30.64</v>
      </c>
      <c r="M27" s="165">
        <v>27.48</v>
      </c>
      <c r="N27" s="165">
        <v>0</v>
      </c>
      <c r="O27" s="165">
        <v>0</v>
      </c>
      <c r="P27" s="165">
        <v>0.88</v>
      </c>
      <c r="Q27" s="165">
        <v>5.88</v>
      </c>
      <c r="R27" s="13"/>
      <c r="S27" s="13"/>
      <c r="T27" s="213"/>
      <c r="U27" s="13"/>
    </row>
    <row r="28" customFormat="1" spans="1:21">
      <c r="A28" s="142" t="s">
        <v>1417</v>
      </c>
      <c r="B28" s="165">
        <v>18.75</v>
      </c>
      <c r="C28" s="165">
        <v>67.76</v>
      </c>
      <c r="D28" s="165">
        <v>51.79</v>
      </c>
      <c r="E28" s="165">
        <v>7.82</v>
      </c>
      <c r="F28" s="165">
        <v>6.77</v>
      </c>
      <c r="G28" s="165">
        <v>51.55</v>
      </c>
      <c r="H28" s="165">
        <v>19.5</v>
      </c>
      <c r="I28" s="165">
        <v>7.65</v>
      </c>
      <c r="J28" s="165">
        <v>0.93</v>
      </c>
      <c r="K28" s="165">
        <v>297.18</v>
      </c>
      <c r="L28" s="165">
        <v>30.63</v>
      </c>
      <c r="M28" s="165">
        <v>27.47</v>
      </c>
      <c r="N28" s="165">
        <v>0</v>
      </c>
      <c r="O28" s="165">
        <v>0</v>
      </c>
      <c r="P28" s="165">
        <v>0.85</v>
      </c>
      <c r="Q28" s="165">
        <v>5.9</v>
      </c>
      <c r="R28" s="13"/>
      <c r="S28" s="13"/>
      <c r="T28" s="213"/>
      <c r="U28" s="13"/>
    </row>
    <row r="29" customFormat="1" spans="1:21">
      <c r="A29" s="142" t="s">
        <v>1418</v>
      </c>
      <c r="B29" s="165">
        <v>16.53</v>
      </c>
      <c r="C29" s="165">
        <v>70.18</v>
      </c>
      <c r="D29" s="165">
        <v>51.28</v>
      </c>
      <c r="E29" s="165">
        <v>7.53</v>
      </c>
      <c r="F29" s="165">
        <v>5.92</v>
      </c>
      <c r="G29" s="165">
        <v>51.55</v>
      </c>
      <c r="H29" s="165">
        <v>19.5</v>
      </c>
      <c r="I29" s="165">
        <v>7.47</v>
      </c>
      <c r="J29" s="165">
        <v>0.95</v>
      </c>
      <c r="K29" s="165">
        <v>284.9</v>
      </c>
      <c r="L29" s="165">
        <v>30.54</v>
      </c>
      <c r="M29" s="165">
        <v>27.88</v>
      </c>
      <c r="N29" s="165">
        <v>0</v>
      </c>
      <c r="O29" s="165">
        <v>0</v>
      </c>
      <c r="P29" s="165">
        <v>0.84</v>
      </c>
      <c r="Q29" s="165">
        <v>5.9</v>
      </c>
      <c r="R29" s="13"/>
      <c r="S29" s="13"/>
      <c r="T29" s="213"/>
      <c r="U29" s="13"/>
    </row>
    <row r="30" customFormat="1" spans="1:21">
      <c r="A30" s="142" t="s">
        <v>1419</v>
      </c>
      <c r="B30" s="165">
        <v>15.96</v>
      </c>
      <c r="C30" s="165">
        <v>70</v>
      </c>
      <c r="D30" s="165">
        <v>50.73</v>
      </c>
      <c r="E30" s="165">
        <v>6.78</v>
      </c>
      <c r="F30" s="165">
        <v>6.49</v>
      </c>
      <c r="G30" s="165">
        <v>51.55</v>
      </c>
      <c r="H30" s="165">
        <v>19.5</v>
      </c>
      <c r="I30" s="165">
        <v>7.35</v>
      </c>
      <c r="J30" s="165">
        <v>0.52</v>
      </c>
      <c r="K30" s="165">
        <v>277.74</v>
      </c>
      <c r="L30" s="165">
        <v>30.31</v>
      </c>
      <c r="M30" s="165">
        <v>28.56</v>
      </c>
      <c r="N30" s="165">
        <v>0</v>
      </c>
      <c r="O30" s="165">
        <v>0</v>
      </c>
      <c r="P30" s="165">
        <v>0.81</v>
      </c>
      <c r="Q30" s="165">
        <v>5.88</v>
      </c>
      <c r="R30" s="13"/>
      <c r="S30" s="13"/>
      <c r="T30" s="213"/>
      <c r="U30" s="13"/>
    </row>
    <row r="31" customFormat="1" spans="1:21">
      <c r="A31" s="142" t="s">
        <v>1420</v>
      </c>
      <c r="B31" s="165">
        <v>14.52</v>
      </c>
      <c r="C31" s="165">
        <v>66.03</v>
      </c>
      <c r="D31" s="165">
        <v>47.49</v>
      </c>
      <c r="E31" s="165">
        <v>7.24</v>
      </c>
      <c r="F31" s="165">
        <v>10.14</v>
      </c>
      <c r="G31" s="165">
        <v>50.91</v>
      </c>
      <c r="H31" s="165">
        <v>18.73</v>
      </c>
      <c r="I31" s="165">
        <v>7.18</v>
      </c>
      <c r="J31" s="165">
        <v>0.29</v>
      </c>
      <c r="K31" s="165">
        <v>216.86</v>
      </c>
      <c r="L31" s="165">
        <v>29.76</v>
      </c>
      <c r="M31" s="165">
        <v>30.57</v>
      </c>
      <c r="N31" s="165">
        <v>0</v>
      </c>
      <c r="O31" s="165">
        <v>0</v>
      </c>
      <c r="P31" s="165">
        <v>0.75</v>
      </c>
      <c r="Q31" s="165">
        <v>5.85</v>
      </c>
      <c r="R31" s="13"/>
      <c r="S31" s="13"/>
      <c r="T31" s="213"/>
      <c r="U31" s="13"/>
    </row>
    <row r="32" customFormat="1" spans="1:21">
      <c r="A32" s="142" t="s">
        <v>1421</v>
      </c>
      <c r="B32" s="165">
        <v>15.17</v>
      </c>
      <c r="C32" s="165">
        <v>65.62</v>
      </c>
      <c r="D32" s="165">
        <v>47.81</v>
      </c>
      <c r="E32" s="165">
        <v>7</v>
      </c>
      <c r="F32" s="165">
        <v>9.4</v>
      </c>
      <c r="G32" s="165">
        <v>49.33</v>
      </c>
      <c r="H32" s="165">
        <v>17.51</v>
      </c>
      <c r="I32" s="165">
        <v>6.88</v>
      </c>
      <c r="J32" s="165">
        <v>0.36</v>
      </c>
      <c r="K32" s="165">
        <v>227.69</v>
      </c>
      <c r="L32" s="165">
        <v>29.1</v>
      </c>
      <c r="M32" s="165">
        <v>32.33</v>
      </c>
      <c r="N32" s="165">
        <v>6.1</v>
      </c>
      <c r="O32" s="165">
        <v>0</v>
      </c>
      <c r="P32" s="165">
        <v>0.75</v>
      </c>
      <c r="Q32" s="165">
        <v>5.78</v>
      </c>
      <c r="R32" s="13"/>
      <c r="S32" s="13"/>
      <c r="T32" s="213"/>
      <c r="U32" s="13"/>
    </row>
    <row r="33" customFormat="1" spans="1:21">
      <c r="A33" s="142" t="s">
        <v>1422</v>
      </c>
      <c r="B33" s="165">
        <v>16.07</v>
      </c>
      <c r="C33" s="165">
        <v>68.83</v>
      </c>
      <c r="D33" s="165">
        <v>50.2</v>
      </c>
      <c r="E33" s="165">
        <v>6.84</v>
      </c>
      <c r="F33" s="165">
        <v>6.93</v>
      </c>
      <c r="G33" s="165">
        <v>49.33</v>
      </c>
      <c r="H33" s="165">
        <v>17.51</v>
      </c>
      <c r="I33" s="165">
        <v>6.62</v>
      </c>
      <c r="J33" s="165">
        <v>0.76</v>
      </c>
      <c r="K33" s="165">
        <v>232.3</v>
      </c>
      <c r="L33" s="165">
        <v>29.1</v>
      </c>
      <c r="M33" s="165">
        <v>33.95</v>
      </c>
      <c r="N33" s="165">
        <v>16.9</v>
      </c>
      <c r="O33" s="165">
        <v>0</v>
      </c>
      <c r="P33" s="165">
        <v>0.74</v>
      </c>
      <c r="Q33" s="165">
        <v>5.69</v>
      </c>
      <c r="R33" s="13"/>
      <c r="S33" s="13"/>
      <c r="T33" s="213"/>
      <c r="U33" s="13"/>
    </row>
    <row r="34" customFormat="1" spans="1:21">
      <c r="A34" s="142" t="s">
        <v>1423</v>
      </c>
      <c r="B34" s="165">
        <v>15.42</v>
      </c>
      <c r="C34" s="165">
        <v>65.86</v>
      </c>
      <c r="D34" s="165">
        <v>48.13</v>
      </c>
      <c r="E34" s="165">
        <v>7.24</v>
      </c>
      <c r="F34" s="165">
        <v>7.69</v>
      </c>
      <c r="G34" s="165">
        <v>49.33</v>
      </c>
      <c r="H34" s="165">
        <v>17.51</v>
      </c>
      <c r="I34" s="165">
        <v>6.57</v>
      </c>
      <c r="J34" s="165">
        <v>0.45</v>
      </c>
      <c r="K34" s="165">
        <v>226.27</v>
      </c>
      <c r="L34" s="165">
        <v>28.87</v>
      </c>
      <c r="M34" s="165">
        <v>36.95</v>
      </c>
      <c r="N34" s="165">
        <v>25.1</v>
      </c>
      <c r="O34" s="165">
        <v>0</v>
      </c>
      <c r="P34" s="165">
        <v>0.75</v>
      </c>
      <c r="Q34" s="165">
        <v>5.67</v>
      </c>
      <c r="R34" s="13"/>
      <c r="S34" s="13"/>
      <c r="T34" s="213"/>
      <c r="U34" s="13"/>
    </row>
    <row r="35" customFormat="1" spans="1:21">
      <c r="A35" s="142" t="s">
        <v>1424</v>
      </c>
      <c r="B35" s="165">
        <v>15.59</v>
      </c>
      <c r="C35" s="165">
        <v>65.15</v>
      </c>
      <c r="D35" s="165">
        <v>47.89</v>
      </c>
      <c r="E35" s="165">
        <v>7.57</v>
      </c>
      <c r="F35" s="165">
        <v>8.28</v>
      </c>
      <c r="G35" s="165">
        <v>48.52</v>
      </c>
      <c r="H35" s="165">
        <v>17.87</v>
      </c>
      <c r="I35" s="165">
        <v>6.71</v>
      </c>
      <c r="J35" s="165">
        <v>0.33</v>
      </c>
      <c r="K35" s="165">
        <v>213.61</v>
      </c>
      <c r="L35" s="165">
        <v>28.74</v>
      </c>
      <c r="M35" s="165">
        <v>38.73</v>
      </c>
      <c r="N35" s="165">
        <v>31.8</v>
      </c>
      <c r="O35" s="165">
        <v>0</v>
      </c>
      <c r="P35" s="165">
        <v>0.75</v>
      </c>
      <c r="Q35" s="165">
        <v>5.69</v>
      </c>
      <c r="R35" s="13"/>
      <c r="S35" s="13"/>
      <c r="T35" s="213"/>
      <c r="U35" s="13"/>
    </row>
    <row r="36" customFormat="1" spans="1:21">
      <c r="A36" s="142" t="s">
        <v>1425</v>
      </c>
      <c r="B36" s="165">
        <v>15.45</v>
      </c>
      <c r="C36" s="165">
        <v>64.54</v>
      </c>
      <c r="D36" s="165">
        <v>47.47</v>
      </c>
      <c r="E36" s="165">
        <v>7.76</v>
      </c>
      <c r="F36" s="165">
        <v>9.28</v>
      </c>
      <c r="G36" s="165">
        <v>46.53</v>
      </c>
      <c r="H36" s="165">
        <v>19.34</v>
      </c>
      <c r="I36" s="165">
        <v>6.88</v>
      </c>
      <c r="J36" s="165">
        <v>0.27</v>
      </c>
      <c r="K36" s="165">
        <v>224.26</v>
      </c>
      <c r="L36" s="165">
        <v>28.71</v>
      </c>
      <c r="M36" s="165">
        <v>40.04</v>
      </c>
      <c r="N36" s="165">
        <v>49.5</v>
      </c>
      <c r="O36" s="165">
        <v>0</v>
      </c>
      <c r="P36" s="165">
        <v>0.74</v>
      </c>
      <c r="Q36" s="165">
        <v>5.69</v>
      </c>
      <c r="R36" s="13"/>
      <c r="S36" s="13"/>
      <c r="T36" s="213"/>
      <c r="U36" s="13"/>
    </row>
    <row r="37" customFormat="1" spans="1:21">
      <c r="A37" s="142" t="s">
        <v>1426</v>
      </c>
      <c r="B37" s="165">
        <v>15.59</v>
      </c>
      <c r="C37" s="165">
        <v>65.2</v>
      </c>
      <c r="D37" s="165">
        <v>47.92</v>
      </c>
      <c r="E37" s="165">
        <v>7.34</v>
      </c>
      <c r="F37" s="165">
        <v>6.92</v>
      </c>
      <c r="G37" s="165">
        <v>46.53</v>
      </c>
      <c r="H37" s="165">
        <v>19.34</v>
      </c>
      <c r="I37" s="165">
        <v>6.95</v>
      </c>
      <c r="J37" s="165">
        <v>0.39</v>
      </c>
      <c r="K37" s="165">
        <v>231.83</v>
      </c>
      <c r="L37" s="165">
        <v>28.87</v>
      </c>
      <c r="M37" s="165">
        <v>40.24</v>
      </c>
      <c r="N37" s="165">
        <v>78.7</v>
      </c>
      <c r="O37" s="165">
        <v>0</v>
      </c>
      <c r="P37" s="165">
        <v>0.75</v>
      </c>
      <c r="Q37" s="165">
        <v>5.67</v>
      </c>
      <c r="R37" s="13"/>
      <c r="S37" s="13"/>
      <c r="T37" s="213"/>
      <c r="U37" s="13"/>
    </row>
    <row r="38" customFormat="1" spans="1:21">
      <c r="A38" s="142" t="s">
        <v>1427</v>
      </c>
      <c r="B38" s="165">
        <v>15.12</v>
      </c>
      <c r="C38" s="165">
        <v>64.24</v>
      </c>
      <c r="D38" s="165">
        <v>47.04</v>
      </c>
      <c r="E38" s="165">
        <v>7.07</v>
      </c>
      <c r="F38" s="165">
        <v>8.88</v>
      </c>
      <c r="G38" s="165">
        <v>46.53</v>
      </c>
      <c r="H38" s="165">
        <v>19.34</v>
      </c>
      <c r="I38" s="165">
        <v>6.89</v>
      </c>
      <c r="J38" s="165">
        <v>0.27</v>
      </c>
      <c r="K38" s="165">
        <v>190.05</v>
      </c>
      <c r="L38" s="165">
        <v>29.59</v>
      </c>
      <c r="M38" s="165">
        <v>39.66</v>
      </c>
      <c r="N38" s="165">
        <v>106.4</v>
      </c>
      <c r="O38" s="165">
        <v>0</v>
      </c>
      <c r="P38" s="165">
        <v>0.73</v>
      </c>
      <c r="Q38" s="165">
        <v>5.66</v>
      </c>
      <c r="R38" s="13"/>
      <c r="S38" s="13"/>
      <c r="T38" s="213"/>
      <c r="U38" s="13"/>
    </row>
    <row r="39" customFormat="1" spans="1:21">
      <c r="A39" s="142" t="s">
        <v>1428</v>
      </c>
      <c r="B39" s="165">
        <v>14.82</v>
      </c>
      <c r="C39" s="165">
        <v>61.97</v>
      </c>
      <c r="D39" s="165">
        <v>45.62</v>
      </c>
      <c r="E39" s="165">
        <v>7.03</v>
      </c>
      <c r="F39" s="165">
        <v>9.28</v>
      </c>
      <c r="G39" s="165">
        <v>46.55</v>
      </c>
      <c r="H39" s="165">
        <v>19.16</v>
      </c>
      <c r="I39" s="165">
        <v>6.82</v>
      </c>
      <c r="J39" s="165">
        <v>0.29</v>
      </c>
      <c r="K39" s="165">
        <v>208.94</v>
      </c>
      <c r="L39" s="165">
        <v>29.91</v>
      </c>
      <c r="M39" s="165">
        <v>39.04</v>
      </c>
      <c r="N39" s="165">
        <v>99.7</v>
      </c>
      <c r="O39" s="165">
        <v>0</v>
      </c>
      <c r="P39" s="165">
        <v>0.72</v>
      </c>
      <c r="Q39" s="165">
        <v>5.62</v>
      </c>
      <c r="R39" s="13"/>
      <c r="S39" s="13"/>
      <c r="T39" s="213"/>
      <c r="U39" s="13"/>
    </row>
    <row r="40" customFormat="1" spans="1:21">
      <c r="A40" s="142" t="s">
        <v>1429</v>
      </c>
      <c r="B40" s="165">
        <v>14.96</v>
      </c>
      <c r="C40" s="165">
        <v>63.21</v>
      </c>
      <c r="D40" s="165">
        <v>46.38</v>
      </c>
      <c r="E40" s="165">
        <v>7.36</v>
      </c>
      <c r="F40" s="165">
        <v>8.51</v>
      </c>
      <c r="G40" s="165">
        <v>46.6</v>
      </c>
      <c r="H40" s="165">
        <v>18.88</v>
      </c>
      <c r="I40" s="165">
        <v>6.75</v>
      </c>
      <c r="J40" s="165">
        <v>0.29</v>
      </c>
      <c r="K40" s="165">
        <v>226.34</v>
      </c>
      <c r="L40" s="165">
        <v>29.97</v>
      </c>
      <c r="M40" s="165">
        <v>39.78</v>
      </c>
      <c r="N40" s="165">
        <v>96.6</v>
      </c>
      <c r="O40" s="165">
        <v>0</v>
      </c>
      <c r="P40" s="165">
        <v>0.73</v>
      </c>
      <c r="Q40" s="165">
        <v>5.63</v>
      </c>
      <c r="R40" s="13"/>
      <c r="S40" s="13"/>
      <c r="T40" s="213"/>
      <c r="U40" s="13"/>
    </row>
    <row r="41" customFormat="1" spans="1:21">
      <c r="A41" s="142" t="s">
        <v>1430</v>
      </c>
      <c r="B41" s="165">
        <v>13.85</v>
      </c>
      <c r="C41" s="165">
        <v>59.66</v>
      </c>
      <c r="D41" s="165">
        <v>43.62</v>
      </c>
      <c r="E41" s="165">
        <v>8.26</v>
      </c>
      <c r="F41" s="165">
        <v>11.22</v>
      </c>
      <c r="G41" s="165">
        <v>46.6</v>
      </c>
      <c r="H41" s="165">
        <v>18.88</v>
      </c>
      <c r="I41" s="165">
        <v>6.64</v>
      </c>
      <c r="J41" s="165">
        <v>0.38</v>
      </c>
      <c r="K41" s="165">
        <v>270.93</v>
      </c>
      <c r="L41" s="165">
        <v>30.35</v>
      </c>
      <c r="M41" s="165">
        <v>38.91</v>
      </c>
      <c r="N41" s="165">
        <v>160.4</v>
      </c>
      <c r="O41" s="165">
        <v>0</v>
      </c>
      <c r="P41" s="165">
        <v>0.73</v>
      </c>
      <c r="Q41" s="165">
        <v>5.63</v>
      </c>
      <c r="R41" s="13"/>
      <c r="S41" s="13"/>
      <c r="T41" s="213"/>
      <c r="U41" s="13"/>
    </row>
    <row r="42" customFormat="1" spans="1:21">
      <c r="A42" s="142" t="s">
        <v>1431</v>
      </c>
      <c r="B42" s="165">
        <v>14.91</v>
      </c>
      <c r="C42" s="165">
        <v>63.76</v>
      </c>
      <c r="D42" s="165">
        <v>46.62</v>
      </c>
      <c r="E42" s="165">
        <v>8.08</v>
      </c>
      <c r="F42" s="165">
        <v>8.95</v>
      </c>
      <c r="G42" s="165">
        <v>46.6</v>
      </c>
      <c r="H42" s="165">
        <v>18.88</v>
      </c>
      <c r="I42" s="165">
        <v>6.6</v>
      </c>
      <c r="J42" s="165">
        <v>0.65</v>
      </c>
      <c r="K42" s="165">
        <v>286.12</v>
      </c>
      <c r="L42" s="165">
        <v>31.28</v>
      </c>
      <c r="M42" s="165">
        <v>35.06</v>
      </c>
      <c r="N42" s="165">
        <v>239.4</v>
      </c>
      <c r="O42" s="165">
        <v>0</v>
      </c>
      <c r="P42" s="165">
        <v>0.74</v>
      </c>
      <c r="Q42" s="165">
        <v>5.59</v>
      </c>
      <c r="R42" s="13"/>
      <c r="S42" s="13"/>
      <c r="T42" s="213"/>
      <c r="U42" s="13"/>
    </row>
    <row r="43" customFormat="1" spans="1:21">
      <c r="A43" s="142" t="s">
        <v>1432</v>
      </c>
      <c r="B43" s="165">
        <v>14.55</v>
      </c>
      <c r="C43" s="165">
        <v>63.35</v>
      </c>
      <c r="D43" s="165">
        <v>46.12</v>
      </c>
      <c r="E43" s="165">
        <v>9.82</v>
      </c>
      <c r="F43" s="165">
        <v>13.82</v>
      </c>
      <c r="G43" s="165">
        <v>46.99</v>
      </c>
      <c r="H43" s="165">
        <v>19.81</v>
      </c>
      <c r="I43" s="165">
        <v>6.66</v>
      </c>
      <c r="J43" s="165">
        <v>0.11</v>
      </c>
      <c r="K43" s="165">
        <v>291.19</v>
      </c>
      <c r="L43" s="165">
        <v>32.6</v>
      </c>
      <c r="M43" s="165">
        <v>32.17</v>
      </c>
      <c r="N43" s="165">
        <v>231.1</v>
      </c>
      <c r="O43" s="165">
        <v>0</v>
      </c>
      <c r="P43" s="165">
        <v>0.75</v>
      </c>
      <c r="Q43" s="165">
        <v>5.64</v>
      </c>
      <c r="R43" s="13"/>
      <c r="S43" s="13"/>
      <c r="T43" s="213"/>
      <c r="U43" s="13"/>
    </row>
    <row r="44" customFormat="1" spans="1:21">
      <c r="A44" s="142" t="s">
        <v>1433</v>
      </c>
      <c r="B44" s="165">
        <v>15.14</v>
      </c>
      <c r="C44" s="165">
        <v>63.26</v>
      </c>
      <c r="D44" s="165">
        <v>46.55</v>
      </c>
      <c r="E44" s="165">
        <v>11.43</v>
      </c>
      <c r="F44" s="165">
        <v>14.69</v>
      </c>
      <c r="G44" s="165">
        <v>47.96</v>
      </c>
      <c r="H44" s="165">
        <v>21.28</v>
      </c>
      <c r="I44" s="165">
        <v>6.75</v>
      </c>
      <c r="J44" s="165">
        <v>0.55</v>
      </c>
      <c r="K44" s="165">
        <v>6.48</v>
      </c>
      <c r="L44" s="165">
        <v>33.26</v>
      </c>
      <c r="M44" s="165">
        <v>29.21</v>
      </c>
      <c r="N44" s="165">
        <v>265.9</v>
      </c>
      <c r="O44" s="165">
        <v>0</v>
      </c>
      <c r="P44" s="165">
        <v>0.76</v>
      </c>
      <c r="Q44" s="165">
        <v>5.62</v>
      </c>
      <c r="R44" s="13"/>
      <c r="S44" s="13"/>
      <c r="T44" s="213"/>
      <c r="U44" s="13"/>
    </row>
    <row r="45" customFormat="1" spans="1:21">
      <c r="A45" s="142" t="s">
        <v>1434</v>
      </c>
      <c r="B45" s="165">
        <v>15.26</v>
      </c>
      <c r="C45" s="165">
        <v>66.22</v>
      </c>
      <c r="D45" s="165">
        <v>48.19</v>
      </c>
      <c r="E45" s="165">
        <v>11.69</v>
      </c>
      <c r="F45" s="165">
        <v>10.26</v>
      </c>
      <c r="G45" s="165">
        <v>47.96</v>
      </c>
      <c r="H45" s="165">
        <v>21.28</v>
      </c>
      <c r="I45" s="165">
        <v>6.72</v>
      </c>
      <c r="J45" s="165">
        <v>1.12</v>
      </c>
      <c r="K45" s="165">
        <v>295.01</v>
      </c>
      <c r="L45" s="165">
        <v>33.31</v>
      </c>
      <c r="M45" s="165">
        <v>28.01</v>
      </c>
      <c r="N45" s="165">
        <v>249.6</v>
      </c>
      <c r="O45" s="165">
        <v>0</v>
      </c>
      <c r="P45" s="165">
        <v>0.76</v>
      </c>
      <c r="Q45" s="165">
        <v>5.58</v>
      </c>
      <c r="R45" s="13"/>
      <c r="S45" s="13"/>
      <c r="T45" s="213"/>
      <c r="U45" s="13"/>
    </row>
    <row r="46" customFormat="1" spans="1:21">
      <c r="A46" s="142" t="s">
        <v>1435</v>
      </c>
      <c r="B46" s="165">
        <v>15.85</v>
      </c>
      <c r="C46" s="165">
        <v>65.37</v>
      </c>
      <c r="D46" s="165">
        <v>48.21</v>
      </c>
      <c r="E46" s="165">
        <v>14.83</v>
      </c>
      <c r="F46" s="165">
        <v>12.9</v>
      </c>
      <c r="G46" s="165">
        <v>47.96</v>
      </c>
      <c r="H46" s="165">
        <v>21.28</v>
      </c>
      <c r="I46" s="165">
        <v>6.75</v>
      </c>
      <c r="J46" s="165">
        <v>0.67</v>
      </c>
      <c r="K46" s="165">
        <v>330.07</v>
      </c>
      <c r="L46" s="165">
        <v>34.02</v>
      </c>
      <c r="M46" s="165">
        <v>27.34</v>
      </c>
      <c r="N46" s="165">
        <v>384.1</v>
      </c>
      <c r="O46" s="165">
        <v>0</v>
      </c>
      <c r="P46" s="165">
        <v>0.76</v>
      </c>
      <c r="Q46" s="165">
        <v>5.62</v>
      </c>
      <c r="R46" s="13"/>
      <c r="S46" s="13"/>
      <c r="T46" s="213"/>
      <c r="U46" s="13"/>
    </row>
    <row r="47" customFormat="1" spans="1:21">
      <c r="A47" s="142" t="s">
        <v>1436</v>
      </c>
      <c r="B47" s="165">
        <v>13.88</v>
      </c>
      <c r="C47" s="165">
        <v>62.83</v>
      </c>
      <c r="D47" s="165">
        <v>45.31</v>
      </c>
      <c r="E47" s="165">
        <v>15.34</v>
      </c>
      <c r="F47" s="165">
        <v>18.16</v>
      </c>
      <c r="G47" s="165">
        <v>50.27</v>
      </c>
      <c r="H47" s="165">
        <v>21.37</v>
      </c>
      <c r="I47" s="165">
        <v>6.76</v>
      </c>
      <c r="J47" s="165">
        <v>0.9</v>
      </c>
      <c r="K47" s="165">
        <v>359.95</v>
      </c>
      <c r="L47" s="165">
        <v>35.15</v>
      </c>
      <c r="M47" s="165">
        <v>25.53</v>
      </c>
      <c r="N47" s="165">
        <v>535.5</v>
      </c>
      <c r="O47" s="165">
        <v>0</v>
      </c>
      <c r="P47" s="165">
        <v>0.75</v>
      </c>
      <c r="Q47" s="165">
        <v>5.66</v>
      </c>
      <c r="R47" s="13"/>
      <c r="S47" s="13"/>
      <c r="T47" s="213"/>
      <c r="U47" s="13"/>
    </row>
    <row r="48" customFormat="1" spans="1:21">
      <c r="A48" s="142" t="s">
        <v>1437</v>
      </c>
      <c r="B48" s="165">
        <v>13.42</v>
      </c>
      <c r="C48" s="165">
        <v>63.33</v>
      </c>
      <c r="D48" s="165">
        <v>45.21</v>
      </c>
      <c r="E48" s="165">
        <v>13.89</v>
      </c>
      <c r="F48" s="165">
        <v>16.06</v>
      </c>
      <c r="G48" s="165">
        <v>55.95</v>
      </c>
      <c r="H48" s="165">
        <v>21.51</v>
      </c>
      <c r="I48" s="165">
        <v>6.65</v>
      </c>
      <c r="J48" s="165">
        <v>0.83</v>
      </c>
      <c r="K48" s="165">
        <v>349.8</v>
      </c>
      <c r="L48" s="165">
        <v>35.44</v>
      </c>
      <c r="M48" s="165">
        <v>24.74</v>
      </c>
      <c r="N48" s="165">
        <v>492.2</v>
      </c>
      <c r="O48" s="165">
        <v>0</v>
      </c>
      <c r="P48" s="165">
        <v>0.75</v>
      </c>
      <c r="Q48" s="165">
        <v>5.62</v>
      </c>
      <c r="R48" s="13"/>
      <c r="S48" s="13"/>
      <c r="T48" s="213"/>
      <c r="U48" s="13"/>
    </row>
    <row r="49" customFormat="1" spans="1:21">
      <c r="A49" s="142" t="s">
        <v>1438</v>
      </c>
      <c r="B49" s="165">
        <v>13.46</v>
      </c>
      <c r="C49" s="165">
        <v>63.35</v>
      </c>
      <c r="D49" s="165">
        <v>45.24</v>
      </c>
      <c r="E49" s="165">
        <v>13.13</v>
      </c>
      <c r="F49" s="165">
        <v>18.38</v>
      </c>
      <c r="G49" s="165">
        <v>55.95</v>
      </c>
      <c r="H49" s="165">
        <v>21.51</v>
      </c>
      <c r="I49" s="165">
        <v>6.47</v>
      </c>
      <c r="J49" s="165">
        <v>0.87</v>
      </c>
      <c r="K49" s="165">
        <v>7.81</v>
      </c>
      <c r="L49" s="165">
        <v>35.43</v>
      </c>
      <c r="M49" s="165">
        <v>24.76</v>
      </c>
      <c r="N49" s="165">
        <v>507.3</v>
      </c>
      <c r="O49" s="165">
        <v>0</v>
      </c>
      <c r="P49" s="165">
        <v>0.74</v>
      </c>
      <c r="Q49" s="165">
        <v>5.55</v>
      </c>
      <c r="R49" s="13"/>
      <c r="S49" s="13"/>
      <c r="T49" s="213"/>
      <c r="U49" s="13"/>
    </row>
    <row r="50" customFormat="1" spans="1:21">
      <c r="A50" s="142" t="s">
        <v>1439</v>
      </c>
      <c r="B50" s="165">
        <v>12.6</v>
      </c>
      <c r="C50" s="165">
        <v>65.56</v>
      </c>
      <c r="D50" s="165">
        <v>45.71</v>
      </c>
      <c r="E50" s="165">
        <v>13.73</v>
      </c>
      <c r="F50" s="165">
        <v>15.37</v>
      </c>
      <c r="G50" s="165">
        <v>55.95</v>
      </c>
      <c r="H50" s="165">
        <v>21.51</v>
      </c>
      <c r="I50" s="165">
        <v>6.42</v>
      </c>
      <c r="J50" s="165">
        <v>0.71</v>
      </c>
      <c r="K50" s="165">
        <v>343.84</v>
      </c>
      <c r="L50" s="165">
        <v>35.47</v>
      </c>
      <c r="M50" s="165">
        <v>24.38</v>
      </c>
      <c r="N50" s="165">
        <v>410.4</v>
      </c>
      <c r="O50" s="165">
        <v>0</v>
      </c>
      <c r="P50" s="165">
        <v>0.73</v>
      </c>
      <c r="Q50" s="165">
        <v>5.54</v>
      </c>
      <c r="R50" s="13"/>
      <c r="S50" s="13"/>
      <c r="T50" s="213"/>
      <c r="U50" s="13"/>
    </row>
    <row r="51" customFormat="1" spans="1:21">
      <c r="A51" s="142" t="s">
        <v>1440</v>
      </c>
      <c r="B51" s="165">
        <v>11.21</v>
      </c>
      <c r="C51" s="165">
        <v>67.3</v>
      </c>
      <c r="D51" s="165">
        <v>45.5</v>
      </c>
      <c r="E51" s="165">
        <v>11.41</v>
      </c>
      <c r="F51" s="165">
        <v>13.55</v>
      </c>
      <c r="G51" s="165">
        <v>56.91</v>
      </c>
      <c r="H51" s="165">
        <v>22.07</v>
      </c>
      <c r="I51" s="165">
        <v>6.36</v>
      </c>
      <c r="J51" s="165">
        <v>1.09</v>
      </c>
      <c r="K51" s="165">
        <v>307.45</v>
      </c>
      <c r="L51" s="165">
        <v>35.87</v>
      </c>
      <c r="M51" s="165">
        <v>23.48</v>
      </c>
      <c r="N51" s="165">
        <v>664.6</v>
      </c>
      <c r="O51" s="165">
        <v>0</v>
      </c>
      <c r="P51" s="165">
        <v>0.74</v>
      </c>
      <c r="Q51" s="165">
        <v>5.58</v>
      </c>
      <c r="R51" s="13"/>
      <c r="S51" s="13"/>
      <c r="T51" s="213"/>
      <c r="U51" s="13"/>
    </row>
    <row r="52" customFormat="1" spans="1:21">
      <c r="A52" s="142" t="s">
        <v>1441</v>
      </c>
      <c r="B52" s="165">
        <v>10.47</v>
      </c>
      <c r="C52" s="165">
        <v>67.8</v>
      </c>
      <c r="D52" s="165">
        <v>45.17</v>
      </c>
      <c r="E52" s="165">
        <v>12.12</v>
      </c>
      <c r="F52" s="165">
        <v>16.44</v>
      </c>
      <c r="G52" s="165">
        <v>59.28</v>
      </c>
      <c r="H52" s="165">
        <v>23</v>
      </c>
      <c r="I52" s="165">
        <v>6.35</v>
      </c>
      <c r="J52" s="165">
        <v>0.51</v>
      </c>
      <c r="K52" s="165">
        <v>315.35</v>
      </c>
      <c r="L52" s="165">
        <v>36.41</v>
      </c>
      <c r="M52" s="165">
        <v>22.86</v>
      </c>
      <c r="N52" s="165">
        <v>693.4</v>
      </c>
      <c r="O52" s="165">
        <v>0</v>
      </c>
      <c r="P52" s="165">
        <v>0.74</v>
      </c>
      <c r="Q52" s="165">
        <v>5.59</v>
      </c>
      <c r="R52" s="13"/>
      <c r="S52" s="13"/>
      <c r="T52" s="213"/>
      <c r="U52" s="13"/>
    </row>
    <row r="53" customFormat="1" spans="1:21">
      <c r="A53" s="142" t="s">
        <v>1442</v>
      </c>
      <c r="B53" s="165">
        <v>8.88</v>
      </c>
      <c r="C53" s="165">
        <v>65.05</v>
      </c>
      <c r="D53" s="165">
        <v>42.46</v>
      </c>
      <c r="E53" s="165">
        <v>13.68</v>
      </c>
      <c r="F53" s="165">
        <v>16.74</v>
      </c>
      <c r="G53" s="165">
        <v>59.28</v>
      </c>
      <c r="H53" s="165">
        <v>23</v>
      </c>
      <c r="I53" s="165">
        <v>6.41</v>
      </c>
      <c r="J53" s="165">
        <v>0.82</v>
      </c>
      <c r="K53" s="165">
        <v>300.63</v>
      </c>
      <c r="L53" s="165">
        <v>37.03</v>
      </c>
      <c r="M53" s="165">
        <v>21.45</v>
      </c>
      <c r="N53" s="165">
        <v>645.4</v>
      </c>
      <c r="O53" s="165">
        <v>0</v>
      </c>
      <c r="P53" s="165">
        <v>0.73</v>
      </c>
      <c r="Q53" s="165">
        <v>5.5</v>
      </c>
      <c r="R53" s="13"/>
      <c r="S53" s="13"/>
      <c r="T53" s="213"/>
      <c r="U53" s="13"/>
    </row>
    <row r="54" customFormat="1" spans="1:21">
      <c r="A54" s="142" t="s">
        <v>1443</v>
      </c>
      <c r="B54" s="165">
        <v>8.22</v>
      </c>
      <c r="C54" s="165">
        <v>64.45</v>
      </c>
      <c r="D54" s="165">
        <v>41.62</v>
      </c>
      <c r="E54" s="165">
        <v>13.11</v>
      </c>
      <c r="F54" s="165">
        <v>16.33</v>
      </c>
      <c r="G54" s="165">
        <v>59.28</v>
      </c>
      <c r="H54" s="165">
        <v>23</v>
      </c>
      <c r="I54" s="165">
        <v>6.26</v>
      </c>
      <c r="J54" s="165">
        <v>1.05</v>
      </c>
      <c r="K54" s="165">
        <v>304.44</v>
      </c>
      <c r="L54" s="165">
        <v>37.21</v>
      </c>
      <c r="M54" s="165">
        <v>21.58</v>
      </c>
      <c r="N54" s="165">
        <v>744</v>
      </c>
      <c r="O54" s="165">
        <v>0</v>
      </c>
      <c r="P54" s="165">
        <v>0.73</v>
      </c>
      <c r="Q54" s="165">
        <v>5.39</v>
      </c>
      <c r="R54" s="13"/>
      <c r="S54" s="13"/>
      <c r="T54" s="213"/>
      <c r="U54" s="13"/>
    </row>
    <row r="55" customFormat="1" spans="1:21">
      <c r="A55" s="142" t="s">
        <v>1444</v>
      </c>
      <c r="B55" s="165">
        <v>7.67</v>
      </c>
      <c r="C55" s="165">
        <v>65.46</v>
      </c>
      <c r="D55" s="165">
        <v>41.7</v>
      </c>
      <c r="E55" s="165">
        <v>13.78</v>
      </c>
      <c r="F55" s="165">
        <v>20.12</v>
      </c>
      <c r="G55" s="165">
        <v>60.18</v>
      </c>
      <c r="H55" s="165">
        <v>23.28</v>
      </c>
      <c r="I55" s="165">
        <v>6.19</v>
      </c>
      <c r="J55" s="165">
        <v>1.03</v>
      </c>
      <c r="K55" s="165">
        <v>332.22</v>
      </c>
      <c r="L55" s="165">
        <v>37.35</v>
      </c>
      <c r="M55" s="165">
        <v>21.57</v>
      </c>
      <c r="N55" s="165">
        <v>725</v>
      </c>
      <c r="O55" s="165">
        <v>0</v>
      </c>
      <c r="P55" s="165">
        <v>0.72</v>
      </c>
      <c r="Q55" s="165">
        <v>5.36</v>
      </c>
      <c r="R55" s="13"/>
      <c r="S55" s="13"/>
      <c r="T55" s="213"/>
      <c r="U55" s="13"/>
    </row>
    <row r="56" customFormat="1" spans="1:21">
      <c r="A56" s="142" t="s">
        <v>1445</v>
      </c>
      <c r="B56" s="165">
        <v>7.24</v>
      </c>
      <c r="C56" s="165">
        <v>63.73</v>
      </c>
      <c r="D56" s="165">
        <v>40.45</v>
      </c>
      <c r="E56" s="165">
        <v>16.3</v>
      </c>
      <c r="F56" s="165">
        <v>26.51</v>
      </c>
      <c r="G56" s="165">
        <v>62.4</v>
      </c>
      <c r="H56" s="165">
        <v>23.72</v>
      </c>
      <c r="I56" s="165">
        <v>6.28</v>
      </c>
      <c r="J56" s="165">
        <v>0.94</v>
      </c>
      <c r="K56" s="165">
        <v>25.3</v>
      </c>
      <c r="L56" s="165">
        <v>37.68</v>
      </c>
      <c r="M56" s="165">
        <v>21.36</v>
      </c>
      <c r="N56" s="165">
        <v>711.3</v>
      </c>
      <c r="O56" s="165">
        <v>0</v>
      </c>
      <c r="P56" s="165">
        <v>0.7</v>
      </c>
      <c r="Q56" s="165">
        <v>5.31</v>
      </c>
      <c r="R56" s="13"/>
      <c r="S56" s="13"/>
      <c r="T56" s="213"/>
      <c r="U56" s="13"/>
    </row>
    <row r="57" customFormat="1" spans="1:21">
      <c r="A57" s="142" t="s">
        <v>1446</v>
      </c>
      <c r="B57" s="165">
        <v>6.87</v>
      </c>
      <c r="C57" s="165">
        <v>64.25</v>
      </c>
      <c r="D57" s="165">
        <v>40.43</v>
      </c>
      <c r="E57" s="165">
        <v>12.96</v>
      </c>
      <c r="F57" s="165">
        <v>17.16</v>
      </c>
      <c r="G57" s="165">
        <v>62.4</v>
      </c>
      <c r="H57" s="165">
        <v>23.72</v>
      </c>
      <c r="I57" s="165">
        <v>6.13</v>
      </c>
      <c r="J57" s="165">
        <v>1.15</v>
      </c>
      <c r="K57" s="165">
        <v>315.86</v>
      </c>
      <c r="L57" s="165">
        <v>38.14</v>
      </c>
      <c r="M57" s="165">
        <v>20.28</v>
      </c>
      <c r="N57" s="165">
        <v>735.8</v>
      </c>
      <c r="O57" s="165">
        <v>0</v>
      </c>
      <c r="P57" s="165">
        <v>0.71</v>
      </c>
      <c r="Q57" s="165">
        <v>5.3</v>
      </c>
      <c r="R57" s="13"/>
      <c r="S57" s="13"/>
      <c r="T57" s="213"/>
      <c r="U57" s="13"/>
    </row>
    <row r="58" customFormat="1" spans="1:21">
      <c r="A58" s="142" t="s">
        <v>1447</v>
      </c>
      <c r="B58" s="165">
        <v>6.65</v>
      </c>
      <c r="C58" s="165">
        <v>62.54</v>
      </c>
      <c r="D58" s="165">
        <v>39.36</v>
      </c>
      <c r="E58" s="165">
        <v>13.88</v>
      </c>
      <c r="F58" s="165">
        <v>26.16</v>
      </c>
      <c r="G58" s="165">
        <v>62.4</v>
      </c>
      <c r="H58" s="165">
        <v>23.72</v>
      </c>
      <c r="I58" s="165">
        <v>6.01</v>
      </c>
      <c r="J58" s="165">
        <v>1.06</v>
      </c>
      <c r="K58" s="165">
        <v>23.34</v>
      </c>
      <c r="L58" s="165">
        <v>38.47</v>
      </c>
      <c r="M58" s="165">
        <v>20.19</v>
      </c>
      <c r="N58" s="165">
        <v>692.8</v>
      </c>
      <c r="O58" s="165">
        <v>0</v>
      </c>
      <c r="P58" s="165">
        <v>0.7</v>
      </c>
      <c r="Q58" s="165">
        <v>5.3</v>
      </c>
      <c r="R58" s="13"/>
      <c r="S58" s="13"/>
      <c r="T58" s="213"/>
      <c r="U58" s="13"/>
    </row>
    <row r="59" customFormat="1" spans="1:21">
      <c r="A59" s="142" t="s">
        <v>1448</v>
      </c>
      <c r="B59" s="165">
        <v>6.81</v>
      </c>
      <c r="C59" s="165">
        <v>64.17</v>
      </c>
      <c r="D59" s="165">
        <v>40.34</v>
      </c>
      <c r="E59" s="165">
        <v>13.73</v>
      </c>
      <c r="F59" s="165">
        <v>22.78</v>
      </c>
      <c r="G59" s="165">
        <v>63.14</v>
      </c>
      <c r="H59" s="165">
        <v>23.62</v>
      </c>
      <c r="I59" s="165">
        <v>6.01</v>
      </c>
      <c r="J59" s="165">
        <v>0.71</v>
      </c>
      <c r="K59" s="165">
        <v>318.5</v>
      </c>
      <c r="L59" s="165">
        <v>38.29</v>
      </c>
      <c r="M59" s="165">
        <v>19.65</v>
      </c>
      <c r="N59" s="165">
        <v>718.5</v>
      </c>
      <c r="O59" s="165">
        <v>0</v>
      </c>
      <c r="P59" s="165">
        <v>0.69</v>
      </c>
      <c r="Q59" s="165">
        <v>5.27</v>
      </c>
      <c r="R59" s="13"/>
      <c r="S59" s="13"/>
      <c r="T59" s="213"/>
      <c r="U59" s="13"/>
    </row>
    <row r="60" customFormat="1" spans="1:21">
      <c r="A60" s="142" t="s">
        <v>1449</v>
      </c>
      <c r="B60" s="165">
        <v>6.23</v>
      </c>
      <c r="C60" s="165">
        <v>61.37</v>
      </c>
      <c r="D60" s="165">
        <v>38.41</v>
      </c>
      <c r="E60" s="165">
        <v>11.42</v>
      </c>
      <c r="F60" s="165">
        <v>21.77</v>
      </c>
      <c r="G60" s="165">
        <v>64.97</v>
      </c>
      <c r="H60" s="165">
        <v>23.22</v>
      </c>
      <c r="I60" s="165">
        <v>5.91</v>
      </c>
      <c r="J60" s="165">
        <v>1.05</v>
      </c>
      <c r="K60" s="165">
        <v>338.12</v>
      </c>
      <c r="L60" s="165">
        <v>38.59</v>
      </c>
      <c r="M60" s="165">
        <v>18.14</v>
      </c>
      <c r="N60" s="165">
        <v>725.6</v>
      </c>
      <c r="O60" s="165">
        <v>0</v>
      </c>
      <c r="P60" s="165">
        <v>0.66</v>
      </c>
      <c r="Q60" s="165">
        <v>5.23</v>
      </c>
      <c r="R60" s="13"/>
      <c r="S60" s="13"/>
      <c r="T60" s="213"/>
      <c r="U60" s="13"/>
    </row>
    <row r="61" customFormat="1" spans="1:21">
      <c r="A61" s="142" t="s">
        <v>1450</v>
      </c>
      <c r="B61" s="165">
        <v>6.27</v>
      </c>
      <c r="C61" s="165">
        <v>62.78</v>
      </c>
      <c r="D61" s="165">
        <v>39.18</v>
      </c>
      <c r="E61" s="165">
        <v>9.14</v>
      </c>
      <c r="F61" s="165">
        <v>17.49</v>
      </c>
      <c r="G61" s="165">
        <v>64.97</v>
      </c>
      <c r="H61" s="165">
        <v>23.22</v>
      </c>
      <c r="I61" s="165">
        <v>5.81</v>
      </c>
      <c r="J61" s="165">
        <v>1.7</v>
      </c>
      <c r="K61" s="165">
        <v>295.57</v>
      </c>
      <c r="L61" s="165">
        <v>38.78</v>
      </c>
      <c r="M61" s="165">
        <v>16.34</v>
      </c>
      <c r="N61" s="165">
        <v>708.5</v>
      </c>
      <c r="O61" s="165">
        <v>0</v>
      </c>
      <c r="P61" s="165">
        <v>0.65</v>
      </c>
      <c r="Q61" s="165">
        <v>5.2</v>
      </c>
      <c r="R61" s="13"/>
      <c r="S61" s="13"/>
      <c r="T61" s="213"/>
      <c r="U61" s="13"/>
    </row>
    <row r="62" customFormat="1" spans="1:21">
      <c r="A62" s="142" t="s">
        <v>1451</v>
      </c>
      <c r="B62" s="165">
        <v>6.25</v>
      </c>
      <c r="C62" s="165">
        <v>62.4</v>
      </c>
      <c r="D62" s="165">
        <v>38.96</v>
      </c>
      <c r="E62" s="165">
        <v>8.16</v>
      </c>
      <c r="F62" s="165">
        <v>16.25</v>
      </c>
      <c r="G62" s="165">
        <v>64.97</v>
      </c>
      <c r="H62" s="165">
        <v>23.22</v>
      </c>
      <c r="I62" s="165">
        <v>5.76</v>
      </c>
      <c r="J62" s="165">
        <v>1.56</v>
      </c>
      <c r="K62" s="165">
        <v>298.42</v>
      </c>
      <c r="L62" s="165">
        <v>38.5</v>
      </c>
      <c r="M62" s="165">
        <v>16.63</v>
      </c>
      <c r="N62" s="165">
        <v>597.1</v>
      </c>
      <c r="O62" s="165">
        <v>0</v>
      </c>
      <c r="P62" s="165">
        <v>0.65</v>
      </c>
      <c r="Q62" s="165">
        <v>5.16</v>
      </c>
      <c r="R62" s="13"/>
      <c r="S62" s="13"/>
      <c r="T62" s="213"/>
      <c r="U62" s="13"/>
    </row>
    <row r="63" customFormat="1" spans="1:21">
      <c r="A63" s="142" t="s">
        <v>1452</v>
      </c>
      <c r="B63" s="165">
        <v>6.57</v>
      </c>
      <c r="C63" s="165">
        <v>58.89</v>
      </c>
      <c r="D63" s="165">
        <v>37.39</v>
      </c>
      <c r="E63" s="165">
        <v>9.4</v>
      </c>
      <c r="F63" s="165">
        <v>19.83</v>
      </c>
      <c r="G63" s="165">
        <v>62.66</v>
      </c>
      <c r="H63" s="165">
        <v>21.93</v>
      </c>
      <c r="I63" s="165">
        <v>5.69</v>
      </c>
      <c r="J63" s="165">
        <v>1.12</v>
      </c>
      <c r="K63" s="165">
        <v>7.31</v>
      </c>
      <c r="L63" s="165">
        <v>38.17</v>
      </c>
      <c r="M63" s="165">
        <v>16.63</v>
      </c>
      <c r="N63" s="165">
        <v>331.2</v>
      </c>
      <c r="O63" s="165">
        <v>0</v>
      </c>
      <c r="P63" s="165">
        <v>0.62</v>
      </c>
      <c r="Q63" s="165">
        <v>5.13</v>
      </c>
      <c r="R63" s="13"/>
      <c r="S63" s="13"/>
      <c r="T63" s="213"/>
      <c r="U63" s="13"/>
    </row>
    <row r="64" customFormat="1" spans="1:21">
      <c r="A64" s="142" t="s">
        <v>1453</v>
      </c>
      <c r="B64" s="165">
        <v>6.3</v>
      </c>
      <c r="C64" s="165">
        <v>58.34</v>
      </c>
      <c r="D64" s="165">
        <v>36.88</v>
      </c>
      <c r="E64" s="165">
        <v>8.76</v>
      </c>
      <c r="F64" s="165">
        <v>18.89</v>
      </c>
      <c r="G64" s="165">
        <v>56.97</v>
      </c>
      <c r="H64" s="165">
        <v>19.88</v>
      </c>
      <c r="I64" s="165">
        <v>5.52</v>
      </c>
      <c r="J64" s="165">
        <v>0.83</v>
      </c>
      <c r="K64" s="165">
        <v>343.67</v>
      </c>
      <c r="L64" s="165">
        <v>38.22</v>
      </c>
      <c r="M64" s="165">
        <v>16.29</v>
      </c>
      <c r="N64" s="165">
        <v>628.5</v>
      </c>
      <c r="O64" s="165">
        <v>0</v>
      </c>
      <c r="P64" s="165">
        <v>0.61</v>
      </c>
      <c r="Q64" s="165">
        <v>5.07</v>
      </c>
      <c r="R64" s="13"/>
      <c r="S64" s="13"/>
      <c r="T64" s="213"/>
      <c r="U64" s="13"/>
    </row>
    <row r="65" customFormat="1" spans="1:21">
      <c r="A65" s="142" t="s">
        <v>1454</v>
      </c>
      <c r="B65" s="165">
        <v>6.42</v>
      </c>
      <c r="C65" s="165">
        <v>61.16</v>
      </c>
      <c r="D65" s="165">
        <v>38.45</v>
      </c>
      <c r="E65" s="165">
        <v>7.84</v>
      </c>
      <c r="F65" s="165">
        <v>16.15</v>
      </c>
      <c r="G65" s="165">
        <v>56.97</v>
      </c>
      <c r="H65" s="165">
        <v>19.88</v>
      </c>
      <c r="I65" s="165">
        <v>5.23</v>
      </c>
      <c r="J65" s="165">
        <v>1.47</v>
      </c>
      <c r="K65" s="165">
        <v>301.71</v>
      </c>
      <c r="L65" s="165">
        <v>38.92</v>
      </c>
      <c r="M65" s="165">
        <v>15.17</v>
      </c>
      <c r="N65" s="165">
        <v>680.7</v>
      </c>
      <c r="O65" s="165">
        <v>0</v>
      </c>
      <c r="P65" s="165">
        <v>0.56</v>
      </c>
      <c r="Q65" s="165">
        <v>5.03</v>
      </c>
      <c r="R65" s="13"/>
      <c r="S65" s="13"/>
      <c r="T65" s="213"/>
      <c r="U65" s="13"/>
    </row>
    <row r="66" customFormat="1" spans="1:21">
      <c r="A66" s="142" t="s">
        <v>1455</v>
      </c>
      <c r="B66" s="165">
        <v>6.23</v>
      </c>
      <c r="C66" s="165">
        <v>59.93</v>
      </c>
      <c r="D66" s="165">
        <v>37.65</v>
      </c>
      <c r="E66" s="165">
        <v>8.31</v>
      </c>
      <c r="F66" s="165">
        <v>18</v>
      </c>
      <c r="G66" s="165">
        <v>56.97</v>
      </c>
      <c r="H66" s="165">
        <v>19.88</v>
      </c>
      <c r="I66" s="165">
        <v>5.09</v>
      </c>
      <c r="J66" s="165">
        <v>1.33</v>
      </c>
      <c r="K66" s="165">
        <v>308.28</v>
      </c>
      <c r="L66" s="165">
        <v>39.14</v>
      </c>
      <c r="M66" s="165">
        <v>15.56</v>
      </c>
      <c r="N66" s="165">
        <v>540.1</v>
      </c>
      <c r="O66" s="165">
        <v>0</v>
      </c>
      <c r="P66" s="165">
        <v>0.56</v>
      </c>
      <c r="Q66" s="165">
        <v>4.99</v>
      </c>
      <c r="R66" s="13"/>
      <c r="S66" s="13"/>
      <c r="T66" s="213"/>
      <c r="U66" s="13"/>
    </row>
    <row r="67" customFormat="1" spans="1:21">
      <c r="A67" s="142" t="s">
        <v>1456</v>
      </c>
      <c r="B67" s="165">
        <v>6.16</v>
      </c>
      <c r="C67" s="165">
        <v>57.65</v>
      </c>
      <c r="D67" s="165">
        <v>36.41</v>
      </c>
      <c r="E67" s="165">
        <v>8.53</v>
      </c>
      <c r="F67" s="165">
        <v>23.72</v>
      </c>
      <c r="G67" s="165">
        <v>56.83</v>
      </c>
      <c r="H67" s="165">
        <v>20.07</v>
      </c>
      <c r="I67" s="165">
        <v>5.08</v>
      </c>
      <c r="J67" s="165">
        <v>1.14</v>
      </c>
      <c r="K67" s="165">
        <v>312.28</v>
      </c>
      <c r="L67" s="165">
        <v>38.96</v>
      </c>
      <c r="M67" s="165">
        <v>15.56</v>
      </c>
      <c r="N67" s="165">
        <v>370.9</v>
      </c>
      <c r="O67" s="165">
        <v>0</v>
      </c>
      <c r="P67" s="165">
        <v>0.54</v>
      </c>
      <c r="Q67" s="165">
        <v>4.97</v>
      </c>
      <c r="R67" s="13"/>
      <c r="S67" s="13"/>
      <c r="T67" s="213"/>
      <c r="U67" s="13"/>
    </row>
    <row r="68" customFormat="1" spans="1:21">
      <c r="A68" s="142" t="s">
        <v>1457</v>
      </c>
      <c r="B68" s="165">
        <v>6.19</v>
      </c>
      <c r="C68" s="165">
        <v>58.35</v>
      </c>
      <c r="D68" s="165">
        <v>36.8</v>
      </c>
      <c r="E68" s="165">
        <v>7.86</v>
      </c>
      <c r="F68" s="165">
        <v>22.48</v>
      </c>
      <c r="G68" s="165">
        <v>56.47</v>
      </c>
      <c r="H68" s="165">
        <v>20.35</v>
      </c>
      <c r="I68" s="165">
        <v>4.85</v>
      </c>
      <c r="J68" s="165">
        <v>1.08</v>
      </c>
      <c r="K68" s="165">
        <v>307.87</v>
      </c>
      <c r="L68" s="165">
        <v>38.32</v>
      </c>
      <c r="M68" s="165">
        <v>16.05</v>
      </c>
      <c r="N68" s="165">
        <v>233.6</v>
      </c>
      <c r="O68" s="165">
        <v>0</v>
      </c>
      <c r="P68" s="165">
        <v>0.54</v>
      </c>
      <c r="Q68" s="165">
        <v>4.94</v>
      </c>
      <c r="R68" s="13"/>
      <c r="S68" s="13"/>
      <c r="T68" s="213"/>
      <c r="U68" s="13"/>
    </row>
    <row r="69" customFormat="1" spans="1:21">
      <c r="A69" s="142" t="s">
        <v>1458</v>
      </c>
      <c r="B69" s="165">
        <v>6.92</v>
      </c>
      <c r="C69" s="165">
        <v>58.42</v>
      </c>
      <c r="D69" s="165">
        <v>37.43</v>
      </c>
      <c r="E69" s="165">
        <v>7.65</v>
      </c>
      <c r="F69" s="165">
        <v>22.52</v>
      </c>
      <c r="G69" s="165">
        <v>56.47</v>
      </c>
      <c r="H69" s="165">
        <v>20.35</v>
      </c>
      <c r="I69" s="165">
        <v>4.73</v>
      </c>
      <c r="J69" s="165">
        <v>1.12</v>
      </c>
      <c r="K69" s="165">
        <v>26.28</v>
      </c>
      <c r="L69" s="165">
        <v>38.52</v>
      </c>
      <c r="M69" s="165">
        <v>15.1</v>
      </c>
      <c r="N69" s="165">
        <v>264.9</v>
      </c>
      <c r="O69" s="165">
        <v>0</v>
      </c>
      <c r="P69" s="165">
        <v>0.53</v>
      </c>
      <c r="Q69" s="165">
        <v>4.95</v>
      </c>
      <c r="R69" s="13"/>
      <c r="S69" s="13"/>
      <c r="T69" s="213"/>
      <c r="U69" s="13"/>
    </row>
    <row r="70" customFormat="1" spans="1:21">
      <c r="A70" s="142" t="s">
        <v>1459</v>
      </c>
      <c r="B70" s="165">
        <v>6.81</v>
      </c>
      <c r="C70" s="165">
        <v>56.47</v>
      </c>
      <c r="D70" s="165">
        <v>36.31</v>
      </c>
      <c r="E70" s="165">
        <v>8.24</v>
      </c>
      <c r="F70" s="165">
        <v>29.74</v>
      </c>
      <c r="G70" s="165">
        <v>56.47</v>
      </c>
      <c r="H70" s="165">
        <v>20.35</v>
      </c>
      <c r="I70" s="165">
        <v>4.6</v>
      </c>
      <c r="J70" s="165">
        <v>1.41</v>
      </c>
      <c r="K70" s="165">
        <v>31.28</v>
      </c>
      <c r="L70" s="165">
        <v>38.01</v>
      </c>
      <c r="M70" s="165">
        <v>15.21</v>
      </c>
      <c r="N70" s="165">
        <v>221.3</v>
      </c>
      <c r="O70" s="165">
        <v>0</v>
      </c>
      <c r="P70" s="165">
        <v>0.52</v>
      </c>
      <c r="Q70" s="165">
        <v>4.97</v>
      </c>
      <c r="R70" s="13"/>
      <c r="S70" s="13"/>
      <c r="T70" s="213"/>
      <c r="U70" s="13"/>
    </row>
    <row r="71" customFormat="1" spans="1:21">
      <c r="A71" s="142" t="s">
        <v>1460</v>
      </c>
      <c r="B71" s="165">
        <v>7.95</v>
      </c>
      <c r="C71" s="165">
        <v>54.45</v>
      </c>
      <c r="D71" s="165">
        <v>36.18</v>
      </c>
      <c r="E71" s="165">
        <v>9.16</v>
      </c>
      <c r="F71" s="165">
        <v>34.03</v>
      </c>
      <c r="G71" s="165">
        <v>54.29</v>
      </c>
      <c r="H71" s="165">
        <v>19.94</v>
      </c>
      <c r="I71" s="165">
        <v>4.54</v>
      </c>
      <c r="J71" s="165">
        <v>1.23</v>
      </c>
      <c r="K71" s="165">
        <v>34.2</v>
      </c>
      <c r="L71" s="165">
        <v>38.46</v>
      </c>
      <c r="M71" s="165">
        <v>15.91</v>
      </c>
      <c r="N71" s="165">
        <v>325.2</v>
      </c>
      <c r="O71" s="165">
        <v>0</v>
      </c>
      <c r="P71" s="165">
        <v>0.51</v>
      </c>
      <c r="Q71" s="165">
        <v>4.98</v>
      </c>
      <c r="R71" s="13"/>
      <c r="S71" s="13"/>
      <c r="T71" s="213"/>
      <c r="U71" s="13"/>
    </row>
    <row r="72" customFormat="1" spans="1:21">
      <c r="A72" s="142" t="s">
        <v>1461</v>
      </c>
      <c r="B72" s="165">
        <v>7.49</v>
      </c>
      <c r="C72" s="165">
        <v>57.79</v>
      </c>
      <c r="D72" s="165">
        <v>37.55</v>
      </c>
      <c r="E72" s="165">
        <v>7.46</v>
      </c>
      <c r="F72" s="165">
        <v>21.22</v>
      </c>
      <c r="G72" s="165">
        <v>48.92</v>
      </c>
      <c r="H72" s="165">
        <v>19.27</v>
      </c>
      <c r="I72" s="165">
        <v>4.25</v>
      </c>
      <c r="J72" s="165">
        <v>1.45</v>
      </c>
      <c r="K72" s="165">
        <v>305.58</v>
      </c>
      <c r="L72" s="165">
        <v>38.7</v>
      </c>
      <c r="M72" s="165">
        <v>15.32</v>
      </c>
      <c r="N72" s="165">
        <v>409</v>
      </c>
      <c r="O72" s="165">
        <v>0</v>
      </c>
      <c r="P72" s="165">
        <v>0.51</v>
      </c>
      <c r="Q72" s="165">
        <v>4.95</v>
      </c>
      <c r="R72" s="13"/>
      <c r="S72" s="13"/>
      <c r="T72" s="213"/>
      <c r="U72" s="13"/>
    </row>
    <row r="73" customFormat="1" spans="1:21">
      <c r="A73" s="142" t="s">
        <v>1462</v>
      </c>
      <c r="B73" s="165">
        <v>7.49</v>
      </c>
      <c r="C73" s="165">
        <v>55.46</v>
      </c>
      <c r="D73" s="165">
        <v>36.33</v>
      </c>
      <c r="E73" s="165">
        <v>8.12</v>
      </c>
      <c r="F73" s="165">
        <v>30.24</v>
      </c>
      <c r="G73" s="165">
        <v>48.92</v>
      </c>
      <c r="H73" s="165">
        <v>19.27</v>
      </c>
      <c r="I73" s="165">
        <v>4.05</v>
      </c>
      <c r="J73" s="165">
        <v>1.06</v>
      </c>
      <c r="K73" s="165">
        <v>9.66</v>
      </c>
      <c r="L73" s="165">
        <v>38.81</v>
      </c>
      <c r="M73" s="165">
        <v>15.55</v>
      </c>
      <c r="N73" s="165">
        <v>341.6</v>
      </c>
      <c r="O73" s="165">
        <v>0</v>
      </c>
      <c r="P73" s="165">
        <v>0.49</v>
      </c>
      <c r="Q73" s="165">
        <v>4.96</v>
      </c>
      <c r="R73" s="13"/>
      <c r="S73" s="13"/>
      <c r="T73" s="213"/>
      <c r="U73" s="13"/>
    </row>
    <row r="74" customFormat="1" spans="1:21">
      <c r="A74" s="142" t="s">
        <v>1463</v>
      </c>
      <c r="B74" s="165">
        <v>7.52</v>
      </c>
      <c r="C74" s="165">
        <v>56.24</v>
      </c>
      <c r="D74" s="165">
        <v>36.77</v>
      </c>
      <c r="E74" s="165">
        <v>7.69</v>
      </c>
      <c r="F74" s="165">
        <v>21.75</v>
      </c>
      <c r="G74" s="165">
        <v>48.92</v>
      </c>
      <c r="H74" s="165">
        <v>19.27</v>
      </c>
      <c r="I74" s="165">
        <v>4.2</v>
      </c>
      <c r="J74" s="165">
        <v>1.13</v>
      </c>
      <c r="K74" s="165">
        <v>314.64</v>
      </c>
      <c r="L74" s="165">
        <v>38.35</v>
      </c>
      <c r="M74" s="165">
        <v>15.28</v>
      </c>
      <c r="N74" s="165">
        <v>273</v>
      </c>
      <c r="O74" s="165">
        <v>0</v>
      </c>
      <c r="P74" s="165">
        <v>0.49</v>
      </c>
      <c r="Q74" s="165">
        <v>4.93</v>
      </c>
      <c r="R74" s="13"/>
      <c r="S74" s="13"/>
      <c r="T74" s="213"/>
      <c r="U74" s="13"/>
    </row>
    <row r="75" customFormat="1" spans="1:21">
      <c r="A75" s="142" t="s">
        <v>1464</v>
      </c>
      <c r="B75" s="165">
        <v>7.32</v>
      </c>
      <c r="C75" s="165">
        <v>58.55</v>
      </c>
      <c r="D75" s="165">
        <v>37.81</v>
      </c>
      <c r="E75" s="165">
        <v>7.67</v>
      </c>
      <c r="F75" s="165">
        <v>16.92</v>
      </c>
      <c r="G75" s="165">
        <v>47.76</v>
      </c>
      <c r="H75" s="165">
        <v>17.75</v>
      </c>
      <c r="I75" s="165">
        <v>4.07</v>
      </c>
      <c r="J75" s="165">
        <v>1.66</v>
      </c>
      <c r="K75" s="165">
        <v>294.3</v>
      </c>
      <c r="L75" s="165">
        <v>37.87</v>
      </c>
      <c r="M75" s="165">
        <v>15.17</v>
      </c>
      <c r="N75" s="165">
        <v>188.3</v>
      </c>
      <c r="O75" s="165">
        <v>0</v>
      </c>
      <c r="P75" s="165">
        <v>0.48</v>
      </c>
      <c r="Q75" s="165">
        <v>4.89</v>
      </c>
      <c r="R75" s="13"/>
      <c r="S75" s="13"/>
      <c r="T75" s="213"/>
      <c r="U75" s="13"/>
    </row>
    <row r="76" customFormat="1" spans="1:21">
      <c r="A76" s="142" t="s">
        <v>1465</v>
      </c>
      <c r="B76" s="165">
        <v>7.34</v>
      </c>
      <c r="C76" s="165">
        <v>54.22</v>
      </c>
      <c r="D76" s="165">
        <v>35.56</v>
      </c>
      <c r="E76" s="165">
        <v>8.95</v>
      </c>
      <c r="F76" s="165">
        <v>33.13</v>
      </c>
      <c r="G76" s="165">
        <v>44.91</v>
      </c>
      <c r="H76" s="165">
        <v>15.34</v>
      </c>
      <c r="I76" s="165">
        <v>4.13</v>
      </c>
      <c r="J76" s="165">
        <v>0.84</v>
      </c>
      <c r="K76" s="165">
        <v>347.69</v>
      </c>
      <c r="L76" s="165">
        <v>37.57</v>
      </c>
      <c r="M76" s="165">
        <v>16.14</v>
      </c>
      <c r="N76" s="165">
        <v>109.3</v>
      </c>
      <c r="O76" s="165">
        <v>0</v>
      </c>
      <c r="P76" s="165">
        <v>0.47</v>
      </c>
      <c r="Q76" s="165">
        <v>4.91</v>
      </c>
      <c r="R76" s="13"/>
      <c r="S76" s="13"/>
      <c r="T76" s="213"/>
      <c r="U76" s="13"/>
    </row>
    <row r="77" customFormat="1" spans="1:21">
      <c r="A77" s="142" t="s">
        <v>1466</v>
      </c>
      <c r="B77" s="165">
        <v>7.66</v>
      </c>
      <c r="C77" s="165">
        <v>59.04</v>
      </c>
      <c r="D77" s="165">
        <v>38.34</v>
      </c>
      <c r="E77" s="165">
        <v>8.21</v>
      </c>
      <c r="F77" s="165">
        <v>14.08</v>
      </c>
      <c r="G77" s="165">
        <v>44.91</v>
      </c>
      <c r="H77" s="165">
        <v>15.34</v>
      </c>
      <c r="I77" s="165">
        <v>4.09</v>
      </c>
      <c r="J77" s="165">
        <v>1.95</v>
      </c>
      <c r="K77" s="165">
        <v>294.82</v>
      </c>
      <c r="L77" s="165">
        <v>36.84</v>
      </c>
      <c r="M77" s="165">
        <v>17.48</v>
      </c>
      <c r="N77" s="165">
        <v>56.1</v>
      </c>
      <c r="O77" s="165">
        <v>0</v>
      </c>
      <c r="P77" s="165">
        <v>0.5</v>
      </c>
      <c r="Q77" s="165">
        <v>4.91</v>
      </c>
      <c r="R77" s="13"/>
      <c r="S77" s="13"/>
      <c r="T77" s="213"/>
      <c r="U77" s="13"/>
    </row>
    <row r="78" customFormat="1" spans="1:21">
      <c r="A78" s="142" t="s">
        <v>1467</v>
      </c>
      <c r="B78" s="165">
        <v>7.7</v>
      </c>
      <c r="C78" s="165">
        <v>62.55</v>
      </c>
      <c r="D78" s="165">
        <v>40.21</v>
      </c>
      <c r="E78" s="165">
        <v>7.58</v>
      </c>
      <c r="F78" s="165">
        <v>12.09</v>
      </c>
      <c r="G78" s="165">
        <v>44.91</v>
      </c>
      <c r="H78" s="165">
        <v>15.34</v>
      </c>
      <c r="I78" s="165">
        <v>3.87</v>
      </c>
      <c r="J78" s="165">
        <v>2.42</v>
      </c>
      <c r="K78" s="165">
        <v>288</v>
      </c>
      <c r="L78" s="165">
        <v>36.3</v>
      </c>
      <c r="M78" s="165">
        <v>18.39</v>
      </c>
      <c r="N78" s="165">
        <v>61.7</v>
      </c>
      <c r="O78" s="165">
        <v>0</v>
      </c>
      <c r="P78" s="165">
        <v>0.49</v>
      </c>
      <c r="Q78" s="165">
        <v>4.92</v>
      </c>
      <c r="R78" s="13"/>
      <c r="S78" s="13"/>
      <c r="T78" s="213"/>
      <c r="U78" s="13"/>
    </row>
    <row r="79" customFormat="1" spans="1:21">
      <c r="A79" s="142" t="s">
        <v>1468</v>
      </c>
      <c r="B79" s="165">
        <v>7.57</v>
      </c>
      <c r="C79" s="165">
        <v>59.11</v>
      </c>
      <c r="D79" s="165">
        <v>38.3</v>
      </c>
      <c r="E79" s="165">
        <v>7.47</v>
      </c>
      <c r="F79" s="165">
        <v>13.62</v>
      </c>
      <c r="G79" s="165">
        <v>47.37</v>
      </c>
      <c r="H79" s="165">
        <v>15.66</v>
      </c>
      <c r="I79" s="165">
        <v>4.14</v>
      </c>
      <c r="J79" s="165">
        <v>2.08</v>
      </c>
      <c r="K79" s="165">
        <v>294.88</v>
      </c>
      <c r="L79" s="165">
        <v>36.08</v>
      </c>
      <c r="M79" s="165">
        <v>18.45</v>
      </c>
      <c r="N79" s="165">
        <v>64.3</v>
      </c>
      <c r="O79" s="165">
        <v>0</v>
      </c>
      <c r="P79" s="165">
        <v>0.49</v>
      </c>
      <c r="Q79" s="165">
        <v>4.93</v>
      </c>
      <c r="R79" s="13"/>
      <c r="S79" s="13"/>
      <c r="T79" s="213"/>
      <c r="U79" s="13"/>
    </row>
    <row r="80" customFormat="1" spans="1:21">
      <c r="A80" s="142" t="s">
        <v>1469</v>
      </c>
      <c r="B80" s="165">
        <v>7.42</v>
      </c>
      <c r="C80" s="165">
        <v>58.63</v>
      </c>
      <c r="D80" s="165">
        <v>37.94</v>
      </c>
      <c r="E80" s="165">
        <v>7.38</v>
      </c>
      <c r="F80" s="165">
        <v>12.67</v>
      </c>
      <c r="G80" s="165">
        <v>53.42</v>
      </c>
      <c r="H80" s="165">
        <v>16.15</v>
      </c>
      <c r="I80" s="165">
        <v>4.33</v>
      </c>
      <c r="J80" s="165">
        <v>1.8</v>
      </c>
      <c r="K80" s="165">
        <v>290.28</v>
      </c>
      <c r="L80" s="165">
        <v>35.68</v>
      </c>
      <c r="M80" s="165">
        <v>18.32</v>
      </c>
      <c r="N80" s="165">
        <v>20.4</v>
      </c>
      <c r="O80" s="165">
        <v>0</v>
      </c>
      <c r="P80" s="165">
        <v>0.49</v>
      </c>
      <c r="Q80" s="165">
        <v>4.89</v>
      </c>
      <c r="R80" s="13"/>
      <c r="S80" s="13"/>
      <c r="T80" s="213"/>
      <c r="U80" s="13"/>
    </row>
    <row r="81" customFormat="1" spans="1:21">
      <c r="A81" s="142" t="s">
        <v>1470</v>
      </c>
      <c r="B81" s="165">
        <v>7.82</v>
      </c>
      <c r="C81" s="165">
        <v>61.39</v>
      </c>
      <c r="D81" s="165">
        <v>39.7</v>
      </c>
      <c r="E81" s="165">
        <v>8.03</v>
      </c>
      <c r="F81" s="165">
        <v>12.96</v>
      </c>
      <c r="G81" s="165">
        <v>53.42</v>
      </c>
      <c r="H81" s="165">
        <v>16.15</v>
      </c>
      <c r="I81" s="165">
        <v>4.22</v>
      </c>
      <c r="J81" s="165">
        <v>1.51</v>
      </c>
      <c r="K81" s="165">
        <v>289.96</v>
      </c>
      <c r="L81" s="165">
        <v>35.34</v>
      </c>
      <c r="M81" s="165">
        <v>17.62</v>
      </c>
      <c r="N81" s="165">
        <v>0.8</v>
      </c>
      <c r="O81" s="165">
        <v>0</v>
      </c>
      <c r="P81" s="165">
        <v>0.5</v>
      </c>
      <c r="Q81" s="165">
        <v>4.86</v>
      </c>
      <c r="R81" s="13"/>
      <c r="S81" s="13"/>
      <c r="T81" s="213"/>
      <c r="U81" s="13"/>
    </row>
    <row r="82" customFormat="1" spans="1:21">
      <c r="A82" s="142" t="s">
        <v>1471</v>
      </c>
      <c r="B82" s="165">
        <v>8</v>
      </c>
      <c r="C82" s="165">
        <v>56.32</v>
      </c>
      <c r="D82" s="165">
        <v>37.19</v>
      </c>
      <c r="E82" s="165">
        <v>10.34</v>
      </c>
      <c r="F82" s="165">
        <v>18.52</v>
      </c>
      <c r="G82" s="165">
        <v>53.42</v>
      </c>
      <c r="H82" s="165">
        <v>16.15</v>
      </c>
      <c r="I82" s="165">
        <v>4.2</v>
      </c>
      <c r="J82" s="165">
        <v>1.34</v>
      </c>
      <c r="K82" s="165">
        <v>296.06</v>
      </c>
      <c r="L82" s="165">
        <v>34.94</v>
      </c>
      <c r="M82" s="165">
        <v>18.4</v>
      </c>
      <c r="N82" s="165">
        <v>0</v>
      </c>
      <c r="O82" s="165">
        <v>0</v>
      </c>
      <c r="P82" s="165">
        <v>0.51</v>
      </c>
      <c r="Q82" s="165">
        <v>4.86</v>
      </c>
      <c r="R82" s="13"/>
      <c r="S82" s="13"/>
      <c r="T82" s="213"/>
      <c r="U82" s="13"/>
    </row>
    <row r="83" customFormat="1" spans="1:21">
      <c r="A83" s="142" t="s">
        <v>1472</v>
      </c>
      <c r="B83" s="165">
        <v>8.07</v>
      </c>
      <c r="C83" s="165">
        <v>58.61</v>
      </c>
      <c r="D83" s="165">
        <v>38.44</v>
      </c>
      <c r="E83" s="165">
        <v>10.31</v>
      </c>
      <c r="F83" s="165">
        <v>13.74</v>
      </c>
      <c r="G83" s="165">
        <v>54.32</v>
      </c>
      <c r="H83" s="165">
        <v>16.48</v>
      </c>
      <c r="I83" s="165">
        <v>4.32</v>
      </c>
      <c r="J83" s="165">
        <v>1.58</v>
      </c>
      <c r="K83" s="165">
        <v>294.34</v>
      </c>
      <c r="L83" s="165">
        <v>34.59</v>
      </c>
      <c r="M83" s="165">
        <v>19.3</v>
      </c>
      <c r="N83" s="165">
        <v>0</v>
      </c>
      <c r="O83" s="165">
        <v>0</v>
      </c>
      <c r="P83" s="165">
        <v>0.52</v>
      </c>
      <c r="Q83" s="165">
        <v>4.86</v>
      </c>
      <c r="R83" s="13"/>
      <c r="S83" s="13"/>
      <c r="T83" s="213"/>
      <c r="U83" s="13"/>
    </row>
    <row r="84" customFormat="1" spans="1:21">
      <c r="A84" s="142" t="s">
        <v>1473</v>
      </c>
      <c r="B84" s="165">
        <v>8.24</v>
      </c>
      <c r="C84" s="165">
        <v>57.21</v>
      </c>
      <c r="D84" s="165">
        <v>37.85</v>
      </c>
      <c r="E84" s="165">
        <v>10.68</v>
      </c>
      <c r="F84" s="165">
        <v>14.81</v>
      </c>
      <c r="G84" s="165">
        <v>56.53</v>
      </c>
      <c r="H84" s="165">
        <v>17.7</v>
      </c>
      <c r="I84" s="165">
        <v>4.48</v>
      </c>
      <c r="J84" s="165">
        <v>1.27</v>
      </c>
      <c r="K84" s="165">
        <v>297.39</v>
      </c>
      <c r="L84" s="165">
        <v>34.23</v>
      </c>
      <c r="M84" s="165">
        <v>20.13</v>
      </c>
      <c r="N84" s="165">
        <v>0</v>
      </c>
      <c r="O84" s="165">
        <v>0</v>
      </c>
      <c r="P84" s="165">
        <v>0.52</v>
      </c>
      <c r="Q84" s="165">
        <v>4.91</v>
      </c>
      <c r="R84" s="13"/>
      <c r="S84" s="13"/>
      <c r="T84" s="213"/>
      <c r="U84" s="13"/>
    </row>
    <row r="85" customFormat="1" spans="1:21">
      <c r="A85" s="142" t="s">
        <v>1474</v>
      </c>
      <c r="B85" s="165">
        <v>9.55</v>
      </c>
      <c r="C85" s="165">
        <v>59.5</v>
      </c>
      <c r="D85" s="165">
        <v>40.1</v>
      </c>
      <c r="E85" s="165">
        <v>9.62</v>
      </c>
      <c r="F85" s="165">
        <v>9.57</v>
      </c>
      <c r="G85" s="165">
        <v>56.53</v>
      </c>
      <c r="H85" s="165">
        <v>17.7</v>
      </c>
      <c r="I85" s="165">
        <v>4.53</v>
      </c>
      <c r="J85" s="165">
        <v>1.57</v>
      </c>
      <c r="K85" s="165">
        <v>292.08</v>
      </c>
      <c r="L85" s="165">
        <v>33.97</v>
      </c>
      <c r="M85" s="165">
        <v>20.81</v>
      </c>
      <c r="N85" s="165">
        <v>0</v>
      </c>
      <c r="O85" s="165">
        <v>0</v>
      </c>
      <c r="P85" s="165">
        <v>0.54</v>
      </c>
      <c r="Q85" s="165">
        <v>4.91</v>
      </c>
      <c r="R85" s="13"/>
      <c r="S85" s="13"/>
      <c r="T85" s="213"/>
      <c r="U85" s="13"/>
    </row>
    <row r="86" customFormat="1" spans="1:21">
      <c r="A86" s="142" t="s">
        <v>1475</v>
      </c>
      <c r="B86" s="165">
        <v>9.43</v>
      </c>
      <c r="C86" s="165">
        <v>59.82</v>
      </c>
      <c r="D86" s="165">
        <v>40.17</v>
      </c>
      <c r="E86" s="165">
        <v>9.5</v>
      </c>
      <c r="F86" s="165">
        <v>11.93</v>
      </c>
      <c r="G86" s="165">
        <v>56.53</v>
      </c>
      <c r="H86" s="165">
        <v>17.7</v>
      </c>
      <c r="I86" s="165">
        <v>4.52</v>
      </c>
      <c r="J86" s="165">
        <v>2.15</v>
      </c>
      <c r="K86" s="165">
        <v>295.42</v>
      </c>
      <c r="L86" s="165">
        <v>33.79</v>
      </c>
      <c r="M86" s="165">
        <v>21.11</v>
      </c>
      <c r="N86" s="165">
        <v>0</v>
      </c>
      <c r="O86" s="165">
        <v>0</v>
      </c>
      <c r="P86" s="165">
        <v>0.55</v>
      </c>
      <c r="Q86" s="165">
        <v>4.95</v>
      </c>
      <c r="R86" s="13"/>
      <c r="S86" s="13"/>
      <c r="T86" s="213"/>
      <c r="U86" s="13"/>
    </row>
    <row r="87" customFormat="1" spans="1:21">
      <c r="A87" s="142" t="s">
        <v>1476</v>
      </c>
      <c r="B87" s="165">
        <v>9.39</v>
      </c>
      <c r="C87" s="165">
        <v>60.62</v>
      </c>
      <c r="D87" s="165">
        <v>40.55</v>
      </c>
      <c r="E87" s="165">
        <v>8.55</v>
      </c>
      <c r="F87" s="165">
        <v>8.73</v>
      </c>
      <c r="G87" s="165">
        <v>57.41</v>
      </c>
      <c r="H87" s="165">
        <v>17.76</v>
      </c>
      <c r="I87" s="165">
        <v>4.62</v>
      </c>
      <c r="J87" s="165">
        <v>2.39</v>
      </c>
      <c r="K87" s="165">
        <v>294.46</v>
      </c>
      <c r="L87" s="165">
        <v>33.57</v>
      </c>
      <c r="M87" s="165">
        <v>20.96</v>
      </c>
      <c r="N87" s="165">
        <v>0</v>
      </c>
      <c r="O87" s="165">
        <v>0</v>
      </c>
      <c r="P87" s="165">
        <v>0.55</v>
      </c>
      <c r="Q87" s="165">
        <v>4.95</v>
      </c>
      <c r="R87" s="13"/>
      <c r="S87" s="13"/>
      <c r="T87" s="213"/>
      <c r="U87" s="13"/>
    </row>
    <row r="88" customFormat="1" spans="1:21">
      <c r="A88" s="142" t="s">
        <v>1477</v>
      </c>
      <c r="B88" s="165">
        <v>9.63</v>
      </c>
      <c r="C88" s="165">
        <v>61.25</v>
      </c>
      <c r="D88" s="165">
        <v>41.08</v>
      </c>
      <c r="E88" s="165">
        <v>9.43</v>
      </c>
      <c r="F88" s="165">
        <v>11.75</v>
      </c>
      <c r="G88" s="165">
        <v>59.55</v>
      </c>
      <c r="H88" s="165">
        <v>17.85</v>
      </c>
      <c r="I88" s="165">
        <v>4.7</v>
      </c>
      <c r="J88" s="165">
        <v>1.85</v>
      </c>
      <c r="K88" s="165">
        <v>295.33</v>
      </c>
      <c r="L88" s="165">
        <v>33.33</v>
      </c>
      <c r="M88" s="165">
        <v>21.09</v>
      </c>
      <c r="N88" s="165">
        <v>0</v>
      </c>
      <c r="O88" s="165">
        <v>0</v>
      </c>
      <c r="P88" s="165">
        <v>0.56</v>
      </c>
      <c r="Q88" s="165">
        <v>4.96</v>
      </c>
      <c r="R88" s="13"/>
      <c r="S88" s="13"/>
      <c r="T88" s="213"/>
      <c r="U88" s="13"/>
    </row>
    <row r="89" customFormat="1" spans="1:21">
      <c r="A89" s="142" t="s">
        <v>1478</v>
      </c>
      <c r="B89" s="165">
        <v>9.21</v>
      </c>
      <c r="C89" s="165">
        <v>61.19</v>
      </c>
      <c r="D89" s="165">
        <v>40.71</v>
      </c>
      <c r="E89" s="165">
        <v>8.37</v>
      </c>
      <c r="F89" s="165">
        <v>9.45</v>
      </c>
      <c r="G89" s="165">
        <v>59.55</v>
      </c>
      <c r="H89" s="165">
        <v>17.85</v>
      </c>
      <c r="I89" s="165">
        <v>4.78</v>
      </c>
      <c r="J89" s="165">
        <v>2.36</v>
      </c>
      <c r="K89" s="165">
        <v>291.46</v>
      </c>
      <c r="L89" s="165">
        <v>33.3</v>
      </c>
      <c r="M89" s="165">
        <v>20.43</v>
      </c>
      <c r="N89" s="165">
        <v>0</v>
      </c>
      <c r="O89" s="165">
        <v>0</v>
      </c>
      <c r="P89" s="165">
        <v>0.55</v>
      </c>
      <c r="Q89" s="165">
        <v>4.95</v>
      </c>
      <c r="R89" s="13"/>
      <c r="S89" s="13"/>
      <c r="T89" s="213"/>
      <c r="U89" s="13"/>
    </row>
    <row r="90" customFormat="1" spans="1:21">
      <c r="A90" s="142" t="s">
        <v>1479</v>
      </c>
      <c r="B90" s="165">
        <v>8.95</v>
      </c>
      <c r="C90" s="165">
        <v>61.71</v>
      </c>
      <c r="D90" s="165">
        <v>40.76</v>
      </c>
      <c r="E90" s="165">
        <v>7.8</v>
      </c>
      <c r="F90" s="165">
        <v>9.46</v>
      </c>
      <c r="G90" s="165">
        <v>59.55</v>
      </c>
      <c r="H90" s="165">
        <v>17.85</v>
      </c>
      <c r="I90" s="165">
        <v>4.83</v>
      </c>
      <c r="J90" s="165">
        <v>2.16</v>
      </c>
      <c r="K90" s="165">
        <v>294.38</v>
      </c>
      <c r="L90" s="165">
        <v>33.16</v>
      </c>
      <c r="M90" s="165">
        <v>20.47</v>
      </c>
      <c r="N90" s="165">
        <v>0</v>
      </c>
      <c r="O90" s="165">
        <v>0</v>
      </c>
      <c r="P90" s="165">
        <v>0.56</v>
      </c>
      <c r="Q90" s="165">
        <v>4.97</v>
      </c>
      <c r="R90" s="13"/>
      <c r="S90" s="13"/>
      <c r="T90" s="213"/>
      <c r="U90" s="13"/>
    </row>
    <row r="91" customFormat="1" spans="1:21">
      <c r="A91" s="142" t="s">
        <v>1480</v>
      </c>
      <c r="B91" s="165">
        <v>8.62</v>
      </c>
      <c r="C91" s="165">
        <v>61.28</v>
      </c>
      <c r="D91" s="165">
        <v>40.28</v>
      </c>
      <c r="E91" s="165">
        <v>8.03</v>
      </c>
      <c r="F91" s="165">
        <v>11.73</v>
      </c>
      <c r="G91" s="165">
        <v>58.2</v>
      </c>
      <c r="H91" s="165">
        <v>17.04</v>
      </c>
      <c r="I91" s="165">
        <v>4.83</v>
      </c>
      <c r="J91" s="165">
        <v>1.17</v>
      </c>
      <c r="K91" s="165">
        <v>302.44</v>
      </c>
      <c r="L91" s="165">
        <v>32.92</v>
      </c>
      <c r="M91" s="165">
        <v>20.89</v>
      </c>
      <c r="N91" s="165">
        <v>0</v>
      </c>
      <c r="O91" s="165">
        <v>0</v>
      </c>
      <c r="P91" s="165">
        <v>0.57</v>
      </c>
      <c r="Q91" s="165">
        <v>4.98</v>
      </c>
      <c r="R91" s="13"/>
      <c r="S91" s="13"/>
      <c r="T91" s="213"/>
      <c r="U91" s="13"/>
    </row>
    <row r="92" customFormat="1" spans="1:21">
      <c r="A92" s="142" t="s">
        <v>1481</v>
      </c>
      <c r="B92" s="165">
        <v>8.74</v>
      </c>
      <c r="C92" s="165">
        <v>59.19</v>
      </c>
      <c r="D92" s="165">
        <v>39.28</v>
      </c>
      <c r="E92" s="165">
        <v>7.94</v>
      </c>
      <c r="F92" s="165">
        <v>12.39</v>
      </c>
      <c r="G92" s="165">
        <v>54.88</v>
      </c>
      <c r="H92" s="165">
        <v>15.77</v>
      </c>
      <c r="I92" s="165">
        <v>4.88</v>
      </c>
      <c r="J92" s="165">
        <v>0.93</v>
      </c>
      <c r="K92" s="165">
        <v>313.07</v>
      </c>
      <c r="L92" s="165">
        <v>32.68</v>
      </c>
      <c r="M92" s="165">
        <v>21.23</v>
      </c>
      <c r="N92" s="165">
        <v>0</v>
      </c>
      <c r="O92" s="165">
        <v>0</v>
      </c>
      <c r="P92" s="165">
        <v>0.57</v>
      </c>
      <c r="Q92" s="165">
        <v>4.98</v>
      </c>
      <c r="R92" s="13"/>
      <c r="S92" s="13"/>
      <c r="T92" s="213"/>
      <c r="U92" s="13"/>
    </row>
    <row r="93" customFormat="1" spans="1:21">
      <c r="A93" s="142" t="s">
        <v>1482</v>
      </c>
      <c r="B93" s="165">
        <v>8.65</v>
      </c>
      <c r="C93" s="165">
        <v>58.48</v>
      </c>
      <c r="D93" s="165">
        <v>38.84</v>
      </c>
      <c r="E93" s="165">
        <v>7.53</v>
      </c>
      <c r="F93" s="165">
        <v>11.94</v>
      </c>
      <c r="G93" s="165">
        <v>54.88</v>
      </c>
      <c r="H93" s="165">
        <v>15.77</v>
      </c>
      <c r="I93" s="165">
        <v>4.85</v>
      </c>
      <c r="J93" s="165">
        <v>0.74</v>
      </c>
      <c r="K93" s="165">
        <v>337.8</v>
      </c>
      <c r="L93" s="165">
        <v>32.36</v>
      </c>
      <c r="M93" s="165">
        <v>21.82</v>
      </c>
      <c r="N93" s="165">
        <v>0</v>
      </c>
      <c r="O93" s="165">
        <v>0</v>
      </c>
      <c r="P93" s="165">
        <v>0.57</v>
      </c>
      <c r="Q93" s="165">
        <v>4.95</v>
      </c>
      <c r="R93" s="13"/>
      <c r="S93" s="13"/>
      <c r="T93" s="213"/>
      <c r="U93" s="13"/>
    </row>
    <row r="94" customFormat="1" spans="1:21">
      <c r="A94" s="142" t="s">
        <v>1483</v>
      </c>
      <c r="B94" s="165">
        <v>7.92</v>
      </c>
      <c r="C94" s="165">
        <v>60.91</v>
      </c>
      <c r="D94" s="165">
        <v>39.53</v>
      </c>
      <c r="E94" s="165">
        <v>6.76</v>
      </c>
      <c r="F94" s="165">
        <v>10.53</v>
      </c>
      <c r="G94" s="165">
        <v>54.88</v>
      </c>
      <c r="H94" s="165">
        <v>15.77</v>
      </c>
      <c r="I94" s="165">
        <v>4.87</v>
      </c>
      <c r="J94" s="165">
        <v>0.9</v>
      </c>
      <c r="K94" s="165">
        <v>299.52</v>
      </c>
      <c r="L94" s="165">
        <v>32.11</v>
      </c>
      <c r="M94" s="165">
        <v>22.39</v>
      </c>
      <c r="N94" s="165">
        <v>0</v>
      </c>
      <c r="O94" s="165">
        <v>0</v>
      </c>
      <c r="P94" s="165">
        <v>0.56</v>
      </c>
      <c r="Q94" s="165">
        <v>4.95</v>
      </c>
      <c r="R94" s="13"/>
      <c r="S94" s="13"/>
      <c r="T94" s="213"/>
      <c r="U94" s="13"/>
    </row>
    <row r="95" customFormat="1" spans="1:21">
      <c r="A95" s="142" t="s">
        <v>1484</v>
      </c>
      <c r="B95" s="165">
        <v>7.85</v>
      </c>
      <c r="C95" s="165">
        <v>61.11</v>
      </c>
      <c r="D95" s="165">
        <v>39.57</v>
      </c>
      <c r="E95" s="165">
        <v>7.55</v>
      </c>
      <c r="F95" s="165">
        <v>11.56</v>
      </c>
      <c r="G95" s="165">
        <v>53.6</v>
      </c>
      <c r="H95" s="165">
        <v>15.71</v>
      </c>
      <c r="I95" s="165">
        <v>4.81</v>
      </c>
      <c r="J95" s="165">
        <v>0.51</v>
      </c>
      <c r="K95" s="165">
        <v>353.67</v>
      </c>
      <c r="L95" s="165">
        <v>31.94</v>
      </c>
      <c r="M95" s="165">
        <v>22.84</v>
      </c>
      <c r="N95" s="165">
        <v>0</v>
      </c>
      <c r="O95" s="165">
        <v>0</v>
      </c>
      <c r="P95" s="165">
        <v>0.55</v>
      </c>
      <c r="Q95" s="165">
        <v>4.99</v>
      </c>
      <c r="R95" s="13"/>
      <c r="S95" s="13"/>
      <c r="T95" s="213"/>
      <c r="U95" s="13"/>
    </row>
    <row r="96" customFormat="1" spans="1:26">
      <c r="A96" s="142" t="s">
        <v>1485</v>
      </c>
      <c r="B96" s="165">
        <v>9.47</v>
      </c>
      <c r="C96" s="165">
        <v>63.58</v>
      </c>
      <c r="D96" s="165">
        <v>42.16</v>
      </c>
      <c r="E96" s="165">
        <v>8.2</v>
      </c>
      <c r="F96" s="165">
        <v>8.42</v>
      </c>
      <c r="G96" s="165">
        <v>50.44</v>
      </c>
      <c r="H96" s="165">
        <v>15.61</v>
      </c>
      <c r="I96" s="165">
        <v>4.77</v>
      </c>
      <c r="J96" s="165">
        <v>0.74</v>
      </c>
      <c r="K96" s="165">
        <v>36.45</v>
      </c>
      <c r="L96" s="165">
        <v>31.68</v>
      </c>
      <c r="M96" s="165">
        <v>23.61</v>
      </c>
      <c r="N96" s="165">
        <v>0</v>
      </c>
      <c r="O96" s="165">
        <v>0</v>
      </c>
      <c r="P96" s="165">
        <v>0.55</v>
      </c>
      <c r="Q96" s="165">
        <v>5.02</v>
      </c>
      <c r="R96" s="13"/>
      <c r="S96" s="13"/>
      <c r="T96" s="213"/>
      <c r="U96" s="13"/>
      <c r="Z96" s="222"/>
    </row>
    <row r="97" customFormat="1" spans="1:21">
      <c r="A97" s="142" t="s">
        <v>1486</v>
      </c>
      <c r="B97" s="165">
        <v>10.72</v>
      </c>
      <c r="C97" s="165">
        <v>65.57</v>
      </c>
      <c r="D97" s="165">
        <v>44.21</v>
      </c>
      <c r="E97" s="165">
        <v>11.91</v>
      </c>
      <c r="F97" s="165">
        <v>8.53</v>
      </c>
      <c r="G97" s="165">
        <v>50.44</v>
      </c>
      <c r="H97" s="165">
        <v>15.61</v>
      </c>
      <c r="I97" s="165">
        <v>4.81</v>
      </c>
      <c r="J97" s="165">
        <v>0.37</v>
      </c>
      <c r="K97" s="165">
        <v>35.41</v>
      </c>
      <c r="L97" s="165">
        <v>31.3</v>
      </c>
      <c r="M97" s="165">
        <v>24.5</v>
      </c>
      <c r="N97" s="165">
        <v>0</v>
      </c>
      <c r="O97" s="165">
        <v>0</v>
      </c>
      <c r="P97" s="165">
        <v>0.55</v>
      </c>
      <c r="Q97" s="165">
        <v>5.12</v>
      </c>
      <c r="R97" s="13"/>
      <c r="S97" s="13"/>
      <c r="T97" s="213"/>
      <c r="U97" s="13"/>
    </row>
    <row r="98" customFormat="1" spans="1:21">
      <c r="A98" s="142" t="s">
        <v>1487</v>
      </c>
      <c r="B98" s="165">
        <v>15.6</v>
      </c>
      <c r="C98" s="165">
        <v>67.66</v>
      </c>
      <c r="D98" s="165">
        <v>49.21</v>
      </c>
      <c r="E98" s="165">
        <v>12.59</v>
      </c>
      <c r="F98" s="165">
        <v>6.77</v>
      </c>
      <c r="G98" s="165">
        <v>50.44</v>
      </c>
      <c r="H98" s="165">
        <v>15.61</v>
      </c>
      <c r="I98" s="165">
        <v>4.86</v>
      </c>
      <c r="J98" s="165">
        <v>0.32</v>
      </c>
      <c r="K98" s="165">
        <v>52.84</v>
      </c>
      <c r="L98" s="165">
        <v>31.01</v>
      </c>
      <c r="M98" s="165">
        <v>25.25</v>
      </c>
      <c r="N98" s="165">
        <v>0</v>
      </c>
      <c r="O98" s="165">
        <v>0</v>
      </c>
      <c r="P98" s="165">
        <v>0.56</v>
      </c>
      <c r="Q98" s="165">
        <v>5.2</v>
      </c>
      <c r="R98" s="13"/>
      <c r="S98" s="13"/>
      <c r="T98" s="213"/>
      <c r="U98" s="13"/>
    </row>
    <row r="99" customFormat="1" spans="1:21">
      <c r="A99" s="142" t="s">
        <v>1488</v>
      </c>
      <c r="B99" s="165">
        <v>14.28</v>
      </c>
      <c r="C99" s="165">
        <v>65.52</v>
      </c>
      <c r="D99" s="165">
        <v>47.04</v>
      </c>
      <c r="E99" s="165">
        <v>13.52</v>
      </c>
      <c r="F99" s="165">
        <v>8.29</v>
      </c>
      <c r="G99" s="165">
        <v>51.18</v>
      </c>
      <c r="H99" s="165">
        <v>16.48</v>
      </c>
      <c r="I99" s="165">
        <v>4.8</v>
      </c>
      <c r="J99" s="165">
        <v>0.31</v>
      </c>
      <c r="K99" s="165">
        <v>44.73</v>
      </c>
      <c r="L99" s="165">
        <v>30.59</v>
      </c>
      <c r="M99" s="165">
        <v>26.41</v>
      </c>
      <c r="N99" s="165">
        <v>0</v>
      </c>
      <c r="O99" s="165">
        <v>0</v>
      </c>
      <c r="P99" s="165">
        <v>0.56</v>
      </c>
      <c r="Q99" s="165">
        <v>5.36</v>
      </c>
      <c r="R99" s="13"/>
      <c r="S99" s="13"/>
      <c r="T99" s="213"/>
      <c r="U99" s="13"/>
    </row>
    <row r="100" customFormat="1" spans="1:33">
      <c r="A100" s="142" t="s">
        <v>1489</v>
      </c>
      <c r="B100" s="165">
        <v>16.8</v>
      </c>
      <c r="C100" s="165">
        <v>67.72</v>
      </c>
      <c r="D100" s="165">
        <v>50.2</v>
      </c>
      <c r="E100" s="165">
        <v>11.16</v>
      </c>
      <c r="F100" s="165">
        <v>5.85</v>
      </c>
      <c r="G100" s="165">
        <v>52.97</v>
      </c>
      <c r="H100" s="165">
        <v>17.86</v>
      </c>
      <c r="I100" s="165">
        <v>4.75</v>
      </c>
      <c r="J100" s="165">
        <v>0.28</v>
      </c>
      <c r="K100" s="165">
        <v>47.73</v>
      </c>
      <c r="L100" s="165">
        <v>30.26</v>
      </c>
      <c r="M100" s="165">
        <v>27.12</v>
      </c>
      <c r="N100" s="165">
        <v>0</v>
      </c>
      <c r="O100" s="165">
        <v>0</v>
      </c>
      <c r="P100" s="165">
        <v>0.57</v>
      </c>
      <c r="Q100" s="165">
        <v>5.52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1490</v>
      </c>
      <c r="B101" s="165">
        <v>17.43</v>
      </c>
      <c r="C101" s="165">
        <v>69.12</v>
      </c>
      <c r="D101" s="165">
        <v>51.44</v>
      </c>
      <c r="E101" s="165">
        <v>12.49</v>
      </c>
      <c r="F101" s="165">
        <v>6.68</v>
      </c>
      <c r="G101" s="165">
        <v>52.97</v>
      </c>
      <c r="H101" s="165">
        <v>17.86</v>
      </c>
      <c r="I101" s="165">
        <v>4.75</v>
      </c>
      <c r="J101" s="165">
        <v>0.13</v>
      </c>
      <c r="K101" s="165">
        <v>62.2</v>
      </c>
      <c r="L101" s="165">
        <v>30.14</v>
      </c>
      <c r="M101" s="165">
        <v>28.08</v>
      </c>
      <c r="N101" s="165">
        <v>0</v>
      </c>
      <c r="O101" s="165">
        <v>0</v>
      </c>
      <c r="P101" s="165">
        <v>0.57</v>
      </c>
      <c r="Q101" s="165">
        <v>5.63</v>
      </c>
      <c r="R101" s="13"/>
      <c r="S101" s="13"/>
      <c r="T101" s="213"/>
      <c r="U101" s="13"/>
    </row>
    <row r="102" customFormat="1" spans="1:21">
      <c r="A102" s="142" t="s">
        <v>1491</v>
      </c>
      <c r="B102" s="165">
        <v>15.83</v>
      </c>
      <c r="C102" s="165">
        <v>67.5</v>
      </c>
      <c r="D102" s="165">
        <v>49.32</v>
      </c>
      <c r="E102" s="165">
        <v>9.83</v>
      </c>
      <c r="F102" s="165">
        <v>5.82</v>
      </c>
      <c r="G102" s="165">
        <v>52.97</v>
      </c>
      <c r="H102" s="165">
        <v>17.86</v>
      </c>
      <c r="I102" s="165">
        <v>4.72</v>
      </c>
      <c r="J102" s="165">
        <v>0.24</v>
      </c>
      <c r="K102" s="165">
        <v>145.19</v>
      </c>
      <c r="L102" s="165">
        <v>29.9</v>
      </c>
      <c r="M102" s="165">
        <v>30.24</v>
      </c>
      <c r="N102" s="165">
        <v>0</v>
      </c>
      <c r="O102" s="165">
        <v>0</v>
      </c>
      <c r="P102" s="165">
        <v>0.57</v>
      </c>
      <c r="Q102" s="165">
        <v>5.73</v>
      </c>
      <c r="R102" s="13"/>
      <c r="S102" s="13"/>
      <c r="T102" s="213"/>
      <c r="U102" s="13"/>
    </row>
    <row r="103" customFormat="1" spans="1:21">
      <c r="A103" s="142" t="s">
        <v>1492</v>
      </c>
      <c r="B103" s="165">
        <v>15.4</v>
      </c>
      <c r="C103" s="165">
        <v>66.34</v>
      </c>
      <c r="D103" s="165">
        <v>48.36</v>
      </c>
      <c r="E103" s="165">
        <v>10.36</v>
      </c>
      <c r="F103" s="165">
        <v>6.42</v>
      </c>
      <c r="G103" s="165">
        <v>53.15</v>
      </c>
      <c r="H103" s="165">
        <v>17.4</v>
      </c>
      <c r="I103" s="165">
        <v>4.8</v>
      </c>
      <c r="J103" s="165">
        <v>0.25</v>
      </c>
      <c r="K103" s="165">
        <v>162.72</v>
      </c>
      <c r="L103" s="165">
        <v>29.39</v>
      </c>
      <c r="M103" s="165">
        <v>30.95</v>
      </c>
      <c r="N103" s="165">
        <v>0</v>
      </c>
      <c r="O103" s="165">
        <v>0</v>
      </c>
      <c r="P103" s="165">
        <v>0.56</v>
      </c>
      <c r="Q103" s="165">
        <v>5.78</v>
      </c>
      <c r="R103" s="13"/>
      <c r="S103" s="13"/>
      <c r="T103" s="213"/>
      <c r="U103" s="13"/>
    </row>
    <row r="104" customFormat="1" spans="1:21">
      <c r="A104" s="142" t="s">
        <v>1493</v>
      </c>
      <c r="B104" s="165">
        <v>16.18</v>
      </c>
      <c r="C104" s="165">
        <v>67.95</v>
      </c>
      <c r="D104" s="165">
        <v>49.83</v>
      </c>
      <c r="E104" s="165">
        <v>9.54</v>
      </c>
      <c r="F104" s="165">
        <v>5.2</v>
      </c>
      <c r="G104" s="165">
        <v>53.55</v>
      </c>
      <c r="H104" s="165">
        <v>16.66</v>
      </c>
      <c r="I104" s="165">
        <v>4.93</v>
      </c>
      <c r="J104" s="165">
        <v>0.21</v>
      </c>
      <c r="K104" s="165">
        <v>144.04</v>
      </c>
      <c r="L104" s="165">
        <v>29.16</v>
      </c>
      <c r="M104" s="165">
        <v>33.11</v>
      </c>
      <c r="N104" s="165">
        <v>0</v>
      </c>
      <c r="O104" s="165">
        <v>0</v>
      </c>
      <c r="P104" s="165">
        <v>0.56</v>
      </c>
      <c r="Q104" s="165">
        <v>5.75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6.16</v>
      </c>
      <c r="C106" s="215">
        <f>MIN(C9:C104)</f>
        <v>54.22</v>
      </c>
      <c r="D106" s="215">
        <f t="shared" ref="D106:Q106" si="0">MIN(D9:D104)</f>
        <v>35.56</v>
      </c>
      <c r="E106" s="215">
        <f t="shared" si="0"/>
        <v>6.58</v>
      </c>
      <c r="F106" s="215">
        <f t="shared" si="0"/>
        <v>4.93</v>
      </c>
      <c r="G106" s="215">
        <f t="shared" si="0"/>
        <v>44.91</v>
      </c>
      <c r="H106" s="215">
        <f t="shared" si="0"/>
        <v>15.34</v>
      </c>
      <c r="I106" s="215">
        <f t="shared" si="0"/>
        <v>3.87</v>
      </c>
      <c r="J106" s="215">
        <f t="shared" si="0"/>
        <v>0.11</v>
      </c>
      <c r="K106" s="215">
        <f t="shared" si="0"/>
        <v>6.48</v>
      </c>
      <c r="L106" s="215">
        <f t="shared" si="0"/>
        <v>28.67</v>
      </c>
      <c r="M106" s="215">
        <f t="shared" si="0"/>
        <v>15.1</v>
      </c>
      <c r="N106" s="215">
        <f t="shared" si="0"/>
        <v>0</v>
      </c>
      <c r="O106" s="215">
        <f t="shared" si="0"/>
        <v>0</v>
      </c>
      <c r="P106" s="215">
        <f t="shared" si="0"/>
        <v>0.47</v>
      </c>
      <c r="Q106" s="215">
        <f t="shared" si="0"/>
        <v>4.86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25.96</v>
      </c>
      <c r="C107" s="216">
        <f t="shared" ref="C107:Q107" si="1">MAX(C9:C104)</f>
        <v>70.89</v>
      </c>
      <c r="D107" s="216">
        <f t="shared" si="1"/>
        <v>57.68</v>
      </c>
      <c r="E107" s="216">
        <f t="shared" si="1"/>
        <v>16.3</v>
      </c>
      <c r="F107" s="216">
        <f t="shared" si="1"/>
        <v>34.03</v>
      </c>
      <c r="G107" s="216">
        <f t="shared" si="1"/>
        <v>90.68</v>
      </c>
      <c r="H107" s="216">
        <f t="shared" si="1"/>
        <v>30.64</v>
      </c>
      <c r="I107" s="216">
        <f t="shared" si="1"/>
        <v>9.21</v>
      </c>
      <c r="J107" s="216">
        <f t="shared" si="1"/>
        <v>2.42</v>
      </c>
      <c r="K107" s="216">
        <f t="shared" si="1"/>
        <v>359.95</v>
      </c>
      <c r="L107" s="216">
        <f t="shared" si="1"/>
        <v>39.14</v>
      </c>
      <c r="M107" s="216">
        <f t="shared" si="1"/>
        <v>48.28</v>
      </c>
      <c r="N107" s="216">
        <f t="shared" si="1"/>
        <v>744</v>
      </c>
      <c r="O107" s="216">
        <f t="shared" si="1"/>
        <v>0</v>
      </c>
      <c r="P107" s="216">
        <f t="shared" si="1"/>
        <v>1.09</v>
      </c>
      <c r="Q107" s="216">
        <f t="shared" si="1"/>
        <v>6.52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12.6023958333333</v>
      </c>
      <c r="C108" s="215">
        <f t="shared" ref="C108:Q108" si="2">AVERAGE(C9:C104)</f>
        <v>63.6121875</v>
      </c>
      <c r="D108" s="215">
        <f t="shared" si="2"/>
        <v>44.6932291666667</v>
      </c>
      <c r="E108" s="215">
        <f t="shared" si="2"/>
        <v>9.35489583333333</v>
      </c>
      <c r="F108" s="215">
        <f t="shared" si="2"/>
        <v>12.9998958333333</v>
      </c>
      <c r="G108" s="215">
        <f t="shared" si="2"/>
        <v>57.3794791666666</v>
      </c>
      <c r="H108" s="215">
        <f t="shared" si="2"/>
        <v>20.5155208333333</v>
      </c>
      <c r="I108" s="215">
        <f t="shared" si="2"/>
        <v>6.15083333333333</v>
      </c>
      <c r="J108" s="215">
        <f t="shared" si="2"/>
        <v>0.940833333333333</v>
      </c>
      <c r="K108" s="215">
        <f t="shared" si="2"/>
        <v>240.6421875</v>
      </c>
      <c r="L108" s="215">
        <f t="shared" si="2"/>
        <v>33.523125</v>
      </c>
      <c r="M108" s="215">
        <f t="shared" si="2"/>
        <v>25.2559375</v>
      </c>
      <c r="N108" s="215">
        <f t="shared" si="2"/>
        <v>181.975</v>
      </c>
      <c r="O108" s="215">
        <f t="shared" si="2"/>
        <v>0</v>
      </c>
      <c r="P108" s="215">
        <f t="shared" si="2"/>
        <v>0.70625</v>
      </c>
      <c r="Q108" s="215">
        <f t="shared" si="2"/>
        <v>5.47375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5.28661243535656</v>
      </c>
      <c r="C109" s="215">
        <f t="shared" ref="C109:Q109" si="3">STDEV(C9:C104)</f>
        <v>4.21142361306533</v>
      </c>
      <c r="D109" s="215">
        <f t="shared" si="3"/>
        <v>6.03129339271728</v>
      </c>
      <c r="E109" s="215">
        <f t="shared" si="3"/>
        <v>2.34328559024634</v>
      </c>
      <c r="F109" s="215">
        <f t="shared" si="3"/>
        <v>6.54491807592838</v>
      </c>
      <c r="G109" s="215">
        <f t="shared" si="3"/>
        <v>10.3852987560394</v>
      </c>
      <c r="H109" s="215">
        <f t="shared" si="3"/>
        <v>3.96888950922087</v>
      </c>
      <c r="I109" s="215">
        <f t="shared" si="3"/>
        <v>1.58048204949374</v>
      </c>
      <c r="J109" s="215">
        <f t="shared" si="3"/>
        <v>0.560735732233562</v>
      </c>
      <c r="K109" s="215">
        <f t="shared" si="3"/>
        <v>100.560426633135</v>
      </c>
      <c r="L109" s="215">
        <f t="shared" si="3"/>
        <v>3.39708584478551</v>
      </c>
      <c r="M109" s="215">
        <f t="shared" si="3"/>
        <v>7.99563625434788</v>
      </c>
      <c r="N109" s="215">
        <f t="shared" si="3"/>
        <v>254.949459594188</v>
      </c>
      <c r="O109" s="215">
        <f t="shared" si="3"/>
        <v>0</v>
      </c>
      <c r="P109" s="215">
        <f t="shared" si="3"/>
        <v>0.185030580687285</v>
      </c>
      <c r="Q109" s="215">
        <f t="shared" si="3"/>
        <v>0.491102411872889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16/04/2023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1494</v>
      </c>
      <c r="B9" s="165">
        <v>17.89</v>
      </c>
      <c r="C9" s="165">
        <v>70.79</v>
      </c>
      <c r="D9" s="165">
        <v>52.68</v>
      </c>
      <c r="E9" s="165">
        <v>8.14</v>
      </c>
      <c r="F9" s="165">
        <v>4.31</v>
      </c>
      <c r="G9" s="165">
        <v>53.55</v>
      </c>
      <c r="H9" s="165">
        <v>16.66</v>
      </c>
      <c r="I9" s="165">
        <v>5.25</v>
      </c>
      <c r="J9" s="165">
        <v>0.25</v>
      </c>
      <c r="K9" s="165">
        <v>177.4</v>
      </c>
      <c r="L9" s="165">
        <v>28.79</v>
      </c>
      <c r="M9" s="165">
        <v>35.2</v>
      </c>
      <c r="N9" s="165">
        <v>0</v>
      </c>
      <c r="O9" s="165">
        <v>0</v>
      </c>
      <c r="P9" s="165">
        <v>0.57</v>
      </c>
      <c r="Q9" s="165">
        <v>5.74</v>
      </c>
      <c r="R9" s="13"/>
      <c r="S9" s="13"/>
      <c r="T9" s="213"/>
      <c r="U9" s="13"/>
    </row>
    <row r="10" customFormat="1" spans="1:21">
      <c r="A10" s="142" t="s">
        <v>1495</v>
      </c>
      <c r="B10" s="165">
        <v>17.79</v>
      </c>
      <c r="C10" s="165">
        <v>69.18</v>
      </c>
      <c r="D10" s="165">
        <v>51.76</v>
      </c>
      <c r="E10" s="165">
        <v>8.32</v>
      </c>
      <c r="F10" s="165">
        <v>4.35</v>
      </c>
      <c r="G10" s="165">
        <v>53.55</v>
      </c>
      <c r="H10" s="165">
        <v>16.66</v>
      </c>
      <c r="I10" s="165">
        <v>5.46</v>
      </c>
      <c r="J10" s="165">
        <v>0.22</v>
      </c>
      <c r="K10" s="165">
        <v>159.24</v>
      </c>
      <c r="L10" s="165">
        <v>28.21</v>
      </c>
      <c r="M10" s="165">
        <v>35.85</v>
      </c>
      <c r="N10" s="165">
        <v>0</v>
      </c>
      <c r="O10" s="165">
        <v>0</v>
      </c>
      <c r="P10" s="165">
        <v>0.56</v>
      </c>
      <c r="Q10" s="165">
        <v>5.81</v>
      </c>
      <c r="R10" s="13"/>
      <c r="S10" s="13"/>
      <c r="T10" s="213"/>
      <c r="U10" s="13"/>
    </row>
    <row r="11" customFormat="1" spans="1:21">
      <c r="A11" s="142" t="s">
        <v>1496</v>
      </c>
      <c r="B11" s="165">
        <v>18.22</v>
      </c>
      <c r="C11" s="165">
        <v>69.96</v>
      </c>
      <c r="D11" s="165">
        <v>52.52</v>
      </c>
      <c r="E11" s="165">
        <v>8.06</v>
      </c>
      <c r="F11" s="165">
        <v>4.09</v>
      </c>
      <c r="G11" s="165">
        <v>54.54</v>
      </c>
      <c r="H11" s="165">
        <v>17.01</v>
      </c>
      <c r="I11" s="165">
        <v>5.49</v>
      </c>
      <c r="J11" s="165">
        <v>0.35</v>
      </c>
      <c r="K11" s="165">
        <v>167.38</v>
      </c>
      <c r="L11" s="165">
        <v>28.34</v>
      </c>
      <c r="M11" s="165">
        <v>34.98</v>
      </c>
      <c r="N11" s="165">
        <v>0</v>
      </c>
      <c r="O11" s="165">
        <v>0</v>
      </c>
      <c r="P11" s="165">
        <v>0.56</v>
      </c>
      <c r="Q11" s="165">
        <v>5.84</v>
      </c>
      <c r="R11" s="13"/>
      <c r="S11" s="13"/>
      <c r="T11" s="213"/>
      <c r="U11" s="13"/>
    </row>
    <row r="12" customFormat="1" spans="1:21">
      <c r="A12" s="142" t="s">
        <v>1497</v>
      </c>
      <c r="B12" s="165">
        <v>18.28</v>
      </c>
      <c r="C12" s="165">
        <v>68.38</v>
      </c>
      <c r="D12" s="165">
        <v>51.74</v>
      </c>
      <c r="E12" s="165">
        <v>8.47</v>
      </c>
      <c r="F12" s="165">
        <v>4.11</v>
      </c>
      <c r="G12" s="165">
        <v>56.98</v>
      </c>
      <c r="H12" s="165">
        <v>18.33</v>
      </c>
      <c r="I12" s="165">
        <v>5.52</v>
      </c>
      <c r="J12" s="165">
        <v>0.19</v>
      </c>
      <c r="K12" s="165">
        <v>186.59</v>
      </c>
      <c r="L12" s="165">
        <v>27.83</v>
      </c>
      <c r="M12" s="165">
        <v>35.75</v>
      </c>
      <c r="N12" s="165">
        <v>0</v>
      </c>
      <c r="O12" s="165">
        <v>0</v>
      </c>
      <c r="P12" s="165">
        <v>0.57</v>
      </c>
      <c r="Q12" s="165">
        <v>5.84</v>
      </c>
      <c r="R12" s="13"/>
      <c r="S12" s="13"/>
      <c r="T12" s="213"/>
      <c r="U12" s="13"/>
    </row>
    <row r="13" customFormat="1" spans="1:21">
      <c r="A13" s="142" t="s">
        <v>1498</v>
      </c>
      <c r="B13" s="165">
        <v>18.47</v>
      </c>
      <c r="C13" s="165">
        <v>68.71</v>
      </c>
      <c r="D13" s="165">
        <v>52.06</v>
      </c>
      <c r="E13" s="165">
        <v>8.68</v>
      </c>
      <c r="F13" s="165">
        <v>4.22</v>
      </c>
      <c r="G13" s="165">
        <v>56.98</v>
      </c>
      <c r="H13" s="165">
        <v>18.33</v>
      </c>
      <c r="I13" s="165">
        <v>5.51</v>
      </c>
      <c r="J13" s="165">
        <v>0.18</v>
      </c>
      <c r="K13" s="165">
        <v>172.01</v>
      </c>
      <c r="L13" s="165">
        <v>27.63</v>
      </c>
      <c r="M13" s="165">
        <v>38.14</v>
      </c>
      <c r="N13" s="165">
        <v>0</v>
      </c>
      <c r="O13" s="165">
        <v>0</v>
      </c>
      <c r="P13" s="165">
        <v>0.58</v>
      </c>
      <c r="Q13" s="165">
        <v>5.83</v>
      </c>
      <c r="R13" s="13"/>
      <c r="S13" s="13"/>
      <c r="T13" s="213"/>
      <c r="U13" s="13"/>
    </row>
    <row r="14" customFormat="1" spans="1:21">
      <c r="A14" s="142" t="s">
        <v>1499</v>
      </c>
      <c r="B14" s="165">
        <v>18.37</v>
      </c>
      <c r="C14" s="165">
        <v>66.96</v>
      </c>
      <c r="D14" s="165">
        <v>51.07</v>
      </c>
      <c r="E14" s="165">
        <v>7.92</v>
      </c>
      <c r="F14" s="165">
        <v>4.46</v>
      </c>
      <c r="G14" s="165">
        <v>56.98</v>
      </c>
      <c r="H14" s="165">
        <v>18.33</v>
      </c>
      <c r="I14" s="165">
        <v>5.5</v>
      </c>
      <c r="J14" s="165">
        <v>0.26</v>
      </c>
      <c r="K14" s="165">
        <v>163.13</v>
      </c>
      <c r="L14" s="165">
        <v>27.4</v>
      </c>
      <c r="M14" s="165">
        <v>38.69</v>
      </c>
      <c r="N14" s="165">
        <v>0</v>
      </c>
      <c r="O14" s="165">
        <v>0</v>
      </c>
      <c r="P14" s="165">
        <v>0.58</v>
      </c>
      <c r="Q14" s="165">
        <v>5.84</v>
      </c>
      <c r="R14" s="13"/>
      <c r="S14" s="13"/>
      <c r="T14" s="213"/>
      <c r="U14" s="13"/>
    </row>
    <row r="15" customFormat="1" spans="1:21">
      <c r="A15" s="142" t="s">
        <v>1500</v>
      </c>
      <c r="B15" s="165">
        <v>19.57</v>
      </c>
      <c r="C15" s="165">
        <v>68.61</v>
      </c>
      <c r="D15" s="165">
        <v>52.89</v>
      </c>
      <c r="E15" s="165">
        <v>7.28</v>
      </c>
      <c r="F15" s="165">
        <v>4.18</v>
      </c>
      <c r="G15" s="165">
        <v>56.7</v>
      </c>
      <c r="H15" s="165">
        <v>16.89</v>
      </c>
      <c r="I15" s="165">
        <v>5.43</v>
      </c>
      <c r="J15" s="165">
        <v>0.2</v>
      </c>
      <c r="K15" s="165">
        <v>160.98</v>
      </c>
      <c r="L15" s="165">
        <v>27.06</v>
      </c>
      <c r="M15" s="165">
        <v>39.52</v>
      </c>
      <c r="N15" s="165">
        <v>0</v>
      </c>
      <c r="O15" s="165">
        <v>0</v>
      </c>
      <c r="P15" s="165">
        <v>0.57</v>
      </c>
      <c r="Q15" s="165">
        <v>5.8</v>
      </c>
      <c r="R15" s="13"/>
      <c r="S15" s="13"/>
      <c r="T15" s="213"/>
      <c r="U15" s="13"/>
    </row>
    <row r="16" customFormat="1" spans="1:21">
      <c r="A16" s="142" t="s">
        <v>1501</v>
      </c>
      <c r="B16" s="165">
        <v>19.22</v>
      </c>
      <c r="C16" s="165">
        <v>65.48</v>
      </c>
      <c r="D16" s="165">
        <v>50.98</v>
      </c>
      <c r="E16" s="165">
        <v>7.62</v>
      </c>
      <c r="F16" s="165">
        <v>4.48</v>
      </c>
      <c r="G16" s="165">
        <v>56.02</v>
      </c>
      <c r="H16" s="165">
        <v>14.47</v>
      </c>
      <c r="I16" s="165">
        <v>5.39</v>
      </c>
      <c r="J16" s="165">
        <v>0.18</v>
      </c>
      <c r="K16" s="165">
        <v>196.58</v>
      </c>
      <c r="L16" s="165">
        <v>26.61</v>
      </c>
      <c r="M16" s="165">
        <v>41.08</v>
      </c>
      <c r="N16" s="165">
        <v>0</v>
      </c>
      <c r="O16" s="165">
        <v>0</v>
      </c>
      <c r="P16" s="165">
        <v>0.56</v>
      </c>
      <c r="Q16" s="165">
        <v>5.8</v>
      </c>
      <c r="R16" s="13"/>
      <c r="S16" s="13"/>
      <c r="T16" s="213"/>
      <c r="U16" s="13"/>
    </row>
    <row r="17" customFormat="1" spans="1:21">
      <c r="A17" s="142" t="s">
        <v>1502</v>
      </c>
      <c r="B17" s="165">
        <v>19.78</v>
      </c>
      <c r="C17" s="165">
        <v>65.22</v>
      </c>
      <c r="D17" s="165">
        <v>51.29</v>
      </c>
      <c r="E17" s="165">
        <v>9.6</v>
      </c>
      <c r="F17" s="165">
        <v>4.08</v>
      </c>
      <c r="G17" s="165">
        <v>56.02</v>
      </c>
      <c r="H17" s="165">
        <v>14.47</v>
      </c>
      <c r="I17" s="165">
        <v>5.36</v>
      </c>
      <c r="J17" s="165">
        <v>0.16</v>
      </c>
      <c r="K17" s="165">
        <v>210.17</v>
      </c>
      <c r="L17" s="165">
        <v>26.31</v>
      </c>
      <c r="M17" s="165">
        <v>41.28</v>
      </c>
      <c r="N17" s="165">
        <v>0</v>
      </c>
      <c r="O17" s="165">
        <v>0</v>
      </c>
      <c r="P17" s="165">
        <v>0.56</v>
      </c>
      <c r="Q17" s="165">
        <v>5.77</v>
      </c>
      <c r="R17" s="13"/>
      <c r="S17" s="13"/>
      <c r="T17" s="213"/>
      <c r="U17" s="13"/>
    </row>
    <row r="18" customFormat="1" spans="1:21">
      <c r="A18" s="142" t="s">
        <v>1503</v>
      </c>
      <c r="B18" s="165">
        <v>20.11</v>
      </c>
      <c r="C18" s="165">
        <v>64.78</v>
      </c>
      <c r="D18" s="165">
        <v>51.32</v>
      </c>
      <c r="E18" s="165">
        <v>10.96</v>
      </c>
      <c r="F18" s="165">
        <v>4.73</v>
      </c>
      <c r="G18" s="165">
        <v>56.02</v>
      </c>
      <c r="H18" s="165">
        <v>14.47</v>
      </c>
      <c r="I18" s="165">
        <v>5.34</v>
      </c>
      <c r="J18" s="165">
        <v>0.21</v>
      </c>
      <c r="K18" s="165">
        <v>242.92</v>
      </c>
      <c r="L18" s="165">
        <v>26.25</v>
      </c>
      <c r="M18" s="165">
        <v>42.54</v>
      </c>
      <c r="N18" s="165">
        <v>0</v>
      </c>
      <c r="O18" s="165">
        <v>0</v>
      </c>
      <c r="P18" s="165">
        <v>0.57</v>
      </c>
      <c r="Q18" s="165">
        <v>5.8</v>
      </c>
      <c r="R18" s="13"/>
      <c r="S18" s="13"/>
      <c r="T18" s="213"/>
      <c r="U18" s="13"/>
    </row>
    <row r="19" customFormat="1" spans="1:21">
      <c r="A19" s="142" t="s">
        <v>1504</v>
      </c>
      <c r="B19" s="165">
        <v>19.57</v>
      </c>
      <c r="C19" s="165">
        <v>63.44</v>
      </c>
      <c r="D19" s="165">
        <v>50.19</v>
      </c>
      <c r="E19" s="165">
        <v>12.24</v>
      </c>
      <c r="F19" s="165">
        <v>4.46</v>
      </c>
      <c r="G19" s="165">
        <v>56.39</v>
      </c>
      <c r="H19" s="165">
        <v>15.04</v>
      </c>
      <c r="I19" s="165">
        <v>5.4</v>
      </c>
      <c r="J19" s="165">
        <v>0.15</v>
      </c>
      <c r="K19" s="165">
        <v>257.93</v>
      </c>
      <c r="L19" s="165">
        <v>26.05</v>
      </c>
      <c r="M19" s="165">
        <v>43.91</v>
      </c>
      <c r="N19" s="165">
        <v>0</v>
      </c>
      <c r="O19" s="165">
        <v>0</v>
      </c>
      <c r="P19" s="165">
        <v>0.57</v>
      </c>
      <c r="Q19" s="165">
        <v>5.78</v>
      </c>
      <c r="R19" s="13"/>
      <c r="S19" s="13"/>
      <c r="T19" s="213"/>
      <c r="U19" s="13"/>
    </row>
    <row r="20" customFormat="1" spans="1:21">
      <c r="A20" s="142" t="s">
        <v>1505</v>
      </c>
      <c r="B20" s="165">
        <v>20.08</v>
      </c>
      <c r="C20" s="165">
        <v>63.57</v>
      </c>
      <c r="D20" s="165">
        <v>50.67</v>
      </c>
      <c r="E20" s="165">
        <v>11.91</v>
      </c>
      <c r="F20" s="165">
        <v>4.61</v>
      </c>
      <c r="G20" s="165">
        <v>57.3</v>
      </c>
      <c r="H20" s="165">
        <v>15.94</v>
      </c>
      <c r="I20" s="165">
        <v>5.48</v>
      </c>
      <c r="J20" s="165">
        <v>0.28</v>
      </c>
      <c r="K20" s="165">
        <v>239.57</v>
      </c>
      <c r="L20" s="165">
        <v>26.42</v>
      </c>
      <c r="M20" s="165">
        <v>40.81</v>
      </c>
      <c r="N20" s="165">
        <v>0</v>
      </c>
      <c r="O20" s="165">
        <v>0</v>
      </c>
      <c r="P20" s="165">
        <v>0.56</v>
      </c>
      <c r="Q20" s="165">
        <v>5.74</v>
      </c>
      <c r="R20" s="13"/>
      <c r="S20" s="13"/>
      <c r="T20" s="213"/>
      <c r="U20" s="13"/>
    </row>
    <row r="21" customFormat="1" spans="1:21">
      <c r="A21" s="142" t="s">
        <v>1506</v>
      </c>
      <c r="B21" s="165">
        <v>20.17</v>
      </c>
      <c r="C21" s="165">
        <v>63.77</v>
      </c>
      <c r="D21" s="165">
        <v>50.85</v>
      </c>
      <c r="E21" s="165">
        <v>11.5</v>
      </c>
      <c r="F21" s="165">
        <v>4.98</v>
      </c>
      <c r="G21" s="165">
        <v>57.3</v>
      </c>
      <c r="H21" s="165">
        <v>15.94</v>
      </c>
      <c r="I21" s="165">
        <v>5.65</v>
      </c>
      <c r="J21" s="165">
        <v>0.17</v>
      </c>
      <c r="K21" s="165">
        <v>184.03</v>
      </c>
      <c r="L21" s="165">
        <v>26.73</v>
      </c>
      <c r="M21" s="165">
        <v>40.48</v>
      </c>
      <c r="N21" s="165">
        <v>0</v>
      </c>
      <c r="O21" s="165">
        <v>0</v>
      </c>
      <c r="P21" s="165">
        <v>0.56</v>
      </c>
      <c r="Q21" s="165">
        <v>5.79</v>
      </c>
      <c r="R21" s="13"/>
      <c r="S21" s="13"/>
      <c r="T21" s="213"/>
      <c r="U21" s="13"/>
    </row>
    <row r="22" customFormat="1" spans="1:21">
      <c r="A22" s="142" t="s">
        <v>1507</v>
      </c>
      <c r="B22" s="165">
        <v>19.88</v>
      </c>
      <c r="C22" s="165">
        <v>63.31</v>
      </c>
      <c r="D22" s="165">
        <v>50.37</v>
      </c>
      <c r="E22" s="165">
        <v>10.81</v>
      </c>
      <c r="F22" s="165">
        <v>5.33</v>
      </c>
      <c r="G22" s="165">
        <v>57.3</v>
      </c>
      <c r="H22" s="165">
        <v>15.94</v>
      </c>
      <c r="I22" s="165">
        <v>5.77</v>
      </c>
      <c r="J22" s="165">
        <v>0.24</v>
      </c>
      <c r="K22" s="165">
        <v>189.42</v>
      </c>
      <c r="L22" s="165">
        <v>26.8</v>
      </c>
      <c r="M22" s="165">
        <v>39.96</v>
      </c>
      <c r="N22" s="165">
        <v>0</v>
      </c>
      <c r="O22" s="165">
        <v>0</v>
      </c>
      <c r="P22" s="165">
        <v>0.56</v>
      </c>
      <c r="Q22" s="165">
        <v>5.82</v>
      </c>
      <c r="R22" s="13"/>
      <c r="S22" s="13"/>
      <c r="T22" s="213"/>
      <c r="U22" s="13"/>
    </row>
    <row r="23" customFormat="1" spans="1:21">
      <c r="A23" s="142" t="s">
        <v>1508</v>
      </c>
      <c r="B23" s="165">
        <v>20.91</v>
      </c>
      <c r="C23" s="165">
        <v>65.3</v>
      </c>
      <c r="D23" s="165">
        <v>52.24</v>
      </c>
      <c r="E23" s="165">
        <v>10.05</v>
      </c>
      <c r="F23" s="165">
        <v>4.99</v>
      </c>
      <c r="G23" s="165">
        <v>56.46</v>
      </c>
      <c r="H23" s="165">
        <v>15.69</v>
      </c>
      <c r="I23" s="165">
        <v>5.8</v>
      </c>
      <c r="J23" s="165">
        <v>0.17</v>
      </c>
      <c r="K23" s="165">
        <v>162.37</v>
      </c>
      <c r="L23" s="165">
        <v>26.6</v>
      </c>
      <c r="M23" s="165">
        <v>42.31</v>
      </c>
      <c r="N23" s="165">
        <v>0</v>
      </c>
      <c r="O23" s="165">
        <v>0</v>
      </c>
      <c r="P23" s="165">
        <v>0.57</v>
      </c>
      <c r="Q23" s="165">
        <v>5.82</v>
      </c>
      <c r="R23" s="13"/>
      <c r="S23" s="13"/>
      <c r="T23" s="213"/>
      <c r="U23" s="13"/>
    </row>
    <row r="24" customFormat="1" spans="1:21">
      <c r="A24" s="142" t="s">
        <v>1509</v>
      </c>
      <c r="B24" s="165">
        <v>20.63</v>
      </c>
      <c r="C24" s="165">
        <v>62.29</v>
      </c>
      <c r="D24" s="165">
        <v>50.44</v>
      </c>
      <c r="E24" s="165">
        <v>10.17</v>
      </c>
      <c r="F24" s="165">
        <v>5.42</v>
      </c>
      <c r="G24" s="165">
        <v>54.4</v>
      </c>
      <c r="H24" s="165">
        <v>15.27</v>
      </c>
      <c r="I24" s="165">
        <v>5.82</v>
      </c>
      <c r="J24" s="165">
        <v>0.22</v>
      </c>
      <c r="K24" s="165">
        <v>195.19</v>
      </c>
      <c r="L24" s="165">
        <v>26.38</v>
      </c>
      <c r="M24" s="165">
        <v>42.06</v>
      </c>
      <c r="N24" s="165">
        <v>0</v>
      </c>
      <c r="O24" s="165">
        <v>0</v>
      </c>
      <c r="P24" s="165">
        <v>0.55</v>
      </c>
      <c r="Q24" s="165">
        <v>5.82</v>
      </c>
      <c r="R24" s="13"/>
      <c r="S24" s="13"/>
      <c r="T24" s="213"/>
      <c r="U24" s="13"/>
    </row>
    <row r="25" customFormat="1" spans="1:21">
      <c r="A25" s="142" t="s">
        <v>1510</v>
      </c>
      <c r="B25" s="165">
        <v>20.95</v>
      </c>
      <c r="C25" s="165">
        <v>64.12</v>
      </c>
      <c r="D25" s="165">
        <v>51.65</v>
      </c>
      <c r="E25" s="165">
        <v>9.69</v>
      </c>
      <c r="F25" s="165">
        <v>6.11</v>
      </c>
      <c r="G25" s="165">
        <v>54.4</v>
      </c>
      <c r="H25" s="165">
        <v>15.27</v>
      </c>
      <c r="I25" s="165">
        <v>5.83</v>
      </c>
      <c r="J25" s="165">
        <v>0.17</v>
      </c>
      <c r="K25" s="165">
        <v>196.69</v>
      </c>
      <c r="L25" s="165">
        <v>26.32</v>
      </c>
      <c r="M25" s="165">
        <v>42.41</v>
      </c>
      <c r="N25" s="165">
        <v>0</v>
      </c>
      <c r="O25" s="165">
        <v>0</v>
      </c>
      <c r="P25" s="165">
        <v>0.56</v>
      </c>
      <c r="Q25" s="165">
        <v>5.82</v>
      </c>
      <c r="R25" s="13"/>
      <c r="S25" s="13"/>
      <c r="T25" s="213"/>
      <c r="U25" s="13"/>
    </row>
    <row r="26" customFormat="1" spans="1:21">
      <c r="A26" s="142" t="s">
        <v>1511</v>
      </c>
      <c r="B26" s="165">
        <v>21.85</v>
      </c>
      <c r="C26" s="165">
        <v>66.87</v>
      </c>
      <c r="D26" s="165">
        <v>53.81</v>
      </c>
      <c r="E26" s="165">
        <v>10</v>
      </c>
      <c r="F26" s="165">
        <v>4.85</v>
      </c>
      <c r="G26" s="165">
        <v>54.4</v>
      </c>
      <c r="H26" s="165">
        <v>15.27</v>
      </c>
      <c r="I26" s="165">
        <v>5.77</v>
      </c>
      <c r="J26" s="165">
        <v>0.25</v>
      </c>
      <c r="K26" s="165">
        <v>240.04</v>
      </c>
      <c r="L26" s="165">
        <v>26.1</v>
      </c>
      <c r="M26" s="165">
        <v>43.1</v>
      </c>
      <c r="N26" s="165">
        <v>0</v>
      </c>
      <c r="O26" s="165">
        <v>0</v>
      </c>
      <c r="P26" s="165">
        <v>0.56</v>
      </c>
      <c r="Q26" s="165">
        <v>5.83</v>
      </c>
      <c r="R26" s="13"/>
      <c r="S26" s="13"/>
      <c r="T26" s="213"/>
      <c r="U26" s="13"/>
    </row>
    <row r="27" customFormat="1" spans="1:21">
      <c r="A27" s="142" t="s">
        <v>1512</v>
      </c>
      <c r="B27" s="165">
        <v>21.15</v>
      </c>
      <c r="C27" s="165">
        <v>65.12</v>
      </c>
      <c r="D27" s="165">
        <v>52.34</v>
      </c>
      <c r="E27" s="165">
        <v>9.5</v>
      </c>
      <c r="F27" s="165">
        <v>5.28</v>
      </c>
      <c r="G27" s="165">
        <v>52.8</v>
      </c>
      <c r="H27" s="165">
        <v>15.38</v>
      </c>
      <c r="I27" s="165">
        <v>5.75</v>
      </c>
      <c r="J27" s="165">
        <v>0.19</v>
      </c>
      <c r="K27" s="165">
        <v>200.95</v>
      </c>
      <c r="L27" s="165">
        <v>26.13</v>
      </c>
      <c r="M27" s="165">
        <v>44.26</v>
      </c>
      <c r="N27" s="165">
        <v>0</v>
      </c>
      <c r="O27" s="165">
        <v>0</v>
      </c>
      <c r="P27" s="165">
        <v>0.55</v>
      </c>
      <c r="Q27" s="165">
        <v>5.82</v>
      </c>
      <c r="R27" s="13"/>
      <c r="S27" s="13"/>
      <c r="T27" s="213"/>
      <c r="U27" s="13"/>
    </row>
    <row r="28" customFormat="1" spans="1:21">
      <c r="A28" s="142" t="s">
        <v>1513</v>
      </c>
      <c r="B28" s="165">
        <v>19.98</v>
      </c>
      <c r="C28" s="165">
        <v>62.71</v>
      </c>
      <c r="D28" s="165">
        <v>50.14</v>
      </c>
      <c r="E28" s="165">
        <v>9.98</v>
      </c>
      <c r="F28" s="165">
        <v>6.68</v>
      </c>
      <c r="G28" s="165">
        <v>48.84</v>
      </c>
      <c r="H28" s="165">
        <v>15.55</v>
      </c>
      <c r="I28" s="165">
        <v>5.71</v>
      </c>
      <c r="J28" s="165">
        <v>0.23</v>
      </c>
      <c r="K28" s="165">
        <v>185.1</v>
      </c>
      <c r="L28" s="165">
        <v>26.12</v>
      </c>
      <c r="M28" s="165">
        <v>44.39</v>
      </c>
      <c r="N28" s="165">
        <v>0</v>
      </c>
      <c r="O28" s="165">
        <v>0</v>
      </c>
      <c r="P28" s="165">
        <v>0.55</v>
      </c>
      <c r="Q28" s="165">
        <v>5.78</v>
      </c>
      <c r="R28" s="13"/>
      <c r="S28" s="13"/>
      <c r="T28" s="213"/>
      <c r="U28" s="13"/>
    </row>
    <row r="29" customFormat="1" spans="1:21">
      <c r="A29" s="142" t="s">
        <v>1514</v>
      </c>
      <c r="B29" s="165">
        <v>20.45</v>
      </c>
      <c r="C29" s="165">
        <v>64.08</v>
      </c>
      <c r="D29" s="165">
        <v>51.23</v>
      </c>
      <c r="E29" s="165">
        <v>10.1</v>
      </c>
      <c r="F29" s="165">
        <v>6.22</v>
      </c>
      <c r="G29" s="165">
        <v>48.84</v>
      </c>
      <c r="H29" s="165">
        <v>15.55</v>
      </c>
      <c r="I29" s="165">
        <v>5.62</v>
      </c>
      <c r="J29" s="165">
        <v>0.21</v>
      </c>
      <c r="K29" s="165">
        <v>175.92</v>
      </c>
      <c r="L29" s="165">
        <v>25.92</v>
      </c>
      <c r="M29" s="165">
        <v>45.76</v>
      </c>
      <c r="N29" s="165">
        <v>0</v>
      </c>
      <c r="O29" s="165">
        <v>0</v>
      </c>
      <c r="P29" s="165">
        <v>0.56</v>
      </c>
      <c r="Q29" s="165">
        <v>5.8</v>
      </c>
      <c r="R29" s="13"/>
      <c r="S29" s="13"/>
      <c r="T29" s="213"/>
      <c r="U29" s="13"/>
    </row>
    <row r="30" customFormat="1" spans="1:21">
      <c r="A30" s="142" t="s">
        <v>1515</v>
      </c>
      <c r="B30" s="165">
        <v>20.44</v>
      </c>
      <c r="C30" s="165">
        <v>63.8</v>
      </c>
      <c r="D30" s="165">
        <v>51.08</v>
      </c>
      <c r="E30" s="165">
        <v>9.78</v>
      </c>
      <c r="F30" s="165">
        <v>5.69</v>
      </c>
      <c r="G30" s="165">
        <v>48.84</v>
      </c>
      <c r="H30" s="165">
        <v>15.55</v>
      </c>
      <c r="I30" s="165">
        <v>5.57</v>
      </c>
      <c r="J30" s="165">
        <v>0.2</v>
      </c>
      <c r="K30" s="165">
        <v>172.19</v>
      </c>
      <c r="L30" s="165">
        <v>25.53</v>
      </c>
      <c r="M30" s="165">
        <v>47.37</v>
      </c>
      <c r="N30" s="165">
        <v>0</v>
      </c>
      <c r="O30" s="165">
        <v>0</v>
      </c>
      <c r="P30" s="165">
        <v>0.56</v>
      </c>
      <c r="Q30" s="165">
        <v>5.79</v>
      </c>
      <c r="R30" s="13"/>
      <c r="S30" s="13"/>
      <c r="T30" s="213"/>
      <c r="U30" s="13"/>
    </row>
    <row r="31" customFormat="1" spans="1:21">
      <c r="A31" s="142" t="s">
        <v>1516</v>
      </c>
      <c r="B31" s="165">
        <v>20.95</v>
      </c>
      <c r="C31" s="165">
        <v>65.63</v>
      </c>
      <c r="D31" s="165">
        <v>52.45</v>
      </c>
      <c r="E31" s="165">
        <v>9.78</v>
      </c>
      <c r="F31" s="165">
        <v>4.61</v>
      </c>
      <c r="G31" s="165">
        <v>47.12</v>
      </c>
      <c r="H31" s="165">
        <v>15.4</v>
      </c>
      <c r="I31" s="165">
        <v>5.55</v>
      </c>
      <c r="J31" s="165">
        <v>0.18</v>
      </c>
      <c r="K31" s="165">
        <v>149.14</v>
      </c>
      <c r="L31" s="165">
        <v>25.1</v>
      </c>
      <c r="M31" s="165">
        <v>49.08</v>
      </c>
      <c r="N31" s="165">
        <v>0</v>
      </c>
      <c r="O31" s="165">
        <v>0</v>
      </c>
      <c r="P31" s="165">
        <v>0.56</v>
      </c>
      <c r="Q31" s="165">
        <v>5.78</v>
      </c>
      <c r="R31" s="13"/>
      <c r="S31" s="13"/>
      <c r="T31" s="213"/>
      <c r="U31" s="13"/>
    </row>
    <row r="32" customFormat="1" spans="1:21">
      <c r="A32" s="142" t="s">
        <v>1517</v>
      </c>
      <c r="B32" s="165">
        <v>20.67</v>
      </c>
      <c r="C32" s="165">
        <v>64.07</v>
      </c>
      <c r="D32" s="165">
        <v>51.4</v>
      </c>
      <c r="E32" s="165">
        <v>9.69</v>
      </c>
      <c r="F32" s="165">
        <v>5.02</v>
      </c>
      <c r="G32" s="165">
        <v>42.87</v>
      </c>
      <c r="H32" s="165">
        <v>15.15</v>
      </c>
      <c r="I32" s="165">
        <v>5.56</v>
      </c>
      <c r="J32" s="165">
        <v>0.16</v>
      </c>
      <c r="K32" s="165">
        <v>176.39</v>
      </c>
      <c r="L32" s="165">
        <v>24.91</v>
      </c>
      <c r="M32" s="165">
        <v>49.62</v>
      </c>
      <c r="N32" s="165">
        <v>2</v>
      </c>
      <c r="O32" s="165">
        <v>0</v>
      </c>
      <c r="P32" s="165">
        <v>0.57</v>
      </c>
      <c r="Q32" s="165">
        <v>5.82</v>
      </c>
      <c r="R32" s="13"/>
      <c r="S32" s="13"/>
      <c r="T32" s="213"/>
      <c r="U32" s="13"/>
    </row>
    <row r="33" customFormat="1" spans="1:21">
      <c r="A33" s="142" t="s">
        <v>1518</v>
      </c>
      <c r="B33" s="165">
        <v>21.4</v>
      </c>
      <c r="C33" s="165">
        <v>67.35</v>
      </c>
      <c r="D33" s="165">
        <v>53.7</v>
      </c>
      <c r="E33" s="165">
        <v>9.62</v>
      </c>
      <c r="F33" s="165">
        <v>4.34</v>
      </c>
      <c r="G33" s="165">
        <v>42.87</v>
      </c>
      <c r="H33" s="165">
        <v>15.15</v>
      </c>
      <c r="I33" s="165">
        <v>5.55</v>
      </c>
      <c r="J33" s="165">
        <v>0.2</v>
      </c>
      <c r="K33" s="165">
        <v>180.26</v>
      </c>
      <c r="L33" s="165">
        <v>24.99</v>
      </c>
      <c r="M33" s="165">
        <v>50.08</v>
      </c>
      <c r="N33" s="165">
        <v>13.1</v>
      </c>
      <c r="O33" s="165">
        <v>0</v>
      </c>
      <c r="P33" s="165">
        <v>0.57</v>
      </c>
      <c r="Q33" s="165">
        <v>5.84</v>
      </c>
      <c r="R33" s="13"/>
      <c r="S33" s="13"/>
      <c r="T33" s="213"/>
      <c r="U33" s="13"/>
    </row>
    <row r="34" customFormat="1" spans="1:21">
      <c r="A34" s="142" t="s">
        <v>1519</v>
      </c>
      <c r="B34" s="165">
        <v>21.37</v>
      </c>
      <c r="C34" s="165">
        <v>68.31</v>
      </c>
      <c r="D34" s="165">
        <v>54.18</v>
      </c>
      <c r="E34" s="165">
        <v>9.58</v>
      </c>
      <c r="F34" s="165">
        <v>4.02</v>
      </c>
      <c r="G34" s="165">
        <v>42.87</v>
      </c>
      <c r="H34" s="165">
        <v>15.15</v>
      </c>
      <c r="I34" s="165">
        <v>5.54</v>
      </c>
      <c r="J34" s="165">
        <v>0.22</v>
      </c>
      <c r="K34" s="165">
        <v>183.97</v>
      </c>
      <c r="L34" s="165">
        <v>25.48</v>
      </c>
      <c r="M34" s="165">
        <v>49.23</v>
      </c>
      <c r="N34" s="165">
        <v>28.8</v>
      </c>
      <c r="O34" s="165">
        <v>0</v>
      </c>
      <c r="P34" s="165">
        <v>0.59</v>
      </c>
      <c r="Q34" s="165">
        <v>5.91</v>
      </c>
      <c r="R34" s="13"/>
      <c r="S34" s="13"/>
      <c r="T34" s="213"/>
      <c r="U34" s="13"/>
    </row>
    <row r="35" customFormat="1" spans="1:21">
      <c r="A35" s="142" t="s">
        <v>1520</v>
      </c>
      <c r="B35" s="165">
        <v>20.9</v>
      </c>
      <c r="C35" s="165">
        <v>68.69</v>
      </c>
      <c r="D35" s="165">
        <v>54</v>
      </c>
      <c r="E35" s="165">
        <v>9.9</v>
      </c>
      <c r="F35" s="165">
        <v>4.08</v>
      </c>
      <c r="G35" s="165">
        <v>42.04</v>
      </c>
      <c r="H35" s="165">
        <v>15.28</v>
      </c>
      <c r="I35" s="165">
        <v>5.53</v>
      </c>
      <c r="J35" s="165">
        <v>0.2</v>
      </c>
      <c r="K35" s="165">
        <v>198.19</v>
      </c>
      <c r="L35" s="165">
        <v>26.06</v>
      </c>
      <c r="M35" s="165">
        <v>47.59</v>
      </c>
      <c r="N35" s="165">
        <v>54.7</v>
      </c>
      <c r="O35" s="165">
        <v>0</v>
      </c>
      <c r="P35" s="165">
        <v>0.61</v>
      </c>
      <c r="Q35" s="165">
        <v>5.92</v>
      </c>
      <c r="R35" s="13"/>
      <c r="S35" s="13"/>
      <c r="T35" s="213"/>
      <c r="U35" s="13"/>
    </row>
    <row r="36" customFormat="1" spans="1:21">
      <c r="A36" s="142" t="s">
        <v>1521</v>
      </c>
      <c r="B36" s="165">
        <v>20.61</v>
      </c>
      <c r="C36" s="165">
        <v>68.88</v>
      </c>
      <c r="D36" s="165">
        <v>53.87</v>
      </c>
      <c r="E36" s="165">
        <v>9.68</v>
      </c>
      <c r="F36" s="165">
        <v>4.14</v>
      </c>
      <c r="G36" s="165">
        <v>40</v>
      </c>
      <c r="H36" s="165">
        <v>15.82</v>
      </c>
      <c r="I36" s="165">
        <v>5.5</v>
      </c>
      <c r="J36" s="165">
        <v>0.23</v>
      </c>
      <c r="K36" s="165">
        <v>163.81</v>
      </c>
      <c r="L36" s="165">
        <v>26.91</v>
      </c>
      <c r="M36" s="165">
        <v>45.78</v>
      </c>
      <c r="N36" s="165">
        <v>46.7</v>
      </c>
      <c r="O36" s="165">
        <v>0</v>
      </c>
      <c r="P36" s="165">
        <v>0.61</v>
      </c>
      <c r="Q36" s="165">
        <v>5.93</v>
      </c>
      <c r="R36" s="13"/>
      <c r="S36" s="13"/>
      <c r="T36" s="213"/>
      <c r="U36" s="13"/>
    </row>
    <row r="37" customFormat="1" spans="1:21">
      <c r="A37" s="142" t="s">
        <v>1522</v>
      </c>
      <c r="B37" s="165">
        <v>20.27</v>
      </c>
      <c r="C37" s="165">
        <v>69.38</v>
      </c>
      <c r="D37" s="165">
        <v>53.85</v>
      </c>
      <c r="E37" s="165">
        <v>9.54</v>
      </c>
      <c r="F37" s="165">
        <v>3.98</v>
      </c>
      <c r="G37" s="165">
        <v>40</v>
      </c>
      <c r="H37" s="165">
        <v>15.82</v>
      </c>
      <c r="I37" s="165">
        <v>5.51</v>
      </c>
      <c r="J37" s="165">
        <v>0.33</v>
      </c>
      <c r="K37" s="165">
        <v>150.86</v>
      </c>
      <c r="L37" s="165">
        <v>27.65</v>
      </c>
      <c r="M37" s="165">
        <v>44.65</v>
      </c>
      <c r="N37" s="165">
        <v>63.1</v>
      </c>
      <c r="O37" s="165">
        <v>0</v>
      </c>
      <c r="P37" s="165">
        <v>0.62</v>
      </c>
      <c r="Q37" s="165">
        <v>5.95</v>
      </c>
      <c r="R37" s="13"/>
      <c r="S37" s="13"/>
      <c r="T37" s="213"/>
      <c r="U37" s="13"/>
    </row>
    <row r="38" customFormat="1" spans="1:21">
      <c r="A38" s="142" t="s">
        <v>1523</v>
      </c>
      <c r="B38" s="165">
        <v>19.62</v>
      </c>
      <c r="C38" s="165">
        <v>68.73</v>
      </c>
      <c r="D38" s="165">
        <v>53</v>
      </c>
      <c r="E38" s="165">
        <v>9.69</v>
      </c>
      <c r="F38" s="165">
        <v>4.4</v>
      </c>
      <c r="G38" s="165">
        <v>40</v>
      </c>
      <c r="H38" s="165">
        <v>15.82</v>
      </c>
      <c r="I38" s="165">
        <v>5.58</v>
      </c>
      <c r="J38" s="165">
        <v>0.26</v>
      </c>
      <c r="K38" s="165">
        <v>190.63</v>
      </c>
      <c r="L38" s="165">
        <v>28.52</v>
      </c>
      <c r="M38" s="165">
        <v>42.28</v>
      </c>
      <c r="N38" s="165">
        <v>88.6</v>
      </c>
      <c r="O38" s="165">
        <v>0</v>
      </c>
      <c r="P38" s="165">
        <v>0.63</v>
      </c>
      <c r="Q38" s="165">
        <v>5.92</v>
      </c>
      <c r="R38" s="13"/>
      <c r="S38" s="13"/>
      <c r="T38" s="213"/>
      <c r="U38" s="13"/>
    </row>
    <row r="39" customFormat="1" spans="1:21">
      <c r="A39" s="142" t="s">
        <v>1524</v>
      </c>
      <c r="B39" s="165">
        <v>18.48</v>
      </c>
      <c r="C39" s="165">
        <v>66.68</v>
      </c>
      <c r="D39" s="165">
        <v>51.01</v>
      </c>
      <c r="E39" s="165">
        <v>9.62</v>
      </c>
      <c r="F39" s="165">
        <v>5.86</v>
      </c>
      <c r="G39" s="165">
        <v>40.18</v>
      </c>
      <c r="H39" s="165">
        <v>15.39</v>
      </c>
      <c r="I39" s="165">
        <v>5.65</v>
      </c>
      <c r="J39" s="165">
        <v>0.3</v>
      </c>
      <c r="K39" s="165">
        <v>224.15</v>
      </c>
      <c r="L39" s="165">
        <v>29.77</v>
      </c>
      <c r="M39" s="165">
        <v>37.78</v>
      </c>
      <c r="N39" s="165">
        <v>144.2</v>
      </c>
      <c r="O39" s="165">
        <v>0</v>
      </c>
      <c r="P39" s="165">
        <v>0.63</v>
      </c>
      <c r="Q39" s="165">
        <v>5.92</v>
      </c>
      <c r="R39" s="13"/>
      <c r="S39" s="13"/>
      <c r="T39" s="213"/>
      <c r="U39" s="13"/>
    </row>
    <row r="40" customFormat="1" spans="1:21">
      <c r="A40" s="142" t="s">
        <v>1525</v>
      </c>
      <c r="B40" s="165">
        <v>18.23</v>
      </c>
      <c r="C40" s="165">
        <v>69.21</v>
      </c>
      <c r="D40" s="165">
        <v>52.13</v>
      </c>
      <c r="E40" s="165">
        <v>9.54</v>
      </c>
      <c r="F40" s="165">
        <v>4.95</v>
      </c>
      <c r="G40" s="165">
        <v>40.62</v>
      </c>
      <c r="H40" s="165">
        <v>14.71</v>
      </c>
      <c r="I40" s="165">
        <v>5.73</v>
      </c>
      <c r="J40" s="165">
        <v>0.38</v>
      </c>
      <c r="K40" s="165">
        <v>216.66</v>
      </c>
      <c r="L40" s="165">
        <v>30.47</v>
      </c>
      <c r="M40" s="165">
        <v>34.2</v>
      </c>
      <c r="N40" s="165">
        <v>143.5</v>
      </c>
      <c r="O40" s="165">
        <v>0</v>
      </c>
      <c r="P40" s="165">
        <v>0.63</v>
      </c>
      <c r="Q40" s="165">
        <v>5.93</v>
      </c>
      <c r="R40" s="13"/>
      <c r="S40" s="13"/>
      <c r="T40" s="213"/>
      <c r="U40" s="13"/>
    </row>
    <row r="41" customFormat="1" spans="1:21">
      <c r="A41" s="142" t="s">
        <v>1526</v>
      </c>
      <c r="B41" s="165">
        <v>17.53</v>
      </c>
      <c r="C41" s="165">
        <v>69.08</v>
      </c>
      <c r="D41" s="165">
        <v>51.5</v>
      </c>
      <c r="E41" s="165">
        <v>8.62</v>
      </c>
      <c r="F41" s="165">
        <v>4.84</v>
      </c>
      <c r="G41" s="165">
        <v>40.62</v>
      </c>
      <c r="H41" s="165">
        <v>14.71</v>
      </c>
      <c r="I41" s="165">
        <v>5.79</v>
      </c>
      <c r="J41" s="165">
        <v>0.39</v>
      </c>
      <c r="K41" s="165">
        <v>216.4</v>
      </c>
      <c r="L41" s="165">
        <v>30.76</v>
      </c>
      <c r="M41" s="165">
        <v>33.62</v>
      </c>
      <c r="N41" s="165">
        <v>160.3</v>
      </c>
      <c r="O41" s="165">
        <v>0</v>
      </c>
      <c r="P41" s="165">
        <v>0.63</v>
      </c>
      <c r="Q41" s="165">
        <v>5.9</v>
      </c>
      <c r="R41" s="13"/>
      <c r="S41" s="13"/>
      <c r="T41" s="213"/>
      <c r="U41" s="13"/>
    </row>
    <row r="42" customFormat="1" spans="1:21">
      <c r="A42" s="142" t="s">
        <v>1527</v>
      </c>
      <c r="B42" s="165">
        <v>16.66</v>
      </c>
      <c r="C42" s="165">
        <v>70.38</v>
      </c>
      <c r="D42" s="165">
        <v>51.48</v>
      </c>
      <c r="E42" s="165">
        <v>8.97</v>
      </c>
      <c r="F42" s="165">
        <v>4.76</v>
      </c>
      <c r="G42" s="165">
        <v>40.62</v>
      </c>
      <c r="H42" s="165">
        <v>14.71</v>
      </c>
      <c r="I42" s="165">
        <v>5.78</v>
      </c>
      <c r="J42" s="165">
        <v>0.54</v>
      </c>
      <c r="K42" s="165">
        <v>223.37</v>
      </c>
      <c r="L42" s="165">
        <v>31.15</v>
      </c>
      <c r="M42" s="165">
        <v>32.07</v>
      </c>
      <c r="N42" s="165">
        <v>235.3</v>
      </c>
      <c r="O42" s="165">
        <v>0</v>
      </c>
      <c r="P42" s="165">
        <v>0.62</v>
      </c>
      <c r="Q42" s="165">
        <v>5.85</v>
      </c>
      <c r="R42" s="13"/>
      <c r="S42" s="13"/>
      <c r="T42" s="213"/>
      <c r="U42" s="13"/>
    </row>
    <row r="43" customFormat="1" spans="1:21">
      <c r="A43" s="142" t="s">
        <v>1528</v>
      </c>
      <c r="B43" s="165">
        <v>15.44</v>
      </c>
      <c r="C43" s="165">
        <v>70.46</v>
      </c>
      <c r="D43" s="165">
        <v>50.54</v>
      </c>
      <c r="E43" s="165">
        <v>9.23</v>
      </c>
      <c r="F43" s="165">
        <v>5.49</v>
      </c>
      <c r="G43" s="165">
        <v>41.4</v>
      </c>
      <c r="H43" s="165">
        <v>14.52</v>
      </c>
      <c r="I43" s="165">
        <v>5.76</v>
      </c>
      <c r="J43" s="165">
        <v>0.37</v>
      </c>
      <c r="K43" s="165">
        <v>209.83</v>
      </c>
      <c r="L43" s="165">
        <v>32.14</v>
      </c>
      <c r="M43" s="165">
        <v>30.84</v>
      </c>
      <c r="N43" s="165">
        <v>231.9</v>
      </c>
      <c r="O43" s="165">
        <v>0</v>
      </c>
      <c r="P43" s="165">
        <v>0.62</v>
      </c>
      <c r="Q43" s="165">
        <v>5.8</v>
      </c>
      <c r="R43" s="13"/>
      <c r="S43" s="13"/>
      <c r="T43" s="213"/>
      <c r="U43" s="13"/>
    </row>
    <row r="44" customFormat="1" spans="1:21">
      <c r="A44" s="142" t="s">
        <v>1529</v>
      </c>
      <c r="B44" s="165">
        <v>14.58</v>
      </c>
      <c r="C44" s="165">
        <v>70.88</v>
      </c>
      <c r="D44" s="165">
        <v>50.07</v>
      </c>
      <c r="E44" s="165">
        <v>9.8</v>
      </c>
      <c r="F44" s="165">
        <v>5.28</v>
      </c>
      <c r="G44" s="165">
        <v>43.32</v>
      </c>
      <c r="H44" s="165">
        <v>14.23</v>
      </c>
      <c r="I44" s="165">
        <v>5.7</v>
      </c>
      <c r="J44" s="165">
        <v>0.45</v>
      </c>
      <c r="K44" s="165">
        <v>248.84</v>
      </c>
      <c r="L44" s="165">
        <v>33.29</v>
      </c>
      <c r="M44" s="165">
        <v>28.93</v>
      </c>
      <c r="N44" s="165">
        <v>221.1</v>
      </c>
      <c r="O44" s="165">
        <v>0</v>
      </c>
      <c r="P44" s="165">
        <v>0.63</v>
      </c>
      <c r="Q44" s="165">
        <v>5.73</v>
      </c>
      <c r="R44" s="13"/>
      <c r="S44" s="13"/>
      <c r="T44" s="213"/>
      <c r="U44" s="13"/>
    </row>
    <row r="45" customFormat="1" spans="1:21">
      <c r="A45" s="142" t="s">
        <v>1530</v>
      </c>
      <c r="B45" s="165">
        <v>13.47</v>
      </c>
      <c r="C45" s="165">
        <v>70.99</v>
      </c>
      <c r="D45" s="165">
        <v>49.24</v>
      </c>
      <c r="E45" s="165">
        <v>9.95</v>
      </c>
      <c r="F45" s="165">
        <v>6.49</v>
      </c>
      <c r="G45" s="165">
        <v>43.32</v>
      </c>
      <c r="H45" s="165">
        <v>14.23</v>
      </c>
      <c r="I45" s="165">
        <v>5.63</v>
      </c>
      <c r="J45" s="165">
        <v>0.61</v>
      </c>
      <c r="K45" s="165">
        <v>278</v>
      </c>
      <c r="L45" s="165">
        <v>34.09</v>
      </c>
      <c r="M45" s="165">
        <v>26.25</v>
      </c>
      <c r="N45" s="165">
        <v>198</v>
      </c>
      <c r="O45" s="165">
        <v>0</v>
      </c>
      <c r="P45" s="165">
        <v>0.64</v>
      </c>
      <c r="Q45" s="165">
        <v>5.7</v>
      </c>
      <c r="R45" s="13"/>
      <c r="S45" s="13"/>
      <c r="T45" s="213"/>
      <c r="U45" s="13"/>
    </row>
    <row r="46" customFormat="1" spans="1:21">
      <c r="A46" s="142" t="s">
        <v>1531</v>
      </c>
      <c r="B46" s="165">
        <v>12.4</v>
      </c>
      <c r="C46" s="165">
        <v>68.85</v>
      </c>
      <c r="D46" s="165">
        <v>47.27</v>
      </c>
      <c r="E46" s="165">
        <v>10.75</v>
      </c>
      <c r="F46" s="165">
        <v>11.05</v>
      </c>
      <c r="G46" s="165">
        <v>43.32</v>
      </c>
      <c r="H46" s="165">
        <v>14.23</v>
      </c>
      <c r="I46" s="165">
        <v>5.65</v>
      </c>
      <c r="J46" s="165">
        <v>0.52</v>
      </c>
      <c r="K46" s="165">
        <v>349.72</v>
      </c>
      <c r="L46" s="165">
        <v>34.81</v>
      </c>
      <c r="M46" s="165">
        <v>23.18</v>
      </c>
      <c r="N46" s="165">
        <v>294.2</v>
      </c>
      <c r="O46" s="165">
        <v>0</v>
      </c>
      <c r="P46" s="165">
        <v>0.66</v>
      </c>
      <c r="Q46" s="165">
        <v>5.64</v>
      </c>
      <c r="R46" s="13"/>
      <c r="S46" s="13"/>
      <c r="T46" s="213"/>
      <c r="U46" s="13"/>
    </row>
    <row r="47" customFormat="1" spans="1:21">
      <c r="A47" s="142" t="s">
        <v>1532</v>
      </c>
      <c r="B47" s="165">
        <v>11.16</v>
      </c>
      <c r="C47" s="165">
        <v>67.73</v>
      </c>
      <c r="D47" s="165">
        <v>45.69</v>
      </c>
      <c r="E47" s="165">
        <v>11.06</v>
      </c>
      <c r="F47" s="165">
        <v>13.36</v>
      </c>
      <c r="G47" s="165">
        <v>43.93</v>
      </c>
      <c r="H47" s="165">
        <v>15.5</v>
      </c>
      <c r="I47" s="165">
        <v>5.8</v>
      </c>
      <c r="J47" s="165">
        <v>0.57</v>
      </c>
      <c r="K47" s="165">
        <v>292.08</v>
      </c>
      <c r="L47" s="165">
        <v>35.35</v>
      </c>
      <c r="M47" s="165">
        <v>22.65</v>
      </c>
      <c r="N47" s="165">
        <v>503.7</v>
      </c>
      <c r="O47" s="165">
        <v>0</v>
      </c>
      <c r="P47" s="165">
        <v>0.67</v>
      </c>
      <c r="Q47" s="165">
        <v>5.6</v>
      </c>
      <c r="R47" s="13"/>
      <c r="S47" s="13"/>
      <c r="T47" s="213"/>
      <c r="U47" s="13"/>
    </row>
    <row r="48" customFormat="1" spans="1:21">
      <c r="A48" s="142" t="s">
        <v>1533</v>
      </c>
      <c r="B48" s="165">
        <v>10.02</v>
      </c>
      <c r="C48" s="165">
        <v>66.92</v>
      </c>
      <c r="D48" s="165">
        <v>44.35</v>
      </c>
      <c r="E48" s="165">
        <v>13.12</v>
      </c>
      <c r="F48" s="165">
        <v>16.12</v>
      </c>
      <c r="G48" s="165">
        <v>45.45</v>
      </c>
      <c r="H48" s="165">
        <v>17.52</v>
      </c>
      <c r="I48" s="165">
        <v>5.99</v>
      </c>
      <c r="J48" s="165">
        <v>0.63</v>
      </c>
      <c r="K48" s="165">
        <v>303.38</v>
      </c>
      <c r="L48" s="165">
        <v>36.12</v>
      </c>
      <c r="M48" s="165">
        <v>20.78</v>
      </c>
      <c r="N48" s="165">
        <v>436.3</v>
      </c>
      <c r="O48" s="165">
        <v>0</v>
      </c>
      <c r="P48" s="165">
        <v>0.68</v>
      </c>
      <c r="Q48" s="165">
        <v>5.53</v>
      </c>
      <c r="R48" s="13"/>
      <c r="S48" s="13"/>
      <c r="T48" s="213"/>
      <c r="U48" s="13"/>
    </row>
    <row r="49" customFormat="1" spans="1:21">
      <c r="A49" s="142" t="s">
        <v>1534</v>
      </c>
      <c r="B49" s="165">
        <v>8.99</v>
      </c>
      <c r="C49" s="165">
        <v>66.08</v>
      </c>
      <c r="D49" s="165">
        <v>43.08</v>
      </c>
      <c r="E49" s="165">
        <v>13.95</v>
      </c>
      <c r="F49" s="165">
        <v>18.81</v>
      </c>
      <c r="G49" s="165">
        <v>45.45</v>
      </c>
      <c r="H49" s="165">
        <v>17.52</v>
      </c>
      <c r="I49" s="165">
        <v>6.22</v>
      </c>
      <c r="J49" s="165">
        <v>0.62</v>
      </c>
      <c r="K49" s="165">
        <v>358.02</v>
      </c>
      <c r="L49" s="165">
        <v>36.82</v>
      </c>
      <c r="M49" s="165">
        <v>18.69</v>
      </c>
      <c r="N49" s="165">
        <v>549.4</v>
      </c>
      <c r="O49" s="165">
        <v>0</v>
      </c>
      <c r="P49" s="165">
        <v>0.7</v>
      </c>
      <c r="Q49" s="165">
        <v>5.44</v>
      </c>
      <c r="R49" s="13"/>
      <c r="S49" s="13"/>
      <c r="T49" s="213"/>
      <c r="U49" s="13"/>
    </row>
    <row r="50" customFormat="1" spans="1:21">
      <c r="A50" s="142" t="s">
        <v>1535</v>
      </c>
      <c r="B50" s="165">
        <v>8.16</v>
      </c>
      <c r="C50" s="165">
        <v>65.54</v>
      </c>
      <c r="D50" s="165">
        <v>42.14</v>
      </c>
      <c r="E50" s="165">
        <v>13.46</v>
      </c>
      <c r="F50" s="165">
        <v>15.8</v>
      </c>
      <c r="G50" s="165">
        <v>45.45</v>
      </c>
      <c r="H50" s="165">
        <v>17.52</v>
      </c>
      <c r="I50" s="165">
        <v>6.51</v>
      </c>
      <c r="J50" s="165">
        <v>0.77</v>
      </c>
      <c r="K50" s="165">
        <v>313.5</v>
      </c>
      <c r="L50" s="165">
        <v>37.28</v>
      </c>
      <c r="M50" s="165">
        <v>16.51</v>
      </c>
      <c r="N50" s="165">
        <v>388</v>
      </c>
      <c r="O50" s="165">
        <v>0</v>
      </c>
      <c r="P50" s="165">
        <v>0.68</v>
      </c>
      <c r="Q50" s="165">
        <v>5.42</v>
      </c>
      <c r="R50" s="13"/>
      <c r="S50" s="13"/>
      <c r="T50" s="213"/>
      <c r="U50" s="13"/>
    </row>
    <row r="51" customFormat="1" spans="1:21">
      <c r="A51" s="142" t="s">
        <v>1536</v>
      </c>
      <c r="B51" s="165">
        <v>7.54</v>
      </c>
      <c r="C51" s="165">
        <v>63.63</v>
      </c>
      <c r="D51" s="165">
        <v>40.65</v>
      </c>
      <c r="E51" s="165">
        <v>12.19</v>
      </c>
      <c r="F51" s="165">
        <v>26.06</v>
      </c>
      <c r="G51" s="165">
        <v>47.18</v>
      </c>
      <c r="H51" s="165">
        <v>18.85</v>
      </c>
      <c r="I51" s="165">
        <v>6.7</v>
      </c>
      <c r="J51" s="165">
        <v>0.74</v>
      </c>
      <c r="K51" s="165">
        <v>341.07</v>
      </c>
      <c r="L51" s="165">
        <v>37.45</v>
      </c>
      <c r="M51" s="165">
        <v>16.45</v>
      </c>
      <c r="N51" s="165">
        <v>674.3</v>
      </c>
      <c r="O51" s="165">
        <v>0</v>
      </c>
      <c r="P51" s="165">
        <v>0.66</v>
      </c>
      <c r="Q51" s="165">
        <v>5.35</v>
      </c>
      <c r="R51" s="13"/>
      <c r="S51" s="13"/>
      <c r="T51" s="213"/>
      <c r="U51" s="13"/>
    </row>
    <row r="52" customFormat="1" spans="1:21">
      <c r="A52" s="142" t="s">
        <v>1537</v>
      </c>
      <c r="B52" s="165">
        <v>7.18</v>
      </c>
      <c r="C52" s="165">
        <v>65.56</v>
      </c>
      <c r="D52" s="165">
        <v>41.36</v>
      </c>
      <c r="E52" s="165">
        <v>12.55</v>
      </c>
      <c r="F52" s="165">
        <v>17.99</v>
      </c>
      <c r="G52" s="165">
        <v>51.45</v>
      </c>
      <c r="H52" s="165">
        <v>21.02</v>
      </c>
      <c r="I52" s="165">
        <v>6.58</v>
      </c>
      <c r="J52" s="165">
        <v>1.33</v>
      </c>
      <c r="K52" s="165">
        <v>311.39</v>
      </c>
      <c r="L52" s="165">
        <v>37.7</v>
      </c>
      <c r="M52" s="165">
        <v>16.54</v>
      </c>
      <c r="N52" s="165">
        <v>692</v>
      </c>
      <c r="O52" s="165">
        <v>0</v>
      </c>
      <c r="P52" s="165">
        <v>0.66</v>
      </c>
      <c r="Q52" s="165">
        <v>5.32</v>
      </c>
      <c r="R52" s="13"/>
      <c r="S52" s="13"/>
      <c r="T52" s="213"/>
      <c r="U52" s="13"/>
    </row>
    <row r="53" customFormat="1" spans="1:21">
      <c r="A53" s="142" t="s">
        <v>1538</v>
      </c>
      <c r="B53" s="165">
        <v>7.04</v>
      </c>
      <c r="C53" s="165">
        <v>59.52</v>
      </c>
      <c r="D53" s="165">
        <v>38.09</v>
      </c>
      <c r="E53" s="165">
        <v>13.48</v>
      </c>
      <c r="F53" s="165">
        <v>33.32</v>
      </c>
      <c r="G53" s="165">
        <v>51.45</v>
      </c>
      <c r="H53" s="165">
        <v>21.02</v>
      </c>
      <c r="I53" s="165">
        <v>6.31</v>
      </c>
      <c r="J53" s="165">
        <v>0.88</v>
      </c>
      <c r="K53" s="165">
        <v>5.59</v>
      </c>
      <c r="L53" s="165">
        <v>38.09</v>
      </c>
      <c r="M53" s="165">
        <v>15.31</v>
      </c>
      <c r="N53" s="165">
        <v>680.7</v>
      </c>
      <c r="O53" s="165">
        <v>0</v>
      </c>
      <c r="P53" s="165">
        <v>0.63</v>
      </c>
      <c r="Q53" s="165">
        <v>5.24</v>
      </c>
      <c r="R53" s="13"/>
      <c r="S53" s="13"/>
      <c r="T53" s="213"/>
      <c r="U53" s="13"/>
    </row>
    <row r="54" customFormat="1" spans="1:21">
      <c r="A54" s="142" t="s">
        <v>1539</v>
      </c>
      <c r="B54" s="165">
        <v>7.26</v>
      </c>
      <c r="C54" s="165">
        <v>61.19</v>
      </c>
      <c r="D54" s="165">
        <v>39.14</v>
      </c>
      <c r="E54" s="165">
        <v>15.02</v>
      </c>
      <c r="F54" s="165">
        <v>31.45</v>
      </c>
      <c r="G54" s="165">
        <v>51.45</v>
      </c>
      <c r="H54" s="165">
        <v>21.02</v>
      </c>
      <c r="I54" s="165">
        <v>6.12</v>
      </c>
      <c r="J54" s="165">
        <v>0.5</v>
      </c>
      <c r="K54" s="165">
        <v>314.2</v>
      </c>
      <c r="L54" s="165">
        <v>38.62</v>
      </c>
      <c r="M54" s="165">
        <v>15.23</v>
      </c>
      <c r="N54" s="165">
        <v>732.6</v>
      </c>
      <c r="O54" s="165">
        <v>0</v>
      </c>
      <c r="P54" s="165">
        <v>0.64</v>
      </c>
      <c r="Q54" s="165">
        <v>5.19</v>
      </c>
      <c r="R54" s="13"/>
      <c r="S54" s="13"/>
      <c r="T54" s="213"/>
      <c r="U54" s="13"/>
    </row>
    <row r="55" customFormat="1" spans="1:21">
      <c r="A55" s="142" t="s">
        <v>1540</v>
      </c>
      <c r="B55" s="165">
        <v>7.41</v>
      </c>
      <c r="C55" s="165">
        <v>60.48</v>
      </c>
      <c r="D55" s="165">
        <v>38.89</v>
      </c>
      <c r="E55" s="165">
        <v>15.43</v>
      </c>
      <c r="F55" s="165">
        <v>28.69</v>
      </c>
      <c r="G55" s="165">
        <v>52.16</v>
      </c>
      <c r="H55" s="165">
        <v>21.19</v>
      </c>
      <c r="I55" s="165">
        <v>5.95</v>
      </c>
      <c r="J55" s="165">
        <v>0.47</v>
      </c>
      <c r="K55" s="165">
        <v>2.74</v>
      </c>
      <c r="L55" s="165">
        <v>38.9</v>
      </c>
      <c r="M55" s="165">
        <v>14.34</v>
      </c>
      <c r="N55" s="165">
        <v>749.2</v>
      </c>
      <c r="O55" s="165">
        <v>0</v>
      </c>
      <c r="P55" s="165">
        <v>0.63</v>
      </c>
      <c r="Q55" s="165">
        <v>5.16</v>
      </c>
      <c r="R55" s="13"/>
      <c r="S55" s="13"/>
      <c r="T55" s="213"/>
      <c r="U55" s="13"/>
    </row>
    <row r="56" customFormat="1" spans="1:21">
      <c r="A56" s="142" t="s">
        <v>1541</v>
      </c>
      <c r="B56" s="165">
        <v>7.01</v>
      </c>
      <c r="C56" s="165">
        <v>58.13</v>
      </c>
      <c r="D56" s="165">
        <v>37.34</v>
      </c>
      <c r="E56" s="165">
        <v>14.5</v>
      </c>
      <c r="F56" s="165">
        <v>32.2</v>
      </c>
      <c r="G56" s="165">
        <v>53.89</v>
      </c>
      <c r="H56" s="165">
        <v>21.45</v>
      </c>
      <c r="I56" s="165">
        <v>5.89</v>
      </c>
      <c r="J56" s="165">
        <v>0.92</v>
      </c>
      <c r="K56" s="165">
        <v>337.38</v>
      </c>
      <c r="L56" s="165">
        <v>39.22</v>
      </c>
      <c r="M56" s="165">
        <v>12.94</v>
      </c>
      <c r="N56" s="165">
        <v>761.2</v>
      </c>
      <c r="O56" s="165">
        <v>0</v>
      </c>
      <c r="P56" s="165">
        <v>0.6</v>
      </c>
      <c r="Q56" s="165">
        <v>5.14</v>
      </c>
      <c r="R56" s="13"/>
      <c r="S56" s="13"/>
      <c r="T56" s="213"/>
      <c r="U56" s="13"/>
    </row>
    <row r="57" customFormat="1" spans="1:21">
      <c r="A57" s="142" t="s">
        <v>1542</v>
      </c>
      <c r="B57" s="165">
        <v>7.14</v>
      </c>
      <c r="C57" s="165">
        <v>62.36</v>
      </c>
      <c r="D57" s="165">
        <v>39.66</v>
      </c>
      <c r="E57" s="165">
        <v>11.1</v>
      </c>
      <c r="F57" s="165">
        <v>21.47</v>
      </c>
      <c r="G57" s="165">
        <v>53.89</v>
      </c>
      <c r="H57" s="165">
        <v>21.45</v>
      </c>
      <c r="I57" s="165">
        <v>5.66</v>
      </c>
      <c r="J57" s="165">
        <v>0.95</v>
      </c>
      <c r="K57" s="165">
        <v>285.38</v>
      </c>
      <c r="L57" s="165">
        <v>39.03</v>
      </c>
      <c r="M57" s="165">
        <v>13.44</v>
      </c>
      <c r="N57" s="165">
        <v>759</v>
      </c>
      <c r="O57" s="165">
        <v>0</v>
      </c>
      <c r="P57" s="165">
        <v>0.62</v>
      </c>
      <c r="Q57" s="165">
        <v>5.1</v>
      </c>
      <c r="R57" s="13"/>
      <c r="S57" s="13"/>
      <c r="T57" s="213"/>
      <c r="U57" s="13"/>
    </row>
    <row r="58" customFormat="1" spans="1:21">
      <c r="A58" s="142" t="s">
        <v>1543</v>
      </c>
      <c r="B58" s="165">
        <v>6.75</v>
      </c>
      <c r="C58" s="165">
        <v>56.84</v>
      </c>
      <c r="D58" s="165">
        <v>36.46</v>
      </c>
      <c r="E58" s="165">
        <v>15.48</v>
      </c>
      <c r="F58" s="165">
        <v>37.83</v>
      </c>
      <c r="G58" s="165">
        <v>53.89</v>
      </c>
      <c r="H58" s="165">
        <v>21.45</v>
      </c>
      <c r="I58" s="165">
        <v>5.73</v>
      </c>
      <c r="J58" s="165">
        <v>0.03</v>
      </c>
      <c r="K58" s="165">
        <v>181.6</v>
      </c>
      <c r="L58" s="165">
        <v>39.81</v>
      </c>
      <c r="M58" s="165">
        <v>12.51</v>
      </c>
      <c r="N58" s="165">
        <v>747.5</v>
      </c>
      <c r="O58" s="165">
        <v>0</v>
      </c>
      <c r="P58" s="165">
        <v>0.57</v>
      </c>
      <c r="Q58" s="165">
        <v>5.11</v>
      </c>
      <c r="R58" s="13"/>
      <c r="S58" s="13"/>
      <c r="T58" s="213"/>
      <c r="U58" s="13"/>
    </row>
    <row r="59" customFormat="1" spans="1:21">
      <c r="A59" s="142" t="s">
        <v>1544</v>
      </c>
      <c r="B59" s="165">
        <v>6.65</v>
      </c>
      <c r="C59" s="165">
        <v>56.44</v>
      </c>
      <c r="D59" s="165">
        <v>36.17</v>
      </c>
      <c r="E59" s="165">
        <v>14.13</v>
      </c>
      <c r="F59" s="165">
        <v>43.46</v>
      </c>
      <c r="G59" s="165">
        <v>52.73</v>
      </c>
      <c r="H59" s="165">
        <v>21.36</v>
      </c>
      <c r="I59" s="165">
        <v>5.67</v>
      </c>
      <c r="J59" s="165">
        <v>0.87</v>
      </c>
      <c r="K59" s="165">
        <v>53.59</v>
      </c>
      <c r="L59" s="165">
        <v>40.09</v>
      </c>
      <c r="M59" s="165">
        <v>12.63</v>
      </c>
      <c r="N59" s="165">
        <v>720.5</v>
      </c>
      <c r="O59" s="165">
        <v>0</v>
      </c>
      <c r="P59" s="165">
        <v>0.57</v>
      </c>
      <c r="Q59" s="165">
        <v>5.09</v>
      </c>
      <c r="R59" s="13"/>
      <c r="S59" s="13"/>
      <c r="T59" s="213"/>
      <c r="U59" s="13"/>
    </row>
    <row r="60" customFormat="1" spans="1:21">
      <c r="A60" s="142" t="s">
        <v>1545</v>
      </c>
      <c r="B60" s="165">
        <v>6.42</v>
      </c>
      <c r="C60" s="165">
        <v>60.25</v>
      </c>
      <c r="D60" s="165">
        <v>37.98</v>
      </c>
      <c r="E60" s="165">
        <v>12.9</v>
      </c>
      <c r="F60" s="165">
        <v>22.26</v>
      </c>
      <c r="G60" s="165">
        <v>49.88</v>
      </c>
      <c r="H60" s="165">
        <v>21</v>
      </c>
      <c r="I60" s="165">
        <v>5.48</v>
      </c>
      <c r="J60" s="165">
        <v>0.89</v>
      </c>
      <c r="K60" s="165">
        <v>266.99</v>
      </c>
      <c r="L60" s="165">
        <v>40.29</v>
      </c>
      <c r="M60" s="165">
        <v>12.55</v>
      </c>
      <c r="N60" s="165">
        <v>709.8</v>
      </c>
      <c r="O60" s="165">
        <v>0</v>
      </c>
      <c r="P60" s="165">
        <v>0.57</v>
      </c>
      <c r="Q60" s="165">
        <v>5.06</v>
      </c>
      <c r="R60" s="13"/>
      <c r="S60" s="13"/>
      <c r="T60" s="213"/>
      <c r="U60" s="13"/>
    </row>
    <row r="61" customFormat="1" spans="1:21">
      <c r="A61" s="142" t="s">
        <v>1546</v>
      </c>
      <c r="B61" s="165">
        <v>6.31</v>
      </c>
      <c r="C61" s="165">
        <v>59.07</v>
      </c>
      <c r="D61" s="165">
        <v>37.28</v>
      </c>
      <c r="E61" s="165">
        <v>12.34</v>
      </c>
      <c r="F61" s="165">
        <v>27.09</v>
      </c>
      <c r="G61" s="165">
        <v>49.88</v>
      </c>
      <c r="H61" s="165">
        <v>21</v>
      </c>
      <c r="I61" s="165">
        <v>5.31</v>
      </c>
      <c r="J61" s="165">
        <v>1</v>
      </c>
      <c r="K61" s="165">
        <v>266.5</v>
      </c>
      <c r="L61" s="165">
        <v>39.59</v>
      </c>
      <c r="M61" s="165">
        <v>13.05</v>
      </c>
      <c r="N61" s="165">
        <v>706.3</v>
      </c>
      <c r="O61" s="165">
        <v>0</v>
      </c>
      <c r="P61" s="165">
        <v>0.57</v>
      </c>
      <c r="Q61" s="165">
        <v>5.02</v>
      </c>
      <c r="R61" s="13"/>
      <c r="S61" s="13"/>
      <c r="T61" s="213"/>
      <c r="U61" s="13"/>
    </row>
    <row r="62" customFormat="1" spans="1:21">
      <c r="A62" s="142" t="s">
        <v>1547</v>
      </c>
      <c r="B62" s="165">
        <v>6.18</v>
      </c>
      <c r="C62" s="165">
        <v>57.78</v>
      </c>
      <c r="D62" s="165">
        <v>36.49</v>
      </c>
      <c r="E62" s="165">
        <v>13.62</v>
      </c>
      <c r="F62" s="165">
        <v>32.31</v>
      </c>
      <c r="G62" s="165">
        <v>49.88</v>
      </c>
      <c r="H62" s="165">
        <v>21</v>
      </c>
      <c r="I62" s="165">
        <v>5.53</v>
      </c>
      <c r="J62" s="165">
        <v>1.19</v>
      </c>
      <c r="K62" s="165">
        <v>279.01</v>
      </c>
      <c r="L62" s="165">
        <v>39.74</v>
      </c>
      <c r="M62" s="165">
        <v>13</v>
      </c>
      <c r="N62" s="165">
        <v>685</v>
      </c>
      <c r="O62" s="165">
        <v>0</v>
      </c>
      <c r="P62" s="165">
        <v>0.57</v>
      </c>
      <c r="Q62" s="165">
        <v>5.02</v>
      </c>
      <c r="R62" s="13"/>
      <c r="S62" s="13"/>
      <c r="T62" s="213"/>
      <c r="U62" s="13"/>
    </row>
    <row r="63" customFormat="1" spans="1:21">
      <c r="A63" s="142" t="s">
        <v>1548</v>
      </c>
      <c r="B63" s="165">
        <v>6.04</v>
      </c>
      <c r="C63" s="165">
        <v>57.77</v>
      </c>
      <c r="D63" s="165">
        <v>36.38</v>
      </c>
      <c r="E63" s="165">
        <v>13.5</v>
      </c>
      <c r="F63" s="165">
        <v>43.07</v>
      </c>
      <c r="G63" s="165">
        <v>48.69</v>
      </c>
      <c r="H63" s="165">
        <v>20.08</v>
      </c>
      <c r="I63" s="165">
        <v>5.62</v>
      </c>
      <c r="J63" s="165">
        <v>0.66</v>
      </c>
      <c r="K63" s="165">
        <v>282.32</v>
      </c>
      <c r="L63" s="165">
        <v>39.79</v>
      </c>
      <c r="M63" s="165">
        <v>12.79</v>
      </c>
      <c r="N63" s="165">
        <v>648.7</v>
      </c>
      <c r="O63" s="165">
        <v>0</v>
      </c>
      <c r="P63" s="165">
        <v>0.54</v>
      </c>
      <c r="Q63" s="165">
        <v>4.97</v>
      </c>
      <c r="R63" s="13"/>
      <c r="S63" s="13"/>
      <c r="T63" s="213"/>
      <c r="U63" s="13"/>
    </row>
    <row r="64" customFormat="1" spans="1:21">
      <c r="A64" s="142" t="s">
        <v>1549</v>
      </c>
      <c r="B64" s="165">
        <v>5.63</v>
      </c>
      <c r="C64" s="165">
        <v>55.25</v>
      </c>
      <c r="D64" s="165">
        <v>34.73</v>
      </c>
      <c r="E64" s="165">
        <v>14.37</v>
      </c>
      <c r="F64" s="165">
        <v>43.57</v>
      </c>
      <c r="G64" s="165">
        <v>45.78</v>
      </c>
      <c r="H64" s="165">
        <v>18.62</v>
      </c>
      <c r="I64" s="165">
        <v>5.56</v>
      </c>
      <c r="J64" s="165">
        <v>0.45</v>
      </c>
      <c r="K64" s="165">
        <v>211.72</v>
      </c>
      <c r="L64" s="165">
        <v>41.05</v>
      </c>
      <c r="M64" s="165">
        <v>12.18</v>
      </c>
      <c r="N64" s="165">
        <v>646.9</v>
      </c>
      <c r="O64" s="165">
        <v>0</v>
      </c>
      <c r="P64" s="165">
        <v>0.53</v>
      </c>
      <c r="Q64" s="165">
        <v>4.97</v>
      </c>
      <c r="R64" s="13"/>
      <c r="S64" s="13"/>
      <c r="T64" s="213"/>
      <c r="U64" s="13"/>
    </row>
    <row r="65" customFormat="1" spans="1:21">
      <c r="A65" s="142" t="s">
        <v>1550</v>
      </c>
      <c r="B65" s="165">
        <v>5.52</v>
      </c>
      <c r="C65" s="165">
        <v>56.41</v>
      </c>
      <c r="D65" s="165">
        <v>35.25</v>
      </c>
      <c r="E65" s="165">
        <v>13.49</v>
      </c>
      <c r="F65" s="165">
        <v>29.8</v>
      </c>
      <c r="G65" s="165">
        <v>45.78</v>
      </c>
      <c r="H65" s="165">
        <v>18.62</v>
      </c>
      <c r="I65" s="165">
        <v>5.15</v>
      </c>
      <c r="J65" s="165">
        <v>0.57</v>
      </c>
      <c r="K65" s="165">
        <v>232.99</v>
      </c>
      <c r="L65" s="165">
        <v>40.83</v>
      </c>
      <c r="M65" s="165">
        <v>12.09</v>
      </c>
      <c r="N65" s="165">
        <v>618</v>
      </c>
      <c r="O65" s="165">
        <v>0</v>
      </c>
      <c r="P65" s="165">
        <v>0.52</v>
      </c>
      <c r="Q65" s="165">
        <v>4.87</v>
      </c>
      <c r="R65" s="13"/>
      <c r="S65" s="13"/>
      <c r="T65" s="213"/>
      <c r="U65" s="13"/>
    </row>
    <row r="66" customFormat="1" spans="1:21">
      <c r="A66" s="142" t="s">
        <v>1551</v>
      </c>
      <c r="B66" s="165">
        <v>5.52</v>
      </c>
      <c r="C66" s="165">
        <v>56.06</v>
      </c>
      <c r="D66" s="165">
        <v>35.07</v>
      </c>
      <c r="E66" s="165">
        <v>13.4</v>
      </c>
      <c r="F66" s="165">
        <v>38.04</v>
      </c>
      <c r="G66" s="165">
        <v>45.78</v>
      </c>
      <c r="H66" s="165">
        <v>18.62</v>
      </c>
      <c r="I66" s="165">
        <v>4.86</v>
      </c>
      <c r="J66" s="165">
        <v>0.49</v>
      </c>
      <c r="K66" s="165">
        <v>207.68</v>
      </c>
      <c r="L66" s="165">
        <v>41.01</v>
      </c>
      <c r="M66" s="165">
        <v>11.86</v>
      </c>
      <c r="N66" s="165">
        <v>549.3</v>
      </c>
      <c r="O66" s="165">
        <v>0</v>
      </c>
      <c r="P66" s="165">
        <v>0.52</v>
      </c>
      <c r="Q66" s="165">
        <v>4.83</v>
      </c>
      <c r="R66" s="13"/>
      <c r="S66" s="13"/>
      <c r="T66" s="213"/>
      <c r="U66" s="13"/>
    </row>
    <row r="67" customFormat="1" spans="1:21">
      <c r="A67" s="142" t="s">
        <v>1552</v>
      </c>
      <c r="B67" s="165">
        <v>5.31</v>
      </c>
      <c r="C67" s="165">
        <v>51.4</v>
      </c>
      <c r="D67" s="165">
        <v>32.46</v>
      </c>
      <c r="E67" s="165">
        <v>14.81</v>
      </c>
      <c r="F67" s="165">
        <v>54.22</v>
      </c>
      <c r="G67" s="165">
        <v>44.7</v>
      </c>
      <c r="H67" s="165">
        <v>18.66</v>
      </c>
      <c r="I67" s="165">
        <v>5.13</v>
      </c>
      <c r="J67" s="165">
        <v>0.3</v>
      </c>
      <c r="K67" s="165">
        <v>226.48</v>
      </c>
      <c r="L67" s="165">
        <v>40.51</v>
      </c>
      <c r="M67" s="165">
        <v>12.16</v>
      </c>
      <c r="N67" s="165">
        <v>563.7</v>
      </c>
      <c r="O67" s="165">
        <v>0</v>
      </c>
      <c r="P67" s="165">
        <v>0.49</v>
      </c>
      <c r="Q67" s="165">
        <v>4.83</v>
      </c>
      <c r="R67" s="13"/>
      <c r="S67" s="13"/>
      <c r="T67" s="213"/>
      <c r="U67" s="13"/>
    </row>
    <row r="68" customFormat="1" spans="1:21">
      <c r="A68" s="142" t="s">
        <v>1553</v>
      </c>
      <c r="B68" s="165">
        <v>5.38</v>
      </c>
      <c r="C68" s="165">
        <v>53.33</v>
      </c>
      <c r="D68" s="165">
        <v>33.53</v>
      </c>
      <c r="E68" s="165">
        <v>14.01</v>
      </c>
      <c r="F68" s="165">
        <v>45.39</v>
      </c>
      <c r="G68" s="165">
        <v>42.04</v>
      </c>
      <c r="H68" s="165">
        <v>18.72</v>
      </c>
      <c r="I68" s="165">
        <v>5.15</v>
      </c>
      <c r="J68" s="165">
        <v>0.33</v>
      </c>
      <c r="K68" s="165">
        <v>182.61</v>
      </c>
      <c r="L68" s="165">
        <v>41.54</v>
      </c>
      <c r="M68" s="165">
        <v>11.8</v>
      </c>
      <c r="N68" s="165">
        <v>517.9</v>
      </c>
      <c r="O68" s="165">
        <v>0</v>
      </c>
      <c r="P68" s="165">
        <v>0.5</v>
      </c>
      <c r="Q68" s="165">
        <v>4.83</v>
      </c>
      <c r="R68" s="13"/>
      <c r="S68" s="13"/>
      <c r="T68" s="213"/>
      <c r="U68" s="13"/>
    </row>
    <row r="69" customFormat="1" spans="1:21">
      <c r="A69" s="142" t="s">
        <v>1554</v>
      </c>
      <c r="B69" s="165">
        <v>5.29</v>
      </c>
      <c r="C69" s="165">
        <v>53.49</v>
      </c>
      <c r="D69" s="165">
        <v>33.54</v>
      </c>
      <c r="E69" s="165">
        <v>14.42</v>
      </c>
      <c r="F69" s="165">
        <v>42</v>
      </c>
      <c r="G69" s="165">
        <v>42.04</v>
      </c>
      <c r="H69" s="165">
        <v>18.72</v>
      </c>
      <c r="I69" s="165">
        <v>4.66</v>
      </c>
      <c r="J69" s="165">
        <v>0.45</v>
      </c>
      <c r="K69" s="165">
        <v>216.73</v>
      </c>
      <c r="L69" s="165">
        <v>40.88</v>
      </c>
      <c r="M69" s="165">
        <v>12.23</v>
      </c>
      <c r="N69" s="165">
        <v>465.2</v>
      </c>
      <c r="O69" s="165">
        <v>0</v>
      </c>
      <c r="P69" s="165">
        <v>0.5</v>
      </c>
      <c r="Q69" s="165">
        <v>4.78</v>
      </c>
      <c r="R69" s="13"/>
      <c r="S69" s="13"/>
      <c r="T69" s="213"/>
      <c r="U69" s="13"/>
    </row>
    <row r="70" customFormat="1" spans="1:21">
      <c r="A70" s="142" t="s">
        <v>1555</v>
      </c>
      <c r="B70" s="165">
        <v>5.47</v>
      </c>
      <c r="C70" s="165">
        <v>50.76</v>
      </c>
      <c r="D70" s="165">
        <v>32.26</v>
      </c>
      <c r="E70" s="165">
        <v>15.61</v>
      </c>
      <c r="F70" s="165">
        <v>59.54</v>
      </c>
      <c r="G70" s="165">
        <v>42.04</v>
      </c>
      <c r="H70" s="165">
        <v>18.72</v>
      </c>
      <c r="I70" s="165">
        <v>4.46</v>
      </c>
      <c r="J70" s="165">
        <v>0.24</v>
      </c>
      <c r="K70" s="165">
        <v>298.62</v>
      </c>
      <c r="L70" s="165">
        <v>40.67</v>
      </c>
      <c r="M70" s="165">
        <v>12.25</v>
      </c>
      <c r="N70" s="165">
        <v>437.1</v>
      </c>
      <c r="O70" s="165">
        <v>0</v>
      </c>
      <c r="P70" s="165">
        <v>0.48</v>
      </c>
      <c r="Q70" s="165">
        <v>4.75</v>
      </c>
      <c r="R70" s="13"/>
      <c r="S70" s="13"/>
      <c r="T70" s="213"/>
      <c r="U70" s="13"/>
    </row>
    <row r="71" customFormat="1" spans="1:21">
      <c r="A71" s="142" t="s">
        <v>1556</v>
      </c>
      <c r="B71" s="165">
        <v>5.7</v>
      </c>
      <c r="C71" s="165">
        <v>55.4</v>
      </c>
      <c r="D71" s="165">
        <v>34.87</v>
      </c>
      <c r="E71" s="165">
        <v>14.6</v>
      </c>
      <c r="F71" s="165">
        <v>43.71</v>
      </c>
      <c r="G71" s="165">
        <v>41.09</v>
      </c>
      <c r="H71" s="165">
        <v>17.96</v>
      </c>
      <c r="I71" s="165">
        <v>4.59</v>
      </c>
      <c r="J71" s="165">
        <v>0.8</v>
      </c>
      <c r="K71" s="165">
        <v>272.89</v>
      </c>
      <c r="L71" s="165">
        <v>40.5</v>
      </c>
      <c r="M71" s="165">
        <v>12.86</v>
      </c>
      <c r="N71" s="165">
        <v>392.8</v>
      </c>
      <c r="O71" s="165">
        <v>0</v>
      </c>
      <c r="P71" s="165">
        <v>0.5</v>
      </c>
      <c r="Q71" s="165">
        <v>4.76</v>
      </c>
      <c r="R71" s="13"/>
      <c r="S71" s="13"/>
      <c r="T71" s="213"/>
      <c r="U71" s="13"/>
    </row>
    <row r="72" customFormat="1" spans="1:21">
      <c r="A72" s="142" t="s">
        <v>1557</v>
      </c>
      <c r="B72" s="165">
        <v>5.76</v>
      </c>
      <c r="C72" s="165">
        <v>57.99</v>
      </c>
      <c r="D72" s="165">
        <v>36.26</v>
      </c>
      <c r="E72" s="165">
        <v>12.61</v>
      </c>
      <c r="F72" s="165">
        <v>29.77</v>
      </c>
      <c r="G72" s="165">
        <v>38.75</v>
      </c>
      <c r="H72" s="165">
        <v>16.78</v>
      </c>
      <c r="I72" s="165">
        <v>4.44</v>
      </c>
      <c r="J72" s="165">
        <v>0.35</v>
      </c>
      <c r="K72" s="165">
        <v>282.01</v>
      </c>
      <c r="L72" s="165">
        <v>39.97</v>
      </c>
      <c r="M72" s="165">
        <v>13.14</v>
      </c>
      <c r="N72" s="165">
        <v>339.2</v>
      </c>
      <c r="O72" s="165">
        <v>0</v>
      </c>
      <c r="P72" s="165">
        <v>0.51</v>
      </c>
      <c r="Q72" s="165">
        <v>4.75</v>
      </c>
      <c r="R72" s="13"/>
      <c r="S72" s="13"/>
      <c r="T72" s="213"/>
      <c r="U72" s="13"/>
    </row>
    <row r="73" customFormat="1" spans="1:21">
      <c r="A73" s="142" t="s">
        <v>1558</v>
      </c>
      <c r="B73" s="165">
        <v>5.53</v>
      </c>
      <c r="C73" s="165">
        <v>58.09</v>
      </c>
      <c r="D73" s="165">
        <v>36.13</v>
      </c>
      <c r="E73" s="165">
        <v>13.56</v>
      </c>
      <c r="F73" s="165">
        <v>30.3</v>
      </c>
      <c r="G73" s="165">
        <v>38.75</v>
      </c>
      <c r="H73" s="165">
        <v>16.78</v>
      </c>
      <c r="I73" s="165">
        <v>4.51</v>
      </c>
      <c r="J73" s="165">
        <v>0.79</v>
      </c>
      <c r="K73" s="165">
        <v>238.14</v>
      </c>
      <c r="L73" s="165">
        <v>39.54</v>
      </c>
      <c r="M73" s="165">
        <v>14.13</v>
      </c>
      <c r="N73" s="165">
        <v>286.5</v>
      </c>
      <c r="O73" s="165">
        <v>0</v>
      </c>
      <c r="P73" s="165">
        <v>0.52</v>
      </c>
      <c r="Q73" s="165">
        <v>4.85</v>
      </c>
      <c r="R73" s="13"/>
      <c r="S73" s="13"/>
      <c r="T73" s="213"/>
      <c r="U73" s="13"/>
    </row>
    <row r="74" customFormat="1" spans="1:21">
      <c r="A74" s="142" t="s">
        <v>1559</v>
      </c>
      <c r="B74" s="165">
        <v>4.98</v>
      </c>
      <c r="C74" s="165">
        <v>54.63</v>
      </c>
      <c r="D74" s="165">
        <v>33.89</v>
      </c>
      <c r="E74" s="165">
        <v>14.86</v>
      </c>
      <c r="F74" s="165">
        <v>42.98</v>
      </c>
      <c r="G74" s="165">
        <v>38.75</v>
      </c>
      <c r="H74" s="165">
        <v>16.78</v>
      </c>
      <c r="I74" s="165">
        <v>4.81</v>
      </c>
      <c r="J74" s="165">
        <v>0.46</v>
      </c>
      <c r="K74" s="165">
        <v>229.26</v>
      </c>
      <c r="L74" s="165">
        <v>39.51</v>
      </c>
      <c r="M74" s="165">
        <v>14.48</v>
      </c>
      <c r="N74" s="165">
        <v>232.6</v>
      </c>
      <c r="O74" s="165">
        <v>0</v>
      </c>
      <c r="P74" s="165">
        <v>0.51</v>
      </c>
      <c r="Q74" s="165">
        <v>4.88</v>
      </c>
      <c r="R74" s="13"/>
      <c r="S74" s="13"/>
      <c r="T74" s="213"/>
      <c r="U74" s="13"/>
    </row>
    <row r="75" customFormat="1" spans="1:21">
      <c r="A75" s="142" t="s">
        <v>1560</v>
      </c>
      <c r="B75" s="165">
        <v>4.91</v>
      </c>
      <c r="C75" s="165">
        <v>55.98</v>
      </c>
      <c r="D75" s="165">
        <v>34.54</v>
      </c>
      <c r="E75" s="165">
        <v>16.02</v>
      </c>
      <c r="F75" s="165">
        <v>34.71</v>
      </c>
      <c r="G75" s="165">
        <v>38.13</v>
      </c>
      <c r="H75" s="165">
        <v>16.48</v>
      </c>
      <c r="I75" s="165">
        <v>4.85</v>
      </c>
      <c r="J75" s="165">
        <v>0.64</v>
      </c>
      <c r="K75" s="165">
        <v>234.1</v>
      </c>
      <c r="L75" s="165">
        <v>39.19</v>
      </c>
      <c r="M75" s="165">
        <v>15.41</v>
      </c>
      <c r="N75" s="165">
        <v>192.1</v>
      </c>
      <c r="O75" s="165">
        <v>0</v>
      </c>
      <c r="P75" s="165">
        <v>0.54</v>
      </c>
      <c r="Q75" s="165">
        <v>4.83</v>
      </c>
      <c r="R75" s="13"/>
      <c r="S75" s="13"/>
      <c r="T75" s="213"/>
      <c r="U75" s="13"/>
    </row>
    <row r="76" customFormat="1" spans="1:21">
      <c r="A76" s="142" t="s">
        <v>1561</v>
      </c>
      <c r="B76" s="165">
        <v>4.91</v>
      </c>
      <c r="C76" s="165">
        <v>56.01</v>
      </c>
      <c r="D76" s="165">
        <v>34.55</v>
      </c>
      <c r="E76" s="165">
        <v>17.06</v>
      </c>
      <c r="F76" s="165">
        <v>44.86</v>
      </c>
      <c r="G76" s="165">
        <v>36.67</v>
      </c>
      <c r="H76" s="165">
        <v>16.01</v>
      </c>
      <c r="I76" s="165">
        <v>4.75</v>
      </c>
      <c r="J76" s="165">
        <v>0.43</v>
      </c>
      <c r="K76" s="165">
        <v>222.27</v>
      </c>
      <c r="L76" s="165">
        <v>39.03</v>
      </c>
      <c r="M76" s="165">
        <v>15.37</v>
      </c>
      <c r="N76" s="165">
        <v>151.5</v>
      </c>
      <c r="O76" s="165">
        <v>0</v>
      </c>
      <c r="P76" s="165">
        <v>0.54</v>
      </c>
      <c r="Q76" s="165">
        <v>4.83</v>
      </c>
      <c r="R76" s="13"/>
      <c r="S76" s="13"/>
      <c r="T76" s="213"/>
      <c r="U76" s="13"/>
    </row>
    <row r="77" customFormat="1" spans="1:21">
      <c r="A77" s="142" t="s">
        <v>1562</v>
      </c>
      <c r="B77" s="165">
        <v>4.82</v>
      </c>
      <c r="C77" s="165">
        <v>54.71</v>
      </c>
      <c r="D77" s="165">
        <v>33.81</v>
      </c>
      <c r="E77" s="165">
        <v>17.89</v>
      </c>
      <c r="F77" s="165">
        <v>46.21</v>
      </c>
      <c r="G77" s="165">
        <v>36.67</v>
      </c>
      <c r="H77" s="165">
        <v>16.01</v>
      </c>
      <c r="I77" s="165">
        <v>4.75</v>
      </c>
      <c r="J77" s="165">
        <v>0.35</v>
      </c>
      <c r="K77" s="165">
        <v>208.99</v>
      </c>
      <c r="L77" s="165">
        <v>38.76</v>
      </c>
      <c r="M77" s="165">
        <v>16.09</v>
      </c>
      <c r="N77" s="165">
        <v>108.7</v>
      </c>
      <c r="O77" s="165">
        <v>0</v>
      </c>
      <c r="P77" s="165">
        <v>0.54</v>
      </c>
      <c r="Q77" s="165">
        <v>4.81</v>
      </c>
      <c r="R77" s="13"/>
      <c r="S77" s="13"/>
      <c r="T77" s="213"/>
      <c r="U77" s="13"/>
    </row>
    <row r="78" customFormat="1" spans="1:21">
      <c r="A78" s="142" t="s">
        <v>1563</v>
      </c>
      <c r="B78" s="165">
        <v>4.83</v>
      </c>
      <c r="C78" s="165">
        <v>52.63</v>
      </c>
      <c r="D78" s="165">
        <v>32.72</v>
      </c>
      <c r="E78" s="165">
        <v>16.66</v>
      </c>
      <c r="F78" s="165">
        <v>50.1</v>
      </c>
      <c r="G78" s="165">
        <v>36.67</v>
      </c>
      <c r="H78" s="165">
        <v>16.01</v>
      </c>
      <c r="I78" s="165">
        <v>4.72</v>
      </c>
      <c r="J78" s="165">
        <v>0.33</v>
      </c>
      <c r="K78" s="165">
        <v>221.57</v>
      </c>
      <c r="L78" s="165">
        <v>38.14</v>
      </c>
      <c r="M78" s="165">
        <v>16.68</v>
      </c>
      <c r="N78" s="165">
        <v>68.4</v>
      </c>
      <c r="O78" s="165">
        <v>0</v>
      </c>
      <c r="P78" s="165">
        <v>0.52</v>
      </c>
      <c r="Q78" s="165">
        <v>4.75</v>
      </c>
      <c r="R78" s="13"/>
      <c r="S78" s="13"/>
      <c r="T78" s="213"/>
      <c r="U78" s="13"/>
    </row>
    <row r="79" customFormat="1" spans="1:21">
      <c r="A79" s="142" t="s">
        <v>1564</v>
      </c>
      <c r="B79" s="165">
        <v>4.82</v>
      </c>
      <c r="C79" s="165">
        <v>50.07</v>
      </c>
      <c r="D79" s="165">
        <v>31.37</v>
      </c>
      <c r="E79" s="165">
        <v>16.09</v>
      </c>
      <c r="F79" s="165">
        <v>56.04</v>
      </c>
      <c r="G79" s="165">
        <v>37.28</v>
      </c>
      <c r="H79" s="165">
        <v>15.98</v>
      </c>
      <c r="I79" s="165">
        <v>4.59</v>
      </c>
      <c r="J79" s="165">
        <v>0.35</v>
      </c>
      <c r="K79" s="165">
        <v>228.89</v>
      </c>
      <c r="L79" s="165">
        <v>37.35</v>
      </c>
      <c r="M79" s="165">
        <v>17.77</v>
      </c>
      <c r="N79" s="165">
        <v>35</v>
      </c>
      <c r="O79" s="165">
        <v>0</v>
      </c>
      <c r="P79" s="165">
        <v>0.5</v>
      </c>
      <c r="Q79" s="165">
        <v>4.73</v>
      </c>
      <c r="R79" s="13"/>
      <c r="S79" s="13"/>
      <c r="T79" s="213"/>
      <c r="U79" s="13"/>
    </row>
    <row r="80" customFormat="1" spans="1:21">
      <c r="A80" s="142" t="s">
        <v>1565</v>
      </c>
      <c r="B80" s="165">
        <v>5.07</v>
      </c>
      <c r="C80" s="165">
        <v>52.28</v>
      </c>
      <c r="D80" s="165">
        <v>32.73</v>
      </c>
      <c r="E80" s="165">
        <v>15.61</v>
      </c>
      <c r="F80" s="165">
        <v>50.5</v>
      </c>
      <c r="G80" s="165">
        <v>38.76</v>
      </c>
      <c r="H80" s="165">
        <v>15.94</v>
      </c>
      <c r="I80" s="165">
        <v>4.39</v>
      </c>
      <c r="J80" s="165">
        <v>0.18</v>
      </c>
      <c r="K80" s="165">
        <v>220.48</v>
      </c>
      <c r="L80" s="165">
        <v>36.53</v>
      </c>
      <c r="M80" s="165">
        <v>19.08</v>
      </c>
      <c r="N80" s="165">
        <v>11.7</v>
      </c>
      <c r="O80" s="165">
        <v>0</v>
      </c>
      <c r="P80" s="165">
        <v>0.5</v>
      </c>
      <c r="Q80" s="165">
        <v>4.68</v>
      </c>
      <c r="R80" s="13"/>
      <c r="S80" s="13"/>
      <c r="T80" s="213"/>
      <c r="U80" s="13"/>
    </row>
    <row r="81" customFormat="1" spans="1:21">
      <c r="A81" s="142" t="s">
        <v>1566</v>
      </c>
      <c r="B81" s="165">
        <v>4.88</v>
      </c>
      <c r="C81" s="165">
        <v>48.9</v>
      </c>
      <c r="D81" s="165">
        <v>30.81</v>
      </c>
      <c r="E81" s="165">
        <v>11.24</v>
      </c>
      <c r="F81" s="165">
        <v>47.5</v>
      </c>
      <c r="G81" s="165">
        <v>38.76</v>
      </c>
      <c r="H81" s="165">
        <v>15.94</v>
      </c>
      <c r="I81" s="165">
        <v>4.09</v>
      </c>
      <c r="J81" s="165">
        <v>0.17</v>
      </c>
      <c r="K81" s="165">
        <v>227.56</v>
      </c>
      <c r="L81" s="165">
        <v>35.57</v>
      </c>
      <c r="M81" s="165">
        <v>21</v>
      </c>
      <c r="N81" s="165">
        <v>0.3</v>
      </c>
      <c r="O81" s="165">
        <v>0</v>
      </c>
      <c r="P81" s="165">
        <v>0.51</v>
      </c>
      <c r="Q81" s="165">
        <v>4.63</v>
      </c>
      <c r="R81" s="13"/>
      <c r="S81" s="13"/>
      <c r="T81" s="213"/>
      <c r="U81" s="13"/>
    </row>
    <row r="82" customFormat="1" spans="1:21">
      <c r="A82" s="142" t="s">
        <v>1567</v>
      </c>
      <c r="B82" s="165">
        <v>4.96</v>
      </c>
      <c r="C82" s="165">
        <v>48.2</v>
      </c>
      <c r="D82" s="165">
        <v>30.52</v>
      </c>
      <c r="E82" s="165">
        <v>12.04</v>
      </c>
      <c r="F82" s="165">
        <v>37.93</v>
      </c>
      <c r="G82" s="165">
        <v>38.76</v>
      </c>
      <c r="H82" s="165">
        <v>15.94</v>
      </c>
      <c r="I82" s="165">
        <v>3.91</v>
      </c>
      <c r="J82" s="165">
        <v>0.12</v>
      </c>
      <c r="K82" s="165">
        <v>221.5</v>
      </c>
      <c r="L82" s="165">
        <v>34.79</v>
      </c>
      <c r="M82" s="165">
        <v>22.68</v>
      </c>
      <c r="N82" s="165">
        <v>0</v>
      </c>
      <c r="O82" s="165">
        <v>0</v>
      </c>
      <c r="P82" s="165">
        <v>0.53</v>
      </c>
      <c r="Q82" s="165">
        <v>4.61</v>
      </c>
      <c r="R82" s="13"/>
      <c r="S82" s="13"/>
      <c r="T82" s="213"/>
      <c r="U82" s="13"/>
    </row>
    <row r="83" customFormat="1" spans="1:21">
      <c r="A83" s="142" t="s">
        <v>1568</v>
      </c>
      <c r="B83" s="165">
        <v>5.16</v>
      </c>
      <c r="C83" s="165">
        <v>47.85</v>
      </c>
      <c r="D83" s="165">
        <v>30.49</v>
      </c>
      <c r="E83" s="165">
        <v>12.39</v>
      </c>
      <c r="F83" s="165">
        <v>45.04</v>
      </c>
      <c r="G83" s="165">
        <v>39.66</v>
      </c>
      <c r="H83" s="165">
        <v>15.81</v>
      </c>
      <c r="I83" s="165">
        <v>4.02</v>
      </c>
      <c r="J83" s="165">
        <v>0.16</v>
      </c>
      <c r="K83" s="165">
        <v>229.81</v>
      </c>
      <c r="L83" s="165">
        <v>34.04</v>
      </c>
      <c r="M83" s="165">
        <v>23.96</v>
      </c>
      <c r="N83" s="165">
        <v>0</v>
      </c>
      <c r="O83" s="165">
        <v>0</v>
      </c>
      <c r="P83" s="165">
        <v>0.54</v>
      </c>
      <c r="Q83" s="165">
        <v>4.68</v>
      </c>
      <c r="R83" s="13"/>
      <c r="S83" s="13"/>
      <c r="T83" s="213"/>
      <c r="U83" s="13"/>
    </row>
    <row r="84" customFormat="1" spans="1:21">
      <c r="A84" s="142" t="s">
        <v>1569</v>
      </c>
      <c r="B84" s="165">
        <v>5.24</v>
      </c>
      <c r="C84" s="165">
        <v>49.62</v>
      </c>
      <c r="D84" s="165">
        <v>31.48</v>
      </c>
      <c r="E84" s="165">
        <v>13.16</v>
      </c>
      <c r="F84" s="165">
        <v>36.26</v>
      </c>
      <c r="G84" s="165">
        <v>41.87</v>
      </c>
      <c r="H84" s="165">
        <v>15.36</v>
      </c>
      <c r="I84" s="165">
        <v>4.11</v>
      </c>
      <c r="J84" s="165">
        <v>0.1</v>
      </c>
      <c r="K84" s="165">
        <v>209.54</v>
      </c>
      <c r="L84" s="165">
        <v>33.78</v>
      </c>
      <c r="M84" s="165">
        <v>24.99</v>
      </c>
      <c r="N84" s="165">
        <v>0</v>
      </c>
      <c r="O84" s="165">
        <v>0</v>
      </c>
      <c r="P84" s="165">
        <v>0.56</v>
      </c>
      <c r="Q84" s="165">
        <v>4.66</v>
      </c>
      <c r="R84" s="13"/>
      <c r="S84" s="13"/>
      <c r="T84" s="213"/>
      <c r="U84" s="13"/>
    </row>
    <row r="85" customFormat="1" spans="1:21">
      <c r="A85" s="142" t="s">
        <v>1570</v>
      </c>
      <c r="B85" s="165">
        <v>5.44</v>
      </c>
      <c r="C85" s="165">
        <v>50.94</v>
      </c>
      <c r="D85" s="165">
        <v>32.33</v>
      </c>
      <c r="E85" s="165">
        <v>12.93</v>
      </c>
      <c r="F85" s="165">
        <v>32.43</v>
      </c>
      <c r="G85" s="165">
        <v>41.87</v>
      </c>
      <c r="H85" s="165">
        <v>15.36</v>
      </c>
      <c r="I85" s="165">
        <v>4.21</v>
      </c>
      <c r="J85" s="165">
        <v>0.18</v>
      </c>
      <c r="K85" s="165">
        <v>145.8</v>
      </c>
      <c r="L85" s="165">
        <v>33.36</v>
      </c>
      <c r="M85" s="165">
        <v>26.51</v>
      </c>
      <c r="N85" s="165">
        <v>0</v>
      </c>
      <c r="O85" s="165">
        <v>0</v>
      </c>
      <c r="P85" s="165">
        <v>0.57</v>
      </c>
      <c r="Q85" s="165">
        <v>4.64</v>
      </c>
      <c r="R85" s="13"/>
      <c r="S85" s="13"/>
      <c r="T85" s="213"/>
      <c r="U85" s="13"/>
    </row>
    <row r="86" customFormat="1" spans="1:21">
      <c r="A86" s="142" t="s">
        <v>1571</v>
      </c>
      <c r="B86" s="165">
        <v>5.72</v>
      </c>
      <c r="C86" s="165">
        <v>49.56</v>
      </c>
      <c r="D86" s="165">
        <v>31.83</v>
      </c>
      <c r="E86" s="165">
        <v>12.91</v>
      </c>
      <c r="F86" s="165">
        <v>28.85</v>
      </c>
      <c r="G86" s="165">
        <v>41.87</v>
      </c>
      <c r="H86" s="165">
        <v>15.36</v>
      </c>
      <c r="I86" s="165">
        <v>4.42</v>
      </c>
      <c r="J86" s="165">
        <v>0.19</v>
      </c>
      <c r="K86" s="165">
        <v>148.96</v>
      </c>
      <c r="L86" s="165">
        <v>32.7</v>
      </c>
      <c r="M86" s="165">
        <v>28</v>
      </c>
      <c r="N86" s="165">
        <v>0</v>
      </c>
      <c r="O86" s="165">
        <v>0</v>
      </c>
      <c r="P86" s="165">
        <v>0.58</v>
      </c>
      <c r="Q86" s="165">
        <v>4.66</v>
      </c>
      <c r="R86" s="13"/>
      <c r="S86" s="13"/>
      <c r="T86" s="213"/>
      <c r="U86" s="13"/>
    </row>
    <row r="87" customFormat="1" spans="1:21">
      <c r="A87" s="142" t="s">
        <v>1572</v>
      </c>
      <c r="B87" s="165">
        <v>5.68</v>
      </c>
      <c r="C87" s="165">
        <v>46.97</v>
      </c>
      <c r="D87" s="165">
        <v>30.45</v>
      </c>
      <c r="E87" s="165">
        <v>13.53</v>
      </c>
      <c r="F87" s="165">
        <v>34.94</v>
      </c>
      <c r="G87" s="165">
        <v>42.51</v>
      </c>
      <c r="H87" s="165">
        <v>15.89</v>
      </c>
      <c r="I87" s="165">
        <v>4.62</v>
      </c>
      <c r="J87" s="165">
        <v>0.17</v>
      </c>
      <c r="K87" s="165">
        <v>157.02</v>
      </c>
      <c r="L87" s="165">
        <v>32.3</v>
      </c>
      <c r="M87" s="165">
        <v>29.22</v>
      </c>
      <c r="N87" s="165">
        <v>0</v>
      </c>
      <c r="O87" s="165">
        <v>0</v>
      </c>
      <c r="P87" s="165">
        <v>0.6</v>
      </c>
      <c r="Q87" s="165">
        <v>4.7</v>
      </c>
      <c r="R87" s="13"/>
      <c r="S87" s="13"/>
      <c r="T87" s="213"/>
      <c r="U87" s="13"/>
    </row>
    <row r="88" customFormat="1" spans="1:21">
      <c r="A88" s="142" t="s">
        <v>1573</v>
      </c>
      <c r="B88" s="165">
        <v>5.9</v>
      </c>
      <c r="C88" s="165">
        <v>49.36</v>
      </c>
      <c r="D88" s="165">
        <v>31.87</v>
      </c>
      <c r="E88" s="165">
        <v>13.73</v>
      </c>
      <c r="F88" s="165">
        <v>27.52</v>
      </c>
      <c r="G88" s="165">
        <v>44.09</v>
      </c>
      <c r="H88" s="165">
        <v>16.75</v>
      </c>
      <c r="I88" s="165">
        <v>4.67</v>
      </c>
      <c r="J88" s="165">
        <v>0.11</v>
      </c>
      <c r="K88" s="165">
        <v>188.47</v>
      </c>
      <c r="L88" s="165">
        <v>31.85</v>
      </c>
      <c r="M88" s="165">
        <v>29.96</v>
      </c>
      <c r="N88" s="165">
        <v>0</v>
      </c>
      <c r="O88" s="165">
        <v>0</v>
      </c>
      <c r="P88" s="165">
        <v>0.61</v>
      </c>
      <c r="Q88" s="165">
        <v>4.75</v>
      </c>
      <c r="R88" s="13"/>
      <c r="S88" s="13"/>
      <c r="T88" s="213"/>
      <c r="U88" s="13"/>
    </row>
    <row r="89" customFormat="1" spans="1:21">
      <c r="A89" s="142" t="s">
        <v>1574</v>
      </c>
      <c r="B89" s="165">
        <v>5.97</v>
      </c>
      <c r="C89" s="165">
        <v>51.49</v>
      </c>
      <c r="D89" s="165">
        <v>33.04</v>
      </c>
      <c r="E89" s="165">
        <v>13.39</v>
      </c>
      <c r="F89" s="165">
        <v>23.29</v>
      </c>
      <c r="G89" s="165">
        <v>44.09</v>
      </c>
      <c r="H89" s="165">
        <v>16.75</v>
      </c>
      <c r="I89" s="165">
        <v>4.75</v>
      </c>
      <c r="J89" s="165">
        <v>0.2</v>
      </c>
      <c r="K89" s="165">
        <v>150.78</v>
      </c>
      <c r="L89" s="165">
        <v>31.61</v>
      </c>
      <c r="M89" s="165">
        <v>31.47</v>
      </c>
      <c r="N89" s="165">
        <v>0</v>
      </c>
      <c r="O89" s="165">
        <v>0</v>
      </c>
      <c r="P89" s="165">
        <v>0.65</v>
      </c>
      <c r="Q89" s="165">
        <v>4.79</v>
      </c>
      <c r="R89" s="13"/>
      <c r="S89" s="13"/>
      <c r="T89" s="213"/>
      <c r="U89" s="13"/>
    </row>
    <row r="90" customFormat="1" spans="1:21">
      <c r="A90" s="142" t="s">
        <v>1575</v>
      </c>
      <c r="B90" s="165">
        <v>6.3</v>
      </c>
      <c r="C90" s="165">
        <v>53.76</v>
      </c>
      <c r="D90" s="165">
        <v>34.49</v>
      </c>
      <c r="E90" s="165">
        <v>13.03</v>
      </c>
      <c r="F90" s="165">
        <v>19.68</v>
      </c>
      <c r="G90" s="165">
        <v>44.09</v>
      </c>
      <c r="H90" s="165">
        <v>16.75</v>
      </c>
      <c r="I90" s="165">
        <v>4.92</v>
      </c>
      <c r="J90" s="165">
        <v>0.26</v>
      </c>
      <c r="K90" s="165">
        <v>156.84</v>
      </c>
      <c r="L90" s="165">
        <v>31.54</v>
      </c>
      <c r="M90" s="165">
        <v>32.22</v>
      </c>
      <c r="N90" s="165">
        <v>0</v>
      </c>
      <c r="O90" s="165">
        <v>0</v>
      </c>
      <c r="P90" s="165">
        <v>0.66</v>
      </c>
      <c r="Q90" s="165">
        <v>4.79</v>
      </c>
      <c r="R90" s="13"/>
      <c r="S90" s="13"/>
      <c r="T90" s="213"/>
      <c r="U90" s="13"/>
    </row>
    <row r="91" customFormat="1" spans="1:21">
      <c r="A91" s="142" t="s">
        <v>1576</v>
      </c>
      <c r="B91" s="165">
        <v>6.73</v>
      </c>
      <c r="C91" s="165">
        <v>56.35</v>
      </c>
      <c r="D91" s="165">
        <v>36.19</v>
      </c>
      <c r="E91" s="165">
        <v>12.29</v>
      </c>
      <c r="F91" s="165">
        <v>19.39</v>
      </c>
      <c r="G91" s="165">
        <v>45.15</v>
      </c>
      <c r="H91" s="165">
        <v>17.35</v>
      </c>
      <c r="I91" s="165">
        <v>5.13</v>
      </c>
      <c r="J91" s="165">
        <v>0.2</v>
      </c>
      <c r="K91" s="165">
        <v>176.3</v>
      </c>
      <c r="L91" s="165">
        <v>31.01</v>
      </c>
      <c r="M91" s="165">
        <v>33.65</v>
      </c>
      <c r="N91" s="165">
        <v>0</v>
      </c>
      <c r="O91" s="165">
        <v>0</v>
      </c>
      <c r="P91" s="165">
        <v>0.65</v>
      </c>
      <c r="Q91" s="165">
        <v>4.83</v>
      </c>
      <c r="R91" s="13"/>
      <c r="S91" s="13"/>
      <c r="T91" s="213"/>
      <c r="U91" s="13"/>
    </row>
    <row r="92" customFormat="1" spans="1:21">
      <c r="A92" s="142" t="s">
        <v>1577</v>
      </c>
      <c r="B92" s="165">
        <v>6.7</v>
      </c>
      <c r="C92" s="165">
        <v>53.79</v>
      </c>
      <c r="D92" s="165">
        <v>34.83</v>
      </c>
      <c r="E92" s="165">
        <v>13.04</v>
      </c>
      <c r="F92" s="165">
        <v>23.44</v>
      </c>
      <c r="G92" s="165">
        <v>47.77</v>
      </c>
      <c r="H92" s="165">
        <v>18.3</v>
      </c>
      <c r="I92" s="165">
        <v>5.25</v>
      </c>
      <c r="J92" s="165">
        <v>0.22</v>
      </c>
      <c r="K92" s="165">
        <v>154.61</v>
      </c>
      <c r="L92" s="165">
        <v>30.77</v>
      </c>
      <c r="M92" s="165">
        <v>33</v>
      </c>
      <c r="N92" s="165">
        <v>0</v>
      </c>
      <c r="O92" s="165">
        <v>0</v>
      </c>
      <c r="P92" s="165">
        <v>0.67</v>
      </c>
      <c r="Q92" s="165">
        <v>4.89</v>
      </c>
      <c r="R92" s="13"/>
      <c r="S92" s="13"/>
      <c r="T92" s="213"/>
      <c r="U92" s="13"/>
    </row>
    <row r="93" customFormat="1" spans="1:21">
      <c r="A93" s="142" t="s">
        <v>1578</v>
      </c>
      <c r="B93" s="165">
        <v>6.53</v>
      </c>
      <c r="C93" s="165">
        <v>49.52</v>
      </c>
      <c r="D93" s="165">
        <v>32.46</v>
      </c>
      <c r="E93" s="165">
        <v>15.39</v>
      </c>
      <c r="F93" s="165">
        <v>29.26</v>
      </c>
      <c r="G93" s="165">
        <v>47.77</v>
      </c>
      <c r="H93" s="165">
        <v>18.3</v>
      </c>
      <c r="I93" s="165">
        <v>5.21</v>
      </c>
      <c r="J93" s="165">
        <v>0.2</v>
      </c>
      <c r="K93" s="165">
        <v>148.79</v>
      </c>
      <c r="L93" s="165">
        <v>30.77</v>
      </c>
      <c r="M93" s="165">
        <v>32.8</v>
      </c>
      <c r="N93" s="165">
        <v>0</v>
      </c>
      <c r="O93" s="165">
        <v>0</v>
      </c>
      <c r="P93" s="165">
        <v>0.68</v>
      </c>
      <c r="Q93" s="165">
        <v>4.87</v>
      </c>
      <c r="R93" s="13"/>
      <c r="S93" s="13"/>
      <c r="T93" s="213"/>
      <c r="U93" s="13"/>
    </row>
    <row r="94" customFormat="1" spans="1:21">
      <c r="A94" s="142" t="s">
        <v>1579</v>
      </c>
      <c r="B94" s="165">
        <v>6.99</v>
      </c>
      <c r="C94" s="165">
        <v>54.54</v>
      </c>
      <c r="D94" s="165">
        <v>35.45</v>
      </c>
      <c r="E94" s="165">
        <v>15.05</v>
      </c>
      <c r="F94" s="165">
        <v>22.98</v>
      </c>
      <c r="G94" s="165">
        <v>47.77</v>
      </c>
      <c r="H94" s="165">
        <v>18.3</v>
      </c>
      <c r="I94" s="165">
        <v>5.15</v>
      </c>
      <c r="J94" s="165">
        <v>0.21</v>
      </c>
      <c r="K94" s="165">
        <v>152.51</v>
      </c>
      <c r="L94" s="165">
        <v>30.54</v>
      </c>
      <c r="M94" s="165">
        <v>33.63</v>
      </c>
      <c r="N94" s="165">
        <v>0</v>
      </c>
      <c r="O94" s="165">
        <v>0</v>
      </c>
      <c r="P94" s="165">
        <v>0.67</v>
      </c>
      <c r="Q94" s="165">
        <v>4.81</v>
      </c>
      <c r="R94" s="13"/>
      <c r="S94" s="13"/>
      <c r="T94" s="213"/>
      <c r="U94" s="13"/>
    </row>
    <row r="95" customFormat="1" spans="1:21">
      <c r="A95" s="142" t="s">
        <v>1580</v>
      </c>
      <c r="B95" s="165">
        <v>6.69</v>
      </c>
      <c r="C95" s="165">
        <v>49.32</v>
      </c>
      <c r="D95" s="165">
        <v>32.49</v>
      </c>
      <c r="E95" s="165">
        <v>14.04</v>
      </c>
      <c r="F95" s="165">
        <v>25.15</v>
      </c>
      <c r="G95" s="165">
        <v>50.8</v>
      </c>
      <c r="H95" s="165">
        <v>19.8</v>
      </c>
      <c r="I95" s="165">
        <v>5.14</v>
      </c>
      <c r="J95" s="165">
        <v>0.12</v>
      </c>
      <c r="K95" s="165">
        <v>153.95</v>
      </c>
      <c r="L95" s="165">
        <v>29.98</v>
      </c>
      <c r="M95" s="165">
        <v>36.84</v>
      </c>
      <c r="N95" s="165">
        <v>0</v>
      </c>
      <c r="O95" s="165">
        <v>0</v>
      </c>
      <c r="P95" s="165">
        <v>0.7</v>
      </c>
      <c r="Q95" s="165">
        <v>4.78</v>
      </c>
      <c r="R95" s="13"/>
      <c r="S95" s="13"/>
      <c r="T95" s="213"/>
      <c r="U95" s="13"/>
    </row>
    <row r="96" customFormat="1" spans="1:26">
      <c r="A96" s="142" t="s">
        <v>1581</v>
      </c>
      <c r="B96" s="165">
        <v>7.64</v>
      </c>
      <c r="C96" s="165">
        <v>55.06</v>
      </c>
      <c r="D96" s="165">
        <v>36.25</v>
      </c>
      <c r="E96" s="165">
        <v>12.82</v>
      </c>
      <c r="F96" s="165">
        <v>17.32</v>
      </c>
      <c r="G96" s="165">
        <v>58.25</v>
      </c>
      <c r="H96" s="165">
        <v>22.17</v>
      </c>
      <c r="I96" s="165">
        <v>5.23</v>
      </c>
      <c r="J96" s="165">
        <v>0.16</v>
      </c>
      <c r="K96" s="165">
        <v>152.55</v>
      </c>
      <c r="L96" s="165">
        <v>29.82</v>
      </c>
      <c r="M96" s="165">
        <v>36.71</v>
      </c>
      <c r="N96" s="165">
        <v>0</v>
      </c>
      <c r="O96" s="165">
        <v>0</v>
      </c>
      <c r="P96" s="165">
        <v>0.72</v>
      </c>
      <c r="Q96" s="165">
        <v>4.82</v>
      </c>
      <c r="R96" s="13"/>
      <c r="S96" s="13"/>
      <c r="T96" s="213"/>
      <c r="U96" s="13"/>
      <c r="Z96" s="222"/>
    </row>
    <row r="97" customFormat="1" spans="1:21">
      <c r="A97" s="142" t="s">
        <v>1582</v>
      </c>
      <c r="B97" s="165">
        <v>45.74</v>
      </c>
      <c r="C97" s="165">
        <v>66.83</v>
      </c>
      <c r="D97" s="165">
        <v>74.4</v>
      </c>
      <c r="E97" s="165">
        <v>14.98</v>
      </c>
      <c r="F97" s="165">
        <v>8.06</v>
      </c>
      <c r="G97" s="165">
        <v>58.25</v>
      </c>
      <c r="H97" s="165">
        <v>22.17</v>
      </c>
      <c r="I97" s="165">
        <v>5.41</v>
      </c>
      <c r="J97" s="165">
        <v>0.15</v>
      </c>
      <c r="K97" s="165">
        <v>102.28</v>
      </c>
      <c r="L97" s="165">
        <v>30.09</v>
      </c>
      <c r="M97" s="165">
        <v>34.41</v>
      </c>
      <c r="N97" s="165">
        <v>0</v>
      </c>
      <c r="O97" s="165">
        <v>0</v>
      </c>
      <c r="P97" s="165">
        <v>0.92</v>
      </c>
      <c r="Q97" s="165">
        <v>4.89</v>
      </c>
      <c r="R97" s="13"/>
      <c r="S97" s="13"/>
      <c r="T97" s="213"/>
      <c r="U97" s="13"/>
    </row>
    <row r="98" customFormat="1" spans="1:21">
      <c r="A98" s="142" t="s">
        <v>1583</v>
      </c>
      <c r="B98" s="165">
        <v>27.77</v>
      </c>
      <c r="C98" s="165">
        <v>72.96</v>
      </c>
      <c r="D98" s="165">
        <v>61.99</v>
      </c>
      <c r="E98" s="165">
        <v>14.58</v>
      </c>
      <c r="F98" s="165">
        <v>4.24</v>
      </c>
      <c r="G98" s="165">
        <v>58.25</v>
      </c>
      <c r="H98" s="165">
        <v>22.17</v>
      </c>
      <c r="I98" s="165">
        <v>5.59</v>
      </c>
      <c r="J98" s="165">
        <v>0.22</v>
      </c>
      <c r="K98" s="165">
        <v>154.02</v>
      </c>
      <c r="L98" s="165">
        <v>30.3</v>
      </c>
      <c r="M98" s="165">
        <v>34.89</v>
      </c>
      <c r="N98" s="165">
        <v>0</v>
      </c>
      <c r="O98" s="165">
        <v>0</v>
      </c>
      <c r="P98" s="165">
        <v>0.87</v>
      </c>
      <c r="Q98" s="165">
        <v>5.47</v>
      </c>
      <c r="R98" s="13"/>
      <c r="S98" s="13"/>
      <c r="T98" s="213"/>
      <c r="U98" s="13"/>
    </row>
    <row r="99" customFormat="1" spans="1:21">
      <c r="A99" s="142" t="s">
        <v>1584</v>
      </c>
      <c r="B99" s="165">
        <v>18.69</v>
      </c>
      <c r="C99" s="165">
        <v>66.91</v>
      </c>
      <c r="D99" s="165">
        <v>51.3</v>
      </c>
      <c r="E99" s="165">
        <v>12.53</v>
      </c>
      <c r="F99" s="165">
        <v>6.3</v>
      </c>
      <c r="G99" s="165">
        <v>63.52</v>
      </c>
      <c r="H99" s="165">
        <v>23.1</v>
      </c>
      <c r="I99" s="165">
        <v>6.23</v>
      </c>
      <c r="J99" s="165">
        <v>0.23</v>
      </c>
      <c r="K99" s="165">
        <v>176.37</v>
      </c>
      <c r="L99" s="165">
        <v>29.36</v>
      </c>
      <c r="M99" s="165">
        <v>38.97</v>
      </c>
      <c r="N99" s="165">
        <v>0</v>
      </c>
      <c r="O99" s="165">
        <v>0</v>
      </c>
      <c r="P99" s="165">
        <v>0.8</v>
      </c>
      <c r="Q99" s="165">
        <v>5.97</v>
      </c>
      <c r="R99" s="13"/>
      <c r="S99" s="13"/>
      <c r="T99" s="213"/>
      <c r="U99" s="13"/>
    </row>
    <row r="100" customFormat="1" spans="1:33">
      <c r="A100" s="142" t="s">
        <v>1585</v>
      </c>
      <c r="B100" s="165">
        <v>14.35</v>
      </c>
      <c r="C100" s="165">
        <v>62.27</v>
      </c>
      <c r="D100" s="165">
        <v>45.4</v>
      </c>
      <c r="E100" s="165">
        <v>11.64</v>
      </c>
      <c r="F100" s="165">
        <v>9.59</v>
      </c>
      <c r="G100" s="165">
        <v>76.5</v>
      </c>
      <c r="H100" s="165">
        <v>24.57</v>
      </c>
      <c r="I100" s="165">
        <v>6.39</v>
      </c>
      <c r="J100" s="165">
        <v>0.2</v>
      </c>
      <c r="K100" s="165">
        <v>162.86</v>
      </c>
      <c r="L100" s="165">
        <v>28.79</v>
      </c>
      <c r="M100" s="165">
        <v>39.5</v>
      </c>
      <c r="N100" s="165">
        <v>0</v>
      </c>
      <c r="O100" s="165">
        <v>0</v>
      </c>
      <c r="P100" s="165">
        <v>0.79</v>
      </c>
      <c r="Q100" s="165">
        <v>5.8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1586</v>
      </c>
      <c r="B101" s="165">
        <v>15.05</v>
      </c>
      <c r="C101" s="165">
        <v>63.14</v>
      </c>
      <c r="D101" s="165">
        <v>46.41</v>
      </c>
      <c r="E101" s="165">
        <v>11.44</v>
      </c>
      <c r="F101" s="165">
        <v>8.79</v>
      </c>
      <c r="G101" s="165">
        <v>76.5</v>
      </c>
      <c r="H101" s="165">
        <v>24.57</v>
      </c>
      <c r="I101" s="165">
        <v>6.08</v>
      </c>
      <c r="J101" s="165">
        <v>0.25</v>
      </c>
      <c r="K101" s="165">
        <v>157.19</v>
      </c>
      <c r="L101" s="165">
        <v>28.68</v>
      </c>
      <c r="M101" s="165">
        <v>41.65</v>
      </c>
      <c r="N101" s="165">
        <v>0</v>
      </c>
      <c r="O101" s="165">
        <v>0</v>
      </c>
      <c r="P101" s="165">
        <v>0.79</v>
      </c>
      <c r="Q101" s="165">
        <v>5.68</v>
      </c>
      <c r="R101" s="13"/>
      <c r="S101" s="13"/>
      <c r="T101" s="213"/>
      <c r="U101" s="13"/>
    </row>
    <row r="102" customFormat="1" spans="1:21">
      <c r="A102" s="142" t="s">
        <v>1587</v>
      </c>
      <c r="B102" s="165">
        <v>14.86</v>
      </c>
      <c r="C102" s="165">
        <v>61.89</v>
      </c>
      <c r="D102" s="165">
        <v>45.6</v>
      </c>
      <c r="E102" s="165">
        <v>11.24</v>
      </c>
      <c r="F102" s="165">
        <v>10.28</v>
      </c>
      <c r="G102" s="165">
        <v>76.5</v>
      </c>
      <c r="H102" s="165">
        <v>24.57</v>
      </c>
      <c r="I102" s="165">
        <v>6.01</v>
      </c>
      <c r="J102" s="165">
        <v>0.21</v>
      </c>
      <c r="K102" s="165">
        <v>169.42</v>
      </c>
      <c r="L102" s="165">
        <v>28.42</v>
      </c>
      <c r="M102" s="165">
        <v>41.27</v>
      </c>
      <c r="N102" s="165">
        <v>0</v>
      </c>
      <c r="O102" s="165">
        <v>0</v>
      </c>
      <c r="P102" s="165">
        <v>0.79</v>
      </c>
      <c r="Q102" s="165">
        <v>5.68</v>
      </c>
      <c r="R102" s="13"/>
      <c r="S102" s="13"/>
      <c r="T102" s="213"/>
      <c r="U102" s="13"/>
    </row>
    <row r="103" customFormat="1" spans="1:21">
      <c r="A103" s="142" t="s">
        <v>1588</v>
      </c>
      <c r="B103" s="165">
        <v>15.76</v>
      </c>
      <c r="C103" s="165">
        <v>63.54</v>
      </c>
      <c r="D103" s="165">
        <v>47.19</v>
      </c>
      <c r="E103" s="165">
        <v>10.79</v>
      </c>
      <c r="F103" s="165">
        <v>9.23</v>
      </c>
      <c r="G103" s="165">
        <v>73.26</v>
      </c>
      <c r="H103" s="165">
        <v>24.96</v>
      </c>
      <c r="I103" s="165">
        <v>6.01</v>
      </c>
      <c r="J103" s="165">
        <v>0.19</v>
      </c>
      <c r="K103" s="165">
        <v>176.19</v>
      </c>
      <c r="L103" s="165">
        <v>27.84</v>
      </c>
      <c r="M103" s="165">
        <v>43.32</v>
      </c>
      <c r="N103" s="165">
        <v>0</v>
      </c>
      <c r="O103" s="165">
        <v>0</v>
      </c>
      <c r="P103" s="165">
        <v>0.79</v>
      </c>
      <c r="Q103" s="165">
        <v>5.65</v>
      </c>
      <c r="R103" s="13"/>
      <c r="S103" s="13"/>
      <c r="T103" s="213"/>
      <c r="U103" s="13"/>
    </row>
    <row r="104" customFormat="1" spans="1:21">
      <c r="A104" s="142" t="s">
        <v>1589</v>
      </c>
      <c r="B104" s="165">
        <v>15.43</v>
      </c>
      <c r="C104" s="165">
        <v>60.94</v>
      </c>
      <c r="D104" s="165">
        <v>45.56</v>
      </c>
      <c r="E104" s="165">
        <v>10.52</v>
      </c>
      <c r="F104" s="165">
        <v>9.64</v>
      </c>
      <c r="G104" s="165">
        <v>65.7</v>
      </c>
      <c r="H104" s="165">
        <v>25.57</v>
      </c>
      <c r="I104" s="165">
        <v>6.04</v>
      </c>
      <c r="J104" s="165">
        <v>0.14</v>
      </c>
      <c r="K104" s="165">
        <v>178.11</v>
      </c>
      <c r="L104" s="165">
        <v>27.68</v>
      </c>
      <c r="M104" s="165">
        <v>44.58</v>
      </c>
      <c r="N104" s="165">
        <v>0</v>
      </c>
      <c r="O104" s="165">
        <v>0</v>
      </c>
      <c r="P104" s="165">
        <v>0.8</v>
      </c>
      <c r="Q104" s="165">
        <v>5.64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4.82</v>
      </c>
      <c r="C106" s="215">
        <f>MIN(C9:C104)</f>
        <v>46.97</v>
      </c>
      <c r="D106" s="215">
        <f t="shared" ref="D106:Q106" si="0">MIN(D9:D104)</f>
        <v>30.45</v>
      </c>
      <c r="E106" s="215">
        <f t="shared" si="0"/>
        <v>7.28</v>
      </c>
      <c r="F106" s="215">
        <f t="shared" si="0"/>
        <v>3.98</v>
      </c>
      <c r="G106" s="215">
        <f t="shared" si="0"/>
        <v>36.67</v>
      </c>
      <c r="H106" s="215">
        <f t="shared" si="0"/>
        <v>14.23</v>
      </c>
      <c r="I106" s="215">
        <f t="shared" si="0"/>
        <v>3.91</v>
      </c>
      <c r="J106" s="215">
        <f t="shared" si="0"/>
        <v>0.03</v>
      </c>
      <c r="K106" s="215">
        <f t="shared" si="0"/>
        <v>2.74</v>
      </c>
      <c r="L106" s="215">
        <f t="shared" si="0"/>
        <v>24.91</v>
      </c>
      <c r="M106" s="215">
        <f t="shared" si="0"/>
        <v>11.8</v>
      </c>
      <c r="N106" s="215">
        <f t="shared" si="0"/>
        <v>0</v>
      </c>
      <c r="O106" s="215">
        <f t="shared" si="0"/>
        <v>0</v>
      </c>
      <c r="P106" s="215">
        <f t="shared" si="0"/>
        <v>0.48</v>
      </c>
      <c r="Q106" s="215">
        <f t="shared" si="0"/>
        <v>4.61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45.74</v>
      </c>
      <c r="C107" s="216">
        <f t="shared" ref="C107:Q107" si="1">MAX(C9:C104)</f>
        <v>72.96</v>
      </c>
      <c r="D107" s="216">
        <f t="shared" si="1"/>
        <v>74.4</v>
      </c>
      <c r="E107" s="216">
        <f t="shared" si="1"/>
        <v>17.89</v>
      </c>
      <c r="F107" s="216">
        <f t="shared" si="1"/>
        <v>59.54</v>
      </c>
      <c r="G107" s="216">
        <f t="shared" si="1"/>
        <v>76.5</v>
      </c>
      <c r="H107" s="216">
        <f t="shared" si="1"/>
        <v>25.57</v>
      </c>
      <c r="I107" s="216">
        <f t="shared" si="1"/>
        <v>6.7</v>
      </c>
      <c r="J107" s="216">
        <f t="shared" si="1"/>
        <v>1.33</v>
      </c>
      <c r="K107" s="216">
        <f t="shared" si="1"/>
        <v>358.02</v>
      </c>
      <c r="L107" s="216">
        <f t="shared" si="1"/>
        <v>41.54</v>
      </c>
      <c r="M107" s="216">
        <f t="shared" si="1"/>
        <v>50.08</v>
      </c>
      <c r="N107" s="216">
        <f t="shared" si="1"/>
        <v>761.2</v>
      </c>
      <c r="O107" s="216">
        <f t="shared" si="1"/>
        <v>0</v>
      </c>
      <c r="P107" s="216">
        <f t="shared" si="1"/>
        <v>0.92</v>
      </c>
      <c r="Q107" s="216">
        <f t="shared" si="1"/>
        <v>5.97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12.5753125</v>
      </c>
      <c r="C108" s="215">
        <f t="shared" ref="C108:Q108" si="2">AVERAGE(C9:C104)</f>
        <v>60.9115625</v>
      </c>
      <c r="D108" s="215">
        <f t="shared" si="2"/>
        <v>43.278125</v>
      </c>
      <c r="E108" s="215">
        <f t="shared" si="2"/>
        <v>12.0452083333333</v>
      </c>
      <c r="F108" s="215">
        <f t="shared" si="2"/>
        <v>20.1154166666667</v>
      </c>
      <c r="G108" s="215">
        <f t="shared" si="2"/>
        <v>48.7054166666667</v>
      </c>
      <c r="H108" s="215">
        <f t="shared" si="2"/>
        <v>17.640625</v>
      </c>
      <c r="I108" s="215">
        <f t="shared" si="2"/>
        <v>5.39020833333333</v>
      </c>
      <c r="J108" s="215">
        <f t="shared" si="2"/>
        <v>0.363645833333333</v>
      </c>
      <c r="K108" s="215">
        <f t="shared" si="2"/>
        <v>206.016875</v>
      </c>
      <c r="L108" s="215">
        <f t="shared" si="2"/>
        <v>32.6054166666667</v>
      </c>
      <c r="M108" s="215">
        <f t="shared" si="2"/>
        <v>29.3671875</v>
      </c>
      <c r="N108" s="215">
        <f t="shared" si="2"/>
        <v>194.652083333333</v>
      </c>
      <c r="O108" s="215">
        <f t="shared" si="2"/>
        <v>0</v>
      </c>
      <c r="P108" s="215">
        <f t="shared" si="2"/>
        <v>0.603541666666667</v>
      </c>
      <c r="Q108" s="215">
        <f t="shared" si="2"/>
        <v>5.3375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7.45607558030433</v>
      </c>
      <c r="C109" s="215">
        <f t="shared" ref="C109:Q109" si="3">STDEV(C9:C104)</f>
        <v>6.98578531593</v>
      </c>
      <c r="D109" s="215">
        <f t="shared" si="3"/>
        <v>9.10060603100579</v>
      </c>
      <c r="E109" s="215">
        <f t="shared" si="3"/>
        <v>2.44848566697939</v>
      </c>
      <c r="F109" s="215">
        <f t="shared" si="3"/>
        <v>16.3483802459652</v>
      </c>
      <c r="G109" s="215">
        <f t="shared" si="3"/>
        <v>8.88157310825019</v>
      </c>
      <c r="H109" s="215">
        <f t="shared" si="3"/>
        <v>2.84016708644885</v>
      </c>
      <c r="I109" s="215">
        <f t="shared" si="3"/>
        <v>0.590655263542853</v>
      </c>
      <c r="J109" s="215">
        <f t="shared" si="3"/>
        <v>0.261034862731788</v>
      </c>
      <c r="K109" s="215">
        <f t="shared" si="3"/>
        <v>63.0861358413617</v>
      </c>
      <c r="L109" s="215">
        <f t="shared" si="3"/>
        <v>5.42616447199981</v>
      </c>
      <c r="M109" s="215">
        <f t="shared" si="3"/>
        <v>12.5137956464161</v>
      </c>
      <c r="N109" s="215">
        <f t="shared" si="3"/>
        <v>268.088124152122</v>
      </c>
      <c r="O109" s="215">
        <f t="shared" si="3"/>
        <v>0</v>
      </c>
      <c r="P109" s="215">
        <f t="shared" si="3"/>
        <v>0.0854705756283741</v>
      </c>
      <c r="Q109" s="215">
        <f t="shared" si="3"/>
        <v>0.478315025017921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0" activePane="bottomRight" state="frozen"/>
      <selection/>
      <selection pane="topRight"/>
      <selection pane="bottomLeft"/>
      <selection pane="bottomRight" activeCell="E104" sqref="E94:E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17/04/2023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1590</v>
      </c>
      <c r="B9" s="165">
        <v>25.36</v>
      </c>
      <c r="C9" s="165">
        <v>69.31</v>
      </c>
      <c r="D9" s="165">
        <v>57.9</v>
      </c>
      <c r="E9" s="165">
        <v>10.43</v>
      </c>
      <c r="F9" s="165">
        <v>5.47</v>
      </c>
      <c r="G9" s="165">
        <v>65.7</v>
      </c>
      <c r="H9" s="165">
        <v>25.57</v>
      </c>
      <c r="I9" s="165">
        <v>6.06</v>
      </c>
      <c r="J9" s="165">
        <v>0.16</v>
      </c>
      <c r="K9" s="165">
        <v>137.56</v>
      </c>
      <c r="L9" s="165">
        <v>27.96</v>
      </c>
      <c r="M9" s="165">
        <v>42.63</v>
      </c>
      <c r="N9" s="165">
        <v>0</v>
      </c>
      <c r="O9" s="165">
        <v>0</v>
      </c>
      <c r="P9" s="165">
        <v>0.86</v>
      </c>
      <c r="Q9" s="165">
        <v>5.63</v>
      </c>
      <c r="R9" s="13"/>
      <c r="S9" s="13"/>
      <c r="T9" s="213"/>
      <c r="U9" s="13"/>
    </row>
    <row r="10" customFormat="1" spans="1:21">
      <c r="A10" s="142" t="s">
        <v>1591</v>
      </c>
      <c r="B10" s="165">
        <v>16.43</v>
      </c>
      <c r="C10" s="165">
        <v>63.74</v>
      </c>
      <c r="D10" s="165">
        <v>47.83</v>
      </c>
      <c r="E10" s="165">
        <v>10.04</v>
      </c>
      <c r="F10" s="165">
        <v>7.15</v>
      </c>
      <c r="G10" s="165">
        <v>65.7</v>
      </c>
      <c r="H10" s="165">
        <v>25.57</v>
      </c>
      <c r="I10" s="165">
        <v>6.12</v>
      </c>
      <c r="J10" s="165">
        <v>0.21</v>
      </c>
      <c r="K10" s="165">
        <v>148.06</v>
      </c>
      <c r="L10" s="165">
        <v>27.49</v>
      </c>
      <c r="M10" s="165">
        <v>46.24</v>
      </c>
      <c r="N10" s="165">
        <v>0</v>
      </c>
      <c r="O10" s="165">
        <v>0</v>
      </c>
      <c r="P10" s="165">
        <v>0.81</v>
      </c>
      <c r="Q10" s="165">
        <v>5.81</v>
      </c>
      <c r="R10" s="13"/>
      <c r="S10" s="13"/>
      <c r="T10" s="213"/>
      <c r="U10" s="13"/>
    </row>
    <row r="11" customFormat="1" spans="1:21">
      <c r="A11" s="142" t="s">
        <v>1592</v>
      </c>
      <c r="B11" s="165">
        <v>17.23</v>
      </c>
      <c r="C11" s="165">
        <v>65.06</v>
      </c>
      <c r="D11" s="165">
        <v>49.16</v>
      </c>
      <c r="E11" s="165">
        <v>10.07</v>
      </c>
      <c r="F11" s="165">
        <v>7.64</v>
      </c>
      <c r="G11" s="165">
        <v>65.06</v>
      </c>
      <c r="H11" s="165">
        <v>25.47</v>
      </c>
      <c r="I11" s="165">
        <v>6.19</v>
      </c>
      <c r="J11" s="165">
        <v>0.23</v>
      </c>
      <c r="K11" s="165">
        <v>151.86</v>
      </c>
      <c r="L11" s="165">
        <v>27.35</v>
      </c>
      <c r="M11" s="165">
        <v>44.29</v>
      </c>
      <c r="N11" s="165">
        <v>0</v>
      </c>
      <c r="O11" s="165">
        <v>0</v>
      </c>
      <c r="P11" s="165">
        <v>0.83</v>
      </c>
      <c r="Q11" s="165">
        <v>5.83</v>
      </c>
      <c r="R11" s="13"/>
      <c r="S11" s="13"/>
      <c r="T11" s="213"/>
      <c r="U11" s="13"/>
    </row>
    <row r="12" customFormat="1" spans="1:21">
      <c r="A12" s="142" t="s">
        <v>1593</v>
      </c>
      <c r="B12" s="165">
        <v>17.47</v>
      </c>
      <c r="C12" s="165">
        <v>65.75</v>
      </c>
      <c r="D12" s="165">
        <v>49.71</v>
      </c>
      <c r="E12" s="165">
        <v>9.43</v>
      </c>
      <c r="F12" s="165">
        <v>7.94</v>
      </c>
      <c r="G12" s="165">
        <v>63.57</v>
      </c>
      <c r="H12" s="165">
        <v>25.09</v>
      </c>
      <c r="I12" s="165">
        <v>6.24</v>
      </c>
      <c r="J12" s="165">
        <v>0.18</v>
      </c>
      <c r="K12" s="165">
        <v>176.82</v>
      </c>
      <c r="L12" s="165">
        <v>27.07</v>
      </c>
      <c r="M12" s="165">
        <v>43.99</v>
      </c>
      <c r="N12" s="165">
        <v>0</v>
      </c>
      <c r="O12" s="165">
        <v>0</v>
      </c>
      <c r="P12" s="165">
        <v>0.82</v>
      </c>
      <c r="Q12" s="165">
        <v>5.81</v>
      </c>
      <c r="R12" s="13"/>
      <c r="S12" s="13"/>
      <c r="T12" s="213"/>
      <c r="U12" s="13"/>
    </row>
    <row r="13" customFormat="1" spans="1:21">
      <c r="A13" s="142" t="s">
        <v>1594</v>
      </c>
      <c r="B13" s="165">
        <v>17.26</v>
      </c>
      <c r="C13" s="165">
        <v>63.95</v>
      </c>
      <c r="D13" s="165">
        <v>48.61</v>
      </c>
      <c r="E13" s="165">
        <v>10.16</v>
      </c>
      <c r="F13" s="165">
        <v>8.51</v>
      </c>
      <c r="G13" s="165">
        <v>63.57</v>
      </c>
      <c r="H13" s="165">
        <v>25.09</v>
      </c>
      <c r="I13" s="165">
        <v>6.26</v>
      </c>
      <c r="J13" s="165">
        <v>0.13</v>
      </c>
      <c r="K13" s="165">
        <v>177.45</v>
      </c>
      <c r="L13" s="165">
        <v>27.33</v>
      </c>
      <c r="M13" s="165">
        <v>42.66</v>
      </c>
      <c r="N13" s="165">
        <v>0</v>
      </c>
      <c r="O13" s="165">
        <v>0</v>
      </c>
      <c r="P13" s="165">
        <v>0.82</v>
      </c>
      <c r="Q13" s="165">
        <v>5.82</v>
      </c>
      <c r="R13" s="13"/>
      <c r="S13" s="13"/>
      <c r="T13" s="213"/>
      <c r="U13" s="13"/>
    </row>
    <row r="14" customFormat="1" spans="1:21">
      <c r="A14" s="142" t="s">
        <v>1595</v>
      </c>
      <c r="B14" s="165">
        <v>25.94</v>
      </c>
      <c r="C14" s="165">
        <v>69.12</v>
      </c>
      <c r="D14" s="165">
        <v>58.26</v>
      </c>
      <c r="E14" s="165">
        <v>9.6</v>
      </c>
      <c r="F14" s="165">
        <v>6.44</v>
      </c>
      <c r="G14" s="165">
        <v>63.57</v>
      </c>
      <c r="H14" s="165">
        <v>25.09</v>
      </c>
      <c r="I14" s="165">
        <v>6.26</v>
      </c>
      <c r="J14" s="165">
        <v>0.18</v>
      </c>
      <c r="K14" s="165">
        <v>151.39</v>
      </c>
      <c r="L14" s="165">
        <v>27.14</v>
      </c>
      <c r="M14" s="165">
        <v>45.16</v>
      </c>
      <c r="N14" s="165">
        <v>0</v>
      </c>
      <c r="O14" s="165">
        <v>0</v>
      </c>
      <c r="P14" s="165">
        <v>0.85</v>
      </c>
      <c r="Q14" s="165">
        <v>5.83</v>
      </c>
      <c r="R14" s="13"/>
      <c r="S14" s="13"/>
      <c r="T14" s="213"/>
      <c r="U14" s="13"/>
    </row>
    <row r="15" customFormat="1" spans="1:21">
      <c r="A15" s="142" t="s">
        <v>1596</v>
      </c>
      <c r="B15" s="165">
        <v>20.06</v>
      </c>
      <c r="C15" s="165">
        <v>68.72</v>
      </c>
      <c r="D15" s="165">
        <v>53.34</v>
      </c>
      <c r="E15" s="165">
        <v>9.03</v>
      </c>
      <c r="F15" s="165">
        <v>6.04</v>
      </c>
      <c r="G15" s="165">
        <v>60.42</v>
      </c>
      <c r="H15" s="165">
        <v>24.9</v>
      </c>
      <c r="I15" s="165">
        <v>6.21</v>
      </c>
      <c r="J15" s="165">
        <v>0.23</v>
      </c>
      <c r="K15" s="165">
        <v>166.04</v>
      </c>
      <c r="L15" s="165">
        <v>26.65</v>
      </c>
      <c r="M15" s="165">
        <v>45.97</v>
      </c>
      <c r="N15" s="165">
        <v>0</v>
      </c>
      <c r="O15" s="165">
        <v>0</v>
      </c>
      <c r="P15" s="165">
        <v>0.83</v>
      </c>
      <c r="Q15" s="165">
        <v>5.93</v>
      </c>
      <c r="R15" s="13"/>
      <c r="S15" s="13"/>
      <c r="T15" s="213"/>
      <c r="U15" s="13"/>
    </row>
    <row r="16" customFormat="1" spans="1:21">
      <c r="A16" s="142" t="s">
        <v>1597</v>
      </c>
      <c r="B16" s="165">
        <v>19.99</v>
      </c>
      <c r="C16" s="165">
        <v>70.95</v>
      </c>
      <c r="D16" s="165">
        <v>54.45</v>
      </c>
      <c r="E16" s="165">
        <v>9.29</v>
      </c>
      <c r="F16" s="165">
        <v>5.18</v>
      </c>
      <c r="G16" s="165">
        <v>52.66</v>
      </c>
      <c r="H16" s="165">
        <v>24.6</v>
      </c>
      <c r="I16" s="165">
        <v>6.25</v>
      </c>
      <c r="J16" s="165">
        <v>0.2</v>
      </c>
      <c r="K16" s="165">
        <v>174.84</v>
      </c>
      <c r="L16" s="165">
        <v>26.86</v>
      </c>
      <c r="M16" s="165">
        <v>45.38</v>
      </c>
      <c r="N16" s="165">
        <v>0</v>
      </c>
      <c r="O16" s="165">
        <v>0</v>
      </c>
      <c r="P16" s="165">
        <v>0.85</v>
      </c>
      <c r="Q16" s="165">
        <v>6</v>
      </c>
      <c r="R16" s="13"/>
      <c r="S16" s="13"/>
      <c r="T16" s="213"/>
      <c r="U16" s="13"/>
    </row>
    <row r="17" customFormat="1" spans="1:21">
      <c r="A17" s="142" t="s">
        <v>1598</v>
      </c>
      <c r="B17" s="165">
        <v>19.42</v>
      </c>
      <c r="C17" s="165">
        <v>70.47</v>
      </c>
      <c r="D17" s="165">
        <v>53.75</v>
      </c>
      <c r="E17" s="165">
        <v>7.51</v>
      </c>
      <c r="F17" s="165">
        <v>4.92</v>
      </c>
      <c r="G17" s="165">
        <v>52.66</v>
      </c>
      <c r="H17" s="165">
        <v>24.6</v>
      </c>
      <c r="I17" s="165">
        <v>6.36</v>
      </c>
      <c r="J17" s="165">
        <v>0.24</v>
      </c>
      <c r="K17" s="165">
        <v>173.39</v>
      </c>
      <c r="L17" s="165">
        <v>26.74</v>
      </c>
      <c r="M17" s="165">
        <v>47.25</v>
      </c>
      <c r="N17" s="165">
        <v>0</v>
      </c>
      <c r="O17" s="165">
        <v>0</v>
      </c>
      <c r="P17" s="165">
        <v>0.85</v>
      </c>
      <c r="Q17" s="165">
        <v>6.01</v>
      </c>
      <c r="R17" s="13"/>
      <c r="S17" s="13"/>
      <c r="T17" s="213"/>
      <c r="U17" s="13"/>
    </row>
    <row r="18" customFormat="1" spans="1:21">
      <c r="A18" s="142" t="s">
        <v>1599</v>
      </c>
      <c r="B18" s="165">
        <v>18.96</v>
      </c>
      <c r="C18" s="165">
        <v>70</v>
      </c>
      <c r="D18" s="165">
        <v>53.12</v>
      </c>
      <c r="E18" s="165">
        <v>8.28</v>
      </c>
      <c r="F18" s="165">
        <v>4.84</v>
      </c>
      <c r="G18" s="165">
        <v>52.66</v>
      </c>
      <c r="H18" s="165">
        <v>24.6</v>
      </c>
      <c r="I18" s="165">
        <v>6.35</v>
      </c>
      <c r="J18" s="165">
        <v>0.21</v>
      </c>
      <c r="K18" s="165">
        <v>156.62</v>
      </c>
      <c r="L18" s="165">
        <v>26.49</v>
      </c>
      <c r="M18" s="165">
        <v>47.6</v>
      </c>
      <c r="N18" s="165">
        <v>0</v>
      </c>
      <c r="O18" s="165">
        <v>0</v>
      </c>
      <c r="P18" s="165">
        <v>0.85</v>
      </c>
      <c r="Q18" s="165">
        <v>6.02</v>
      </c>
      <c r="R18" s="13"/>
      <c r="S18" s="13"/>
      <c r="T18" s="213"/>
      <c r="U18" s="13"/>
    </row>
    <row r="19" customFormat="1" spans="1:21">
      <c r="A19" s="142" t="s">
        <v>1600</v>
      </c>
      <c r="B19" s="165">
        <v>18.91</v>
      </c>
      <c r="C19" s="165">
        <v>71.37</v>
      </c>
      <c r="D19" s="165">
        <v>53.8</v>
      </c>
      <c r="E19" s="165">
        <v>8.22</v>
      </c>
      <c r="F19" s="165">
        <v>4.54</v>
      </c>
      <c r="G19" s="165">
        <v>52.72</v>
      </c>
      <c r="H19" s="165">
        <v>23.64</v>
      </c>
      <c r="I19" s="165">
        <v>6.36</v>
      </c>
      <c r="J19" s="165">
        <v>0.2</v>
      </c>
      <c r="K19" s="165">
        <v>181.57</v>
      </c>
      <c r="L19" s="165">
        <v>26.45</v>
      </c>
      <c r="M19" s="165">
        <v>47.68</v>
      </c>
      <c r="N19" s="165">
        <v>0</v>
      </c>
      <c r="O19" s="165">
        <v>0</v>
      </c>
      <c r="P19" s="165">
        <v>0.85</v>
      </c>
      <c r="Q19" s="165">
        <v>6.01</v>
      </c>
      <c r="R19" s="13"/>
      <c r="S19" s="13"/>
      <c r="T19" s="213"/>
      <c r="U19" s="13"/>
    </row>
    <row r="20" customFormat="1" spans="1:21">
      <c r="A20" s="142" t="s">
        <v>1601</v>
      </c>
      <c r="B20" s="165">
        <v>18.37</v>
      </c>
      <c r="C20" s="165">
        <v>70.75</v>
      </c>
      <c r="D20" s="165">
        <v>53.05</v>
      </c>
      <c r="E20" s="165">
        <v>8</v>
      </c>
      <c r="F20" s="165">
        <v>4.64</v>
      </c>
      <c r="G20" s="165">
        <v>52.86</v>
      </c>
      <c r="H20" s="165">
        <v>22.14</v>
      </c>
      <c r="I20" s="165">
        <v>6.35</v>
      </c>
      <c r="J20" s="165">
        <v>0.17</v>
      </c>
      <c r="K20" s="165">
        <v>182.98</v>
      </c>
      <c r="L20" s="165">
        <v>26.23</v>
      </c>
      <c r="M20" s="165">
        <v>47.01</v>
      </c>
      <c r="N20" s="165">
        <v>0</v>
      </c>
      <c r="O20" s="165">
        <v>0</v>
      </c>
      <c r="P20" s="165">
        <v>0.84</v>
      </c>
      <c r="Q20" s="165">
        <v>5.97</v>
      </c>
      <c r="R20" s="13"/>
      <c r="S20" s="13"/>
      <c r="T20" s="213"/>
      <c r="U20" s="13"/>
    </row>
    <row r="21" customFormat="1" spans="1:21">
      <c r="A21" s="142" t="s">
        <v>1602</v>
      </c>
      <c r="B21" s="165">
        <v>17.98</v>
      </c>
      <c r="C21" s="165">
        <v>71.35</v>
      </c>
      <c r="D21" s="165">
        <v>53.04</v>
      </c>
      <c r="E21" s="165">
        <v>8.01</v>
      </c>
      <c r="F21" s="165">
        <v>4.78</v>
      </c>
      <c r="G21" s="165">
        <v>52.86</v>
      </c>
      <c r="H21" s="165">
        <v>22.14</v>
      </c>
      <c r="I21" s="165">
        <v>6.32</v>
      </c>
      <c r="J21" s="165">
        <v>0.18</v>
      </c>
      <c r="K21" s="165">
        <v>225.19</v>
      </c>
      <c r="L21" s="165">
        <v>26.27</v>
      </c>
      <c r="M21" s="165">
        <v>46.84</v>
      </c>
      <c r="N21" s="165">
        <v>0</v>
      </c>
      <c r="O21" s="165">
        <v>0</v>
      </c>
      <c r="P21" s="165">
        <v>0.84</v>
      </c>
      <c r="Q21" s="165">
        <v>5.95</v>
      </c>
      <c r="R21" s="13"/>
      <c r="S21" s="13"/>
      <c r="T21" s="213"/>
      <c r="U21" s="13"/>
    </row>
    <row r="22" customFormat="1" spans="1:21">
      <c r="A22" s="142" t="s">
        <v>1603</v>
      </c>
      <c r="B22" s="165">
        <v>17.23</v>
      </c>
      <c r="C22" s="165">
        <v>71.22</v>
      </c>
      <c r="D22" s="165">
        <v>52.38</v>
      </c>
      <c r="E22" s="165">
        <v>7.97</v>
      </c>
      <c r="F22" s="165">
        <v>4.82</v>
      </c>
      <c r="G22" s="165">
        <v>52.86</v>
      </c>
      <c r="H22" s="165">
        <v>22.14</v>
      </c>
      <c r="I22" s="165">
        <v>6.34</v>
      </c>
      <c r="J22" s="165">
        <v>0.11</v>
      </c>
      <c r="K22" s="165">
        <v>208.95</v>
      </c>
      <c r="L22" s="165">
        <v>26.23</v>
      </c>
      <c r="M22" s="165">
        <v>47.45</v>
      </c>
      <c r="N22" s="165">
        <v>0</v>
      </c>
      <c r="O22" s="165">
        <v>0</v>
      </c>
      <c r="P22" s="165">
        <v>0.84</v>
      </c>
      <c r="Q22" s="165">
        <v>5.94</v>
      </c>
      <c r="R22" s="13"/>
      <c r="S22" s="13"/>
      <c r="T22" s="213"/>
      <c r="U22" s="13"/>
    </row>
    <row r="23" customFormat="1" spans="1:21">
      <c r="A23" s="142" t="s">
        <v>1604</v>
      </c>
      <c r="B23" s="165">
        <v>16.35</v>
      </c>
      <c r="C23" s="165">
        <v>69.92</v>
      </c>
      <c r="D23" s="165">
        <v>51</v>
      </c>
      <c r="E23" s="165">
        <v>7.73</v>
      </c>
      <c r="F23" s="165">
        <v>4.9</v>
      </c>
      <c r="G23" s="165">
        <v>52.52</v>
      </c>
      <c r="H23" s="165">
        <v>23.25</v>
      </c>
      <c r="I23" s="165">
        <v>6.3</v>
      </c>
      <c r="J23" s="165">
        <v>0.13</v>
      </c>
      <c r="K23" s="165">
        <v>165.84</v>
      </c>
      <c r="L23" s="165">
        <v>25.98</v>
      </c>
      <c r="M23" s="165">
        <v>48.91</v>
      </c>
      <c r="N23" s="165">
        <v>0</v>
      </c>
      <c r="O23" s="165">
        <v>0</v>
      </c>
      <c r="P23" s="165">
        <v>0.84</v>
      </c>
      <c r="Q23" s="165">
        <v>5.89</v>
      </c>
      <c r="R23" s="13"/>
      <c r="S23" s="13"/>
      <c r="T23" s="213"/>
      <c r="U23" s="13"/>
    </row>
    <row r="24" customFormat="1" spans="1:21">
      <c r="A24" s="142" t="s">
        <v>1605</v>
      </c>
      <c r="B24" s="165">
        <v>15.99</v>
      </c>
      <c r="C24" s="165">
        <v>69.63</v>
      </c>
      <c r="D24" s="165">
        <v>50.55</v>
      </c>
      <c r="E24" s="165">
        <v>7.85</v>
      </c>
      <c r="F24" s="165">
        <v>4.71</v>
      </c>
      <c r="G24" s="165">
        <v>51.67</v>
      </c>
      <c r="H24" s="165">
        <v>25.08</v>
      </c>
      <c r="I24" s="165">
        <v>6.26</v>
      </c>
      <c r="J24" s="165">
        <v>0.11</v>
      </c>
      <c r="K24" s="165">
        <v>174.63</v>
      </c>
      <c r="L24" s="165">
        <v>25.82</v>
      </c>
      <c r="M24" s="165">
        <v>49.79</v>
      </c>
      <c r="N24" s="165">
        <v>0</v>
      </c>
      <c r="O24" s="165">
        <v>0</v>
      </c>
      <c r="P24" s="165">
        <v>0.84</v>
      </c>
      <c r="Q24" s="165">
        <v>5.84</v>
      </c>
      <c r="R24" s="13"/>
      <c r="S24" s="13"/>
      <c r="T24" s="213"/>
      <c r="U24" s="13"/>
    </row>
    <row r="25" customFormat="1" spans="1:21">
      <c r="A25" s="142" t="s">
        <v>1606</v>
      </c>
      <c r="B25" s="165">
        <v>16.12</v>
      </c>
      <c r="C25" s="165">
        <v>71.87</v>
      </c>
      <c r="D25" s="165">
        <v>51.83</v>
      </c>
      <c r="E25" s="165">
        <v>7.73</v>
      </c>
      <c r="F25" s="165">
        <v>4.16</v>
      </c>
      <c r="G25" s="165">
        <v>51.67</v>
      </c>
      <c r="H25" s="165">
        <v>25.08</v>
      </c>
      <c r="I25" s="165">
        <v>6.26</v>
      </c>
      <c r="J25" s="165">
        <v>0.15</v>
      </c>
      <c r="K25" s="165">
        <v>161.29</v>
      </c>
      <c r="L25" s="165">
        <v>25.7</v>
      </c>
      <c r="M25" s="165">
        <v>50.99</v>
      </c>
      <c r="N25" s="165">
        <v>0</v>
      </c>
      <c r="O25" s="165">
        <v>0</v>
      </c>
      <c r="P25" s="165">
        <v>0.85</v>
      </c>
      <c r="Q25" s="165">
        <v>5.82</v>
      </c>
      <c r="R25" s="13"/>
      <c r="S25" s="13"/>
      <c r="T25" s="213"/>
      <c r="U25" s="13"/>
    </row>
    <row r="26" customFormat="1" spans="1:21">
      <c r="A26" s="142" t="s">
        <v>1607</v>
      </c>
      <c r="B26" s="165">
        <v>15.95</v>
      </c>
      <c r="C26" s="165">
        <v>72.14</v>
      </c>
      <c r="D26" s="165">
        <v>51.83</v>
      </c>
      <c r="E26" s="165">
        <v>7.6</v>
      </c>
      <c r="F26" s="165">
        <v>4.13</v>
      </c>
      <c r="G26" s="165">
        <v>51.67</v>
      </c>
      <c r="H26" s="165">
        <v>25.08</v>
      </c>
      <c r="I26" s="165">
        <v>6.3</v>
      </c>
      <c r="J26" s="165">
        <v>0.15</v>
      </c>
      <c r="K26" s="165">
        <v>180.97</v>
      </c>
      <c r="L26" s="165">
        <v>25.75</v>
      </c>
      <c r="M26" s="165">
        <v>50.23</v>
      </c>
      <c r="N26" s="165">
        <v>0</v>
      </c>
      <c r="O26" s="165">
        <v>0</v>
      </c>
      <c r="P26" s="165">
        <v>0.84</v>
      </c>
      <c r="Q26" s="165">
        <v>5.81</v>
      </c>
      <c r="R26" s="13"/>
      <c r="S26" s="13"/>
      <c r="T26" s="213"/>
      <c r="U26" s="13"/>
    </row>
    <row r="27" customFormat="1" spans="1:21">
      <c r="A27" s="142" t="s">
        <v>1608</v>
      </c>
      <c r="B27" s="165">
        <v>15.74</v>
      </c>
      <c r="C27" s="165">
        <v>71.83</v>
      </c>
      <c r="D27" s="165">
        <v>51.5</v>
      </c>
      <c r="E27" s="165">
        <v>7.14</v>
      </c>
      <c r="F27" s="165">
        <v>4.16</v>
      </c>
      <c r="G27" s="165">
        <v>50.54</v>
      </c>
      <c r="H27" s="165">
        <v>25.83</v>
      </c>
      <c r="I27" s="165">
        <v>6.36</v>
      </c>
      <c r="J27" s="165">
        <v>0.25</v>
      </c>
      <c r="K27" s="165">
        <v>169.98</v>
      </c>
      <c r="L27" s="165">
        <v>25.88</v>
      </c>
      <c r="M27" s="165">
        <v>50.73</v>
      </c>
      <c r="N27" s="165">
        <v>0</v>
      </c>
      <c r="O27" s="165">
        <v>0</v>
      </c>
      <c r="P27" s="165">
        <v>0.84</v>
      </c>
      <c r="Q27" s="165">
        <v>5.8</v>
      </c>
      <c r="R27" s="13"/>
      <c r="S27" s="13"/>
      <c r="T27" s="213"/>
      <c r="U27" s="13"/>
    </row>
    <row r="28" customFormat="1" spans="1:21">
      <c r="A28" s="142" t="s">
        <v>1609</v>
      </c>
      <c r="B28" s="165">
        <v>15.77</v>
      </c>
      <c r="C28" s="165">
        <v>71.82</v>
      </c>
      <c r="D28" s="165">
        <v>51.52</v>
      </c>
      <c r="E28" s="165">
        <v>7.01</v>
      </c>
      <c r="F28" s="165">
        <v>4.05</v>
      </c>
      <c r="G28" s="165">
        <v>47.75</v>
      </c>
      <c r="H28" s="165">
        <v>27.05</v>
      </c>
      <c r="I28" s="165">
        <v>6.38</v>
      </c>
      <c r="J28" s="165">
        <v>0.2</v>
      </c>
      <c r="K28" s="165">
        <v>149.03</v>
      </c>
      <c r="L28" s="165">
        <v>25.75</v>
      </c>
      <c r="M28" s="165">
        <v>50.02</v>
      </c>
      <c r="N28" s="165">
        <v>0</v>
      </c>
      <c r="O28" s="165">
        <v>0</v>
      </c>
      <c r="P28" s="165">
        <v>0.84</v>
      </c>
      <c r="Q28" s="165">
        <v>5.78</v>
      </c>
      <c r="R28" s="13"/>
      <c r="S28" s="13"/>
      <c r="T28" s="213"/>
      <c r="U28" s="13"/>
    </row>
    <row r="29" customFormat="1" spans="1:21">
      <c r="A29" s="142" t="s">
        <v>1610</v>
      </c>
      <c r="B29" s="165">
        <v>15.59</v>
      </c>
      <c r="C29" s="165">
        <v>71.99</v>
      </c>
      <c r="D29" s="165">
        <v>51.46</v>
      </c>
      <c r="E29" s="165">
        <v>7.11</v>
      </c>
      <c r="F29" s="165">
        <v>3.99</v>
      </c>
      <c r="G29" s="165">
        <v>47.75</v>
      </c>
      <c r="H29" s="165">
        <v>27.05</v>
      </c>
      <c r="I29" s="165">
        <v>6.42</v>
      </c>
      <c r="J29" s="165">
        <v>0.22</v>
      </c>
      <c r="K29" s="165">
        <v>181.34</v>
      </c>
      <c r="L29" s="165">
        <v>25.43</v>
      </c>
      <c r="M29" s="165">
        <v>51.63</v>
      </c>
      <c r="N29" s="165">
        <v>0</v>
      </c>
      <c r="O29" s="165">
        <v>0</v>
      </c>
      <c r="P29" s="165">
        <v>0.86</v>
      </c>
      <c r="Q29" s="165">
        <v>5.78</v>
      </c>
      <c r="R29" s="13"/>
      <c r="S29" s="13"/>
      <c r="T29" s="213"/>
      <c r="U29" s="13"/>
    </row>
    <row r="30" customFormat="1" spans="1:21">
      <c r="A30" s="142" t="s">
        <v>1611</v>
      </c>
      <c r="B30" s="165">
        <v>15.45</v>
      </c>
      <c r="C30" s="165">
        <v>71.86</v>
      </c>
      <c r="D30" s="165">
        <v>51.28</v>
      </c>
      <c r="E30" s="165">
        <v>6.85</v>
      </c>
      <c r="F30" s="165">
        <v>4.05</v>
      </c>
      <c r="G30" s="165">
        <v>47.75</v>
      </c>
      <c r="H30" s="165">
        <v>27.05</v>
      </c>
      <c r="I30" s="165">
        <v>6.48</v>
      </c>
      <c r="J30" s="165">
        <v>0.16</v>
      </c>
      <c r="K30" s="165">
        <v>208.41</v>
      </c>
      <c r="L30" s="165">
        <v>25.28</v>
      </c>
      <c r="M30" s="165">
        <v>50.99</v>
      </c>
      <c r="N30" s="165">
        <v>0</v>
      </c>
      <c r="O30" s="165">
        <v>0</v>
      </c>
      <c r="P30" s="165">
        <v>0.85</v>
      </c>
      <c r="Q30" s="165">
        <v>5.76</v>
      </c>
      <c r="R30" s="13"/>
      <c r="S30" s="13"/>
      <c r="T30" s="213"/>
      <c r="U30" s="13"/>
    </row>
    <row r="31" customFormat="1" spans="1:21">
      <c r="A31" s="142" t="s">
        <v>1612</v>
      </c>
      <c r="B31" s="165">
        <v>15.05</v>
      </c>
      <c r="C31" s="165">
        <v>71.32</v>
      </c>
      <c r="D31" s="165">
        <v>50.68</v>
      </c>
      <c r="E31" s="165">
        <v>7.16</v>
      </c>
      <c r="F31" s="165">
        <v>4.43</v>
      </c>
      <c r="G31" s="165">
        <v>47.4</v>
      </c>
      <c r="H31" s="165">
        <v>25.65</v>
      </c>
      <c r="I31" s="165">
        <v>6.52</v>
      </c>
      <c r="J31" s="165">
        <v>0.17</v>
      </c>
      <c r="K31" s="165">
        <v>213.11</v>
      </c>
      <c r="L31" s="165">
        <v>25.52</v>
      </c>
      <c r="M31" s="165">
        <v>49.97</v>
      </c>
      <c r="N31" s="165">
        <v>0</v>
      </c>
      <c r="O31" s="165">
        <v>0</v>
      </c>
      <c r="P31" s="165">
        <v>0.85</v>
      </c>
      <c r="Q31" s="165">
        <v>5.77</v>
      </c>
      <c r="R31" s="13"/>
      <c r="S31" s="13"/>
      <c r="T31" s="213"/>
      <c r="U31" s="13"/>
    </row>
    <row r="32" customFormat="1" spans="1:21">
      <c r="A32" s="142" t="s">
        <v>1613</v>
      </c>
      <c r="B32" s="165">
        <v>14.82</v>
      </c>
      <c r="C32" s="165">
        <v>71.34</v>
      </c>
      <c r="D32" s="165">
        <v>50.51</v>
      </c>
      <c r="E32" s="165">
        <v>7.14</v>
      </c>
      <c r="F32" s="165">
        <v>4.38</v>
      </c>
      <c r="G32" s="165">
        <v>46.55</v>
      </c>
      <c r="H32" s="165">
        <v>23.44</v>
      </c>
      <c r="I32" s="165">
        <v>6.57</v>
      </c>
      <c r="J32" s="165">
        <v>0.18</v>
      </c>
      <c r="K32" s="165">
        <v>212.47</v>
      </c>
      <c r="L32" s="165">
        <v>25.33</v>
      </c>
      <c r="M32" s="165">
        <v>51.9</v>
      </c>
      <c r="N32" s="165">
        <v>3</v>
      </c>
      <c r="O32" s="165">
        <v>0</v>
      </c>
      <c r="P32" s="165">
        <v>0.86</v>
      </c>
      <c r="Q32" s="165">
        <v>5.72</v>
      </c>
      <c r="R32" s="13"/>
      <c r="S32" s="13"/>
      <c r="T32" s="213"/>
      <c r="U32" s="13"/>
    </row>
    <row r="33" customFormat="1" spans="1:21">
      <c r="A33" s="142" t="s">
        <v>1614</v>
      </c>
      <c r="B33" s="165">
        <v>14.7</v>
      </c>
      <c r="C33" s="165">
        <v>71.83</v>
      </c>
      <c r="D33" s="165">
        <v>50.67</v>
      </c>
      <c r="E33" s="165">
        <v>7.08</v>
      </c>
      <c r="F33" s="165">
        <v>3.92</v>
      </c>
      <c r="G33" s="165">
        <v>46.55</v>
      </c>
      <c r="H33" s="165">
        <v>23.44</v>
      </c>
      <c r="I33" s="165">
        <v>6.63</v>
      </c>
      <c r="J33" s="165">
        <v>0.18</v>
      </c>
      <c r="K33" s="165">
        <v>173.78</v>
      </c>
      <c r="L33" s="165">
        <v>25.48</v>
      </c>
      <c r="M33" s="165">
        <v>51.69</v>
      </c>
      <c r="N33" s="165">
        <v>13.9</v>
      </c>
      <c r="O33" s="165">
        <v>0</v>
      </c>
      <c r="P33" s="165">
        <v>0.86</v>
      </c>
      <c r="Q33" s="165">
        <v>5.73</v>
      </c>
      <c r="R33" s="13"/>
      <c r="S33" s="13"/>
      <c r="T33" s="213"/>
      <c r="U33" s="13"/>
    </row>
    <row r="34" customFormat="1" spans="1:21">
      <c r="A34" s="142" t="s">
        <v>1615</v>
      </c>
      <c r="B34" s="165">
        <v>14.58</v>
      </c>
      <c r="C34" s="165">
        <v>71.65</v>
      </c>
      <c r="D34" s="165">
        <v>50.47</v>
      </c>
      <c r="E34" s="165">
        <v>6.78</v>
      </c>
      <c r="F34" s="165">
        <v>3.88</v>
      </c>
      <c r="G34" s="165">
        <v>46.55</v>
      </c>
      <c r="H34" s="165">
        <v>23.44</v>
      </c>
      <c r="I34" s="165">
        <v>6.65</v>
      </c>
      <c r="J34" s="165">
        <v>0.13</v>
      </c>
      <c r="K34" s="165">
        <v>139.19</v>
      </c>
      <c r="L34" s="165">
        <v>25.75</v>
      </c>
      <c r="M34" s="165">
        <v>52.22</v>
      </c>
      <c r="N34" s="165">
        <v>25.2</v>
      </c>
      <c r="O34" s="165">
        <v>0</v>
      </c>
      <c r="P34" s="165">
        <v>0.86</v>
      </c>
      <c r="Q34" s="165">
        <v>5.72</v>
      </c>
      <c r="R34" s="13"/>
      <c r="S34" s="13"/>
      <c r="T34" s="213"/>
      <c r="U34" s="13"/>
    </row>
    <row r="35" customFormat="1" spans="1:21">
      <c r="A35" s="142" t="s">
        <v>1616</v>
      </c>
      <c r="B35" s="165">
        <v>14.15</v>
      </c>
      <c r="C35" s="165">
        <v>68.18</v>
      </c>
      <c r="D35" s="165">
        <v>48.32</v>
      </c>
      <c r="E35" s="165">
        <v>6.29</v>
      </c>
      <c r="F35" s="165">
        <v>5.59</v>
      </c>
      <c r="G35" s="165">
        <v>47.05</v>
      </c>
      <c r="H35" s="165">
        <v>23.74</v>
      </c>
      <c r="I35" s="165">
        <v>6.64</v>
      </c>
      <c r="J35" s="165">
        <v>0.3</v>
      </c>
      <c r="K35" s="165">
        <v>158.89</v>
      </c>
      <c r="L35" s="165">
        <v>26.35</v>
      </c>
      <c r="M35" s="165">
        <v>52.83</v>
      </c>
      <c r="N35" s="165">
        <v>35.7</v>
      </c>
      <c r="O35" s="165">
        <v>0</v>
      </c>
      <c r="P35" s="165">
        <v>0.87</v>
      </c>
      <c r="Q35" s="165">
        <v>5.71</v>
      </c>
      <c r="R35" s="13"/>
      <c r="S35" s="13"/>
      <c r="T35" s="213"/>
      <c r="U35" s="13"/>
    </row>
    <row r="36" customFormat="1" spans="1:21">
      <c r="A36" s="142" t="s">
        <v>1617</v>
      </c>
      <c r="B36" s="165">
        <v>14.59</v>
      </c>
      <c r="C36" s="165">
        <v>68.55</v>
      </c>
      <c r="D36" s="165">
        <v>48.86</v>
      </c>
      <c r="E36" s="165">
        <v>6.83</v>
      </c>
      <c r="F36" s="165">
        <v>5.2</v>
      </c>
      <c r="G36" s="165">
        <v>48.28</v>
      </c>
      <c r="H36" s="165">
        <v>24.96</v>
      </c>
      <c r="I36" s="165">
        <v>6.71</v>
      </c>
      <c r="J36" s="165">
        <v>0.3</v>
      </c>
      <c r="K36" s="165">
        <v>167.14</v>
      </c>
      <c r="L36" s="165">
        <v>26.8</v>
      </c>
      <c r="M36" s="165">
        <v>51.71</v>
      </c>
      <c r="N36" s="165">
        <v>45.5</v>
      </c>
      <c r="O36" s="165">
        <v>0</v>
      </c>
      <c r="P36" s="165">
        <v>0.87</v>
      </c>
      <c r="Q36" s="165">
        <v>5.62</v>
      </c>
      <c r="R36" s="13"/>
      <c r="S36" s="13"/>
      <c r="T36" s="213"/>
      <c r="U36" s="13"/>
    </row>
    <row r="37" customFormat="1" spans="1:21">
      <c r="A37" s="142" t="s">
        <v>1618</v>
      </c>
      <c r="B37" s="165">
        <v>15.08</v>
      </c>
      <c r="C37" s="165">
        <v>70.37</v>
      </c>
      <c r="D37" s="165">
        <v>50.21</v>
      </c>
      <c r="E37" s="165">
        <v>7</v>
      </c>
      <c r="F37" s="165">
        <v>4.41</v>
      </c>
      <c r="G37" s="165">
        <v>48.28</v>
      </c>
      <c r="H37" s="165">
        <v>24.96</v>
      </c>
      <c r="I37" s="165">
        <v>6.8</v>
      </c>
      <c r="J37" s="165">
        <v>0.34</v>
      </c>
      <c r="K37" s="165">
        <v>196.12</v>
      </c>
      <c r="L37" s="165">
        <v>27.44</v>
      </c>
      <c r="M37" s="165">
        <v>49.31</v>
      </c>
      <c r="N37" s="165">
        <v>56.4</v>
      </c>
      <c r="O37" s="165">
        <v>0</v>
      </c>
      <c r="P37" s="165">
        <v>0.86</v>
      </c>
      <c r="Q37" s="165">
        <v>5.56</v>
      </c>
      <c r="R37" s="13"/>
      <c r="S37" s="13"/>
      <c r="T37" s="213"/>
      <c r="U37" s="13"/>
    </row>
    <row r="38" customFormat="1" spans="1:21">
      <c r="A38" s="142" t="s">
        <v>1619</v>
      </c>
      <c r="B38" s="165">
        <v>15.38</v>
      </c>
      <c r="C38" s="165">
        <v>70.72</v>
      </c>
      <c r="D38" s="165">
        <v>50.63</v>
      </c>
      <c r="E38" s="165">
        <v>7.78</v>
      </c>
      <c r="F38" s="165">
        <v>4.92</v>
      </c>
      <c r="G38" s="165">
        <v>48.28</v>
      </c>
      <c r="H38" s="165">
        <v>24.96</v>
      </c>
      <c r="I38" s="165">
        <v>6.85</v>
      </c>
      <c r="J38" s="165">
        <v>0.4</v>
      </c>
      <c r="K38" s="165">
        <v>237.53</v>
      </c>
      <c r="L38" s="165">
        <v>28.27</v>
      </c>
      <c r="M38" s="165">
        <v>46.64</v>
      </c>
      <c r="N38" s="165">
        <v>72.4</v>
      </c>
      <c r="O38" s="165">
        <v>0</v>
      </c>
      <c r="P38" s="165">
        <v>0.86</v>
      </c>
      <c r="Q38" s="165">
        <v>5.56</v>
      </c>
      <c r="R38" s="13"/>
      <c r="S38" s="13"/>
      <c r="T38" s="213"/>
      <c r="U38" s="13"/>
    </row>
    <row r="39" customFormat="1" spans="1:21">
      <c r="A39" s="142" t="s">
        <v>1620</v>
      </c>
      <c r="B39" s="165">
        <v>14.65</v>
      </c>
      <c r="C39" s="165">
        <v>67.42</v>
      </c>
      <c r="D39" s="165">
        <v>48.32</v>
      </c>
      <c r="E39" s="165">
        <v>7.42</v>
      </c>
      <c r="F39" s="165">
        <v>7.79</v>
      </c>
      <c r="G39" s="165">
        <v>51.87</v>
      </c>
      <c r="H39" s="165">
        <v>26.03</v>
      </c>
      <c r="I39" s="165">
        <v>6.89</v>
      </c>
      <c r="J39" s="165">
        <v>0.45</v>
      </c>
      <c r="K39" s="165">
        <v>244.15</v>
      </c>
      <c r="L39" s="165">
        <v>29.28</v>
      </c>
      <c r="M39" s="165">
        <v>42.35</v>
      </c>
      <c r="N39" s="165">
        <v>117.5</v>
      </c>
      <c r="O39" s="165">
        <v>0</v>
      </c>
      <c r="P39" s="165">
        <v>0.88</v>
      </c>
      <c r="Q39" s="165">
        <v>5.64</v>
      </c>
      <c r="R39" s="13"/>
      <c r="S39" s="13"/>
      <c r="T39" s="213"/>
      <c r="U39" s="13"/>
    </row>
    <row r="40" customFormat="1" spans="1:21">
      <c r="A40" s="142" t="s">
        <v>1621</v>
      </c>
      <c r="B40" s="165">
        <v>14.21</v>
      </c>
      <c r="C40" s="165">
        <v>66.09</v>
      </c>
      <c r="D40" s="165">
        <v>47.28</v>
      </c>
      <c r="E40" s="165">
        <v>8.06</v>
      </c>
      <c r="F40" s="165">
        <v>10.28</v>
      </c>
      <c r="G40" s="165">
        <v>60.71</v>
      </c>
      <c r="H40" s="165">
        <v>27.79</v>
      </c>
      <c r="I40" s="165">
        <v>6.94</v>
      </c>
      <c r="J40" s="165">
        <v>0.36</v>
      </c>
      <c r="K40" s="165">
        <v>236.32</v>
      </c>
      <c r="L40" s="165">
        <v>30.6</v>
      </c>
      <c r="M40" s="165">
        <v>38.56</v>
      </c>
      <c r="N40" s="165">
        <v>198.1</v>
      </c>
      <c r="O40" s="165">
        <v>0</v>
      </c>
      <c r="P40" s="165">
        <v>0.88</v>
      </c>
      <c r="Q40" s="165">
        <v>5.62</v>
      </c>
      <c r="R40" s="13"/>
      <c r="S40" s="13"/>
      <c r="T40" s="213"/>
      <c r="U40" s="13"/>
    </row>
    <row r="41" customFormat="1" spans="1:21">
      <c r="A41" s="142" t="s">
        <v>1622</v>
      </c>
      <c r="B41" s="165">
        <v>14.15</v>
      </c>
      <c r="C41" s="165">
        <v>67.38</v>
      </c>
      <c r="D41" s="165">
        <v>47.91</v>
      </c>
      <c r="E41" s="165">
        <v>8.8</v>
      </c>
      <c r="F41" s="165">
        <v>9.61</v>
      </c>
      <c r="G41" s="165">
        <v>60.71</v>
      </c>
      <c r="H41" s="165">
        <v>27.79</v>
      </c>
      <c r="I41" s="165">
        <v>6.95</v>
      </c>
      <c r="J41" s="165">
        <v>0.45</v>
      </c>
      <c r="K41" s="165">
        <v>249.3</v>
      </c>
      <c r="L41" s="165">
        <v>31.51</v>
      </c>
      <c r="M41" s="165">
        <v>36.24</v>
      </c>
      <c r="N41" s="165">
        <v>292.8</v>
      </c>
      <c r="O41" s="165">
        <v>0</v>
      </c>
      <c r="P41" s="165">
        <v>0.89</v>
      </c>
      <c r="Q41" s="165">
        <v>5.58</v>
      </c>
      <c r="R41" s="13"/>
      <c r="S41" s="13"/>
      <c r="T41" s="213"/>
      <c r="U41" s="13"/>
    </row>
    <row r="42" customFormat="1" spans="1:21">
      <c r="A42" s="142" t="s">
        <v>1623</v>
      </c>
      <c r="B42" s="165">
        <v>13.28</v>
      </c>
      <c r="C42" s="165">
        <v>67.9</v>
      </c>
      <c r="D42" s="165">
        <v>47.48</v>
      </c>
      <c r="E42" s="165">
        <v>8.48</v>
      </c>
      <c r="F42" s="165">
        <v>9.19</v>
      </c>
      <c r="G42" s="165">
        <v>60.71</v>
      </c>
      <c r="H42" s="165">
        <v>27.79</v>
      </c>
      <c r="I42" s="165">
        <v>6.99</v>
      </c>
      <c r="J42" s="165">
        <v>0.36</v>
      </c>
      <c r="K42" s="165">
        <v>220.21</v>
      </c>
      <c r="L42" s="165">
        <v>32.57</v>
      </c>
      <c r="M42" s="165">
        <v>34.6</v>
      </c>
      <c r="N42" s="165">
        <v>360.5</v>
      </c>
      <c r="O42" s="165">
        <v>0</v>
      </c>
      <c r="P42" s="165">
        <v>0.9</v>
      </c>
      <c r="Q42" s="165">
        <v>5.59</v>
      </c>
      <c r="R42" s="13"/>
      <c r="S42" s="13"/>
      <c r="T42" s="213"/>
      <c r="U42" s="13"/>
    </row>
    <row r="43" customFormat="1" spans="1:21">
      <c r="A43" s="142" t="s">
        <v>1624</v>
      </c>
      <c r="B43" s="165">
        <v>12</v>
      </c>
      <c r="C43" s="165">
        <v>65.91</v>
      </c>
      <c r="D43" s="165">
        <v>45.42</v>
      </c>
      <c r="E43" s="165">
        <v>9.39</v>
      </c>
      <c r="F43" s="165">
        <v>13.03</v>
      </c>
      <c r="G43" s="165">
        <v>60.76</v>
      </c>
      <c r="H43" s="165">
        <v>27.42</v>
      </c>
      <c r="I43" s="165">
        <v>7.08</v>
      </c>
      <c r="J43" s="165">
        <v>0.46</v>
      </c>
      <c r="K43" s="165">
        <v>252.67</v>
      </c>
      <c r="L43" s="165">
        <v>33.34</v>
      </c>
      <c r="M43" s="165">
        <v>31.81</v>
      </c>
      <c r="N43" s="165">
        <v>306.2</v>
      </c>
      <c r="O43" s="165">
        <v>0</v>
      </c>
      <c r="P43" s="165">
        <v>0.93</v>
      </c>
      <c r="Q43" s="165">
        <v>5.6</v>
      </c>
      <c r="R43" s="13"/>
      <c r="S43" s="13"/>
      <c r="T43" s="213"/>
      <c r="U43" s="13"/>
    </row>
    <row r="44" customFormat="1" spans="1:21">
      <c r="A44" s="142" t="s">
        <v>1625</v>
      </c>
      <c r="B44" s="165">
        <v>11.21</v>
      </c>
      <c r="C44" s="165">
        <v>65.37</v>
      </c>
      <c r="D44" s="165">
        <v>44.49</v>
      </c>
      <c r="E44" s="165">
        <v>9.57</v>
      </c>
      <c r="F44" s="165">
        <v>15.17</v>
      </c>
      <c r="G44" s="165">
        <v>60.85</v>
      </c>
      <c r="H44" s="165">
        <v>26.81</v>
      </c>
      <c r="I44" s="165">
        <v>7.19</v>
      </c>
      <c r="J44" s="165">
        <v>0.45</v>
      </c>
      <c r="K44" s="165">
        <v>226.85</v>
      </c>
      <c r="L44" s="165">
        <v>34.24</v>
      </c>
      <c r="M44" s="165">
        <v>29.56</v>
      </c>
      <c r="N44" s="165">
        <v>206.2</v>
      </c>
      <c r="O44" s="165">
        <v>0</v>
      </c>
      <c r="P44" s="165">
        <v>0.9</v>
      </c>
      <c r="Q44" s="165">
        <v>5.51</v>
      </c>
      <c r="R44" s="13"/>
      <c r="S44" s="13"/>
      <c r="T44" s="213"/>
      <c r="U44" s="13"/>
    </row>
    <row r="45" customFormat="1" spans="1:21">
      <c r="A45" s="142" t="s">
        <v>1626</v>
      </c>
      <c r="B45" s="165">
        <v>10.47</v>
      </c>
      <c r="C45" s="165">
        <v>65</v>
      </c>
      <c r="D45" s="165">
        <v>43.71</v>
      </c>
      <c r="E45" s="165">
        <v>9.62</v>
      </c>
      <c r="F45" s="165">
        <v>14.78</v>
      </c>
      <c r="G45" s="165">
        <v>60.85</v>
      </c>
      <c r="H45" s="165">
        <v>26.81</v>
      </c>
      <c r="I45" s="165">
        <v>7.21</v>
      </c>
      <c r="J45" s="165">
        <v>0.52</v>
      </c>
      <c r="K45" s="165">
        <v>235.04</v>
      </c>
      <c r="L45" s="165">
        <v>35.03</v>
      </c>
      <c r="M45" s="165">
        <v>27.32</v>
      </c>
      <c r="N45" s="165">
        <v>183.7</v>
      </c>
      <c r="O45" s="165">
        <v>0</v>
      </c>
      <c r="P45" s="165">
        <v>0.9</v>
      </c>
      <c r="Q45" s="165">
        <v>5.41</v>
      </c>
      <c r="R45" s="13"/>
      <c r="S45" s="13"/>
      <c r="T45" s="213"/>
      <c r="U45" s="13"/>
    </row>
    <row r="46" customFormat="1" spans="1:21">
      <c r="A46" s="142" t="s">
        <v>1627</v>
      </c>
      <c r="B46" s="165">
        <v>9.46</v>
      </c>
      <c r="C46" s="165">
        <v>65.45</v>
      </c>
      <c r="D46" s="165">
        <v>43.13</v>
      </c>
      <c r="E46" s="165">
        <v>10.61</v>
      </c>
      <c r="F46" s="165">
        <v>17.04</v>
      </c>
      <c r="G46" s="165">
        <v>60.85</v>
      </c>
      <c r="H46" s="165">
        <v>26.81</v>
      </c>
      <c r="I46" s="165">
        <v>7.14</v>
      </c>
      <c r="J46" s="165">
        <v>0.67</v>
      </c>
      <c r="K46" s="165">
        <v>253.7</v>
      </c>
      <c r="L46" s="165">
        <v>35.52</v>
      </c>
      <c r="M46" s="165">
        <v>24.26</v>
      </c>
      <c r="N46" s="165">
        <v>312.5</v>
      </c>
      <c r="O46" s="165">
        <v>0</v>
      </c>
      <c r="P46" s="165">
        <v>0.91</v>
      </c>
      <c r="Q46" s="165">
        <v>5.33</v>
      </c>
      <c r="R46" s="13"/>
      <c r="S46" s="13"/>
      <c r="T46" s="213"/>
      <c r="U46" s="13"/>
    </row>
    <row r="47" customFormat="1" spans="1:21">
      <c r="A47" s="142" t="s">
        <v>1628</v>
      </c>
      <c r="B47" s="165">
        <v>8.36</v>
      </c>
      <c r="C47" s="165">
        <v>62.99</v>
      </c>
      <c r="D47" s="165">
        <v>40.97</v>
      </c>
      <c r="E47" s="165">
        <v>10.6</v>
      </c>
      <c r="F47" s="165">
        <v>21.14</v>
      </c>
      <c r="G47" s="165">
        <v>59.56</v>
      </c>
      <c r="H47" s="165">
        <v>26.95</v>
      </c>
      <c r="I47" s="165">
        <v>7.38</v>
      </c>
      <c r="J47" s="165">
        <v>0.57</v>
      </c>
      <c r="K47" s="165">
        <v>236.59</v>
      </c>
      <c r="L47" s="165">
        <v>36.53</v>
      </c>
      <c r="M47" s="165">
        <v>21.31</v>
      </c>
      <c r="N47" s="165">
        <v>519</v>
      </c>
      <c r="O47" s="165">
        <v>0</v>
      </c>
      <c r="P47" s="165">
        <v>0.91</v>
      </c>
      <c r="Q47" s="165">
        <v>5.3</v>
      </c>
      <c r="R47" s="13"/>
      <c r="S47" s="13"/>
      <c r="T47" s="213"/>
      <c r="U47" s="13"/>
    </row>
    <row r="48" customFormat="1" spans="1:21">
      <c r="A48" s="142" t="s">
        <v>1629</v>
      </c>
      <c r="B48" s="165">
        <v>7.83</v>
      </c>
      <c r="C48" s="165">
        <v>63.97</v>
      </c>
      <c r="D48" s="165">
        <v>41.05</v>
      </c>
      <c r="E48" s="165">
        <v>10.7</v>
      </c>
      <c r="F48" s="165">
        <v>18.87</v>
      </c>
      <c r="G48" s="165">
        <v>56.38</v>
      </c>
      <c r="H48" s="165">
        <v>27.18</v>
      </c>
      <c r="I48" s="165">
        <v>7.55</v>
      </c>
      <c r="J48" s="165">
        <v>0.47</v>
      </c>
      <c r="K48" s="165">
        <v>239.8</v>
      </c>
      <c r="L48" s="165">
        <v>37.29</v>
      </c>
      <c r="M48" s="165">
        <v>20.58</v>
      </c>
      <c r="N48" s="165">
        <v>454.1</v>
      </c>
      <c r="O48" s="165">
        <v>0</v>
      </c>
      <c r="P48" s="165">
        <v>0.9</v>
      </c>
      <c r="Q48" s="165">
        <v>5.24</v>
      </c>
      <c r="R48" s="13"/>
      <c r="S48" s="13"/>
      <c r="T48" s="213"/>
      <c r="U48" s="13"/>
    </row>
    <row r="49" customFormat="1" spans="1:21">
      <c r="A49" s="142" t="s">
        <v>1630</v>
      </c>
      <c r="B49" s="165">
        <v>7.45</v>
      </c>
      <c r="C49" s="165">
        <v>60.6</v>
      </c>
      <c r="D49" s="165">
        <v>38.99</v>
      </c>
      <c r="E49" s="165">
        <v>8.85</v>
      </c>
      <c r="F49" s="165">
        <v>25.96</v>
      </c>
      <c r="G49" s="165">
        <v>56.38</v>
      </c>
      <c r="H49" s="165">
        <v>27.18</v>
      </c>
      <c r="I49" s="165">
        <v>7.47</v>
      </c>
      <c r="J49" s="165">
        <v>0.39</v>
      </c>
      <c r="K49" s="165">
        <v>273.29</v>
      </c>
      <c r="L49" s="165">
        <v>38.13</v>
      </c>
      <c r="M49" s="165">
        <v>18.16</v>
      </c>
      <c r="N49" s="165">
        <v>596.7</v>
      </c>
      <c r="O49" s="165">
        <v>0</v>
      </c>
      <c r="P49" s="165">
        <v>0.9</v>
      </c>
      <c r="Q49" s="165">
        <v>5.19</v>
      </c>
      <c r="R49" s="13"/>
      <c r="S49" s="13"/>
      <c r="T49" s="213"/>
      <c r="U49" s="13"/>
    </row>
    <row r="50" customFormat="1" spans="1:21">
      <c r="A50" s="142" t="s">
        <v>1631</v>
      </c>
      <c r="B50" s="165">
        <v>7.15</v>
      </c>
      <c r="C50" s="165">
        <v>59.5</v>
      </c>
      <c r="D50" s="165">
        <v>38.17</v>
      </c>
      <c r="E50" s="165">
        <v>10.47</v>
      </c>
      <c r="F50" s="165">
        <v>38.09</v>
      </c>
      <c r="G50" s="165">
        <v>56.38</v>
      </c>
      <c r="H50" s="165">
        <v>27.18</v>
      </c>
      <c r="I50" s="165">
        <v>7.43</v>
      </c>
      <c r="J50" s="165">
        <v>0.29</v>
      </c>
      <c r="K50" s="165">
        <v>359.55</v>
      </c>
      <c r="L50" s="165">
        <v>38.75</v>
      </c>
      <c r="M50" s="165">
        <v>15.83</v>
      </c>
      <c r="N50" s="165">
        <v>376.2</v>
      </c>
      <c r="O50" s="165">
        <v>0</v>
      </c>
      <c r="P50" s="165">
        <v>0.85</v>
      </c>
      <c r="Q50" s="165">
        <v>5.19</v>
      </c>
      <c r="R50" s="13"/>
      <c r="S50" s="13"/>
      <c r="T50" s="213"/>
      <c r="U50" s="13"/>
    </row>
    <row r="51" customFormat="1" spans="1:21">
      <c r="A51" s="142" t="s">
        <v>1632</v>
      </c>
      <c r="B51" s="165">
        <v>6.57</v>
      </c>
      <c r="C51" s="165">
        <v>60.96</v>
      </c>
      <c r="D51" s="165">
        <v>38.47</v>
      </c>
      <c r="E51" s="165">
        <v>10.82</v>
      </c>
      <c r="F51" s="165">
        <v>33.8</v>
      </c>
      <c r="G51" s="165">
        <v>55.46</v>
      </c>
      <c r="H51" s="165">
        <v>26.81</v>
      </c>
      <c r="I51" s="165">
        <v>7.18</v>
      </c>
      <c r="J51" s="165">
        <v>0.13</v>
      </c>
      <c r="K51" s="165">
        <v>5.7</v>
      </c>
      <c r="L51" s="165">
        <v>40</v>
      </c>
      <c r="M51" s="165">
        <v>15.08</v>
      </c>
      <c r="N51" s="165">
        <v>709.9</v>
      </c>
      <c r="O51" s="165">
        <v>0</v>
      </c>
      <c r="P51" s="165">
        <v>0.83</v>
      </c>
      <c r="Q51" s="165">
        <v>5.17</v>
      </c>
      <c r="R51" s="13"/>
      <c r="S51" s="13"/>
      <c r="T51" s="213"/>
      <c r="U51" s="13"/>
    </row>
    <row r="52" customFormat="1" spans="1:21">
      <c r="A52" s="142" t="s">
        <v>1633</v>
      </c>
      <c r="B52" s="165">
        <v>6.37</v>
      </c>
      <c r="C52" s="165">
        <v>60.8</v>
      </c>
      <c r="D52" s="165">
        <v>38.22</v>
      </c>
      <c r="E52" s="165">
        <v>10.47</v>
      </c>
      <c r="F52" s="165">
        <v>31.26</v>
      </c>
      <c r="G52" s="165">
        <v>53.2</v>
      </c>
      <c r="H52" s="165">
        <v>26.19</v>
      </c>
      <c r="I52" s="165">
        <v>6.86</v>
      </c>
      <c r="J52" s="165">
        <v>0.29</v>
      </c>
      <c r="K52" s="165">
        <v>281.16</v>
      </c>
      <c r="L52" s="165">
        <v>39.49</v>
      </c>
      <c r="M52" s="165">
        <v>15.3</v>
      </c>
      <c r="N52" s="165">
        <v>740.2</v>
      </c>
      <c r="O52" s="165">
        <v>0</v>
      </c>
      <c r="P52" s="165">
        <v>0.85</v>
      </c>
      <c r="Q52" s="165">
        <v>5.13</v>
      </c>
      <c r="R52" s="13"/>
      <c r="S52" s="13"/>
      <c r="T52" s="213"/>
      <c r="U52" s="13"/>
    </row>
    <row r="53" customFormat="1" spans="1:21">
      <c r="A53" s="142" t="s">
        <v>1634</v>
      </c>
      <c r="B53" s="165">
        <v>5.79</v>
      </c>
      <c r="C53" s="165">
        <v>60.05</v>
      </c>
      <c r="D53" s="165">
        <v>37.37</v>
      </c>
      <c r="E53" s="165">
        <v>13.49</v>
      </c>
      <c r="F53" s="165">
        <v>38.08</v>
      </c>
      <c r="G53" s="165">
        <v>53.2</v>
      </c>
      <c r="H53" s="165">
        <v>26.19</v>
      </c>
      <c r="I53" s="165">
        <v>6.87</v>
      </c>
      <c r="J53" s="165">
        <v>0.75</v>
      </c>
      <c r="K53" s="165">
        <v>292.74</v>
      </c>
      <c r="L53" s="165">
        <v>39.7</v>
      </c>
      <c r="M53" s="165">
        <v>14.67</v>
      </c>
      <c r="N53" s="165">
        <v>694.1</v>
      </c>
      <c r="O53" s="165">
        <v>0</v>
      </c>
      <c r="P53" s="165">
        <v>0.84</v>
      </c>
      <c r="Q53" s="165">
        <v>5.09</v>
      </c>
      <c r="R53" s="13"/>
      <c r="S53" s="13"/>
      <c r="T53" s="213"/>
      <c r="U53" s="13"/>
    </row>
    <row r="54" customFormat="1" spans="1:21">
      <c r="A54" s="142" t="s">
        <v>1635</v>
      </c>
      <c r="B54" s="165">
        <v>5.35</v>
      </c>
      <c r="C54" s="165">
        <v>60.87</v>
      </c>
      <c r="D54" s="165">
        <v>37.44</v>
      </c>
      <c r="E54" s="165">
        <v>15.75</v>
      </c>
      <c r="F54" s="165">
        <v>40.72</v>
      </c>
      <c r="G54" s="165">
        <v>53.2</v>
      </c>
      <c r="H54" s="165">
        <v>26.19</v>
      </c>
      <c r="I54" s="165">
        <v>6.9</v>
      </c>
      <c r="J54" s="165">
        <v>0.72</v>
      </c>
      <c r="K54" s="165">
        <v>271.08</v>
      </c>
      <c r="L54" s="165">
        <v>39.87</v>
      </c>
      <c r="M54" s="165">
        <v>14.8</v>
      </c>
      <c r="N54" s="165">
        <v>761.3</v>
      </c>
      <c r="O54" s="165">
        <v>0</v>
      </c>
      <c r="P54" s="165">
        <v>0.85</v>
      </c>
      <c r="Q54" s="165">
        <v>5.07</v>
      </c>
      <c r="R54" s="13"/>
      <c r="S54" s="13"/>
      <c r="T54" s="213"/>
      <c r="U54" s="13"/>
    </row>
    <row r="55" customFormat="1" spans="1:21">
      <c r="A55" s="142" t="s">
        <v>1636</v>
      </c>
      <c r="B55" s="165">
        <v>5.31</v>
      </c>
      <c r="C55" s="165">
        <v>59.67</v>
      </c>
      <c r="D55" s="165">
        <v>36.79</v>
      </c>
      <c r="E55" s="165">
        <v>12.39</v>
      </c>
      <c r="F55" s="165">
        <v>44.58</v>
      </c>
      <c r="G55" s="165">
        <v>53.05</v>
      </c>
      <c r="H55" s="165">
        <v>25.76</v>
      </c>
      <c r="I55" s="165">
        <v>7.09</v>
      </c>
      <c r="J55" s="165">
        <v>0.58</v>
      </c>
      <c r="K55" s="165">
        <v>9.9</v>
      </c>
      <c r="L55" s="165">
        <v>40.4</v>
      </c>
      <c r="M55" s="165">
        <v>13.55</v>
      </c>
      <c r="N55" s="165">
        <v>774.5</v>
      </c>
      <c r="O55" s="165">
        <v>0</v>
      </c>
      <c r="P55" s="165">
        <v>0.84</v>
      </c>
      <c r="Q55" s="165">
        <v>5.09</v>
      </c>
      <c r="R55" s="13"/>
      <c r="S55" s="13"/>
      <c r="T55" s="213"/>
      <c r="U55" s="13"/>
    </row>
    <row r="56" customFormat="1" spans="1:21">
      <c r="A56" s="142" t="s">
        <v>1637</v>
      </c>
      <c r="B56" s="165">
        <v>4.96</v>
      </c>
      <c r="C56" s="165">
        <v>60.79</v>
      </c>
      <c r="D56" s="165">
        <v>37.09</v>
      </c>
      <c r="E56" s="165">
        <v>13.82</v>
      </c>
      <c r="F56" s="165">
        <v>34.28</v>
      </c>
      <c r="G56" s="165">
        <v>52.67</v>
      </c>
      <c r="H56" s="165">
        <v>25.08</v>
      </c>
      <c r="I56" s="165">
        <v>7.72</v>
      </c>
      <c r="J56" s="165">
        <v>0.34</v>
      </c>
      <c r="K56" s="165">
        <v>284.42</v>
      </c>
      <c r="L56" s="165">
        <v>40.61</v>
      </c>
      <c r="M56" s="165">
        <v>13.59</v>
      </c>
      <c r="N56" s="165">
        <v>746.1</v>
      </c>
      <c r="O56" s="165">
        <v>0</v>
      </c>
      <c r="P56" s="165">
        <v>0.83</v>
      </c>
      <c r="Q56" s="165">
        <v>5.17</v>
      </c>
      <c r="R56" s="13"/>
      <c r="S56" s="13"/>
      <c r="T56" s="213"/>
      <c r="U56" s="13"/>
    </row>
    <row r="57" customFormat="1" spans="1:21">
      <c r="A57" s="142" t="s">
        <v>1638</v>
      </c>
      <c r="B57" s="165">
        <v>4.71</v>
      </c>
      <c r="C57" s="165">
        <v>63.97</v>
      </c>
      <c r="D57" s="165">
        <v>38.55</v>
      </c>
      <c r="E57" s="165">
        <v>12.57</v>
      </c>
      <c r="F57" s="165">
        <v>27.01</v>
      </c>
      <c r="G57" s="165">
        <v>52.67</v>
      </c>
      <c r="H57" s="165">
        <v>25.08</v>
      </c>
      <c r="I57" s="165">
        <v>7.68</v>
      </c>
      <c r="J57" s="165">
        <v>0.98</v>
      </c>
      <c r="K57" s="165">
        <v>262.24</v>
      </c>
      <c r="L57" s="165">
        <v>40.97</v>
      </c>
      <c r="M57" s="165">
        <v>13.4</v>
      </c>
      <c r="N57" s="165">
        <v>744.6</v>
      </c>
      <c r="O57" s="165">
        <v>0</v>
      </c>
      <c r="P57" s="165">
        <v>0.84</v>
      </c>
      <c r="Q57" s="165">
        <v>5.1</v>
      </c>
      <c r="R57" s="13"/>
      <c r="S57" s="13"/>
      <c r="T57" s="213"/>
      <c r="U57" s="13"/>
    </row>
    <row r="58" customFormat="1" spans="1:21">
      <c r="A58" s="142" t="s">
        <v>1639</v>
      </c>
      <c r="B58" s="165">
        <v>4.2</v>
      </c>
      <c r="C58" s="165">
        <v>62.4</v>
      </c>
      <c r="D58" s="165">
        <v>37.32</v>
      </c>
      <c r="E58" s="165">
        <v>12.66</v>
      </c>
      <c r="F58" s="165">
        <v>28.57</v>
      </c>
      <c r="G58" s="165">
        <v>52.67</v>
      </c>
      <c r="H58" s="165">
        <v>25.08</v>
      </c>
      <c r="I58" s="165">
        <v>7.57</v>
      </c>
      <c r="J58" s="165">
        <v>0.74</v>
      </c>
      <c r="K58" s="165">
        <v>253.86</v>
      </c>
      <c r="L58" s="165">
        <v>41.28</v>
      </c>
      <c r="M58" s="165">
        <v>13.42</v>
      </c>
      <c r="N58" s="165">
        <v>704</v>
      </c>
      <c r="O58" s="165">
        <v>0</v>
      </c>
      <c r="P58" s="165">
        <v>0.82</v>
      </c>
      <c r="Q58" s="165">
        <v>5.09</v>
      </c>
      <c r="R58" s="13"/>
      <c r="S58" s="13"/>
      <c r="T58" s="213"/>
      <c r="U58" s="13"/>
    </row>
    <row r="59" customFormat="1" spans="1:21">
      <c r="A59" s="142" t="s">
        <v>1640</v>
      </c>
      <c r="B59" s="165">
        <v>4.28</v>
      </c>
      <c r="C59" s="165">
        <v>63.52</v>
      </c>
      <c r="D59" s="165">
        <v>37.97</v>
      </c>
      <c r="E59" s="165">
        <v>12.12</v>
      </c>
      <c r="F59" s="165">
        <v>34.04</v>
      </c>
      <c r="G59" s="165">
        <v>53.92</v>
      </c>
      <c r="H59" s="165">
        <v>25.59</v>
      </c>
      <c r="I59" s="165">
        <v>7.66</v>
      </c>
      <c r="J59" s="165">
        <v>1.03</v>
      </c>
      <c r="K59" s="165">
        <v>275.9</v>
      </c>
      <c r="L59" s="165">
        <v>41.1</v>
      </c>
      <c r="M59" s="165">
        <v>13.22</v>
      </c>
      <c r="N59" s="165">
        <v>670.3</v>
      </c>
      <c r="O59" s="165">
        <v>0</v>
      </c>
      <c r="P59" s="165">
        <v>0.8</v>
      </c>
      <c r="Q59" s="165">
        <v>5.06</v>
      </c>
      <c r="R59" s="13"/>
      <c r="S59" s="13"/>
      <c r="T59" s="213"/>
      <c r="U59" s="13"/>
    </row>
    <row r="60" customFormat="1" spans="1:21">
      <c r="A60" s="142" t="s">
        <v>1641</v>
      </c>
      <c r="B60" s="165">
        <v>4.48</v>
      </c>
      <c r="C60" s="165">
        <v>60.96</v>
      </c>
      <c r="D60" s="165">
        <v>36.8</v>
      </c>
      <c r="E60" s="165">
        <v>11.42</v>
      </c>
      <c r="F60" s="165">
        <v>21.84</v>
      </c>
      <c r="G60" s="165">
        <v>57.01</v>
      </c>
      <c r="H60" s="165">
        <v>27.51</v>
      </c>
      <c r="I60" s="165">
        <v>7.6</v>
      </c>
      <c r="J60" s="165">
        <v>1.05</v>
      </c>
      <c r="K60" s="165">
        <v>249.31</v>
      </c>
      <c r="L60" s="165">
        <v>41.15</v>
      </c>
      <c r="M60" s="165">
        <v>11.77</v>
      </c>
      <c r="N60" s="165">
        <v>689</v>
      </c>
      <c r="O60" s="165">
        <v>0</v>
      </c>
      <c r="P60" s="165">
        <v>0.78</v>
      </c>
      <c r="Q60" s="165">
        <v>5.09</v>
      </c>
      <c r="R60" s="13"/>
      <c r="S60" s="13"/>
      <c r="T60" s="213"/>
      <c r="U60" s="13"/>
    </row>
    <row r="61" customFormat="1" spans="1:21">
      <c r="A61" s="142" t="s">
        <v>1642</v>
      </c>
      <c r="B61" s="165">
        <v>4.47</v>
      </c>
      <c r="C61" s="165">
        <v>61.68</v>
      </c>
      <c r="D61" s="165">
        <v>37.16</v>
      </c>
      <c r="E61" s="165">
        <v>8.8</v>
      </c>
      <c r="F61" s="165">
        <v>22.89</v>
      </c>
      <c r="G61" s="165">
        <v>57.01</v>
      </c>
      <c r="H61" s="165">
        <v>27.51</v>
      </c>
      <c r="I61" s="165">
        <v>7.36</v>
      </c>
      <c r="J61" s="165">
        <v>0.47</v>
      </c>
      <c r="K61" s="165">
        <v>221.99</v>
      </c>
      <c r="L61" s="165">
        <v>42.25</v>
      </c>
      <c r="M61" s="165">
        <v>10.8</v>
      </c>
      <c r="N61" s="165">
        <v>714.9</v>
      </c>
      <c r="O61" s="165">
        <v>0</v>
      </c>
      <c r="P61" s="165">
        <v>0.76</v>
      </c>
      <c r="Q61" s="165">
        <v>5.04</v>
      </c>
      <c r="R61" s="13"/>
      <c r="S61" s="13"/>
      <c r="T61" s="213"/>
      <c r="U61" s="13"/>
    </row>
    <row r="62" customFormat="1" spans="1:21">
      <c r="A62" s="142" t="s">
        <v>1643</v>
      </c>
      <c r="B62" s="165">
        <v>4.52</v>
      </c>
      <c r="C62" s="165">
        <v>57.65</v>
      </c>
      <c r="D62" s="165">
        <v>35.1</v>
      </c>
      <c r="E62" s="165">
        <v>9.54</v>
      </c>
      <c r="F62" s="165">
        <v>26.02</v>
      </c>
      <c r="G62" s="165">
        <v>57.01</v>
      </c>
      <c r="H62" s="165">
        <v>27.51</v>
      </c>
      <c r="I62" s="165">
        <v>7.28</v>
      </c>
      <c r="J62" s="165">
        <v>0.57</v>
      </c>
      <c r="K62" s="165">
        <v>247.61</v>
      </c>
      <c r="L62" s="165">
        <v>42.16</v>
      </c>
      <c r="M62" s="165">
        <v>10.11</v>
      </c>
      <c r="N62" s="165">
        <v>640.1</v>
      </c>
      <c r="O62" s="165">
        <v>0</v>
      </c>
      <c r="P62" s="165">
        <v>0.73</v>
      </c>
      <c r="Q62" s="165">
        <v>5.06</v>
      </c>
      <c r="R62" s="13"/>
      <c r="S62" s="13"/>
      <c r="T62" s="213"/>
      <c r="U62" s="13"/>
    </row>
    <row r="63" customFormat="1" spans="1:21">
      <c r="A63" s="142" t="s">
        <v>1644</v>
      </c>
      <c r="B63" s="165">
        <v>4.5</v>
      </c>
      <c r="C63" s="165">
        <v>59.88</v>
      </c>
      <c r="D63" s="165">
        <v>36.25</v>
      </c>
      <c r="E63" s="165">
        <v>9.41</v>
      </c>
      <c r="F63" s="165">
        <v>23.01</v>
      </c>
      <c r="G63" s="165">
        <v>55.59</v>
      </c>
      <c r="H63" s="165">
        <v>25.79</v>
      </c>
      <c r="I63" s="165">
        <v>7.02</v>
      </c>
      <c r="J63" s="165">
        <v>1.06</v>
      </c>
      <c r="K63" s="165">
        <v>267.62</v>
      </c>
      <c r="L63" s="165">
        <v>41.89</v>
      </c>
      <c r="M63" s="165">
        <v>10.53</v>
      </c>
      <c r="N63" s="165">
        <v>676.5</v>
      </c>
      <c r="O63" s="165">
        <v>0</v>
      </c>
      <c r="P63" s="165">
        <v>0.73</v>
      </c>
      <c r="Q63" s="165">
        <v>5.02</v>
      </c>
      <c r="R63" s="13"/>
      <c r="S63" s="13"/>
      <c r="T63" s="213"/>
      <c r="U63" s="13"/>
    </row>
    <row r="64" customFormat="1" spans="1:21">
      <c r="A64" s="142" t="s">
        <v>1645</v>
      </c>
      <c r="B64" s="165">
        <v>4.69</v>
      </c>
      <c r="C64" s="165">
        <v>63.57</v>
      </c>
      <c r="D64" s="165">
        <v>38.33</v>
      </c>
      <c r="E64" s="165">
        <v>8.49</v>
      </c>
      <c r="F64" s="165">
        <v>15.73</v>
      </c>
      <c r="G64" s="165">
        <v>52.09</v>
      </c>
      <c r="H64" s="165">
        <v>22.98</v>
      </c>
      <c r="I64" s="165">
        <v>6.89</v>
      </c>
      <c r="J64" s="165">
        <v>0.9</v>
      </c>
      <c r="K64" s="165">
        <v>232.11</v>
      </c>
      <c r="L64" s="165">
        <v>41.65</v>
      </c>
      <c r="M64" s="165">
        <v>10.21</v>
      </c>
      <c r="N64" s="165">
        <v>649.5</v>
      </c>
      <c r="O64" s="165">
        <v>0</v>
      </c>
      <c r="P64" s="165">
        <v>0.73</v>
      </c>
      <c r="Q64" s="165">
        <v>5.05</v>
      </c>
      <c r="R64" s="13"/>
      <c r="S64" s="13"/>
      <c r="T64" s="213"/>
      <c r="U64" s="13"/>
    </row>
    <row r="65" customFormat="1" spans="1:21">
      <c r="A65" s="142" t="s">
        <v>1646</v>
      </c>
      <c r="B65" s="165">
        <v>4.92</v>
      </c>
      <c r="C65" s="165">
        <v>59.87</v>
      </c>
      <c r="D65" s="165">
        <v>36.57</v>
      </c>
      <c r="E65" s="165">
        <v>9.25</v>
      </c>
      <c r="F65" s="165">
        <v>33.24</v>
      </c>
      <c r="G65" s="165">
        <v>52.09</v>
      </c>
      <c r="H65" s="165">
        <v>22.98</v>
      </c>
      <c r="I65" s="165">
        <v>7.01</v>
      </c>
      <c r="J65" s="165">
        <v>0.35</v>
      </c>
      <c r="K65" s="165">
        <v>314.67</v>
      </c>
      <c r="L65" s="165">
        <v>42.15</v>
      </c>
      <c r="M65" s="165">
        <v>9.95</v>
      </c>
      <c r="N65" s="165">
        <v>568.7</v>
      </c>
      <c r="O65" s="165">
        <v>0</v>
      </c>
      <c r="P65" s="165">
        <v>0.57</v>
      </c>
      <c r="Q65" s="165">
        <v>5.05</v>
      </c>
      <c r="R65" s="13"/>
      <c r="S65" s="13"/>
      <c r="T65" s="213"/>
      <c r="U65" s="13"/>
    </row>
    <row r="66" customFormat="1" spans="1:21">
      <c r="A66" s="142" t="s">
        <v>1647</v>
      </c>
      <c r="B66" s="165">
        <v>5.25</v>
      </c>
      <c r="C66" s="165">
        <v>62.57</v>
      </c>
      <c r="D66" s="165">
        <v>38.25</v>
      </c>
      <c r="E66" s="165">
        <v>8.23</v>
      </c>
      <c r="F66" s="165">
        <v>16.07</v>
      </c>
      <c r="G66" s="165">
        <v>52.09</v>
      </c>
      <c r="H66" s="165">
        <v>22.98</v>
      </c>
      <c r="I66" s="165">
        <v>6.88</v>
      </c>
      <c r="J66" s="165">
        <v>0.61</v>
      </c>
      <c r="K66" s="165">
        <v>246.69</v>
      </c>
      <c r="L66" s="165">
        <v>42.16</v>
      </c>
      <c r="M66" s="165">
        <v>10.89</v>
      </c>
      <c r="N66" s="165">
        <v>564.7</v>
      </c>
      <c r="O66" s="165">
        <v>0</v>
      </c>
      <c r="P66" s="165">
        <v>0.64</v>
      </c>
      <c r="Q66" s="165">
        <v>5.06</v>
      </c>
      <c r="R66" s="13"/>
      <c r="S66" s="13"/>
      <c r="T66" s="213"/>
      <c r="U66" s="13"/>
    </row>
    <row r="67" customFormat="1" spans="1:21">
      <c r="A67" s="142" t="s">
        <v>1648</v>
      </c>
      <c r="B67" s="165">
        <v>5.01</v>
      </c>
      <c r="C67" s="165">
        <v>66.58</v>
      </c>
      <c r="D67" s="165">
        <v>40.16</v>
      </c>
      <c r="E67" s="165">
        <v>8.05</v>
      </c>
      <c r="F67" s="165">
        <v>12.19</v>
      </c>
      <c r="G67" s="165">
        <v>49.64</v>
      </c>
      <c r="H67" s="165">
        <v>22.3</v>
      </c>
      <c r="I67" s="165">
        <v>6.47</v>
      </c>
      <c r="J67" s="165">
        <v>0.36</v>
      </c>
      <c r="K67" s="165">
        <v>231.63</v>
      </c>
      <c r="L67" s="165">
        <v>42.37</v>
      </c>
      <c r="M67" s="165">
        <v>10.39</v>
      </c>
      <c r="N67" s="165">
        <v>554.9</v>
      </c>
      <c r="O67" s="165">
        <v>0</v>
      </c>
      <c r="P67" s="165">
        <v>0.65</v>
      </c>
      <c r="Q67" s="165">
        <v>5.1</v>
      </c>
      <c r="R67" s="13"/>
      <c r="S67" s="13"/>
      <c r="T67" s="213"/>
      <c r="U67" s="13"/>
    </row>
    <row r="68" customFormat="1" spans="1:21">
      <c r="A68" s="142" t="s">
        <v>1649</v>
      </c>
      <c r="B68" s="165">
        <v>5</v>
      </c>
      <c r="C68" s="165">
        <v>67</v>
      </c>
      <c r="D68" s="165">
        <v>40.36</v>
      </c>
      <c r="E68" s="165">
        <v>8.07</v>
      </c>
      <c r="F68" s="165">
        <v>16.56</v>
      </c>
      <c r="G68" s="165">
        <v>43.63</v>
      </c>
      <c r="H68" s="165">
        <v>21.22</v>
      </c>
      <c r="I68" s="165">
        <v>6.59</v>
      </c>
      <c r="J68" s="165">
        <v>0.48</v>
      </c>
      <c r="K68" s="165">
        <v>17.37</v>
      </c>
      <c r="L68" s="165">
        <v>42.51</v>
      </c>
      <c r="M68" s="165">
        <v>10.15</v>
      </c>
      <c r="N68" s="165">
        <v>507.1</v>
      </c>
      <c r="O68" s="165">
        <v>0</v>
      </c>
      <c r="P68" s="165">
        <v>0.64</v>
      </c>
      <c r="Q68" s="165">
        <v>5.19</v>
      </c>
      <c r="R68" s="13"/>
      <c r="S68" s="13"/>
      <c r="T68" s="213"/>
      <c r="U68" s="13"/>
    </row>
    <row r="69" customFormat="1" spans="1:21">
      <c r="A69" s="142" t="s">
        <v>1650</v>
      </c>
      <c r="B69" s="165">
        <v>5.13</v>
      </c>
      <c r="C69" s="165">
        <v>68.51</v>
      </c>
      <c r="D69" s="165">
        <v>41.26</v>
      </c>
      <c r="E69" s="165">
        <v>7.04</v>
      </c>
      <c r="F69" s="165">
        <v>12.13</v>
      </c>
      <c r="G69" s="165">
        <v>43.63</v>
      </c>
      <c r="H69" s="165">
        <v>21.22</v>
      </c>
      <c r="I69" s="165">
        <v>6.73</v>
      </c>
      <c r="J69" s="165">
        <v>0.5</v>
      </c>
      <c r="K69" s="165">
        <v>318.11</v>
      </c>
      <c r="L69" s="165">
        <v>41.99</v>
      </c>
      <c r="M69" s="165">
        <v>10.71</v>
      </c>
      <c r="N69" s="165">
        <v>462.6</v>
      </c>
      <c r="O69" s="165">
        <v>0</v>
      </c>
      <c r="P69" s="165">
        <v>0.64</v>
      </c>
      <c r="Q69" s="165">
        <v>5.26</v>
      </c>
      <c r="R69" s="13"/>
      <c r="S69" s="13"/>
      <c r="T69" s="213"/>
      <c r="U69" s="13"/>
    </row>
    <row r="70" customFormat="1" spans="1:21">
      <c r="A70" s="142" t="s">
        <v>1651</v>
      </c>
      <c r="B70" s="165">
        <v>5.19</v>
      </c>
      <c r="C70" s="165">
        <v>68.57</v>
      </c>
      <c r="D70" s="165">
        <v>41.34</v>
      </c>
      <c r="E70" s="165">
        <v>7.33</v>
      </c>
      <c r="F70" s="165">
        <v>13.25</v>
      </c>
      <c r="G70" s="165">
        <v>43.63</v>
      </c>
      <c r="H70" s="165">
        <v>21.22</v>
      </c>
      <c r="I70" s="165">
        <v>6.58</v>
      </c>
      <c r="J70" s="165">
        <v>0.32</v>
      </c>
      <c r="K70" s="165">
        <v>13.68</v>
      </c>
      <c r="L70" s="165">
        <v>42.18</v>
      </c>
      <c r="M70" s="165">
        <v>10.42</v>
      </c>
      <c r="N70" s="165">
        <v>437.9</v>
      </c>
      <c r="O70" s="165">
        <v>0</v>
      </c>
      <c r="P70" s="165">
        <v>0.63</v>
      </c>
      <c r="Q70" s="165">
        <v>5.32</v>
      </c>
      <c r="R70" s="13"/>
      <c r="S70" s="13"/>
      <c r="T70" s="213"/>
      <c r="U70" s="13"/>
    </row>
    <row r="71" customFormat="1" spans="1:21">
      <c r="A71" s="142" t="s">
        <v>1652</v>
      </c>
      <c r="B71" s="165">
        <v>5.09</v>
      </c>
      <c r="C71" s="165">
        <v>69.53</v>
      </c>
      <c r="D71" s="165">
        <v>41.77</v>
      </c>
      <c r="E71" s="165">
        <v>7.14</v>
      </c>
      <c r="F71" s="165">
        <v>11.4</v>
      </c>
      <c r="G71" s="165">
        <v>44.02</v>
      </c>
      <c r="H71" s="165">
        <v>20.82</v>
      </c>
      <c r="I71" s="165">
        <v>6.48</v>
      </c>
      <c r="J71" s="165">
        <v>1.01</v>
      </c>
      <c r="K71" s="165">
        <v>264.3</v>
      </c>
      <c r="L71" s="165">
        <v>41.47</v>
      </c>
      <c r="M71" s="165">
        <v>11.06</v>
      </c>
      <c r="N71" s="165">
        <v>372.5</v>
      </c>
      <c r="O71" s="165">
        <v>0</v>
      </c>
      <c r="P71" s="165">
        <v>0.63</v>
      </c>
      <c r="Q71" s="165">
        <v>5.3</v>
      </c>
      <c r="R71" s="13"/>
      <c r="S71" s="13"/>
      <c r="T71" s="213"/>
      <c r="U71" s="13"/>
    </row>
    <row r="72" customFormat="1" spans="1:21">
      <c r="A72" s="142" t="s">
        <v>1653</v>
      </c>
      <c r="B72" s="165">
        <v>4.9</v>
      </c>
      <c r="C72" s="165">
        <v>67.78</v>
      </c>
      <c r="D72" s="165">
        <v>40.69</v>
      </c>
      <c r="E72" s="165">
        <v>6.78</v>
      </c>
      <c r="F72" s="165">
        <v>18.02</v>
      </c>
      <c r="G72" s="165">
        <v>45.01</v>
      </c>
      <c r="H72" s="165">
        <v>20.16</v>
      </c>
      <c r="I72" s="165">
        <v>6.41</v>
      </c>
      <c r="J72" s="165">
        <v>0.7</v>
      </c>
      <c r="K72" s="165">
        <v>257.89</v>
      </c>
      <c r="L72" s="165">
        <v>41.22</v>
      </c>
      <c r="M72" s="165">
        <v>11.47</v>
      </c>
      <c r="N72" s="165">
        <v>328.4</v>
      </c>
      <c r="O72" s="165">
        <v>0</v>
      </c>
      <c r="P72" s="165">
        <v>0.6</v>
      </c>
      <c r="Q72" s="165">
        <v>5.29</v>
      </c>
      <c r="R72" s="13"/>
      <c r="S72" s="13"/>
      <c r="T72" s="213"/>
      <c r="U72" s="13"/>
    </row>
    <row r="73" customFormat="1" spans="1:21">
      <c r="A73" s="142" t="s">
        <v>1654</v>
      </c>
      <c r="B73" s="165">
        <v>4.75</v>
      </c>
      <c r="C73" s="165">
        <v>66.54</v>
      </c>
      <c r="D73" s="165">
        <v>39.92</v>
      </c>
      <c r="E73" s="165">
        <v>7.23</v>
      </c>
      <c r="F73" s="165">
        <v>15.58</v>
      </c>
      <c r="G73" s="165">
        <v>45.01</v>
      </c>
      <c r="H73" s="165">
        <v>20.16</v>
      </c>
      <c r="I73" s="165">
        <v>6.29</v>
      </c>
      <c r="J73" s="165">
        <v>0.48</v>
      </c>
      <c r="K73" s="165">
        <v>243.62</v>
      </c>
      <c r="L73" s="165">
        <v>41.14</v>
      </c>
      <c r="M73" s="165">
        <v>11.64</v>
      </c>
      <c r="N73" s="165">
        <v>225.1</v>
      </c>
      <c r="O73" s="165">
        <v>0</v>
      </c>
      <c r="P73" s="165">
        <v>0.59</v>
      </c>
      <c r="Q73" s="165">
        <v>5.26</v>
      </c>
      <c r="R73" s="13"/>
      <c r="S73" s="13"/>
      <c r="T73" s="213"/>
      <c r="U73" s="13"/>
    </row>
    <row r="74" customFormat="1" spans="1:21">
      <c r="A74" s="142" t="s">
        <v>1655</v>
      </c>
      <c r="B74" s="165">
        <v>4.64</v>
      </c>
      <c r="C74" s="165">
        <v>63.07</v>
      </c>
      <c r="D74" s="165">
        <v>38.03</v>
      </c>
      <c r="E74" s="165">
        <v>8.15</v>
      </c>
      <c r="F74" s="165">
        <v>34.03</v>
      </c>
      <c r="G74" s="165">
        <v>45.01</v>
      </c>
      <c r="H74" s="165">
        <v>20.16</v>
      </c>
      <c r="I74" s="165">
        <v>6.1</v>
      </c>
      <c r="J74" s="165">
        <v>0.78</v>
      </c>
      <c r="K74" s="165">
        <v>268.56</v>
      </c>
      <c r="L74" s="165">
        <v>40.29</v>
      </c>
      <c r="M74" s="165">
        <v>12.2</v>
      </c>
      <c r="N74" s="165">
        <v>114.1</v>
      </c>
      <c r="O74" s="165">
        <v>0</v>
      </c>
      <c r="P74" s="165">
        <v>0.59</v>
      </c>
      <c r="Q74" s="165">
        <v>5.22</v>
      </c>
      <c r="R74" s="13"/>
      <c r="S74" s="13"/>
      <c r="T74" s="213"/>
      <c r="U74" s="13"/>
    </row>
    <row r="75" customFormat="1" spans="1:21">
      <c r="A75" s="142" t="s">
        <v>1656</v>
      </c>
      <c r="B75" s="165">
        <v>4.36</v>
      </c>
      <c r="C75" s="165">
        <v>51.78</v>
      </c>
      <c r="D75" s="165">
        <v>31.9</v>
      </c>
      <c r="E75" s="165">
        <v>11.04</v>
      </c>
      <c r="F75" s="165">
        <v>58.62</v>
      </c>
      <c r="G75" s="165">
        <v>44.56</v>
      </c>
      <c r="H75" s="165">
        <v>19.85</v>
      </c>
      <c r="I75" s="165">
        <v>5.98</v>
      </c>
      <c r="J75" s="165">
        <v>0.7</v>
      </c>
      <c r="K75" s="165">
        <v>244.85</v>
      </c>
      <c r="L75" s="165">
        <v>39.46</v>
      </c>
      <c r="M75" s="165">
        <v>12.98</v>
      </c>
      <c r="N75" s="165">
        <v>84.7</v>
      </c>
      <c r="O75" s="165">
        <v>0</v>
      </c>
      <c r="P75" s="165">
        <v>0.53</v>
      </c>
      <c r="Q75" s="165">
        <v>5.2</v>
      </c>
      <c r="R75" s="13"/>
      <c r="S75" s="13"/>
      <c r="T75" s="213"/>
      <c r="U75" s="13"/>
    </row>
    <row r="76" customFormat="1" spans="1:21">
      <c r="A76" s="142" t="s">
        <v>1657</v>
      </c>
      <c r="B76" s="165">
        <v>4.41</v>
      </c>
      <c r="C76" s="165">
        <v>50.2</v>
      </c>
      <c r="D76" s="165">
        <v>31.11</v>
      </c>
      <c r="E76" s="165">
        <v>12.12</v>
      </c>
      <c r="F76" s="165">
        <v>66.06</v>
      </c>
      <c r="G76" s="165">
        <v>43.45</v>
      </c>
      <c r="H76" s="165">
        <v>19.34</v>
      </c>
      <c r="I76" s="165">
        <v>5.55</v>
      </c>
      <c r="J76" s="165">
        <v>0.54</v>
      </c>
      <c r="K76" s="165">
        <v>240.24</v>
      </c>
      <c r="L76" s="165">
        <v>39.16</v>
      </c>
      <c r="M76" s="165">
        <v>13.37</v>
      </c>
      <c r="N76" s="165">
        <v>95.9</v>
      </c>
      <c r="O76" s="165">
        <v>0</v>
      </c>
      <c r="P76" s="165">
        <v>0.49</v>
      </c>
      <c r="Q76" s="165">
        <v>4.99</v>
      </c>
      <c r="R76" s="13"/>
      <c r="S76" s="13"/>
      <c r="T76" s="213"/>
      <c r="U76" s="13"/>
    </row>
    <row r="77" customFormat="1" spans="1:21">
      <c r="A77" s="142" t="s">
        <v>1658</v>
      </c>
      <c r="B77" s="165">
        <v>4.25</v>
      </c>
      <c r="C77" s="165">
        <v>47.11</v>
      </c>
      <c r="D77" s="165">
        <v>29.38</v>
      </c>
      <c r="E77" s="165">
        <v>12.93</v>
      </c>
      <c r="F77" s="165">
        <v>76.33</v>
      </c>
      <c r="G77" s="165">
        <v>43.45</v>
      </c>
      <c r="H77" s="165">
        <v>19.34</v>
      </c>
      <c r="I77" s="165">
        <v>4.95</v>
      </c>
      <c r="J77" s="165">
        <v>0.34</v>
      </c>
      <c r="K77" s="165">
        <v>228.84</v>
      </c>
      <c r="L77" s="165">
        <v>39.28</v>
      </c>
      <c r="M77" s="165">
        <v>14.02</v>
      </c>
      <c r="N77" s="165">
        <v>102.9</v>
      </c>
      <c r="O77" s="165">
        <v>0</v>
      </c>
      <c r="P77" s="165">
        <v>0.48</v>
      </c>
      <c r="Q77" s="165">
        <v>4.81</v>
      </c>
      <c r="R77" s="13"/>
      <c r="S77" s="13"/>
      <c r="T77" s="213"/>
      <c r="U77" s="13"/>
    </row>
    <row r="78" customFormat="1" spans="1:21">
      <c r="A78" s="142" t="s">
        <v>1659</v>
      </c>
      <c r="B78" s="165">
        <v>4.21</v>
      </c>
      <c r="C78" s="165">
        <v>42.18</v>
      </c>
      <c r="D78" s="165">
        <v>26.76</v>
      </c>
      <c r="E78" s="165">
        <v>13.79</v>
      </c>
      <c r="F78" s="165">
        <v>77.88</v>
      </c>
      <c r="G78" s="165">
        <v>43.45</v>
      </c>
      <c r="H78" s="165">
        <v>19.34</v>
      </c>
      <c r="I78" s="165">
        <v>4.62</v>
      </c>
      <c r="J78" s="165">
        <v>0.17</v>
      </c>
      <c r="K78" s="165">
        <v>162.4</v>
      </c>
      <c r="L78" s="165">
        <v>39.08</v>
      </c>
      <c r="M78" s="165">
        <v>16.45</v>
      </c>
      <c r="N78" s="165">
        <v>57.3</v>
      </c>
      <c r="O78" s="165">
        <v>0</v>
      </c>
      <c r="P78" s="165">
        <v>0.47</v>
      </c>
      <c r="Q78" s="165">
        <v>4.74</v>
      </c>
      <c r="R78" s="13"/>
      <c r="S78" s="13"/>
      <c r="T78" s="213"/>
      <c r="U78" s="13"/>
    </row>
    <row r="79" customFormat="1" spans="1:21">
      <c r="A79" s="142" t="s">
        <v>1660</v>
      </c>
      <c r="B79" s="165">
        <v>4.1</v>
      </c>
      <c r="C79" s="165">
        <v>39.8</v>
      </c>
      <c r="D79" s="165">
        <v>25.44</v>
      </c>
      <c r="E79" s="165">
        <v>17.21</v>
      </c>
      <c r="F79" s="165">
        <v>80.85</v>
      </c>
      <c r="G79" s="165">
        <v>42.92</v>
      </c>
      <c r="H79" s="165">
        <v>18.97</v>
      </c>
      <c r="I79" s="165">
        <v>4.34</v>
      </c>
      <c r="J79" s="165">
        <v>0.16</v>
      </c>
      <c r="K79" s="165">
        <v>206.48</v>
      </c>
      <c r="L79" s="165">
        <v>38.05</v>
      </c>
      <c r="M79" s="165">
        <v>18.11</v>
      </c>
      <c r="N79" s="165">
        <v>23</v>
      </c>
      <c r="O79" s="165">
        <v>0</v>
      </c>
      <c r="P79" s="165">
        <v>0.49</v>
      </c>
      <c r="Q79" s="165">
        <v>4.63</v>
      </c>
      <c r="R79" s="13"/>
      <c r="S79" s="13"/>
      <c r="T79" s="213"/>
      <c r="U79" s="13"/>
    </row>
    <row r="80" customFormat="1" spans="1:21">
      <c r="A80" s="142" t="s">
        <v>1661</v>
      </c>
      <c r="B80" s="165">
        <v>4.18</v>
      </c>
      <c r="C80" s="165">
        <v>44.57</v>
      </c>
      <c r="D80" s="165">
        <v>27.98</v>
      </c>
      <c r="E80" s="165">
        <v>17.32</v>
      </c>
      <c r="F80" s="165">
        <v>62.65</v>
      </c>
      <c r="G80" s="165">
        <v>41.6</v>
      </c>
      <c r="H80" s="165">
        <v>18.38</v>
      </c>
      <c r="I80" s="165">
        <v>4.17</v>
      </c>
      <c r="J80" s="165">
        <v>0.24</v>
      </c>
      <c r="K80" s="165">
        <v>240.54</v>
      </c>
      <c r="L80" s="165">
        <v>37.14</v>
      </c>
      <c r="M80" s="165">
        <v>18.89</v>
      </c>
      <c r="N80" s="165">
        <v>5.9</v>
      </c>
      <c r="O80" s="165">
        <v>0</v>
      </c>
      <c r="P80" s="165">
        <v>0.53</v>
      </c>
      <c r="Q80" s="165">
        <v>4.54</v>
      </c>
      <c r="R80" s="13"/>
      <c r="S80" s="13"/>
      <c r="T80" s="213"/>
      <c r="U80" s="13"/>
    </row>
    <row r="81" customFormat="1" spans="1:21">
      <c r="A81" s="142" t="s">
        <v>1662</v>
      </c>
      <c r="B81" s="165">
        <v>4.27</v>
      </c>
      <c r="C81" s="165">
        <v>43.17</v>
      </c>
      <c r="D81" s="165">
        <v>27.33</v>
      </c>
      <c r="E81" s="165">
        <v>13.51</v>
      </c>
      <c r="F81" s="165">
        <v>63.36</v>
      </c>
      <c r="G81" s="165">
        <v>41.6</v>
      </c>
      <c r="H81" s="165">
        <v>18.38</v>
      </c>
      <c r="I81" s="165">
        <v>4.53</v>
      </c>
      <c r="J81" s="165">
        <v>0.18</v>
      </c>
      <c r="K81" s="165">
        <v>250.1</v>
      </c>
      <c r="L81" s="165">
        <v>36.31</v>
      </c>
      <c r="M81" s="165">
        <v>19.56</v>
      </c>
      <c r="N81" s="165">
        <v>0</v>
      </c>
      <c r="O81" s="165">
        <v>0</v>
      </c>
      <c r="P81" s="165">
        <v>0.56</v>
      </c>
      <c r="Q81" s="165">
        <v>4.55</v>
      </c>
      <c r="R81" s="13"/>
      <c r="S81" s="13"/>
      <c r="T81" s="213"/>
      <c r="U81" s="13"/>
    </row>
    <row r="82" customFormat="1" spans="1:21">
      <c r="A82" s="142" t="s">
        <v>1663</v>
      </c>
      <c r="B82" s="165">
        <v>4.39</v>
      </c>
      <c r="C82" s="165">
        <v>41.49</v>
      </c>
      <c r="D82" s="165">
        <v>26.54</v>
      </c>
      <c r="E82" s="165">
        <v>15.83</v>
      </c>
      <c r="F82" s="165">
        <v>58.93</v>
      </c>
      <c r="G82" s="165">
        <v>41.6</v>
      </c>
      <c r="H82" s="165">
        <v>18.38</v>
      </c>
      <c r="I82" s="165">
        <v>5.2</v>
      </c>
      <c r="J82" s="165">
        <v>0.15</v>
      </c>
      <c r="K82" s="165">
        <v>155.82</v>
      </c>
      <c r="L82" s="165">
        <v>35.71</v>
      </c>
      <c r="M82" s="165">
        <v>21.06</v>
      </c>
      <c r="N82" s="165">
        <v>0</v>
      </c>
      <c r="O82" s="165">
        <v>0</v>
      </c>
      <c r="P82" s="165">
        <v>0.58</v>
      </c>
      <c r="Q82" s="165">
        <v>4.56</v>
      </c>
      <c r="R82" s="13"/>
      <c r="S82" s="13"/>
      <c r="T82" s="213"/>
      <c r="U82" s="13"/>
    </row>
    <row r="83" customFormat="1" spans="1:21">
      <c r="A83" s="142" t="s">
        <v>1664</v>
      </c>
      <c r="B83" s="165">
        <v>4.6</v>
      </c>
      <c r="C83" s="165">
        <v>42.61</v>
      </c>
      <c r="D83" s="165">
        <v>27.3</v>
      </c>
      <c r="E83" s="165">
        <v>15.37</v>
      </c>
      <c r="F83" s="165">
        <v>59.15</v>
      </c>
      <c r="G83" s="165">
        <v>41.5</v>
      </c>
      <c r="H83" s="165">
        <v>18.39</v>
      </c>
      <c r="I83" s="165">
        <v>5.46</v>
      </c>
      <c r="J83" s="165">
        <v>0.2</v>
      </c>
      <c r="K83" s="165">
        <v>153.96</v>
      </c>
      <c r="L83" s="165">
        <v>35.21</v>
      </c>
      <c r="M83" s="165">
        <v>22.23</v>
      </c>
      <c r="N83" s="165">
        <v>0</v>
      </c>
      <c r="O83" s="165">
        <v>0</v>
      </c>
      <c r="P83" s="165">
        <v>0.6</v>
      </c>
      <c r="Q83" s="165">
        <v>4.56</v>
      </c>
      <c r="R83" s="13"/>
      <c r="S83" s="13"/>
      <c r="T83" s="213"/>
      <c r="U83" s="13"/>
    </row>
    <row r="84" customFormat="1" spans="1:21">
      <c r="A84" s="142" t="s">
        <v>1665</v>
      </c>
      <c r="B84" s="165">
        <v>4.86</v>
      </c>
      <c r="C84" s="165">
        <v>46.9</v>
      </c>
      <c r="D84" s="165">
        <v>29.75</v>
      </c>
      <c r="E84" s="165">
        <v>14.06</v>
      </c>
      <c r="F84" s="165">
        <v>48.72</v>
      </c>
      <c r="G84" s="165">
        <v>41.26</v>
      </c>
      <c r="H84" s="165">
        <v>18.44</v>
      </c>
      <c r="I84" s="165">
        <v>5.46</v>
      </c>
      <c r="J84" s="165">
        <v>0.19</v>
      </c>
      <c r="K84" s="165">
        <v>152.27</v>
      </c>
      <c r="L84" s="165">
        <v>34.71</v>
      </c>
      <c r="M84" s="165">
        <v>22.82</v>
      </c>
      <c r="N84" s="165">
        <v>0</v>
      </c>
      <c r="O84" s="165">
        <v>0</v>
      </c>
      <c r="P84" s="165">
        <v>0.6</v>
      </c>
      <c r="Q84" s="165">
        <v>4.56</v>
      </c>
      <c r="R84" s="13"/>
      <c r="S84" s="13"/>
      <c r="T84" s="213"/>
      <c r="U84" s="13"/>
    </row>
    <row r="85" customFormat="1" spans="1:21">
      <c r="A85" s="142" t="s">
        <v>1666</v>
      </c>
      <c r="B85" s="165">
        <v>4.67</v>
      </c>
      <c r="C85" s="165">
        <v>42.7</v>
      </c>
      <c r="D85" s="165">
        <v>27.41</v>
      </c>
      <c r="E85" s="165">
        <v>12.96</v>
      </c>
      <c r="F85" s="165">
        <v>43.76</v>
      </c>
      <c r="G85" s="165">
        <v>41.26</v>
      </c>
      <c r="H85" s="165">
        <v>18.44</v>
      </c>
      <c r="I85" s="165">
        <v>5.47</v>
      </c>
      <c r="J85" s="165">
        <v>0.18</v>
      </c>
      <c r="K85" s="165">
        <v>151.91</v>
      </c>
      <c r="L85" s="165">
        <v>34.37</v>
      </c>
      <c r="M85" s="165">
        <v>23.91</v>
      </c>
      <c r="N85" s="165">
        <v>0</v>
      </c>
      <c r="O85" s="165">
        <v>0</v>
      </c>
      <c r="P85" s="165">
        <v>0.64</v>
      </c>
      <c r="Q85" s="165">
        <v>4.57</v>
      </c>
      <c r="R85" s="13"/>
      <c r="S85" s="13"/>
      <c r="T85" s="213"/>
      <c r="U85" s="13"/>
    </row>
    <row r="86" customFormat="1" spans="1:21">
      <c r="A86" s="142" t="s">
        <v>1667</v>
      </c>
      <c r="B86" s="165">
        <v>5.31</v>
      </c>
      <c r="C86" s="165">
        <v>49.46</v>
      </c>
      <c r="D86" s="165">
        <v>31.45</v>
      </c>
      <c r="E86" s="165">
        <v>12.28</v>
      </c>
      <c r="F86" s="165">
        <v>37.13</v>
      </c>
      <c r="G86" s="165">
        <v>41.26</v>
      </c>
      <c r="H86" s="165">
        <v>18.44</v>
      </c>
      <c r="I86" s="165">
        <v>5.6</v>
      </c>
      <c r="J86" s="165">
        <v>0.21</v>
      </c>
      <c r="K86" s="165">
        <v>156.49</v>
      </c>
      <c r="L86" s="165">
        <v>34</v>
      </c>
      <c r="M86" s="165">
        <v>25.1</v>
      </c>
      <c r="N86" s="165">
        <v>0</v>
      </c>
      <c r="O86" s="165">
        <v>0</v>
      </c>
      <c r="P86" s="165">
        <v>0.67</v>
      </c>
      <c r="Q86" s="165">
        <v>4.57</v>
      </c>
      <c r="R86" s="13"/>
      <c r="S86" s="13"/>
      <c r="T86" s="213"/>
      <c r="U86" s="13"/>
    </row>
    <row r="87" customFormat="1" spans="1:21">
      <c r="A87" s="142" t="s">
        <v>1668</v>
      </c>
      <c r="B87" s="165">
        <v>5.19</v>
      </c>
      <c r="C87" s="165">
        <v>46.17</v>
      </c>
      <c r="D87" s="165">
        <v>29.64</v>
      </c>
      <c r="E87" s="165">
        <v>12.72</v>
      </c>
      <c r="F87" s="165">
        <v>34.97</v>
      </c>
      <c r="G87" s="165">
        <v>42.73</v>
      </c>
      <c r="H87" s="165">
        <v>17.74</v>
      </c>
      <c r="I87" s="165">
        <v>6.12</v>
      </c>
      <c r="J87" s="165">
        <v>0.14</v>
      </c>
      <c r="K87" s="165">
        <v>173.18</v>
      </c>
      <c r="L87" s="165">
        <v>33.38</v>
      </c>
      <c r="M87" s="165">
        <v>27.1</v>
      </c>
      <c r="N87" s="165">
        <v>0</v>
      </c>
      <c r="O87" s="165">
        <v>0</v>
      </c>
      <c r="P87" s="165">
        <v>0.69</v>
      </c>
      <c r="Q87" s="165">
        <v>4.61</v>
      </c>
      <c r="R87" s="13"/>
      <c r="S87" s="13"/>
      <c r="T87" s="213"/>
      <c r="U87" s="13"/>
    </row>
    <row r="88" customFormat="1" spans="1:21">
      <c r="A88" s="142" t="s">
        <v>1669</v>
      </c>
      <c r="B88" s="165">
        <v>5.73</v>
      </c>
      <c r="C88" s="165">
        <v>49.28</v>
      </c>
      <c r="D88" s="165">
        <v>31.69</v>
      </c>
      <c r="E88" s="165">
        <v>11.44</v>
      </c>
      <c r="F88" s="165">
        <v>29.71</v>
      </c>
      <c r="G88" s="165">
        <v>46.36</v>
      </c>
      <c r="H88" s="165">
        <v>16.65</v>
      </c>
      <c r="I88" s="165">
        <v>6.67</v>
      </c>
      <c r="J88" s="165">
        <v>0.1</v>
      </c>
      <c r="K88" s="165">
        <v>150.86</v>
      </c>
      <c r="L88" s="165">
        <v>32.98</v>
      </c>
      <c r="M88" s="165">
        <v>27.46</v>
      </c>
      <c r="N88" s="165">
        <v>0</v>
      </c>
      <c r="O88" s="165">
        <v>0</v>
      </c>
      <c r="P88" s="165">
        <v>0.7</v>
      </c>
      <c r="Q88" s="165">
        <v>4.61</v>
      </c>
      <c r="R88" s="13"/>
      <c r="S88" s="13"/>
      <c r="T88" s="213"/>
      <c r="U88" s="13"/>
    </row>
    <row r="89" customFormat="1" spans="1:21">
      <c r="A89" s="142" t="s">
        <v>1670</v>
      </c>
      <c r="B89" s="165">
        <v>6.13</v>
      </c>
      <c r="C89" s="165">
        <v>51.5</v>
      </c>
      <c r="D89" s="165">
        <v>33.18</v>
      </c>
      <c r="E89" s="165">
        <v>10.9</v>
      </c>
      <c r="F89" s="165">
        <v>26.93</v>
      </c>
      <c r="G89" s="165">
        <v>46.36</v>
      </c>
      <c r="H89" s="165">
        <v>16.65</v>
      </c>
      <c r="I89" s="165">
        <v>6.62</v>
      </c>
      <c r="J89" s="165">
        <v>0.16</v>
      </c>
      <c r="K89" s="165">
        <v>168.46</v>
      </c>
      <c r="L89" s="165">
        <v>32.75</v>
      </c>
      <c r="M89" s="165">
        <v>28.9</v>
      </c>
      <c r="N89" s="165">
        <v>0</v>
      </c>
      <c r="O89" s="165">
        <v>0</v>
      </c>
      <c r="P89" s="165">
        <v>0.69</v>
      </c>
      <c r="Q89" s="165">
        <v>4.69</v>
      </c>
      <c r="R89" s="13"/>
      <c r="S89" s="13"/>
      <c r="T89" s="213"/>
      <c r="U89" s="13"/>
    </row>
    <row r="90" customFormat="1" spans="1:21">
      <c r="A90" s="142" t="s">
        <v>1671</v>
      </c>
      <c r="B90" s="165">
        <v>6.1</v>
      </c>
      <c r="C90" s="165">
        <v>48.17</v>
      </c>
      <c r="D90" s="165">
        <v>31.41</v>
      </c>
      <c r="E90" s="165">
        <v>10.52</v>
      </c>
      <c r="F90" s="165">
        <v>23.73</v>
      </c>
      <c r="G90" s="165">
        <v>46.36</v>
      </c>
      <c r="H90" s="165">
        <v>16.65</v>
      </c>
      <c r="I90" s="165">
        <v>6.24</v>
      </c>
      <c r="J90" s="165">
        <v>0.25</v>
      </c>
      <c r="K90" s="165">
        <v>152.9</v>
      </c>
      <c r="L90" s="165">
        <v>32.41</v>
      </c>
      <c r="M90" s="165">
        <v>30.54</v>
      </c>
      <c r="N90" s="165">
        <v>0</v>
      </c>
      <c r="O90" s="165">
        <v>0</v>
      </c>
      <c r="P90" s="165">
        <v>0.73</v>
      </c>
      <c r="Q90" s="165">
        <v>4.69</v>
      </c>
      <c r="R90" s="13"/>
      <c r="S90" s="13"/>
      <c r="T90" s="213"/>
      <c r="U90" s="13"/>
    </row>
    <row r="91" customFormat="1" spans="1:21">
      <c r="A91" s="142" t="s">
        <v>1672</v>
      </c>
      <c r="B91" s="165">
        <v>6.85</v>
      </c>
      <c r="C91" s="165">
        <v>51.39</v>
      </c>
      <c r="D91" s="165">
        <v>33.69</v>
      </c>
      <c r="E91" s="165">
        <v>10.07</v>
      </c>
      <c r="F91" s="165">
        <v>20.97</v>
      </c>
      <c r="G91" s="165">
        <v>47.47</v>
      </c>
      <c r="H91" s="165">
        <v>18.16</v>
      </c>
      <c r="I91" s="165">
        <v>6.32</v>
      </c>
      <c r="J91" s="165">
        <v>0.23</v>
      </c>
      <c r="K91" s="165">
        <v>162.57</v>
      </c>
      <c r="L91" s="165">
        <v>31.94</v>
      </c>
      <c r="M91" s="165">
        <v>32.3</v>
      </c>
      <c r="N91" s="165">
        <v>0</v>
      </c>
      <c r="O91" s="165">
        <v>0</v>
      </c>
      <c r="P91" s="165">
        <v>0.71</v>
      </c>
      <c r="Q91" s="165">
        <v>4.74</v>
      </c>
      <c r="R91" s="13"/>
      <c r="S91" s="13"/>
      <c r="T91" s="213"/>
      <c r="U91" s="13"/>
    </row>
    <row r="92" customFormat="1" spans="1:21">
      <c r="A92" s="142" t="s">
        <v>1673</v>
      </c>
      <c r="B92" s="165">
        <v>7.26</v>
      </c>
      <c r="C92" s="165">
        <v>50.51</v>
      </c>
      <c r="D92" s="165">
        <v>33.57</v>
      </c>
      <c r="E92" s="165">
        <v>10.02</v>
      </c>
      <c r="F92" s="165">
        <v>22.94</v>
      </c>
      <c r="G92" s="165">
        <v>50.19</v>
      </c>
      <c r="H92" s="165">
        <v>20.55</v>
      </c>
      <c r="I92" s="165">
        <v>6.51</v>
      </c>
      <c r="J92" s="165">
        <v>0.19</v>
      </c>
      <c r="K92" s="165">
        <v>149.4</v>
      </c>
      <c r="L92" s="165">
        <v>31.62</v>
      </c>
      <c r="M92" s="165">
        <v>30.52</v>
      </c>
      <c r="N92" s="165">
        <v>0</v>
      </c>
      <c r="O92" s="165">
        <v>0</v>
      </c>
      <c r="P92" s="165">
        <v>0.71</v>
      </c>
      <c r="Q92" s="165">
        <v>4.81</v>
      </c>
      <c r="R92" s="13"/>
      <c r="S92" s="13"/>
      <c r="T92" s="213"/>
      <c r="U92" s="13"/>
    </row>
    <row r="93" customFormat="1" spans="1:21">
      <c r="A93" s="142" t="s">
        <v>1674</v>
      </c>
      <c r="B93" s="165">
        <v>7.19</v>
      </c>
      <c r="C93" s="165">
        <v>52.25</v>
      </c>
      <c r="D93" s="165">
        <v>34.41</v>
      </c>
      <c r="E93" s="165">
        <v>9.67</v>
      </c>
      <c r="F93" s="165">
        <v>19.84</v>
      </c>
      <c r="G93" s="165">
        <v>50.19</v>
      </c>
      <c r="H93" s="165">
        <v>20.55</v>
      </c>
      <c r="I93" s="165">
        <v>6.39</v>
      </c>
      <c r="J93" s="165">
        <v>0.2</v>
      </c>
      <c r="K93" s="165">
        <v>155.81</v>
      </c>
      <c r="L93" s="165">
        <v>31.38</v>
      </c>
      <c r="M93" s="165">
        <v>32.65</v>
      </c>
      <c r="N93" s="165">
        <v>0</v>
      </c>
      <c r="O93" s="165">
        <v>0</v>
      </c>
      <c r="P93" s="165">
        <v>0.73</v>
      </c>
      <c r="Q93" s="165">
        <v>4.85</v>
      </c>
      <c r="R93" s="13"/>
      <c r="S93" s="13"/>
      <c r="T93" s="213"/>
      <c r="U93" s="13"/>
    </row>
    <row r="94" customFormat="1" spans="1:21">
      <c r="A94" s="142" t="s">
        <v>1675</v>
      </c>
      <c r="B94" s="165">
        <v>8.32</v>
      </c>
      <c r="C94" s="165">
        <v>58.21</v>
      </c>
      <c r="D94" s="165">
        <v>38.44</v>
      </c>
      <c r="E94" s="165">
        <v>9.2</v>
      </c>
      <c r="F94" s="165">
        <v>12.76</v>
      </c>
      <c r="G94" s="165">
        <v>50.19</v>
      </c>
      <c r="H94" s="165">
        <v>20.55</v>
      </c>
      <c r="I94" s="165">
        <v>6.35</v>
      </c>
      <c r="J94" s="165">
        <v>0.22</v>
      </c>
      <c r="K94" s="165">
        <v>151.52</v>
      </c>
      <c r="L94" s="165">
        <v>31.11</v>
      </c>
      <c r="M94" s="165">
        <v>33.33</v>
      </c>
      <c r="N94" s="165">
        <v>0</v>
      </c>
      <c r="O94" s="165">
        <v>0</v>
      </c>
      <c r="P94" s="165">
        <v>0.73</v>
      </c>
      <c r="Q94" s="165">
        <v>4.88</v>
      </c>
      <c r="R94" s="13"/>
      <c r="S94" s="13"/>
      <c r="T94" s="213"/>
      <c r="U94" s="13"/>
    </row>
    <row r="95" customFormat="1" spans="1:21">
      <c r="A95" s="142" t="s">
        <v>1676</v>
      </c>
      <c r="B95" s="165">
        <v>8.21</v>
      </c>
      <c r="C95" s="165">
        <v>56.3</v>
      </c>
      <c r="D95" s="165">
        <v>37.35</v>
      </c>
      <c r="E95" s="165">
        <v>9.31</v>
      </c>
      <c r="F95" s="165">
        <v>14.45</v>
      </c>
      <c r="G95" s="165">
        <v>51.81</v>
      </c>
      <c r="H95" s="165">
        <v>19.9</v>
      </c>
      <c r="I95" s="165">
        <v>6.48</v>
      </c>
      <c r="J95" s="165">
        <v>0.21</v>
      </c>
      <c r="K95" s="165">
        <v>148.41</v>
      </c>
      <c r="L95" s="165">
        <v>30.99</v>
      </c>
      <c r="M95" s="165">
        <v>32.35</v>
      </c>
      <c r="N95" s="165">
        <v>0</v>
      </c>
      <c r="O95" s="165">
        <v>0</v>
      </c>
      <c r="P95" s="165">
        <v>0.75</v>
      </c>
      <c r="Q95" s="165">
        <v>4.95</v>
      </c>
      <c r="R95" s="13"/>
      <c r="S95" s="13"/>
      <c r="T95" s="213"/>
      <c r="U95" s="13"/>
    </row>
    <row r="96" customFormat="1" spans="1:26">
      <c r="A96" s="142" t="s">
        <v>1677</v>
      </c>
      <c r="B96" s="165">
        <v>8.86</v>
      </c>
      <c r="C96" s="165">
        <v>59.02</v>
      </c>
      <c r="D96" s="165">
        <v>39.29</v>
      </c>
      <c r="E96" s="165">
        <v>9.75</v>
      </c>
      <c r="F96" s="165">
        <v>11.76</v>
      </c>
      <c r="G96" s="165">
        <v>55.82</v>
      </c>
      <c r="H96" s="165">
        <v>18.88</v>
      </c>
      <c r="I96" s="165">
        <v>6.6</v>
      </c>
      <c r="J96" s="165">
        <v>0.25</v>
      </c>
      <c r="K96" s="165">
        <v>152.11</v>
      </c>
      <c r="L96" s="165">
        <v>30.82</v>
      </c>
      <c r="M96" s="165">
        <v>33.34</v>
      </c>
      <c r="N96" s="165">
        <v>0</v>
      </c>
      <c r="O96" s="165">
        <v>0</v>
      </c>
      <c r="P96" s="165">
        <v>0.75</v>
      </c>
      <c r="Q96" s="165">
        <v>5.06</v>
      </c>
      <c r="R96" s="13"/>
      <c r="S96" s="13"/>
      <c r="T96" s="213"/>
      <c r="U96" s="13"/>
      <c r="Z96" s="222"/>
    </row>
    <row r="97" customFormat="1" spans="1:21">
      <c r="A97" s="142" t="s">
        <v>1678</v>
      </c>
      <c r="B97" s="165">
        <v>8.59</v>
      </c>
      <c r="C97" s="165">
        <v>56.91</v>
      </c>
      <c r="D97" s="165">
        <v>37.97</v>
      </c>
      <c r="E97" s="165">
        <v>8.46</v>
      </c>
      <c r="F97" s="165">
        <v>11.84</v>
      </c>
      <c r="G97" s="165">
        <v>55.82</v>
      </c>
      <c r="H97" s="165">
        <v>18.88</v>
      </c>
      <c r="I97" s="165">
        <v>6.67</v>
      </c>
      <c r="J97" s="165">
        <v>0.24</v>
      </c>
      <c r="K97" s="165">
        <v>157.98</v>
      </c>
      <c r="L97" s="165">
        <v>30.6</v>
      </c>
      <c r="M97" s="165">
        <v>33.32</v>
      </c>
      <c r="N97" s="165">
        <v>0</v>
      </c>
      <c r="O97" s="165">
        <v>0</v>
      </c>
      <c r="P97" s="165">
        <v>0.76</v>
      </c>
      <c r="Q97" s="165">
        <v>5.1</v>
      </c>
      <c r="R97" s="13"/>
      <c r="S97" s="13"/>
      <c r="T97" s="213"/>
      <c r="U97" s="13"/>
    </row>
    <row r="98" customFormat="1" spans="1:21">
      <c r="A98" s="142" t="s">
        <v>1679</v>
      </c>
      <c r="B98" s="165">
        <v>8.97</v>
      </c>
      <c r="C98" s="165">
        <v>59.37</v>
      </c>
      <c r="D98" s="165">
        <v>39.56</v>
      </c>
      <c r="E98" s="165">
        <v>8.23</v>
      </c>
      <c r="F98" s="165">
        <v>9.2</v>
      </c>
      <c r="G98" s="165">
        <v>55.82</v>
      </c>
      <c r="H98" s="165">
        <v>18.88</v>
      </c>
      <c r="I98" s="165">
        <v>6.65</v>
      </c>
      <c r="J98" s="165">
        <v>0.22</v>
      </c>
      <c r="K98" s="165">
        <v>153.05</v>
      </c>
      <c r="L98" s="165">
        <v>30.21</v>
      </c>
      <c r="M98" s="165">
        <v>33.57</v>
      </c>
      <c r="N98" s="165">
        <v>0</v>
      </c>
      <c r="O98" s="165">
        <v>0</v>
      </c>
      <c r="P98" s="165">
        <v>0.76</v>
      </c>
      <c r="Q98" s="165">
        <v>5.1</v>
      </c>
      <c r="R98" s="13"/>
      <c r="S98" s="13"/>
      <c r="T98" s="213"/>
      <c r="U98" s="13"/>
    </row>
    <row r="99" customFormat="1" spans="1:21">
      <c r="A99" s="142" t="s">
        <v>1680</v>
      </c>
      <c r="B99" s="165">
        <v>9.23</v>
      </c>
      <c r="C99" s="165">
        <v>59.43</v>
      </c>
      <c r="D99" s="165">
        <v>39.81</v>
      </c>
      <c r="E99" s="165">
        <v>8.58</v>
      </c>
      <c r="F99" s="165">
        <v>9.26</v>
      </c>
      <c r="G99" s="165">
        <v>55.15</v>
      </c>
      <c r="H99" s="165">
        <v>19.74</v>
      </c>
      <c r="I99" s="165">
        <v>6.68</v>
      </c>
      <c r="J99" s="165">
        <v>0.23</v>
      </c>
      <c r="K99" s="165">
        <v>187.83</v>
      </c>
      <c r="L99" s="165">
        <v>30.01</v>
      </c>
      <c r="M99" s="165">
        <v>35.06</v>
      </c>
      <c r="N99" s="165">
        <v>0</v>
      </c>
      <c r="O99" s="165">
        <v>0</v>
      </c>
      <c r="P99" s="165">
        <v>0.77</v>
      </c>
      <c r="Q99" s="165">
        <v>5.15</v>
      </c>
      <c r="R99" s="13"/>
      <c r="S99" s="13"/>
      <c r="T99" s="213"/>
      <c r="U99" s="13"/>
    </row>
    <row r="100" customFormat="1" spans="1:33">
      <c r="A100" s="142" t="s">
        <v>1681</v>
      </c>
      <c r="B100" s="165">
        <v>9.94</v>
      </c>
      <c r="C100" s="165">
        <v>62.95</v>
      </c>
      <c r="D100" s="165">
        <v>42.21</v>
      </c>
      <c r="E100" s="165">
        <v>7.63</v>
      </c>
      <c r="F100" s="165">
        <v>7.08</v>
      </c>
      <c r="G100" s="165">
        <v>53.49</v>
      </c>
      <c r="H100" s="165">
        <v>21.09</v>
      </c>
      <c r="I100" s="165">
        <v>6.74</v>
      </c>
      <c r="J100" s="165">
        <v>0.24</v>
      </c>
      <c r="K100" s="165">
        <v>187.42</v>
      </c>
      <c r="L100" s="165">
        <v>29.28</v>
      </c>
      <c r="M100" s="165">
        <v>36.93</v>
      </c>
      <c r="N100" s="165">
        <v>0</v>
      </c>
      <c r="O100" s="165">
        <v>0</v>
      </c>
      <c r="P100" s="165">
        <v>0.78</v>
      </c>
      <c r="Q100" s="165">
        <v>5.18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1682</v>
      </c>
      <c r="B101" s="165">
        <v>10.26</v>
      </c>
      <c r="C101" s="165">
        <v>61.4</v>
      </c>
      <c r="D101" s="165">
        <v>41.66</v>
      </c>
      <c r="E101" s="165">
        <v>7.61</v>
      </c>
      <c r="F101" s="165">
        <v>7.39</v>
      </c>
      <c r="G101" s="165">
        <v>53.49</v>
      </c>
      <c r="H101" s="165">
        <v>21.09</v>
      </c>
      <c r="I101" s="165">
        <v>6.82</v>
      </c>
      <c r="J101" s="165">
        <v>0.21</v>
      </c>
      <c r="K101" s="165">
        <v>162.17</v>
      </c>
      <c r="L101" s="165">
        <v>29.31</v>
      </c>
      <c r="M101" s="165">
        <v>36.72</v>
      </c>
      <c r="N101" s="165">
        <v>0</v>
      </c>
      <c r="O101" s="165">
        <v>0</v>
      </c>
      <c r="P101" s="165">
        <v>0.78</v>
      </c>
      <c r="Q101" s="165">
        <v>5.24</v>
      </c>
      <c r="R101" s="13"/>
      <c r="S101" s="13"/>
      <c r="T101" s="213"/>
      <c r="U101" s="13"/>
    </row>
    <row r="102" customFormat="1" spans="1:21">
      <c r="A102" s="142" t="s">
        <v>1683</v>
      </c>
      <c r="B102" s="165">
        <v>10.73</v>
      </c>
      <c r="C102" s="165">
        <v>63.44</v>
      </c>
      <c r="D102" s="165">
        <v>43.1</v>
      </c>
      <c r="E102" s="165">
        <v>7.59</v>
      </c>
      <c r="F102" s="165">
        <v>7.61</v>
      </c>
      <c r="G102" s="165">
        <v>53.49</v>
      </c>
      <c r="H102" s="165">
        <v>21.09</v>
      </c>
      <c r="I102" s="165">
        <v>6.84</v>
      </c>
      <c r="J102" s="165">
        <v>0.15</v>
      </c>
      <c r="K102" s="165">
        <v>169.24</v>
      </c>
      <c r="L102" s="165">
        <v>29.11</v>
      </c>
      <c r="M102" s="165">
        <v>35.75</v>
      </c>
      <c r="N102" s="165">
        <v>0</v>
      </c>
      <c r="O102" s="165">
        <v>0</v>
      </c>
      <c r="P102" s="165">
        <v>0.77</v>
      </c>
      <c r="Q102" s="165">
        <v>5.27</v>
      </c>
      <c r="R102" s="13"/>
      <c r="S102" s="13"/>
      <c r="T102" s="213"/>
      <c r="U102" s="13"/>
    </row>
    <row r="103" customFormat="1" spans="1:21">
      <c r="A103" s="142" t="s">
        <v>1684</v>
      </c>
      <c r="B103" s="165">
        <v>10.73</v>
      </c>
      <c r="C103" s="165">
        <v>63.05</v>
      </c>
      <c r="D103" s="165">
        <v>42.9</v>
      </c>
      <c r="E103" s="165">
        <v>8.11</v>
      </c>
      <c r="F103" s="165">
        <v>8.13</v>
      </c>
      <c r="G103" s="165">
        <v>53.23</v>
      </c>
      <c r="H103" s="165">
        <v>21.09</v>
      </c>
      <c r="I103" s="165">
        <v>6.85</v>
      </c>
      <c r="J103" s="165">
        <v>0.15</v>
      </c>
      <c r="K103" s="165">
        <v>180.35</v>
      </c>
      <c r="L103" s="165">
        <v>28.84</v>
      </c>
      <c r="M103" s="165">
        <v>37.27</v>
      </c>
      <c r="N103" s="165">
        <v>0</v>
      </c>
      <c r="O103" s="165">
        <v>0</v>
      </c>
      <c r="P103" s="165">
        <v>0.77</v>
      </c>
      <c r="Q103" s="165">
        <v>5.3</v>
      </c>
      <c r="R103" s="13"/>
      <c r="S103" s="13"/>
      <c r="T103" s="213"/>
      <c r="U103" s="13"/>
    </row>
    <row r="104" customFormat="1" spans="1:21">
      <c r="A104" s="142" t="s">
        <v>1685</v>
      </c>
      <c r="B104" s="165">
        <v>11.25</v>
      </c>
      <c r="C104" s="165">
        <v>63.6</v>
      </c>
      <c r="D104" s="165">
        <v>43.6</v>
      </c>
      <c r="E104" s="165">
        <v>7.14</v>
      </c>
      <c r="F104" s="165">
        <v>5.91</v>
      </c>
      <c r="G104" s="165">
        <v>52.64</v>
      </c>
      <c r="H104" s="165">
        <v>21.07</v>
      </c>
      <c r="I104" s="165">
        <v>6.89</v>
      </c>
      <c r="J104" s="165">
        <v>0.15</v>
      </c>
      <c r="K104" s="165">
        <v>148.85</v>
      </c>
      <c r="L104" s="165">
        <v>28.6</v>
      </c>
      <c r="M104" s="165">
        <v>40.27</v>
      </c>
      <c r="N104" s="165">
        <v>0</v>
      </c>
      <c r="O104" s="165">
        <v>0</v>
      </c>
      <c r="P104" s="165">
        <v>0.78</v>
      </c>
      <c r="Q104" s="165">
        <v>5.29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4.1</v>
      </c>
      <c r="C106" s="215">
        <f>MIN(C9:C104)</f>
        <v>39.8</v>
      </c>
      <c r="D106" s="215">
        <f t="shared" ref="D106:Q106" si="0">MIN(D9:D104)</f>
        <v>25.44</v>
      </c>
      <c r="E106" s="215">
        <f t="shared" si="0"/>
        <v>6.29</v>
      </c>
      <c r="F106" s="215">
        <f t="shared" si="0"/>
        <v>3.88</v>
      </c>
      <c r="G106" s="215">
        <f t="shared" si="0"/>
        <v>41.26</v>
      </c>
      <c r="H106" s="215">
        <f t="shared" si="0"/>
        <v>16.65</v>
      </c>
      <c r="I106" s="215">
        <f t="shared" si="0"/>
        <v>4.17</v>
      </c>
      <c r="J106" s="215">
        <f t="shared" si="0"/>
        <v>0.1</v>
      </c>
      <c r="K106" s="215">
        <f t="shared" si="0"/>
        <v>5.7</v>
      </c>
      <c r="L106" s="215">
        <f t="shared" si="0"/>
        <v>25.28</v>
      </c>
      <c r="M106" s="215">
        <f t="shared" si="0"/>
        <v>9.95</v>
      </c>
      <c r="N106" s="215">
        <f t="shared" si="0"/>
        <v>0</v>
      </c>
      <c r="O106" s="215">
        <f t="shared" si="0"/>
        <v>0</v>
      </c>
      <c r="P106" s="215">
        <f t="shared" si="0"/>
        <v>0.47</v>
      </c>
      <c r="Q106" s="215">
        <f t="shared" si="0"/>
        <v>4.54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25.94</v>
      </c>
      <c r="C107" s="216">
        <f t="shared" ref="C107:Q107" si="1">MAX(C9:C104)</f>
        <v>72.14</v>
      </c>
      <c r="D107" s="216">
        <f t="shared" si="1"/>
        <v>58.26</v>
      </c>
      <c r="E107" s="216">
        <f t="shared" si="1"/>
        <v>17.32</v>
      </c>
      <c r="F107" s="216">
        <f t="shared" si="1"/>
        <v>80.85</v>
      </c>
      <c r="G107" s="216">
        <f t="shared" si="1"/>
        <v>65.7</v>
      </c>
      <c r="H107" s="216">
        <f t="shared" si="1"/>
        <v>27.79</v>
      </c>
      <c r="I107" s="216">
        <f t="shared" si="1"/>
        <v>7.72</v>
      </c>
      <c r="J107" s="216">
        <f t="shared" si="1"/>
        <v>1.06</v>
      </c>
      <c r="K107" s="216">
        <f t="shared" si="1"/>
        <v>359.55</v>
      </c>
      <c r="L107" s="216">
        <f t="shared" si="1"/>
        <v>42.51</v>
      </c>
      <c r="M107" s="216">
        <f t="shared" si="1"/>
        <v>52.83</v>
      </c>
      <c r="N107" s="216">
        <f t="shared" si="1"/>
        <v>774.5</v>
      </c>
      <c r="O107" s="216">
        <f t="shared" si="1"/>
        <v>0</v>
      </c>
      <c r="P107" s="216">
        <f t="shared" si="1"/>
        <v>0.93</v>
      </c>
      <c r="Q107" s="216">
        <f t="shared" si="1"/>
        <v>6.02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10.0976041666667</v>
      </c>
      <c r="C108" s="215">
        <f t="shared" ref="C108:Q108" si="2">AVERAGE(C9:C104)</f>
        <v>61.9382291666666</v>
      </c>
      <c r="D108" s="215">
        <f t="shared" si="2"/>
        <v>41.8091666666667</v>
      </c>
      <c r="E108" s="215">
        <f t="shared" si="2"/>
        <v>9.6675</v>
      </c>
      <c r="F108" s="215">
        <f t="shared" si="2"/>
        <v>20.5933333333333</v>
      </c>
      <c r="G108" s="215">
        <f t="shared" si="2"/>
        <v>51.6059375</v>
      </c>
      <c r="H108" s="215">
        <f t="shared" si="2"/>
        <v>23.1023958333333</v>
      </c>
      <c r="I108" s="215">
        <f t="shared" si="2"/>
        <v>6.51052083333333</v>
      </c>
      <c r="J108" s="215">
        <f t="shared" si="2"/>
        <v>0.348333333333333</v>
      </c>
      <c r="K108" s="215">
        <f t="shared" si="2"/>
        <v>197.063333333333</v>
      </c>
      <c r="L108" s="215">
        <f t="shared" si="2"/>
        <v>33.2645833333333</v>
      </c>
      <c r="M108" s="215">
        <f t="shared" si="2"/>
        <v>30.265625</v>
      </c>
      <c r="N108" s="215">
        <f t="shared" si="2"/>
        <v>193.711458333333</v>
      </c>
      <c r="O108" s="215">
        <f t="shared" si="2"/>
        <v>0</v>
      </c>
      <c r="P108" s="215">
        <f t="shared" si="2"/>
        <v>0.766145833333333</v>
      </c>
      <c r="Q108" s="215">
        <f t="shared" si="2"/>
        <v>5.2990625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5.59070690282057</v>
      </c>
      <c r="C109" s="215">
        <f t="shared" ref="C109:Q109" si="3">STDEV(C9:C104)</f>
        <v>8.71798190007801</v>
      </c>
      <c r="D109" s="215">
        <f t="shared" si="3"/>
        <v>8.25977273380055</v>
      </c>
      <c r="E109" s="215">
        <f t="shared" si="3"/>
        <v>2.50923934794255</v>
      </c>
      <c r="F109" s="215">
        <f t="shared" si="3"/>
        <v>19.045363721868</v>
      </c>
      <c r="G109" s="215">
        <f t="shared" si="3"/>
        <v>6.36052341079023</v>
      </c>
      <c r="H109" s="215">
        <f t="shared" si="3"/>
        <v>3.27356259972194</v>
      </c>
      <c r="I109" s="215">
        <f t="shared" si="3"/>
        <v>0.693575586578886</v>
      </c>
      <c r="J109" s="215">
        <f t="shared" si="3"/>
        <v>0.241650755677068</v>
      </c>
      <c r="K109" s="215">
        <f t="shared" si="3"/>
        <v>62.2423158760504</v>
      </c>
      <c r="L109" s="215">
        <f t="shared" si="3"/>
        <v>6.01238159601836</v>
      </c>
      <c r="M109" s="215">
        <f t="shared" si="3"/>
        <v>14.8596628007715</v>
      </c>
      <c r="N109" s="215">
        <f t="shared" si="3"/>
        <v>269.857280357713</v>
      </c>
      <c r="O109" s="215">
        <f t="shared" si="3"/>
        <v>0</v>
      </c>
      <c r="P109" s="215">
        <f t="shared" si="3"/>
        <v>0.116838798455656</v>
      </c>
      <c r="Q109" s="215">
        <f t="shared" si="3"/>
        <v>0.431570151948245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20" activePane="bottomRight" state="frozen"/>
      <selection/>
      <selection pane="topRight"/>
      <selection pane="bottomLeft"/>
      <selection pane="bottomRight" activeCell="K41" sqref="K41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18/04/2023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1686</v>
      </c>
      <c r="B9" s="165">
        <v>11.9</v>
      </c>
      <c r="C9" s="165">
        <v>64.88</v>
      </c>
      <c r="D9" s="165">
        <v>44.79</v>
      </c>
      <c r="E9" s="165">
        <v>7.06</v>
      </c>
      <c r="F9" s="165">
        <v>5.54</v>
      </c>
      <c r="G9" s="165">
        <v>52.64</v>
      </c>
      <c r="H9" s="165">
        <v>21.07</v>
      </c>
      <c r="I9" s="165">
        <v>6.9</v>
      </c>
      <c r="J9" s="165">
        <v>0.25</v>
      </c>
      <c r="K9" s="165">
        <v>155.72</v>
      </c>
      <c r="L9" s="165">
        <v>28.71</v>
      </c>
      <c r="M9" s="165">
        <v>39.49</v>
      </c>
      <c r="N9" s="165">
        <v>0</v>
      </c>
      <c r="O9" s="165">
        <v>0</v>
      </c>
      <c r="P9" s="165">
        <v>0.79</v>
      </c>
      <c r="Q9" s="165">
        <v>5.31</v>
      </c>
      <c r="R9" s="13"/>
      <c r="S9" s="13"/>
      <c r="T9" s="213"/>
      <c r="U9" s="13"/>
    </row>
    <row r="10" customFormat="1" spans="1:21">
      <c r="A10" s="142" t="s">
        <v>1687</v>
      </c>
      <c r="B10" s="165">
        <v>12.4</v>
      </c>
      <c r="C10" s="165">
        <v>65.44</v>
      </c>
      <c r="D10" s="165">
        <v>45.49</v>
      </c>
      <c r="E10" s="165">
        <v>6.82</v>
      </c>
      <c r="F10" s="165">
        <v>4.61</v>
      </c>
      <c r="G10" s="165">
        <v>52.64</v>
      </c>
      <c r="H10" s="165">
        <v>21.07</v>
      </c>
      <c r="I10" s="165">
        <v>6.91</v>
      </c>
      <c r="J10" s="165">
        <v>0.25</v>
      </c>
      <c r="K10" s="165">
        <v>150.26</v>
      </c>
      <c r="L10" s="165">
        <v>28.72</v>
      </c>
      <c r="M10" s="165">
        <v>39.13</v>
      </c>
      <c r="N10" s="165">
        <v>0</v>
      </c>
      <c r="O10" s="165">
        <v>0</v>
      </c>
      <c r="P10" s="165">
        <v>0.79</v>
      </c>
      <c r="Q10" s="165">
        <v>5.38</v>
      </c>
      <c r="R10" s="13"/>
      <c r="S10" s="13"/>
      <c r="T10" s="213"/>
      <c r="U10" s="13"/>
    </row>
    <row r="11" customFormat="1" spans="1:21">
      <c r="A11" s="142" t="s">
        <v>1688</v>
      </c>
      <c r="B11" s="165">
        <v>12.67</v>
      </c>
      <c r="C11" s="165">
        <v>65.45</v>
      </c>
      <c r="D11" s="165">
        <v>45.71</v>
      </c>
      <c r="E11" s="165">
        <v>7.1</v>
      </c>
      <c r="F11" s="165">
        <v>4.55</v>
      </c>
      <c r="G11" s="165">
        <v>53.88</v>
      </c>
      <c r="H11" s="165">
        <v>21.18</v>
      </c>
      <c r="I11" s="165">
        <v>6.94</v>
      </c>
      <c r="J11" s="165">
        <v>0.23</v>
      </c>
      <c r="K11" s="165">
        <v>159.8</v>
      </c>
      <c r="L11" s="165">
        <v>28.31</v>
      </c>
      <c r="M11" s="165">
        <v>42.4</v>
      </c>
      <c r="N11" s="165">
        <v>0</v>
      </c>
      <c r="O11" s="165">
        <v>0</v>
      </c>
      <c r="P11" s="165">
        <v>0.8</v>
      </c>
      <c r="Q11" s="165">
        <v>5.41</v>
      </c>
      <c r="R11" s="13"/>
      <c r="S11" s="13"/>
      <c r="T11" s="213"/>
      <c r="U11" s="13"/>
    </row>
    <row r="12" customFormat="1" spans="1:21">
      <c r="A12" s="142" t="s">
        <v>1689</v>
      </c>
      <c r="B12" s="165">
        <v>13.05</v>
      </c>
      <c r="C12" s="165">
        <v>64.52</v>
      </c>
      <c r="D12" s="165">
        <v>45.52</v>
      </c>
      <c r="E12" s="165">
        <v>7</v>
      </c>
      <c r="F12" s="165">
        <v>4.62</v>
      </c>
      <c r="G12" s="165">
        <v>56.75</v>
      </c>
      <c r="H12" s="165">
        <v>21.58</v>
      </c>
      <c r="I12" s="165">
        <v>6.98</v>
      </c>
      <c r="J12" s="165">
        <v>0.27</v>
      </c>
      <c r="K12" s="165">
        <v>204.22</v>
      </c>
      <c r="L12" s="165">
        <v>27.84</v>
      </c>
      <c r="M12" s="165">
        <v>41.6</v>
      </c>
      <c r="N12" s="165">
        <v>0</v>
      </c>
      <c r="O12" s="165">
        <v>0</v>
      </c>
      <c r="P12" s="165">
        <v>0.8</v>
      </c>
      <c r="Q12" s="165">
        <v>5.45</v>
      </c>
      <c r="R12" s="13"/>
      <c r="S12" s="13"/>
      <c r="T12" s="213"/>
      <c r="U12" s="13"/>
    </row>
    <row r="13" customFormat="1" spans="1:21">
      <c r="A13" s="142" t="s">
        <v>1690</v>
      </c>
      <c r="B13" s="165">
        <v>13.82</v>
      </c>
      <c r="C13" s="165">
        <v>66.13</v>
      </c>
      <c r="D13" s="165">
        <v>46.98</v>
      </c>
      <c r="E13" s="165">
        <v>6.95</v>
      </c>
      <c r="F13" s="165">
        <v>4.43</v>
      </c>
      <c r="G13" s="165">
        <v>56.75</v>
      </c>
      <c r="H13" s="165">
        <v>21.58</v>
      </c>
      <c r="I13" s="165">
        <v>6.99</v>
      </c>
      <c r="J13" s="165">
        <v>0.15</v>
      </c>
      <c r="K13" s="165">
        <v>150.25</v>
      </c>
      <c r="L13" s="165">
        <v>27.79</v>
      </c>
      <c r="M13" s="165">
        <v>40.34</v>
      </c>
      <c r="N13" s="165">
        <v>0</v>
      </c>
      <c r="O13" s="165">
        <v>0</v>
      </c>
      <c r="P13" s="165">
        <v>0.8</v>
      </c>
      <c r="Q13" s="165">
        <v>5.49</v>
      </c>
      <c r="R13" s="13"/>
      <c r="S13" s="13"/>
      <c r="T13" s="213"/>
      <c r="U13" s="13"/>
    </row>
    <row r="14" customFormat="1" spans="1:21">
      <c r="A14" s="142" t="s">
        <v>1691</v>
      </c>
      <c r="B14" s="165">
        <v>14.57</v>
      </c>
      <c r="C14" s="165">
        <v>65.91</v>
      </c>
      <c r="D14" s="165">
        <v>47.47</v>
      </c>
      <c r="E14" s="165">
        <v>7.03</v>
      </c>
      <c r="F14" s="165">
        <v>4.34</v>
      </c>
      <c r="G14" s="165">
        <v>56.75</v>
      </c>
      <c r="H14" s="165">
        <v>21.58</v>
      </c>
      <c r="I14" s="165">
        <v>7.05</v>
      </c>
      <c r="J14" s="165">
        <v>0.23</v>
      </c>
      <c r="K14" s="165">
        <v>161.77</v>
      </c>
      <c r="L14" s="165">
        <v>28.1</v>
      </c>
      <c r="M14" s="165">
        <v>40.13</v>
      </c>
      <c r="N14" s="165">
        <v>0</v>
      </c>
      <c r="O14" s="165">
        <v>0</v>
      </c>
      <c r="P14" s="165">
        <v>0.8</v>
      </c>
      <c r="Q14" s="165">
        <v>5.54</v>
      </c>
      <c r="R14" s="13"/>
      <c r="S14" s="13"/>
      <c r="T14" s="213"/>
      <c r="U14" s="13"/>
    </row>
    <row r="15" customFormat="1" spans="1:21">
      <c r="A15" s="142" t="s">
        <v>1692</v>
      </c>
      <c r="B15" s="165">
        <v>14.53</v>
      </c>
      <c r="C15" s="165">
        <v>64.49</v>
      </c>
      <c r="D15" s="165">
        <v>46.7</v>
      </c>
      <c r="E15" s="165">
        <v>7.44</v>
      </c>
      <c r="F15" s="165">
        <v>4.87</v>
      </c>
      <c r="G15" s="165">
        <v>56.18</v>
      </c>
      <c r="H15" s="165">
        <v>19.89</v>
      </c>
      <c r="I15" s="165">
        <v>7.08</v>
      </c>
      <c r="J15" s="165">
        <v>0.2</v>
      </c>
      <c r="K15" s="165">
        <v>175.25</v>
      </c>
      <c r="L15" s="165">
        <v>27.79</v>
      </c>
      <c r="M15" s="165">
        <v>41.05</v>
      </c>
      <c r="N15" s="165">
        <v>0</v>
      </c>
      <c r="O15" s="165">
        <v>0</v>
      </c>
      <c r="P15" s="165">
        <v>0.8</v>
      </c>
      <c r="Q15" s="165">
        <v>5.57</v>
      </c>
      <c r="R15" s="13"/>
      <c r="S15" s="13"/>
      <c r="T15" s="213"/>
      <c r="U15" s="13"/>
    </row>
    <row r="16" customFormat="1" spans="1:21">
      <c r="A16" s="142" t="s">
        <v>1693</v>
      </c>
      <c r="B16" s="165">
        <v>15.4</v>
      </c>
      <c r="C16" s="165">
        <v>66.96</v>
      </c>
      <c r="D16" s="165">
        <v>48.68</v>
      </c>
      <c r="E16" s="165">
        <v>6.71</v>
      </c>
      <c r="F16" s="165">
        <v>4.4</v>
      </c>
      <c r="G16" s="165">
        <v>54.76</v>
      </c>
      <c r="H16" s="165">
        <v>17.11</v>
      </c>
      <c r="I16" s="165">
        <v>7.1</v>
      </c>
      <c r="J16" s="165">
        <v>0.2</v>
      </c>
      <c r="K16" s="165">
        <v>152.72</v>
      </c>
      <c r="L16" s="165">
        <v>27.32</v>
      </c>
      <c r="M16" s="165">
        <v>42.68</v>
      </c>
      <c r="N16" s="165">
        <v>0</v>
      </c>
      <c r="O16" s="165">
        <v>0</v>
      </c>
      <c r="P16" s="165">
        <v>0.81</v>
      </c>
      <c r="Q16" s="165">
        <v>5.59</v>
      </c>
      <c r="R16" s="13"/>
      <c r="S16" s="13"/>
      <c r="T16" s="213"/>
      <c r="U16" s="13"/>
    </row>
    <row r="17" customFormat="1" spans="1:21">
      <c r="A17" s="142" t="s">
        <v>1694</v>
      </c>
      <c r="B17" s="165">
        <v>15.87</v>
      </c>
      <c r="C17" s="165">
        <v>67.09</v>
      </c>
      <c r="D17" s="165">
        <v>49.13</v>
      </c>
      <c r="E17" s="165">
        <v>7.03</v>
      </c>
      <c r="F17" s="165">
        <v>4.21</v>
      </c>
      <c r="G17" s="165">
        <v>54.76</v>
      </c>
      <c r="H17" s="165">
        <v>17.11</v>
      </c>
      <c r="I17" s="165">
        <v>7.2</v>
      </c>
      <c r="J17" s="165">
        <v>0.19</v>
      </c>
      <c r="K17" s="165">
        <v>138.78</v>
      </c>
      <c r="L17" s="165">
        <v>27.37</v>
      </c>
      <c r="M17" s="165">
        <v>41.97</v>
      </c>
      <c r="N17" s="165">
        <v>0</v>
      </c>
      <c r="O17" s="165">
        <v>0</v>
      </c>
      <c r="P17" s="165">
        <v>0.81</v>
      </c>
      <c r="Q17" s="165">
        <v>5.6</v>
      </c>
      <c r="R17" s="13"/>
      <c r="S17" s="13"/>
      <c r="T17" s="213"/>
      <c r="U17" s="13"/>
    </row>
    <row r="18" customFormat="1" spans="1:21">
      <c r="A18" s="142" t="s">
        <v>1695</v>
      </c>
      <c r="B18" s="165">
        <v>15.57</v>
      </c>
      <c r="C18" s="165">
        <v>63.38</v>
      </c>
      <c r="D18" s="165">
        <v>46.95</v>
      </c>
      <c r="E18" s="165">
        <v>9.12</v>
      </c>
      <c r="F18" s="165">
        <v>4.97</v>
      </c>
      <c r="G18" s="165">
        <v>54.76</v>
      </c>
      <c r="H18" s="165">
        <v>17.11</v>
      </c>
      <c r="I18" s="165">
        <v>7.3</v>
      </c>
      <c r="J18" s="165">
        <v>0.17</v>
      </c>
      <c r="K18" s="165">
        <v>157.04</v>
      </c>
      <c r="L18" s="165">
        <v>27.13</v>
      </c>
      <c r="M18" s="165">
        <v>42.22</v>
      </c>
      <c r="N18" s="165">
        <v>0</v>
      </c>
      <c r="O18" s="165">
        <v>0</v>
      </c>
      <c r="P18" s="165">
        <v>0.82</v>
      </c>
      <c r="Q18" s="165">
        <v>5.6</v>
      </c>
      <c r="R18" s="13"/>
      <c r="S18" s="13"/>
      <c r="T18" s="213"/>
      <c r="U18" s="13"/>
    </row>
    <row r="19" customFormat="1" spans="1:21">
      <c r="A19" s="142" t="s">
        <v>1696</v>
      </c>
      <c r="B19" s="165">
        <v>16.39</v>
      </c>
      <c r="C19" s="165">
        <v>65.55</v>
      </c>
      <c r="D19" s="165">
        <v>48.74</v>
      </c>
      <c r="E19" s="165">
        <v>8.65</v>
      </c>
      <c r="F19" s="165">
        <v>4.92</v>
      </c>
      <c r="G19" s="165">
        <v>55.08</v>
      </c>
      <c r="H19" s="165">
        <v>17.78</v>
      </c>
      <c r="I19" s="165">
        <v>7.36</v>
      </c>
      <c r="J19" s="165">
        <v>0.15</v>
      </c>
      <c r="K19" s="165">
        <v>139.43</v>
      </c>
      <c r="L19" s="165">
        <v>26.87</v>
      </c>
      <c r="M19" s="165">
        <v>42.79</v>
      </c>
      <c r="N19" s="165">
        <v>0</v>
      </c>
      <c r="O19" s="165">
        <v>0</v>
      </c>
      <c r="P19" s="165">
        <v>0.81</v>
      </c>
      <c r="Q19" s="165">
        <v>5.59</v>
      </c>
      <c r="R19" s="13"/>
      <c r="S19" s="13"/>
      <c r="T19" s="213"/>
      <c r="U19" s="13"/>
    </row>
    <row r="20" customFormat="1" spans="1:21">
      <c r="A20" s="142" t="s">
        <v>1697</v>
      </c>
      <c r="B20" s="165">
        <v>16.75</v>
      </c>
      <c r="C20" s="165">
        <v>64.83</v>
      </c>
      <c r="D20" s="165">
        <v>48.66</v>
      </c>
      <c r="E20" s="165">
        <v>9.04</v>
      </c>
      <c r="F20" s="165">
        <v>4.95</v>
      </c>
      <c r="G20" s="165">
        <v>55.84</v>
      </c>
      <c r="H20" s="165">
        <v>18.88</v>
      </c>
      <c r="I20" s="165">
        <v>7.42</v>
      </c>
      <c r="J20" s="165">
        <v>0.21</v>
      </c>
      <c r="K20" s="165">
        <v>154.59</v>
      </c>
      <c r="L20" s="165">
        <v>26.71</v>
      </c>
      <c r="M20" s="165">
        <v>44.02</v>
      </c>
      <c r="N20" s="165">
        <v>0</v>
      </c>
      <c r="O20" s="165">
        <v>0</v>
      </c>
      <c r="P20" s="165">
        <v>0.8</v>
      </c>
      <c r="Q20" s="165">
        <v>5.57</v>
      </c>
      <c r="R20" s="13"/>
      <c r="S20" s="13"/>
      <c r="T20" s="213"/>
      <c r="U20" s="13"/>
    </row>
    <row r="21" customFormat="1" spans="1:21">
      <c r="A21" s="142" t="s">
        <v>1698</v>
      </c>
      <c r="B21" s="165">
        <v>17.08</v>
      </c>
      <c r="C21" s="165">
        <v>63.49</v>
      </c>
      <c r="D21" s="165">
        <v>48.21</v>
      </c>
      <c r="E21" s="165">
        <v>9.71</v>
      </c>
      <c r="F21" s="165">
        <v>4.73</v>
      </c>
      <c r="G21" s="165">
        <v>55.84</v>
      </c>
      <c r="H21" s="165">
        <v>18.88</v>
      </c>
      <c r="I21" s="165">
        <v>7.53</v>
      </c>
      <c r="J21" s="165">
        <v>0.18</v>
      </c>
      <c r="K21" s="165">
        <v>170.82</v>
      </c>
      <c r="L21" s="165">
        <v>26.26</v>
      </c>
      <c r="M21" s="165">
        <v>44.98</v>
      </c>
      <c r="N21" s="165">
        <v>0</v>
      </c>
      <c r="O21" s="165">
        <v>0</v>
      </c>
      <c r="P21" s="165">
        <v>0.8</v>
      </c>
      <c r="Q21" s="165">
        <v>5.56</v>
      </c>
      <c r="R21" s="13"/>
      <c r="S21" s="13"/>
      <c r="T21" s="213"/>
      <c r="U21" s="13"/>
    </row>
    <row r="22" customFormat="1" spans="1:21">
      <c r="A22" s="142" t="s">
        <v>1699</v>
      </c>
      <c r="B22" s="165">
        <v>18.19</v>
      </c>
      <c r="C22" s="165">
        <v>66.83</v>
      </c>
      <c r="D22" s="165">
        <v>50.85</v>
      </c>
      <c r="E22" s="165">
        <v>9.41</v>
      </c>
      <c r="F22" s="165">
        <v>4.01</v>
      </c>
      <c r="G22" s="165">
        <v>55.84</v>
      </c>
      <c r="H22" s="165">
        <v>18.88</v>
      </c>
      <c r="I22" s="165">
        <v>7.62</v>
      </c>
      <c r="J22" s="165">
        <v>0.23</v>
      </c>
      <c r="K22" s="165">
        <v>178.51</v>
      </c>
      <c r="L22" s="165">
        <v>25.83</v>
      </c>
      <c r="M22" s="165">
        <v>48.24</v>
      </c>
      <c r="N22" s="165">
        <v>0</v>
      </c>
      <c r="O22" s="165">
        <v>0</v>
      </c>
      <c r="P22" s="165">
        <v>0.81</v>
      </c>
      <c r="Q22" s="165">
        <v>5.6</v>
      </c>
      <c r="R22" s="13"/>
      <c r="S22" s="13"/>
      <c r="T22" s="213"/>
      <c r="U22" s="13"/>
    </row>
    <row r="23" customFormat="1" spans="1:21">
      <c r="A23" s="142" t="s">
        <v>1700</v>
      </c>
      <c r="B23" s="165">
        <v>18.48</v>
      </c>
      <c r="C23" s="165">
        <v>65.81</v>
      </c>
      <c r="D23" s="165">
        <v>50.56</v>
      </c>
      <c r="E23" s="165">
        <v>9.25</v>
      </c>
      <c r="F23" s="165">
        <v>4.06</v>
      </c>
      <c r="G23" s="165">
        <v>56.11</v>
      </c>
      <c r="H23" s="165">
        <v>19.3</v>
      </c>
      <c r="I23" s="165">
        <v>7.68</v>
      </c>
      <c r="J23" s="165">
        <v>0.21</v>
      </c>
      <c r="K23" s="165">
        <v>175.73</v>
      </c>
      <c r="L23" s="165">
        <v>25.73</v>
      </c>
      <c r="M23" s="165">
        <v>48.2</v>
      </c>
      <c r="N23" s="165">
        <v>0</v>
      </c>
      <c r="O23" s="165">
        <v>0</v>
      </c>
      <c r="P23" s="165">
        <v>0.8</v>
      </c>
      <c r="Q23" s="165">
        <v>5.67</v>
      </c>
      <c r="R23" s="13"/>
      <c r="S23" s="13"/>
      <c r="T23" s="213"/>
      <c r="U23" s="13"/>
    </row>
    <row r="24" customFormat="1" spans="1:21">
      <c r="A24" s="142" t="s">
        <v>1701</v>
      </c>
      <c r="B24" s="165">
        <v>18.26</v>
      </c>
      <c r="C24" s="165">
        <v>64.35</v>
      </c>
      <c r="D24" s="165">
        <v>49.61</v>
      </c>
      <c r="E24" s="165">
        <v>9.16</v>
      </c>
      <c r="F24" s="165">
        <v>4.43</v>
      </c>
      <c r="G24" s="165">
        <v>56.75</v>
      </c>
      <c r="H24" s="165">
        <v>19.99</v>
      </c>
      <c r="I24" s="165">
        <v>7.7</v>
      </c>
      <c r="J24" s="165">
        <v>0.28</v>
      </c>
      <c r="K24" s="165">
        <v>205.69</v>
      </c>
      <c r="L24" s="165">
        <v>25.99</v>
      </c>
      <c r="M24" s="165">
        <v>44.84</v>
      </c>
      <c r="N24" s="165">
        <v>0</v>
      </c>
      <c r="O24" s="165">
        <v>0</v>
      </c>
      <c r="P24" s="165">
        <v>0.81</v>
      </c>
      <c r="Q24" s="165">
        <v>5.71</v>
      </c>
      <c r="R24" s="13"/>
      <c r="S24" s="13"/>
      <c r="T24" s="213"/>
      <c r="U24" s="13"/>
    </row>
    <row r="25" customFormat="1" spans="1:21">
      <c r="A25" s="142" t="s">
        <v>1702</v>
      </c>
      <c r="B25" s="165">
        <v>17.99</v>
      </c>
      <c r="C25" s="165">
        <v>64.62</v>
      </c>
      <c r="D25" s="165">
        <v>49.54</v>
      </c>
      <c r="E25" s="165">
        <v>9.2</v>
      </c>
      <c r="F25" s="165">
        <v>4.98</v>
      </c>
      <c r="G25" s="165">
        <v>56.75</v>
      </c>
      <c r="H25" s="165">
        <v>19.99</v>
      </c>
      <c r="I25" s="165">
        <v>7.69</v>
      </c>
      <c r="J25" s="165">
        <v>0.22</v>
      </c>
      <c r="K25" s="165">
        <v>194.89</v>
      </c>
      <c r="L25" s="165">
        <v>26.27</v>
      </c>
      <c r="M25" s="165">
        <v>42.99</v>
      </c>
      <c r="N25" s="165">
        <v>0</v>
      </c>
      <c r="O25" s="165">
        <v>0</v>
      </c>
      <c r="P25" s="165">
        <v>0.81</v>
      </c>
      <c r="Q25" s="165">
        <v>5.7</v>
      </c>
      <c r="R25" s="13"/>
      <c r="S25" s="13"/>
      <c r="T25" s="213"/>
      <c r="U25" s="13"/>
    </row>
    <row r="26" customFormat="1" spans="1:21">
      <c r="A26" s="142" t="s">
        <v>1703</v>
      </c>
      <c r="B26" s="165">
        <v>18.18</v>
      </c>
      <c r="C26" s="165">
        <v>62.94</v>
      </c>
      <c r="D26" s="165">
        <v>48.82</v>
      </c>
      <c r="E26" s="165">
        <v>9.25</v>
      </c>
      <c r="F26" s="165">
        <v>6.42</v>
      </c>
      <c r="G26" s="165">
        <v>56.75</v>
      </c>
      <c r="H26" s="165">
        <v>19.99</v>
      </c>
      <c r="I26" s="165">
        <v>7.68</v>
      </c>
      <c r="J26" s="165">
        <v>0.21</v>
      </c>
      <c r="K26" s="165">
        <v>204.08</v>
      </c>
      <c r="L26" s="165">
        <v>26.57</v>
      </c>
      <c r="M26" s="165">
        <v>40.39</v>
      </c>
      <c r="N26" s="165">
        <v>0</v>
      </c>
      <c r="O26" s="165">
        <v>0</v>
      </c>
      <c r="P26" s="165">
        <v>0.81</v>
      </c>
      <c r="Q26" s="165">
        <v>5.67</v>
      </c>
      <c r="R26" s="13"/>
      <c r="S26" s="13"/>
      <c r="T26" s="213"/>
      <c r="U26" s="13"/>
    </row>
    <row r="27" customFormat="1" spans="1:21">
      <c r="A27" s="142" t="s">
        <v>1704</v>
      </c>
      <c r="B27" s="165">
        <v>18.27</v>
      </c>
      <c r="C27" s="165">
        <v>62.41</v>
      </c>
      <c r="D27" s="165">
        <v>48.61</v>
      </c>
      <c r="E27" s="165">
        <v>9.83</v>
      </c>
      <c r="F27" s="165">
        <v>7.56</v>
      </c>
      <c r="G27" s="165">
        <v>55.3</v>
      </c>
      <c r="H27" s="165">
        <v>19.97</v>
      </c>
      <c r="I27" s="165">
        <v>7.69</v>
      </c>
      <c r="J27" s="165">
        <v>0.18</v>
      </c>
      <c r="K27" s="165">
        <v>170.38</v>
      </c>
      <c r="L27" s="165">
        <v>26.54</v>
      </c>
      <c r="M27" s="165">
        <v>40.19</v>
      </c>
      <c r="N27" s="165">
        <v>0</v>
      </c>
      <c r="O27" s="165">
        <v>0</v>
      </c>
      <c r="P27" s="165">
        <v>0.8</v>
      </c>
      <c r="Q27" s="165">
        <v>5.67</v>
      </c>
      <c r="R27" s="13"/>
      <c r="S27" s="13"/>
      <c r="T27" s="213"/>
      <c r="U27" s="13"/>
    </row>
    <row r="28" customFormat="1" spans="1:21">
      <c r="A28" s="142" t="s">
        <v>1705</v>
      </c>
      <c r="B28" s="165">
        <v>18.48</v>
      </c>
      <c r="C28" s="165">
        <v>63.88</v>
      </c>
      <c r="D28" s="165">
        <v>49.55</v>
      </c>
      <c r="E28" s="165">
        <v>9.24</v>
      </c>
      <c r="F28" s="165">
        <v>6.5</v>
      </c>
      <c r="G28" s="165">
        <v>51.74</v>
      </c>
      <c r="H28" s="165">
        <v>19.92</v>
      </c>
      <c r="I28" s="165">
        <v>7.69</v>
      </c>
      <c r="J28" s="165">
        <v>0.19</v>
      </c>
      <c r="K28" s="165">
        <v>167.17</v>
      </c>
      <c r="L28" s="165">
        <v>26.51</v>
      </c>
      <c r="M28" s="165">
        <v>40.03</v>
      </c>
      <c r="N28" s="165">
        <v>0</v>
      </c>
      <c r="O28" s="165">
        <v>0</v>
      </c>
      <c r="P28" s="165">
        <v>0.8</v>
      </c>
      <c r="Q28" s="165">
        <v>5.67</v>
      </c>
      <c r="R28" s="13"/>
      <c r="S28" s="13"/>
      <c r="T28" s="213"/>
      <c r="U28" s="13"/>
    </row>
    <row r="29" customFormat="1" spans="1:21">
      <c r="A29" s="142" t="s">
        <v>1706</v>
      </c>
      <c r="B29" s="165">
        <v>18.18</v>
      </c>
      <c r="C29" s="165">
        <v>62.68</v>
      </c>
      <c r="D29" s="165">
        <v>48.68</v>
      </c>
      <c r="E29" s="165">
        <v>8.96</v>
      </c>
      <c r="F29" s="165">
        <v>7.34</v>
      </c>
      <c r="G29" s="165">
        <v>51.74</v>
      </c>
      <c r="H29" s="165">
        <v>19.92</v>
      </c>
      <c r="I29" s="165">
        <v>7.67</v>
      </c>
      <c r="J29" s="165">
        <v>0.18</v>
      </c>
      <c r="K29" s="165">
        <v>154.35</v>
      </c>
      <c r="L29" s="165">
        <v>26.34</v>
      </c>
      <c r="M29" s="165">
        <v>40.82</v>
      </c>
      <c r="N29" s="165">
        <v>0</v>
      </c>
      <c r="O29" s="165">
        <v>0</v>
      </c>
      <c r="P29" s="165">
        <v>0.8</v>
      </c>
      <c r="Q29" s="165">
        <v>5.65</v>
      </c>
      <c r="R29" s="13"/>
      <c r="S29" s="13"/>
      <c r="T29" s="213"/>
      <c r="U29" s="13"/>
    </row>
    <row r="30" customFormat="1" spans="1:21">
      <c r="A30" s="142" t="s">
        <v>1707</v>
      </c>
      <c r="B30" s="165">
        <v>18.42</v>
      </c>
      <c r="C30" s="165">
        <v>63.59</v>
      </c>
      <c r="D30" s="165">
        <v>49.34</v>
      </c>
      <c r="E30" s="165">
        <v>8.79</v>
      </c>
      <c r="F30" s="165">
        <v>6.03</v>
      </c>
      <c r="G30" s="165">
        <v>51.74</v>
      </c>
      <c r="H30" s="165">
        <v>19.92</v>
      </c>
      <c r="I30" s="165">
        <v>7.66</v>
      </c>
      <c r="J30" s="165">
        <v>0.26</v>
      </c>
      <c r="K30" s="165">
        <v>172.05</v>
      </c>
      <c r="L30" s="165">
        <v>26.04</v>
      </c>
      <c r="M30" s="165">
        <v>41.62</v>
      </c>
      <c r="N30" s="165">
        <v>0</v>
      </c>
      <c r="O30" s="165">
        <v>0</v>
      </c>
      <c r="P30" s="165">
        <v>0.81</v>
      </c>
      <c r="Q30" s="165">
        <v>5.68</v>
      </c>
      <c r="R30" s="13"/>
      <c r="S30" s="13"/>
      <c r="T30" s="213"/>
      <c r="U30" s="13"/>
    </row>
    <row r="31" customFormat="1" spans="1:21">
      <c r="A31" s="142" t="s">
        <v>1708</v>
      </c>
      <c r="B31" s="165">
        <v>18.6</v>
      </c>
      <c r="C31" s="165">
        <v>64.36</v>
      </c>
      <c r="D31" s="165">
        <v>49.89</v>
      </c>
      <c r="E31" s="165">
        <v>8.9</v>
      </c>
      <c r="F31" s="165">
        <v>6.24</v>
      </c>
      <c r="G31" s="165">
        <v>52.5</v>
      </c>
      <c r="H31" s="165">
        <v>20.82</v>
      </c>
      <c r="I31" s="165">
        <v>7.66</v>
      </c>
      <c r="J31" s="165">
        <v>0.23</v>
      </c>
      <c r="K31" s="165">
        <v>176.68</v>
      </c>
      <c r="L31" s="165">
        <v>26.03</v>
      </c>
      <c r="M31" s="165">
        <v>41.95</v>
      </c>
      <c r="N31" s="165">
        <v>1.5</v>
      </c>
      <c r="O31" s="165">
        <v>0</v>
      </c>
      <c r="P31" s="165">
        <v>0.81</v>
      </c>
      <c r="Q31" s="165">
        <v>5.71</v>
      </c>
      <c r="R31" s="13"/>
      <c r="S31" s="13"/>
      <c r="T31" s="213"/>
      <c r="U31" s="13"/>
    </row>
    <row r="32" customFormat="1" spans="1:21">
      <c r="A32" s="142" t="s">
        <v>1709</v>
      </c>
      <c r="B32" s="165">
        <v>18.64</v>
      </c>
      <c r="C32" s="165">
        <v>64.63</v>
      </c>
      <c r="D32" s="165">
        <v>50.06</v>
      </c>
      <c r="E32" s="165">
        <v>8.69</v>
      </c>
      <c r="F32" s="165">
        <v>5.78</v>
      </c>
      <c r="G32" s="165">
        <v>54.37</v>
      </c>
      <c r="H32" s="165">
        <v>22.31</v>
      </c>
      <c r="I32" s="165">
        <v>7.7</v>
      </c>
      <c r="J32" s="165">
        <v>0.2</v>
      </c>
      <c r="K32" s="165">
        <v>172.1</v>
      </c>
      <c r="L32" s="165">
        <v>26.08</v>
      </c>
      <c r="M32" s="165">
        <v>42.23</v>
      </c>
      <c r="N32" s="165">
        <v>13.1</v>
      </c>
      <c r="O32" s="165">
        <v>0</v>
      </c>
      <c r="P32" s="165">
        <v>0.81</v>
      </c>
      <c r="Q32" s="165">
        <v>5.72</v>
      </c>
      <c r="R32" s="13"/>
      <c r="S32" s="13"/>
      <c r="T32" s="213"/>
      <c r="U32" s="13"/>
    </row>
    <row r="33" customFormat="1" spans="1:21">
      <c r="A33" s="142" t="s">
        <v>1710</v>
      </c>
      <c r="B33" s="165">
        <v>18.32</v>
      </c>
      <c r="C33" s="165">
        <v>63.96</v>
      </c>
      <c r="D33" s="165">
        <v>49.46</v>
      </c>
      <c r="E33" s="165">
        <v>9.29</v>
      </c>
      <c r="F33" s="165">
        <v>6.49</v>
      </c>
      <c r="G33" s="165">
        <v>54.37</v>
      </c>
      <c r="H33" s="165">
        <v>22.31</v>
      </c>
      <c r="I33" s="165">
        <v>7.68</v>
      </c>
      <c r="J33" s="165">
        <v>0.21</v>
      </c>
      <c r="K33" s="165">
        <v>160.12</v>
      </c>
      <c r="L33" s="165">
        <v>26.37</v>
      </c>
      <c r="M33" s="165">
        <v>42.71</v>
      </c>
      <c r="N33" s="165">
        <v>19.6</v>
      </c>
      <c r="O33" s="165">
        <v>0</v>
      </c>
      <c r="P33" s="165">
        <v>0.79</v>
      </c>
      <c r="Q33" s="165">
        <v>5.69</v>
      </c>
      <c r="R33" s="13"/>
      <c r="S33" s="13"/>
      <c r="T33" s="213"/>
      <c r="U33" s="13"/>
    </row>
    <row r="34" customFormat="1" spans="1:21">
      <c r="A34" s="142" t="s">
        <v>1711</v>
      </c>
      <c r="B34" s="165">
        <v>18.22</v>
      </c>
      <c r="C34" s="165">
        <v>62.66</v>
      </c>
      <c r="D34" s="165">
        <v>48.7</v>
      </c>
      <c r="E34" s="165">
        <v>8.85</v>
      </c>
      <c r="F34" s="165">
        <v>7.23</v>
      </c>
      <c r="G34" s="165">
        <v>54.37</v>
      </c>
      <c r="H34" s="165">
        <v>22.31</v>
      </c>
      <c r="I34" s="165">
        <v>7.64</v>
      </c>
      <c r="J34" s="165">
        <v>0.18</v>
      </c>
      <c r="K34" s="165">
        <v>154</v>
      </c>
      <c r="L34" s="165">
        <v>26.53</v>
      </c>
      <c r="M34" s="165">
        <v>44.2</v>
      </c>
      <c r="N34" s="165">
        <v>33.3</v>
      </c>
      <c r="O34" s="165">
        <v>0</v>
      </c>
      <c r="P34" s="165">
        <v>0.8</v>
      </c>
      <c r="Q34" s="165">
        <v>5.71</v>
      </c>
      <c r="R34" s="13"/>
      <c r="S34" s="13"/>
      <c r="T34" s="213"/>
      <c r="U34" s="13"/>
    </row>
    <row r="35" customFormat="1" spans="1:21">
      <c r="A35" s="142" t="s">
        <v>1712</v>
      </c>
      <c r="B35" s="165">
        <v>18.24</v>
      </c>
      <c r="C35" s="165">
        <v>63.36</v>
      </c>
      <c r="D35" s="165">
        <v>49.09</v>
      </c>
      <c r="E35" s="165">
        <v>9.34</v>
      </c>
      <c r="F35" s="165">
        <v>7.19</v>
      </c>
      <c r="G35" s="165">
        <v>54.07</v>
      </c>
      <c r="H35" s="165">
        <v>22.96</v>
      </c>
      <c r="I35" s="165">
        <v>7.61</v>
      </c>
      <c r="J35" s="165">
        <v>0.28</v>
      </c>
      <c r="K35" s="165">
        <v>183.32</v>
      </c>
      <c r="L35" s="165">
        <v>27</v>
      </c>
      <c r="M35" s="165">
        <v>44.17</v>
      </c>
      <c r="N35" s="165">
        <v>37.8</v>
      </c>
      <c r="O35" s="165">
        <v>0</v>
      </c>
      <c r="P35" s="165">
        <v>0.8</v>
      </c>
      <c r="Q35" s="165">
        <v>5.71</v>
      </c>
      <c r="R35" s="13"/>
      <c r="S35" s="13"/>
      <c r="T35" s="213"/>
      <c r="U35" s="13"/>
    </row>
    <row r="36" customFormat="1" spans="1:21">
      <c r="A36" s="142" t="s">
        <v>1713</v>
      </c>
      <c r="B36" s="165">
        <v>18.25</v>
      </c>
      <c r="C36" s="165">
        <v>63.01</v>
      </c>
      <c r="D36" s="165">
        <v>48.9</v>
      </c>
      <c r="E36" s="165">
        <v>9.51</v>
      </c>
      <c r="F36" s="165">
        <v>7.71</v>
      </c>
      <c r="G36" s="165">
        <v>53.31</v>
      </c>
      <c r="H36" s="165">
        <v>25.61</v>
      </c>
      <c r="I36" s="165">
        <v>7.58</v>
      </c>
      <c r="J36" s="165">
        <v>0.25</v>
      </c>
      <c r="K36" s="165">
        <v>191.98</v>
      </c>
      <c r="L36" s="165">
        <v>27.57</v>
      </c>
      <c r="M36" s="165">
        <v>42.89</v>
      </c>
      <c r="N36" s="165">
        <v>40.4</v>
      </c>
      <c r="O36" s="165">
        <v>0</v>
      </c>
      <c r="P36" s="165">
        <v>0.79</v>
      </c>
      <c r="Q36" s="165">
        <v>5.71</v>
      </c>
      <c r="R36" s="13"/>
      <c r="S36" s="13"/>
      <c r="T36" s="213"/>
      <c r="U36" s="13"/>
    </row>
    <row r="37" customFormat="1" spans="1:21">
      <c r="A37" s="142" t="s">
        <v>1714</v>
      </c>
      <c r="B37" s="165">
        <v>18.14</v>
      </c>
      <c r="C37" s="165">
        <v>65.23</v>
      </c>
      <c r="D37" s="165">
        <v>49.98</v>
      </c>
      <c r="E37" s="165">
        <v>9.63</v>
      </c>
      <c r="F37" s="165">
        <v>6.84</v>
      </c>
      <c r="G37" s="165">
        <v>53.31</v>
      </c>
      <c r="H37" s="165">
        <v>25.61</v>
      </c>
      <c r="I37" s="165">
        <v>7.56</v>
      </c>
      <c r="J37" s="165">
        <v>0.27</v>
      </c>
      <c r="K37" s="165">
        <v>199.75</v>
      </c>
      <c r="L37" s="165">
        <v>28.38</v>
      </c>
      <c r="M37" s="165">
        <v>42.06</v>
      </c>
      <c r="N37" s="165">
        <v>88.7</v>
      </c>
      <c r="O37" s="165">
        <v>0</v>
      </c>
      <c r="P37" s="165">
        <v>0.8</v>
      </c>
      <c r="Q37" s="165">
        <v>5.67</v>
      </c>
      <c r="R37" s="13"/>
      <c r="S37" s="13"/>
      <c r="T37" s="213"/>
      <c r="U37" s="13"/>
    </row>
    <row r="38" customFormat="1" spans="1:21">
      <c r="A38" s="142" t="s">
        <v>1715</v>
      </c>
      <c r="B38" s="165">
        <v>18.19</v>
      </c>
      <c r="C38" s="165">
        <v>67.11</v>
      </c>
      <c r="D38" s="165">
        <v>51</v>
      </c>
      <c r="E38" s="165">
        <v>9.38</v>
      </c>
      <c r="F38" s="165">
        <v>6.53</v>
      </c>
      <c r="G38" s="165">
        <v>53.31</v>
      </c>
      <c r="H38" s="165">
        <v>25.61</v>
      </c>
      <c r="I38" s="165">
        <v>7.51</v>
      </c>
      <c r="J38" s="165">
        <v>0.38</v>
      </c>
      <c r="K38" s="165">
        <v>228.07</v>
      </c>
      <c r="L38" s="165">
        <v>29.62</v>
      </c>
      <c r="M38" s="165">
        <v>38.87</v>
      </c>
      <c r="N38" s="165">
        <v>88.1</v>
      </c>
      <c r="O38" s="165">
        <v>0</v>
      </c>
      <c r="P38" s="165">
        <v>0.81</v>
      </c>
      <c r="Q38" s="165">
        <v>5.69</v>
      </c>
      <c r="R38" s="13"/>
      <c r="S38" s="13"/>
      <c r="T38" s="213"/>
      <c r="U38" s="13"/>
    </row>
    <row r="39" customFormat="1" spans="1:21">
      <c r="A39" s="142" t="s">
        <v>1716</v>
      </c>
      <c r="B39" s="165">
        <v>16.65</v>
      </c>
      <c r="C39" s="165">
        <v>66.39</v>
      </c>
      <c r="D39" s="165">
        <v>49.39</v>
      </c>
      <c r="E39" s="165">
        <v>9.63</v>
      </c>
      <c r="F39" s="165">
        <v>7.12</v>
      </c>
      <c r="G39" s="165">
        <v>52</v>
      </c>
      <c r="H39" s="165">
        <v>25.96</v>
      </c>
      <c r="I39" s="165">
        <v>7.53</v>
      </c>
      <c r="J39" s="165">
        <v>0.46</v>
      </c>
      <c r="K39" s="165">
        <v>225.54</v>
      </c>
      <c r="L39" s="165">
        <v>30.16</v>
      </c>
      <c r="M39" s="165">
        <v>37.01</v>
      </c>
      <c r="N39" s="165">
        <v>77.3</v>
      </c>
      <c r="O39" s="165">
        <v>0</v>
      </c>
      <c r="P39" s="165">
        <v>0.84</v>
      </c>
      <c r="Q39" s="165">
        <v>5.74</v>
      </c>
      <c r="R39" s="13"/>
      <c r="S39" s="13"/>
      <c r="T39" s="213"/>
      <c r="U39" s="13"/>
    </row>
    <row r="40" customFormat="1" spans="1:21">
      <c r="A40" s="142" t="s">
        <v>1717</v>
      </c>
      <c r="B40" s="165">
        <v>15.05</v>
      </c>
      <c r="C40" s="165">
        <v>67.56</v>
      </c>
      <c r="D40" s="165">
        <v>48.72</v>
      </c>
      <c r="E40" s="165">
        <v>9.53</v>
      </c>
      <c r="F40" s="165">
        <v>6.29</v>
      </c>
      <c r="G40" s="165">
        <v>48.78</v>
      </c>
      <c r="H40" s="165">
        <v>26.53</v>
      </c>
      <c r="I40" s="165">
        <v>7.58</v>
      </c>
      <c r="J40" s="165">
        <v>0.55</v>
      </c>
      <c r="K40" s="165">
        <v>250.16</v>
      </c>
      <c r="L40" s="165">
        <v>31.21</v>
      </c>
      <c r="M40" s="165">
        <v>34.47</v>
      </c>
      <c r="N40" s="165">
        <v>168.3</v>
      </c>
      <c r="O40" s="165">
        <v>0</v>
      </c>
      <c r="P40" s="165">
        <v>0.85</v>
      </c>
      <c r="Q40" s="165">
        <v>5.73</v>
      </c>
      <c r="R40" s="13"/>
      <c r="S40" s="13"/>
      <c r="T40" s="213"/>
      <c r="U40" s="13"/>
    </row>
    <row r="41" customFormat="1" spans="1:21">
      <c r="A41" s="142" t="s">
        <v>1718</v>
      </c>
      <c r="B41" s="165">
        <v>14.69</v>
      </c>
      <c r="C41" s="165">
        <v>68</v>
      </c>
      <c r="D41" s="165">
        <v>48.66</v>
      </c>
      <c r="E41" s="165">
        <v>9.56</v>
      </c>
      <c r="F41" s="165">
        <v>7.83</v>
      </c>
      <c r="G41" s="165">
        <v>48.78</v>
      </c>
      <c r="H41" s="165">
        <v>26.53</v>
      </c>
      <c r="I41" s="165">
        <v>7.56</v>
      </c>
      <c r="J41" s="165">
        <v>0.75</v>
      </c>
      <c r="K41" s="165">
        <v>267.86</v>
      </c>
      <c r="L41" s="165">
        <v>32.37</v>
      </c>
      <c r="M41" s="165">
        <v>31.73</v>
      </c>
      <c r="N41" s="165">
        <v>188.4</v>
      </c>
      <c r="O41" s="165">
        <v>0</v>
      </c>
      <c r="P41" s="165">
        <v>0.86</v>
      </c>
      <c r="Q41" s="165">
        <v>5.7</v>
      </c>
      <c r="R41" s="13"/>
      <c r="S41" s="13"/>
      <c r="T41" s="213"/>
      <c r="U41" s="13"/>
    </row>
    <row r="42" customFormat="1" spans="1:21">
      <c r="A42" s="142" t="s">
        <v>1719</v>
      </c>
      <c r="B42" s="165">
        <v>14.05</v>
      </c>
      <c r="C42" s="165">
        <v>69.71</v>
      </c>
      <c r="D42" s="165">
        <v>49.04</v>
      </c>
      <c r="E42" s="165">
        <v>9.66</v>
      </c>
      <c r="F42" s="165">
        <v>7.66</v>
      </c>
      <c r="G42" s="165">
        <v>48.78</v>
      </c>
      <c r="H42" s="165">
        <v>26.53</v>
      </c>
      <c r="I42" s="165">
        <v>7.53</v>
      </c>
      <c r="J42" s="165">
        <v>1.03</v>
      </c>
      <c r="K42" s="165">
        <v>280.4</v>
      </c>
      <c r="L42" s="165">
        <v>32.84</v>
      </c>
      <c r="M42" s="165">
        <v>29.99</v>
      </c>
      <c r="N42" s="165">
        <v>246.3</v>
      </c>
      <c r="O42" s="165">
        <v>0</v>
      </c>
      <c r="P42" s="165">
        <v>0.87</v>
      </c>
      <c r="Q42" s="165">
        <v>5.66</v>
      </c>
      <c r="R42" s="13"/>
      <c r="S42" s="13"/>
      <c r="T42" s="213"/>
      <c r="U42" s="13"/>
    </row>
    <row r="43" customFormat="1" spans="1:21">
      <c r="A43" s="142" t="s">
        <v>1720</v>
      </c>
      <c r="B43" s="165">
        <v>13.02</v>
      </c>
      <c r="C43" s="165">
        <v>70.24</v>
      </c>
      <c r="D43" s="165">
        <v>48.49</v>
      </c>
      <c r="E43" s="165">
        <v>11.06</v>
      </c>
      <c r="F43" s="165">
        <v>10.02</v>
      </c>
      <c r="G43" s="165">
        <v>52.46</v>
      </c>
      <c r="H43" s="165">
        <v>26.98</v>
      </c>
      <c r="I43" s="165">
        <v>7.52</v>
      </c>
      <c r="J43" s="165">
        <v>0.95</v>
      </c>
      <c r="K43" s="165">
        <v>277.2</v>
      </c>
      <c r="L43" s="165">
        <v>33.7</v>
      </c>
      <c r="M43" s="165">
        <v>29.2</v>
      </c>
      <c r="N43" s="165">
        <v>287</v>
      </c>
      <c r="O43" s="165">
        <v>0</v>
      </c>
      <c r="P43" s="165">
        <v>0.96</v>
      </c>
      <c r="Q43" s="165">
        <v>5.64</v>
      </c>
      <c r="R43" s="13"/>
      <c r="S43" s="13"/>
      <c r="T43" s="213"/>
      <c r="U43" s="13"/>
    </row>
    <row r="44" customFormat="1" spans="1:21">
      <c r="A44" s="142" t="s">
        <v>1721</v>
      </c>
      <c r="B44" s="165">
        <v>11.96</v>
      </c>
      <c r="C44" s="165">
        <v>71.82</v>
      </c>
      <c r="D44" s="165">
        <v>48.46</v>
      </c>
      <c r="E44" s="165">
        <v>11.48</v>
      </c>
      <c r="F44" s="165">
        <v>9.57</v>
      </c>
      <c r="G44" s="165">
        <v>61.54</v>
      </c>
      <c r="H44" s="165">
        <v>27.72</v>
      </c>
      <c r="I44" s="165">
        <v>7.71</v>
      </c>
      <c r="J44" s="165">
        <v>0.95</v>
      </c>
      <c r="K44" s="165">
        <v>278.34</v>
      </c>
      <c r="L44" s="165">
        <v>34.64</v>
      </c>
      <c r="M44" s="165">
        <v>27.56</v>
      </c>
      <c r="N44" s="165">
        <v>192.2</v>
      </c>
      <c r="O44" s="165">
        <v>0</v>
      </c>
      <c r="P44" s="165">
        <v>1</v>
      </c>
      <c r="Q44" s="165">
        <v>5.66</v>
      </c>
      <c r="R44" s="13"/>
      <c r="S44" s="13"/>
      <c r="T44" s="213"/>
      <c r="U44" s="13"/>
    </row>
    <row r="45" customFormat="1" spans="1:21">
      <c r="A45" s="142" t="s">
        <v>1722</v>
      </c>
      <c r="B45" s="165">
        <v>10.16</v>
      </c>
      <c r="C45" s="165">
        <v>68.93</v>
      </c>
      <c r="D45" s="165">
        <v>45.52</v>
      </c>
      <c r="E45" s="165">
        <v>11.02</v>
      </c>
      <c r="F45" s="165">
        <v>12.03</v>
      </c>
      <c r="G45" s="165">
        <v>61.54</v>
      </c>
      <c r="H45" s="165">
        <v>27.72</v>
      </c>
      <c r="I45" s="165">
        <v>8.21</v>
      </c>
      <c r="J45" s="165">
        <v>1.15</v>
      </c>
      <c r="K45" s="165">
        <v>272.21</v>
      </c>
      <c r="L45" s="165">
        <v>35.24</v>
      </c>
      <c r="M45" s="165">
        <v>27.23</v>
      </c>
      <c r="N45" s="165">
        <v>211.1</v>
      </c>
      <c r="O45" s="165">
        <v>0</v>
      </c>
      <c r="P45" s="165">
        <v>1.01</v>
      </c>
      <c r="Q45" s="165">
        <v>5.57</v>
      </c>
      <c r="R45" s="13"/>
      <c r="S45" s="13"/>
      <c r="T45" s="213"/>
      <c r="U45" s="13"/>
    </row>
    <row r="46" customFormat="1" spans="1:21">
      <c r="A46" s="142" t="s">
        <v>1723</v>
      </c>
      <c r="B46" s="165">
        <v>8.78</v>
      </c>
      <c r="C46" s="165">
        <v>68.75</v>
      </c>
      <c r="D46" s="165">
        <v>44.31</v>
      </c>
      <c r="E46" s="165">
        <v>12.72</v>
      </c>
      <c r="F46" s="165">
        <v>16.13</v>
      </c>
      <c r="G46" s="165">
        <v>61.54</v>
      </c>
      <c r="H46" s="165">
        <v>27.72</v>
      </c>
      <c r="I46" s="165">
        <v>8.47</v>
      </c>
      <c r="J46" s="165">
        <v>0.96</v>
      </c>
      <c r="K46" s="165">
        <v>265.56</v>
      </c>
      <c r="L46" s="165">
        <v>36.06</v>
      </c>
      <c r="M46" s="165">
        <v>26.14</v>
      </c>
      <c r="N46" s="165">
        <v>265</v>
      </c>
      <c r="O46" s="165">
        <v>0</v>
      </c>
      <c r="P46" s="165">
        <v>1.03</v>
      </c>
      <c r="Q46" s="165">
        <v>5.52</v>
      </c>
      <c r="R46" s="13"/>
      <c r="S46" s="13"/>
      <c r="T46" s="213"/>
      <c r="U46" s="13"/>
    </row>
    <row r="47" customFormat="1" spans="1:21">
      <c r="A47" s="142" t="s">
        <v>1724</v>
      </c>
      <c r="B47" s="165">
        <v>7.17</v>
      </c>
      <c r="C47" s="165">
        <v>66.65</v>
      </c>
      <c r="D47" s="165">
        <v>41.92</v>
      </c>
      <c r="E47" s="165">
        <v>14.03</v>
      </c>
      <c r="F47" s="165">
        <v>20.15</v>
      </c>
      <c r="G47" s="165">
        <v>64.92</v>
      </c>
      <c r="H47" s="165">
        <v>30.28</v>
      </c>
      <c r="I47" s="165">
        <v>8.46</v>
      </c>
      <c r="J47" s="165">
        <v>0.84</v>
      </c>
      <c r="K47" s="165">
        <v>265.11</v>
      </c>
      <c r="L47" s="165">
        <v>37.02</v>
      </c>
      <c r="M47" s="165">
        <v>24.39</v>
      </c>
      <c r="N47" s="165">
        <v>440.6</v>
      </c>
      <c r="O47" s="165">
        <v>0</v>
      </c>
      <c r="P47" s="165">
        <v>1.03</v>
      </c>
      <c r="Q47" s="165">
        <v>5.4</v>
      </c>
      <c r="R47" s="13"/>
      <c r="S47" s="13"/>
      <c r="T47" s="213"/>
      <c r="U47" s="13"/>
    </row>
    <row r="48" customFormat="1" spans="1:21">
      <c r="A48" s="142" t="s">
        <v>1725</v>
      </c>
      <c r="B48" s="165">
        <v>6.74</v>
      </c>
      <c r="C48" s="165">
        <v>71.01</v>
      </c>
      <c r="D48" s="165">
        <v>43.86</v>
      </c>
      <c r="E48" s="165">
        <v>11.91</v>
      </c>
      <c r="F48" s="165">
        <v>12.63</v>
      </c>
      <c r="G48" s="165">
        <v>73.25</v>
      </c>
      <c r="H48" s="165">
        <v>34.48</v>
      </c>
      <c r="I48" s="165">
        <v>8.4</v>
      </c>
      <c r="J48" s="165">
        <v>1.19</v>
      </c>
      <c r="K48" s="165">
        <v>269.08</v>
      </c>
      <c r="L48" s="165">
        <v>37.47</v>
      </c>
      <c r="M48" s="165">
        <v>21.73</v>
      </c>
      <c r="N48" s="165">
        <v>433.8</v>
      </c>
      <c r="O48" s="165">
        <v>0</v>
      </c>
      <c r="P48" s="165">
        <v>1.01</v>
      </c>
      <c r="Q48" s="165">
        <v>5.37</v>
      </c>
      <c r="R48" s="13"/>
      <c r="S48" s="13"/>
      <c r="T48" s="213"/>
      <c r="U48" s="13"/>
    </row>
    <row r="49" customFormat="1" spans="1:21">
      <c r="A49" s="142" t="s">
        <v>1726</v>
      </c>
      <c r="B49" s="165">
        <v>5.7</v>
      </c>
      <c r="C49" s="165">
        <v>66.69</v>
      </c>
      <c r="D49" s="165">
        <v>40.77</v>
      </c>
      <c r="E49" s="165">
        <v>10.23</v>
      </c>
      <c r="F49" s="165">
        <v>20.8</v>
      </c>
      <c r="G49" s="165">
        <v>73.25</v>
      </c>
      <c r="H49" s="165">
        <v>34.48</v>
      </c>
      <c r="I49" s="165">
        <v>8.34</v>
      </c>
      <c r="J49" s="165">
        <v>0.77</v>
      </c>
      <c r="K49" s="165">
        <v>248.53</v>
      </c>
      <c r="L49" s="165">
        <v>38.11</v>
      </c>
      <c r="M49" s="165">
        <v>20.48</v>
      </c>
      <c r="N49" s="165">
        <v>555.8</v>
      </c>
      <c r="O49" s="165">
        <v>0</v>
      </c>
      <c r="P49" s="165">
        <v>0.99</v>
      </c>
      <c r="Q49" s="165">
        <v>5.26</v>
      </c>
      <c r="R49" s="13"/>
      <c r="S49" s="13"/>
      <c r="T49" s="213"/>
      <c r="U49" s="13"/>
    </row>
    <row r="50" customFormat="1" spans="1:21">
      <c r="A50" s="142" t="s">
        <v>1727</v>
      </c>
      <c r="B50" s="165">
        <v>5.22</v>
      </c>
      <c r="C50" s="165">
        <v>67.36</v>
      </c>
      <c r="D50" s="165">
        <v>40.73</v>
      </c>
      <c r="E50" s="165">
        <v>12.11</v>
      </c>
      <c r="F50" s="165">
        <v>18.95</v>
      </c>
      <c r="G50" s="165">
        <v>73.25</v>
      </c>
      <c r="H50" s="165">
        <v>34.48</v>
      </c>
      <c r="I50" s="165">
        <v>8.33</v>
      </c>
      <c r="J50" s="165">
        <v>0.77</v>
      </c>
      <c r="K50" s="165">
        <v>258.16</v>
      </c>
      <c r="L50" s="165">
        <v>38.45</v>
      </c>
      <c r="M50" s="165">
        <v>17.91</v>
      </c>
      <c r="N50" s="165">
        <v>368.8</v>
      </c>
      <c r="O50" s="165">
        <v>0</v>
      </c>
      <c r="P50" s="165">
        <v>0.98</v>
      </c>
      <c r="Q50" s="165">
        <v>5.25</v>
      </c>
      <c r="R50" s="13"/>
      <c r="S50" s="13"/>
      <c r="T50" s="213"/>
      <c r="U50" s="13"/>
    </row>
    <row r="51" customFormat="1" spans="1:21">
      <c r="A51" s="142" t="s">
        <v>1728</v>
      </c>
      <c r="B51" s="165">
        <v>5.03</v>
      </c>
      <c r="C51" s="165">
        <v>62.22</v>
      </c>
      <c r="D51" s="165">
        <v>37.89</v>
      </c>
      <c r="E51" s="165">
        <v>12.91</v>
      </c>
      <c r="F51" s="165">
        <v>31.68</v>
      </c>
      <c r="G51" s="165">
        <v>71.62</v>
      </c>
      <c r="H51" s="165">
        <v>33.34</v>
      </c>
      <c r="I51" s="165">
        <v>8.16</v>
      </c>
      <c r="J51" s="165">
        <v>0.7</v>
      </c>
      <c r="K51" s="165">
        <v>260.87</v>
      </c>
      <c r="L51" s="165">
        <v>38.91</v>
      </c>
      <c r="M51" s="165">
        <v>17.24</v>
      </c>
      <c r="N51" s="165">
        <v>643.2</v>
      </c>
      <c r="O51" s="165">
        <v>0</v>
      </c>
      <c r="P51" s="165">
        <v>0.95</v>
      </c>
      <c r="Q51" s="165">
        <v>5.22</v>
      </c>
      <c r="R51" s="13"/>
      <c r="S51" s="13"/>
      <c r="T51" s="213"/>
      <c r="U51" s="13"/>
    </row>
    <row r="52" customFormat="1" spans="1:21">
      <c r="A52" s="142" t="s">
        <v>1729</v>
      </c>
      <c r="B52" s="165">
        <v>4.91</v>
      </c>
      <c r="C52" s="165">
        <v>63.95</v>
      </c>
      <c r="D52" s="165">
        <v>38.7</v>
      </c>
      <c r="E52" s="165">
        <v>13.36</v>
      </c>
      <c r="F52" s="165">
        <v>32.35</v>
      </c>
      <c r="G52" s="165">
        <v>67.62</v>
      </c>
      <c r="H52" s="165">
        <v>31.46</v>
      </c>
      <c r="I52" s="165">
        <v>8.05</v>
      </c>
      <c r="J52" s="165">
        <v>0.76</v>
      </c>
      <c r="K52" s="165">
        <v>297.92</v>
      </c>
      <c r="L52" s="165">
        <v>39.3</v>
      </c>
      <c r="M52" s="165">
        <v>16.27</v>
      </c>
      <c r="N52" s="165">
        <v>674.9</v>
      </c>
      <c r="O52" s="165">
        <v>0</v>
      </c>
      <c r="P52" s="165">
        <v>0.94</v>
      </c>
      <c r="Q52" s="165">
        <v>5.18</v>
      </c>
      <c r="R52" s="13"/>
      <c r="S52" s="13"/>
      <c r="T52" s="213"/>
      <c r="U52" s="13"/>
    </row>
    <row r="53" customFormat="1" spans="1:21">
      <c r="A53" s="142" t="s">
        <v>1730</v>
      </c>
      <c r="B53" s="165">
        <v>5.29</v>
      </c>
      <c r="C53" s="165">
        <v>63.89</v>
      </c>
      <c r="D53" s="165">
        <v>38.97</v>
      </c>
      <c r="E53" s="165">
        <v>15.81</v>
      </c>
      <c r="F53" s="165">
        <v>37.28</v>
      </c>
      <c r="G53" s="165">
        <v>67.62</v>
      </c>
      <c r="H53" s="165">
        <v>31.46</v>
      </c>
      <c r="I53" s="165">
        <v>7.88</v>
      </c>
      <c r="J53" s="165">
        <v>0.28</v>
      </c>
      <c r="K53" s="165">
        <v>337.93</v>
      </c>
      <c r="L53" s="165">
        <v>40.39</v>
      </c>
      <c r="M53" s="165">
        <v>14.26</v>
      </c>
      <c r="N53" s="165">
        <v>655.7</v>
      </c>
      <c r="O53" s="165">
        <v>0</v>
      </c>
      <c r="P53" s="165">
        <v>0.91</v>
      </c>
      <c r="Q53" s="165">
        <v>5.11</v>
      </c>
      <c r="R53" s="13"/>
      <c r="S53" s="13"/>
      <c r="T53" s="213"/>
      <c r="U53" s="13"/>
    </row>
    <row r="54" customFormat="1" spans="1:21">
      <c r="A54" s="142" t="s">
        <v>1731</v>
      </c>
      <c r="B54" s="165">
        <v>5.22</v>
      </c>
      <c r="C54" s="165">
        <v>63.68</v>
      </c>
      <c r="D54" s="165">
        <v>38.8</v>
      </c>
      <c r="E54" s="165">
        <v>15.34</v>
      </c>
      <c r="F54" s="165">
        <v>27.78</v>
      </c>
      <c r="G54" s="165">
        <v>67.62</v>
      </c>
      <c r="H54" s="165">
        <v>31.46</v>
      </c>
      <c r="I54" s="165">
        <v>7.77</v>
      </c>
      <c r="J54" s="165">
        <v>1.1</v>
      </c>
      <c r="K54" s="165">
        <v>296.38</v>
      </c>
      <c r="L54" s="165">
        <v>40.27</v>
      </c>
      <c r="M54" s="165">
        <v>13.45</v>
      </c>
      <c r="N54" s="165">
        <v>713.6</v>
      </c>
      <c r="O54" s="165">
        <v>0</v>
      </c>
      <c r="P54" s="165">
        <v>0.9</v>
      </c>
      <c r="Q54" s="165">
        <v>5.09</v>
      </c>
      <c r="R54" s="13"/>
      <c r="S54" s="13"/>
      <c r="T54" s="213"/>
      <c r="U54" s="13"/>
    </row>
    <row r="55" customFormat="1" spans="1:21">
      <c r="A55" s="142" t="s">
        <v>1732</v>
      </c>
      <c r="B55" s="165">
        <v>5.34</v>
      </c>
      <c r="C55" s="165">
        <v>62.81</v>
      </c>
      <c r="D55" s="165">
        <v>38.45</v>
      </c>
      <c r="E55" s="165">
        <v>17.22</v>
      </c>
      <c r="F55" s="165">
        <v>30.05</v>
      </c>
      <c r="G55" s="165">
        <v>66.98</v>
      </c>
      <c r="H55" s="165">
        <v>30.51</v>
      </c>
      <c r="I55" s="165">
        <v>7.62</v>
      </c>
      <c r="J55" s="165">
        <v>0.69</v>
      </c>
      <c r="K55" s="165">
        <v>328.3</v>
      </c>
      <c r="L55" s="165">
        <v>40.39</v>
      </c>
      <c r="M55" s="165">
        <v>11.54</v>
      </c>
      <c r="N55" s="165">
        <v>746.9</v>
      </c>
      <c r="O55" s="165">
        <v>0</v>
      </c>
      <c r="P55" s="165">
        <v>0.86</v>
      </c>
      <c r="Q55" s="165">
        <v>5.05</v>
      </c>
      <c r="R55" s="13"/>
      <c r="S55" s="13"/>
      <c r="T55" s="213"/>
      <c r="U55" s="13"/>
    </row>
    <row r="56" customFormat="1" spans="1:21">
      <c r="A56" s="142" t="s">
        <v>1733</v>
      </c>
      <c r="B56" s="165">
        <v>5.21</v>
      </c>
      <c r="C56" s="165">
        <v>58.29</v>
      </c>
      <c r="D56" s="165">
        <v>36.31</v>
      </c>
      <c r="E56" s="165">
        <v>23.25</v>
      </c>
      <c r="F56" s="165">
        <v>35.02</v>
      </c>
      <c r="G56" s="165">
        <v>65.4</v>
      </c>
      <c r="H56" s="165">
        <v>29.02</v>
      </c>
      <c r="I56" s="165">
        <v>7.65</v>
      </c>
      <c r="J56" s="165">
        <v>0.85</v>
      </c>
      <c r="K56" s="165">
        <v>292.67</v>
      </c>
      <c r="L56" s="165">
        <v>40.9</v>
      </c>
      <c r="M56" s="165">
        <v>10.71</v>
      </c>
      <c r="N56" s="165">
        <v>744.4</v>
      </c>
      <c r="O56" s="165">
        <v>0</v>
      </c>
      <c r="P56" s="165">
        <v>0.82</v>
      </c>
      <c r="Q56" s="165">
        <v>5.06</v>
      </c>
      <c r="R56" s="13"/>
      <c r="S56" s="13"/>
      <c r="T56" s="213"/>
      <c r="U56" s="13"/>
    </row>
    <row r="57" customFormat="1" spans="1:21">
      <c r="A57" s="142" t="s">
        <v>1734</v>
      </c>
      <c r="B57" s="165">
        <v>6.43</v>
      </c>
      <c r="C57" s="165">
        <v>59.38</v>
      </c>
      <c r="D57" s="165">
        <v>37.53</v>
      </c>
      <c r="E57" s="165">
        <v>25.97</v>
      </c>
      <c r="F57" s="165">
        <v>36.11</v>
      </c>
      <c r="G57" s="165">
        <v>65.4</v>
      </c>
      <c r="H57" s="165">
        <v>29.02</v>
      </c>
      <c r="I57" s="165">
        <v>7.31</v>
      </c>
      <c r="J57" s="165">
        <v>1.03</v>
      </c>
      <c r="K57" s="165">
        <v>311.37</v>
      </c>
      <c r="L57" s="165">
        <v>41.21</v>
      </c>
      <c r="M57" s="165">
        <v>10.21</v>
      </c>
      <c r="N57" s="165">
        <v>730.2</v>
      </c>
      <c r="O57" s="165">
        <v>0</v>
      </c>
      <c r="P57" s="165">
        <v>0.82</v>
      </c>
      <c r="Q57" s="165">
        <v>4.99</v>
      </c>
      <c r="R57" s="13"/>
      <c r="S57" s="13"/>
      <c r="T57" s="213"/>
      <c r="U57" s="13"/>
    </row>
    <row r="58" customFormat="1" spans="1:21">
      <c r="A58" s="142" t="s">
        <v>1735</v>
      </c>
      <c r="B58" s="165">
        <v>5.59</v>
      </c>
      <c r="C58" s="165">
        <v>59.82</v>
      </c>
      <c r="D58" s="165">
        <v>37.09</v>
      </c>
      <c r="E58" s="165">
        <v>26.1</v>
      </c>
      <c r="F58" s="165">
        <v>35.57</v>
      </c>
      <c r="G58" s="165">
        <v>65.4</v>
      </c>
      <c r="H58" s="165">
        <v>29.02</v>
      </c>
      <c r="I58" s="165">
        <v>7.01</v>
      </c>
      <c r="J58" s="165">
        <v>0.61</v>
      </c>
      <c r="K58" s="165">
        <v>313.5</v>
      </c>
      <c r="L58" s="165">
        <v>41.23</v>
      </c>
      <c r="M58" s="165">
        <v>9.74</v>
      </c>
      <c r="N58" s="165">
        <v>730.4</v>
      </c>
      <c r="O58" s="165">
        <v>0</v>
      </c>
      <c r="P58" s="165">
        <v>0.78</v>
      </c>
      <c r="Q58" s="165">
        <v>4.99</v>
      </c>
      <c r="R58" s="13"/>
      <c r="S58" s="13"/>
      <c r="T58" s="213"/>
      <c r="U58" s="13"/>
    </row>
    <row r="59" customFormat="1" spans="1:21">
      <c r="A59" s="142" t="s">
        <v>1736</v>
      </c>
      <c r="B59" s="165">
        <v>6.52</v>
      </c>
      <c r="C59" s="165">
        <v>58.17</v>
      </c>
      <c r="D59" s="165">
        <v>36.97</v>
      </c>
      <c r="E59" s="165">
        <v>25.53</v>
      </c>
      <c r="F59" s="165">
        <v>43.46</v>
      </c>
      <c r="G59" s="165">
        <v>64.55</v>
      </c>
      <c r="H59" s="165">
        <v>28.55</v>
      </c>
      <c r="I59" s="165">
        <v>6.93</v>
      </c>
      <c r="J59" s="165">
        <v>1.06</v>
      </c>
      <c r="K59" s="165">
        <v>308.76</v>
      </c>
      <c r="L59" s="165">
        <v>41.8</v>
      </c>
      <c r="M59" s="165">
        <v>9.06</v>
      </c>
      <c r="N59" s="165">
        <v>741.1</v>
      </c>
      <c r="O59" s="165">
        <v>0</v>
      </c>
      <c r="P59" s="165">
        <v>0.72</v>
      </c>
      <c r="Q59" s="165">
        <v>4.98</v>
      </c>
      <c r="R59" s="13"/>
      <c r="S59" s="13"/>
      <c r="T59" s="213"/>
      <c r="U59" s="13"/>
    </row>
    <row r="60" customFormat="1" spans="1:21">
      <c r="A60" s="142" t="s">
        <v>1737</v>
      </c>
      <c r="B60" s="165">
        <v>6.3</v>
      </c>
      <c r="C60" s="165">
        <v>57.45</v>
      </c>
      <c r="D60" s="165">
        <v>36.43</v>
      </c>
      <c r="E60" s="165">
        <v>23.47</v>
      </c>
      <c r="F60" s="165">
        <v>43.13</v>
      </c>
      <c r="G60" s="165">
        <v>62.45</v>
      </c>
      <c r="H60" s="165">
        <v>26.83</v>
      </c>
      <c r="I60" s="165">
        <v>6.62</v>
      </c>
      <c r="J60" s="165">
        <v>0.37</v>
      </c>
      <c r="K60" s="165">
        <v>299.1</v>
      </c>
      <c r="L60" s="165">
        <v>41.72</v>
      </c>
      <c r="M60" s="165">
        <v>8.76</v>
      </c>
      <c r="N60" s="165">
        <v>701.3</v>
      </c>
      <c r="O60" s="165">
        <v>0</v>
      </c>
      <c r="P60" s="165">
        <v>0.7</v>
      </c>
      <c r="Q60" s="165">
        <v>4.98</v>
      </c>
      <c r="R60" s="13"/>
      <c r="S60" s="13"/>
      <c r="T60" s="213"/>
      <c r="U60" s="13"/>
    </row>
    <row r="61" customFormat="1" spans="1:21">
      <c r="A61" s="142" t="s">
        <v>1738</v>
      </c>
      <c r="B61" s="165">
        <v>5.59</v>
      </c>
      <c r="C61" s="165">
        <v>55.33</v>
      </c>
      <c r="D61" s="165">
        <v>34.74</v>
      </c>
      <c r="E61" s="165">
        <v>27.38</v>
      </c>
      <c r="F61" s="165">
        <v>47.09</v>
      </c>
      <c r="G61" s="165">
        <v>62.45</v>
      </c>
      <c r="H61" s="165">
        <v>26.83</v>
      </c>
      <c r="I61" s="165">
        <v>6.33</v>
      </c>
      <c r="J61" s="165">
        <v>0.45</v>
      </c>
      <c r="K61" s="165">
        <v>1.09</v>
      </c>
      <c r="L61" s="165">
        <v>42.47</v>
      </c>
      <c r="M61" s="165">
        <v>8.9</v>
      </c>
      <c r="N61" s="165">
        <v>693.2</v>
      </c>
      <c r="O61" s="165">
        <v>0</v>
      </c>
      <c r="P61" s="165">
        <v>0.64</v>
      </c>
      <c r="Q61" s="165">
        <v>4.91</v>
      </c>
      <c r="R61" s="13"/>
      <c r="S61" s="13"/>
      <c r="T61" s="213"/>
      <c r="U61" s="13"/>
    </row>
    <row r="62" customFormat="1" spans="1:21">
      <c r="A62" s="142" t="s">
        <v>1739</v>
      </c>
      <c r="B62" s="165">
        <v>6.74</v>
      </c>
      <c r="C62" s="165">
        <v>56.06</v>
      </c>
      <c r="D62" s="165">
        <v>36.04</v>
      </c>
      <c r="E62" s="165">
        <v>22.29</v>
      </c>
      <c r="F62" s="165">
        <v>39.46</v>
      </c>
      <c r="G62" s="165">
        <v>62.45</v>
      </c>
      <c r="H62" s="165">
        <v>26.83</v>
      </c>
      <c r="I62" s="165">
        <v>6.05</v>
      </c>
      <c r="J62" s="165">
        <v>1</v>
      </c>
      <c r="K62" s="165">
        <v>59.04</v>
      </c>
      <c r="L62" s="165">
        <v>42.05</v>
      </c>
      <c r="M62" s="165">
        <v>8.53</v>
      </c>
      <c r="N62" s="165">
        <v>674.1</v>
      </c>
      <c r="O62" s="165">
        <v>0</v>
      </c>
      <c r="P62" s="165">
        <v>0.68</v>
      </c>
      <c r="Q62" s="165">
        <v>4.84</v>
      </c>
      <c r="R62" s="13"/>
      <c r="S62" s="13"/>
      <c r="T62" s="213"/>
      <c r="U62" s="13"/>
    </row>
    <row r="63" customFormat="1" spans="1:21">
      <c r="A63" s="142" t="s">
        <v>1740</v>
      </c>
      <c r="B63" s="165">
        <v>5.55</v>
      </c>
      <c r="C63" s="165">
        <v>53.27</v>
      </c>
      <c r="D63" s="165">
        <v>33.63</v>
      </c>
      <c r="E63" s="165">
        <v>21.78</v>
      </c>
      <c r="F63" s="165">
        <v>41.63</v>
      </c>
      <c r="G63" s="165">
        <v>61.35</v>
      </c>
      <c r="H63" s="165">
        <v>25.47</v>
      </c>
      <c r="I63" s="165">
        <v>5.98</v>
      </c>
      <c r="J63" s="165">
        <v>1.01</v>
      </c>
      <c r="K63" s="165">
        <v>298.03</v>
      </c>
      <c r="L63" s="165">
        <v>42.06</v>
      </c>
      <c r="M63" s="165">
        <v>8.73</v>
      </c>
      <c r="N63" s="165">
        <v>646.7</v>
      </c>
      <c r="O63" s="165">
        <v>0</v>
      </c>
      <c r="P63" s="165">
        <v>0.65</v>
      </c>
      <c r="Q63" s="165">
        <v>4.85</v>
      </c>
      <c r="R63" s="13"/>
      <c r="S63" s="13"/>
      <c r="T63" s="213"/>
      <c r="U63" s="13"/>
    </row>
    <row r="64" customFormat="1" spans="1:21">
      <c r="A64" s="142" t="s">
        <v>1741</v>
      </c>
      <c r="B64" s="165">
        <v>5.53</v>
      </c>
      <c r="C64" s="165">
        <v>56.93</v>
      </c>
      <c r="D64" s="165">
        <v>35.53</v>
      </c>
      <c r="E64" s="165">
        <v>17.67</v>
      </c>
      <c r="F64" s="165">
        <v>40.56</v>
      </c>
      <c r="G64" s="165">
        <v>58.63</v>
      </c>
      <c r="H64" s="165">
        <v>23.24</v>
      </c>
      <c r="I64" s="165">
        <v>5.93</v>
      </c>
      <c r="J64" s="165">
        <v>0.95</v>
      </c>
      <c r="K64" s="165">
        <v>300.38</v>
      </c>
      <c r="L64" s="165">
        <v>42.19</v>
      </c>
      <c r="M64" s="165">
        <v>8.39</v>
      </c>
      <c r="N64" s="165">
        <v>636.1</v>
      </c>
      <c r="O64" s="165">
        <v>0</v>
      </c>
      <c r="P64" s="165">
        <v>0.65</v>
      </c>
      <c r="Q64" s="165">
        <v>4.82</v>
      </c>
      <c r="R64" s="13"/>
      <c r="S64" s="13"/>
      <c r="T64" s="213"/>
      <c r="U64" s="13"/>
    </row>
    <row r="65" customFormat="1" spans="1:21">
      <c r="A65" s="142" t="s">
        <v>1742</v>
      </c>
      <c r="B65" s="165">
        <v>5.53</v>
      </c>
      <c r="C65" s="165">
        <v>55.8</v>
      </c>
      <c r="D65" s="165">
        <v>34.94</v>
      </c>
      <c r="E65" s="165">
        <v>20</v>
      </c>
      <c r="F65" s="165">
        <v>36.33</v>
      </c>
      <c r="G65" s="165">
        <v>58.63</v>
      </c>
      <c r="H65" s="165">
        <v>23.24</v>
      </c>
      <c r="I65" s="165">
        <v>5.95</v>
      </c>
      <c r="J65" s="165">
        <v>0.76</v>
      </c>
      <c r="K65" s="165">
        <v>280.59</v>
      </c>
      <c r="L65" s="165">
        <v>42.6</v>
      </c>
      <c r="M65" s="165">
        <v>8.23</v>
      </c>
      <c r="N65" s="165">
        <v>602.4</v>
      </c>
      <c r="O65" s="165">
        <v>0</v>
      </c>
      <c r="P65" s="165">
        <v>0.61</v>
      </c>
      <c r="Q65" s="165">
        <v>4.84</v>
      </c>
      <c r="R65" s="13"/>
      <c r="S65" s="13"/>
      <c r="T65" s="213"/>
      <c r="U65" s="13"/>
    </row>
    <row r="66" customFormat="1" spans="1:21">
      <c r="A66" s="142" t="s">
        <v>1743</v>
      </c>
      <c r="B66" s="165">
        <v>5.57</v>
      </c>
      <c r="C66" s="165">
        <v>56.96</v>
      </c>
      <c r="D66" s="165">
        <v>35.57</v>
      </c>
      <c r="E66" s="165">
        <v>18.12</v>
      </c>
      <c r="F66" s="165">
        <v>41.61</v>
      </c>
      <c r="G66" s="165">
        <v>58.63</v>
      </c>
      <c r="H66" s="165">
        <v>23.24</v>
      </c>
      <c r="I66" s="165">
        <v>5.96</v>
      </c>
      <c r="J66" s="165">
        <v>0.61</v>
      </c>
      <c r="K66" s="165">
        <v>311</v>
      </c>
      <c r="L66" s="165">
        <v>42.42</v>
      </c>
      <c r="M66" s="165">
        <v>8.21</v>
      </c>
      <c r="N66" s="165">
        <v>602.5</v>
      </c>
      <c r="O66" s="165">
        <v>0</v>
      </c>
      <c r="P66" s="165">
        <v>0.62</v>
      </c>
      <c r="Q66" s="165">
        <v>4.84</v>
      </c>
      <c r="R66" s="13"/>
      <c r="S66" s="13"/>
      <c r="T66" s="213"/>
      <c r="U66" s="13"/>
    </row>
    <row r="67" customFormat="1" spans="1:21">
      <c r="A67" s="142" t="s">
        <v>1744</v>
      </c>
      <c r="B67" s="165">
        <v>5.32</v>
      </c>
      <c r="C67" s="165">
        <v>51.47</v>
      </c>
      <c r="D67" s="165">
        <v>32.51</v>
      </c>
      <c r="E67" s="165">
        <v>25.65</v>
      </c>
      <c r="F67" s="165">
        <v>50.07</v>
      </c>
      <c r="G67" s="165">
        <v>57.82</v>
      </c>
      <c r="H67" s="165">
        <v>22.61</v>
      </c>
      <c r="I67" s="165">
        <v>6.11</v>
      </c>
      <c r="J67" s="165">
        <v>0.66</v>
      </c>
      <c r="K67" s="165">
        <v>308.45</v>
      </c>
      <c r="L67" s="165">
        <v>42.46</v>
      </c>
      <c r="M67" s="165">
        <v>8.02</v>
      </c>
      <c r="N67" s="165">
        <v>592.6</v>
      </c>
      <c r="O67" s="165">
        <v>0</v>
      </c>
      <c r="P67" s="165">
        <v>0.58</v>
      </c>
      <c r="Q67" s="165">
        <v>4.87</v>
      </c>
      <c r="R67" s="13"/>
      <c r="S67" s="13"/>
      <c r="T67" s="213"/>
      <c r="U67" s="13"/>
    </row>
    <row r="68" customFormat="1" spans="1:21">
      <c r="A68" s="142" t="s">
        <v>1745</v>
      </c>
      <c r="B68" s="165">
        <v>5.36</v>
      </c>
      <c r="C68" s="165">
        <v>59.08</v>
      </c>
      <c r="D68" s="165">
        <v>36.52</v>
      </c>
      <c r="E68" s="165">
        <v>16.69</v>
      </c>
      <c r="F68" s="165">
        <v>28.32</v>
      </c>
      <c r="G68" s="165">
        <v>55.83</v>
      </c>
      <c r="H68" s="165">
        <v>21.63</v>
      </c>
      <c r="I68" s="165">
        <v>5.8</v>
      </c>
      <c r="J68" s="165">
        <v>1.11</v>
      </c>
      <c r="K68" s="165">
        <v>277.57</v>
      </c>
      <c r="L68" s="165">
        <v>42.23</v>
      </c>
      <c r="M68" s="165">
        <v>8.03</v>
      </c>
      <c r="N68" s="165">
        <v>537.4</v>
      </c>
      <c r="O68" s="165">
        <v>0</v>
      </c>
      <c r="P68" s="165">
        <v>0.62</v>
      </c>
      <c r="Q68" s="165">
        <v>4.85</v>
      </c>
      <c r="R68" s="13"/>
      <c r="S68" s="13"/>
      <c r="T68" s="213"/>
      <c r="U68" s="13"/>
    </row>
    <row r="69" customFormat="1" spans="1:21">
      <c r="A69" s="142" t="s">
        <v>1746</v>
      </c>
      <c r="B69" s="165">
        <v>6.02</v>
      </c>
      <c r="C69" s="165">
        <v>57.85</v>
      </c>
      <c r="D69" s="165">
        <v>36.4</v>
      </c>
      <c r="E69" s="165">
        <v>14.98</v>
      </c>
      <c r="F69" s="165">
        <v>34.5</v>
      </c>
      <c r="G69" s="165">
        <v>55.83</v>
      </c>
      <c r="H69" s="165">
        <v>21.63</v>
      </c>
      <c r="I69" s="165">
        <v>5.44</v>
      </c>
      <c r="J69" s="165">
        <v>1.19</v>
      </c>
      <c r="K69" s="165">
        <v>301.94</v>
      </c>
      <c r="L69" s="165">
        <v>42.17</v>
      </c>
      <c r="M69" s="165">
        <v>7.71</v>
      </c>
      <c r="N69" s="165">
        <v>524.4</v>
      </c>
      <c r="O69" s="165">
        <v>0</v>
      </c>
      <c r="P69" s="165">
        <v>0.61</v>
      </c>
      <c r="Q69" s="165">
        <v>4.83</v>
      </c>
      <c r="R69" s="13"/>
      <c r="S69" s="13"/>
      <c r="T69" s="213"/>
      <c r="U69" s="13"/>
    </row>
    <row r="70" customFormat="1" spans="1:21">
      <c r="A70" s="142" t="s">
        <v>1747</v>
      </c>
      <c r="B70" s="165">
        <v>5.49</v>
      </c>
      <c r="C70" s="165">
        <v>53.78</v>
      </c>
      <c r="D70" s="165">
        <v>33.85</v>
      </c>
      <c r="E70" s="165">
        <v>14.53</v>
      </c>
      <c r="F70" s="165">
        <v>43.82</v>
      </c>
      <c r="G70" s="165">
        <v>55.83</v>
      </c>
      <c r="H70" s="165">
        <v>21.63</v>
      </c>
      <c r="I70" s="165">
        <v>5.68</v>
      </c>
      <c r="J70" s="165">
        <v>0.56</v>
      </c>
      <c r="K70" s="165">
        <v>296.78</v>
      </c>
      <c r="L70" s="165">
        <v>42.38</v>
      </c>
      <c r="M70" s="165">
        <v>7.45</v>
      </c>
      <c r="N70" s="165">
        <v>474.2</v>
      </c>
      <c r="O70" s="165">
        <v>0</v>
      </c>
      <c r="P70" s="165">
        <v>0.56</v>
      </c>
      <c r="Q70" s="165">
        <v>4.84</v>
      </c>
      <c r="R70" s="13"/>
      <c r="S70" s="13"/>
      <c r="T70" s="213"/>
      <c r="U70" s="13"/>
    </row>
    <row r="71" customFormat="1" spans="1:21">
      <c r="A71" s="142" t="s">
        <v>1748</v>
      </c>
      <c r="B71" s="165">
        <v>5.5</v>
      </c>
      <c r="C71" s="165">
        <v>50.74</v>
      </c>
      <c r="D71" s="165">
        <v>32.28</v>
      </c>
      <c r="E71" s="165">
        <v>14.61</v>
      </c>
      <c r="F71" s="165">
        <v>57.75</v>
      </c>
      <c r="G71" s="165">
        <v>53.82</v>
      </c>
      <c r="H71" s="165">
        <v>21.8</v>
      </c>
      <c r="I71" s="165">
        <v>5.55</v>
      </c>
      <c r="J71" s="165">
        <v>0.42</v>
      </c>
      <c r="K71" s="165">
        <v>275.38</v>
      </c>
      <c r="L71" s="165">
        <v>42.13</v>
      </c>
      <c r="M71" s="165">
        <v>8.04</v>
      </c>
      <c r="N71" s="165">
        <v>370.5</v>
      </c>
      <c r="O71" s="165">
        <v>0</v>
      </c>
      <c r="P71" s="165">
        <v>0.51</v>
      </c>
      <c r="Q71" s="165">
        <v>4.78</v>
      </c>
      <c r="R71" s="13"/>
      <c r="S71" s="13"/>
      <c r="T71" s="213"/>
      <c r="U71" s="13"/>
    </row>
    <row r="72" customFormat="1" spans="1:21">
      <c r="A72" s="142" t="s">
        <v>1749</v>
      </c>
      <c r="B72" s="165">
        <v>6.15</v>
      </c>
      <c r="C72" s="165">
        <v>52.05</v>
      </c>
      <c r="D72" s="165">
        <v>33.48</v>
      </c>
      <c r="E72" s="165">
        <v>17.49</v>
      </c>
      <c r="F72" s="165">
        <v>58.15</v>
      </c>
      <c r="G72" s="165">
        <v>48.86</v>
      </c>
      <c r="H72" s="165">
        <v>22.07</v>
      </c>
      <c r="I72" s="165">
        <v>5.22</v>
      </c>
      <c r="J72" s="165">
        <v>0.72</v>
      </c>
      <c r="K72" s="165">
        <v>42.47</v>
      </c>
      <c r="L72" s="165">
        <v>42.22</v>
      </c>
      <c r="M72" s="165">
        <v>8.3</v>
      </c>
      <c r="N72" s="165">
        <v>336.7</v>
      </c>
      <c r="O72" s="165">
        <v>0</v>
      </c>
      <c r="P72" s="165">
        <v>0.51</v>
      </c>
      <c r="Q72" s="165">
        <v>4.72</v>
      </c>
      <c r="R72" s="13"/>
      <c r="S72" s="13"/>
      <c r="T72" s="213"/>
      <c r="U72" s="13"/>
    </row>
    <row r="73" customFormat="1" spans="1:21">
      <c r="A73" s="142" t="s">
        <v>1750</v>
      </c>
      <c r="B73" s="165">
        <v>6.05</v>
      </c>
      <c r="C73" s="165">
        <v>49.64</v>
      </c>
      <c r="D73" s="165">
        <v>32.14</v>
      </c>
      <c r="E73" s="165">
        <v>18.85</v>
      </c>
      <c r="F73" s="165">
        <v>68.38</v>
      </c>
      <c r="G73" s="165">
        <v>48.86</v>
      </c>
      <c r="H73" s="165">
        <v>22.07</v>
      </c>
      <c r="I73" s="165">
        <v>4.46</v>
      </c>
      <c r="J73" s="165">
        <v>0.23</v>
      </c>
      <c r="K73" s="165">
        <v>60.23</v>
      </c>
      <c r="L73" s="165">
        <v>41.97</v>
      </c>
      <c r="M73" s="165">
        <v>8.22</v>
      </c>
      <c r="N73" s="165">
        <v>291.3</v>
      </c>
      <c r="O73" s="165">
        <v>0</v>
      </c>
      <c r="P73" s="165">
        <v>0.49</v>
      </c>
      <c r="Q73" s="165">
        <v>4.65</v>
      </c>
      <c r="R73" s="13"/>
      <c r="S73" s="13"/>
      <c r="T73" s="213"/>
      <c r="U73" s="13"/>
    </row>
    <row r="74" customFormat="1" spans="1:21">
      <c r="A74" s="142" t="s">
        <v>1751</v>
      </c>
      <c r="B74" s="165">
        <v>4.84</v>
      </c>
      <c r="C74" s="165">
        <v>46.29</v>
      </c>
      <c r="D74" s="165">
        <v>29.42</v>
      </c>
      <c r="E74" s="165">
        <v>19.66</v>
      </c>
      <c r="F74" s="165">
        <v>79.52</v>
      </c>
      <c r="G74" s="165">
        <v>48.86</v>
      </c>
      <c r="H74" s="165">
        <v>22.07</v>
      </c>
      <c r="I74" s="165">
        <v>4.07</v>
      </c>
      <c r="J74" s="165">
        <v>0.24</v>
      </c>
      <c r="K74" s="165">
        <v>285.54</v>
      </c>
      <c r="L74" s="165">
        <v>41.87</v>
      </c>
      <c r="M74" s="165">
        <v>8.56</v>
      </c>
      <c r="N74" s="165">
        <v>246.4</v>
      </c>
      <c r="O74" s="165">
        <v>0</v>
      </c>
      <c r="P74" s="165">
        <v>0.46</v>
      </c>
      <c r="Q74" s="165">
        <v>4.66</v>
      </c>
      <c r="R74" s="13"/>
      <c r="S74" s="13"/>
      <c r="T74" s="213"/>
      <c r="U74" s="13"/>
    </row>
    <row r="75" customFormat="1" spans="1:21">
      <c r="A75" s="142" t="s">
        <v>1752</v>
      </c>
      <c r="B75" s="165">
        <v>6.93</v>
      </c>
      <c r="C75" s="165">
        <v>53.91</v>
      </c>
      <c r="D75" s="165">
        <v>35.07</v>
      </c>
      <c r="E75" s="165">
        <v>20.92</v>
      </c>
      <c r="F75" s="165">
        <v>65.74</v>
      </c>
      <c r="G75" s="165">
        <v>48.16</v>
      </c>
      <c r="H75" s="165">
        <v>21.47</v>
      </c>
      <c r="I75" s="165">
        <v>4.19</v>
      </c>
      <c r="J75" s="165">
        <v>0.53</v>
      </c>
      <c r="K75" s="165">
        <v>42.65</v>
      </c>
      <c r="L75" s="165">
        <v>41.59</v>
      </c>
      <c r="M75" s="165">
        <v>8.67</v>
      </c>
      <c r="N75" s="165">
        <v>202.1</v>
      </c>
      <c r="O75" s="165">
        <v>0</v>
      </c>
      <c r="P75" s="165">
        <v>0.53</v>
      </c>
      <c r="Q75" s="165">
        <v>4.59</v>
      </c>
      <c r="R75" s="13"/>
      <c r="S75" s="13"/>
      <c r="T75" s="213"/>
      <c r="U75" s="13"/>
    </row>
    <row r="76" customFormat="1" spans="1:21">
      <c r="A76" s="142" t="s">
        <v>1753</v>
      </c>
      <c r="B76" s="165">
        <v>5.44</v>
      </c>
      <c r="C76" s="165">
        <v>53.16</v>
      </c>
      <c r="D76" s="165">
        <v>33.49</v>
      </c>
      <c r="E76" s="165">
        <v>19.43</v>
      </c>
      <c r="F76" s="165">
        <v>60.41</v>
      </c>
      <c r="G76" s="165">
        <v>46.44</v>
      </c>
      <c r="H76" s="165">
        <v>20.52</v>
      </c>
      <c r="I76" s="165">
        <v>4.09</v>
      </c>
      <c r="J76" s="165">
        <v>0.22</v>
      </c>
      <c r="K76" s="165">
        <v>113.32</v>
      </c>
      <c r="L76" s="165">
        <v>41.45</v>
      </c>
      <c r="M76" s="165">
        <v>9.64</v>
      </c>
      <c r="N76" s="165">
        <v>156.8</v>
      </c>
      <c r="O76" s="165">
        <v>0</v>
      </c>
      <c r="P76" s="165">
        <v>0.5</v>
      </c>
      <c r="Q76" s="165">
        <v>4.63</v>
      </c>
      <c r="R76" s="13"/>
      <c r="S76" s="13"/>
      <c r="T76" s="213"/>
      <c r="U76" s="13"/>
    </row>
    <row r="77" customFormat="1" spans="1:21">
      <c r="A77" s="142" t="s">
        <v>1754</v>
      </c>
      <c r="B77" s="165">
        <v>4.5</v>
      </c>
      <c r="C77" s="165">
        <v>46.21</v>
      </c>
      <c r="D77" s="165">
        <v>29.1</v>
      </c>
      <c r="E77" s="165">
        <v>16.48</v>
      </c>
      <c r="F77" s="165">
        <v>63.46</v>
      </c>
      <c r="G77" s="165">
        <v>46.44</v>
      </c>
      <c r="H77" s="165">
        <v>20.52</v>
      </c>
      <c r="I77" s="165">
        <v>3.77</v>
      </c>
      <c r="J77" s="165">
        <v>0.27</v>
      </c>
      <c r="K77" s="165">
        <v>144.57</v>
      </c>
      <c r="L77" s="165">
        <v>41.18</v>
      </c>
      <c r="M77" s="165">
        <v>10.88</v>
      </c>
      <c r="N77" s="165">
        <v>97</v>
      </c>
      <c r="O77" s="165">
        <v>0</v>
      </c>
      <c r="P77" s="165">
        <v>0.47</v>
      </c>
      <c r="Q77" s="165">
        <v>4.7</v>
      </c>
      <c r="R77" s="13"/>
      <c r="S77" s="13"/>
      <c r="T77" s="213"/>
      <c r="U77" s="13"/>
    </row>
    <row r="78" customFormat="1" spans="1:21">
      <c r="A78" s="142" t="s">
        <v>1755</v>
      </c>
      <c r="B78" s="165">
        <v>4.36</v>
      </c>
      <c r="C78" s="165">
        <v>46.37</v>
      </c>
      <c r="D78" s="165">
        <v>29.07</v>
      </c>
      <c r="E78" s="165">
        <v>17.43</v>
      </c>
      <c r="F78" s="165">
        <v>63.2</v>
      </c>
      <c r="G78" s="165">
        <v>46.44</v>
      </c>
      <c r="H78" s="165">
        <v>20.52</v>
      </c>
      <c r="I78" s="165">
        <v>4.09</v>
      </c>
      <c r="J78" s="165">
        <v>0.19</v>
      </c>
      <c r="K78" s="165">
        <v>164.42</v>
      </c>
      <c r="L78" s="165">
        <v>40.28</v>
      </c>
      <c r="M78" s="165">
        <v>12</v>
      </c>
      <c r="N78" s="165">
        <v>65.5</v>
      </c>
      <c r="O78" s="165">
        <v>0</v>
      </c>
      <c r="P78" s="165">
        <v>0.48</v>
      </c>
      <c r="Q78" s="165">
        <v>4.68</v>
      </c>
      <c r="R78" s="13"/>
      <c r="S78" s="13"/>
      <c r="T78" s="213"/>
      <c r="U78" s="13"/>
    </row>
    <row r="79" customFormat="1" spans="1:21">
      <c r="A79" s="142" t="s">
        <v>1756</v>
      </c>
      <c r="B79" s="165">
        <v>4.37</v>
      </c>
      <c r="C79" s="165">
        <v>50.24</v>
      </c>
      <c r="D79" s="165">
        <v>31.11</v>
      </c>
      <c r="E79" s="165">
        <v>15.18</v>
      </c>
      <c r="F79" s="165">
        <v>53.31</v>
      </c>
      <c r="G79" s="165">
        <v>46.82</v>
      </c>
      <c r="H79" s="165">
        <v>19.53</v>
      </c>
      <c r="I79" s="165">
        <v>4.3</v>
      </c>
      <c r="J79" s="165">
        <v>0.22</v>
      </c>
      <c r="K79" s="165">
        <v>209.7</v>
      </c>
      <c r="L79" s="165">
        <v>38.72</v>
      </c>
      <c r="M79" s="165">
        <v>14.98</v>
      </c>
      <c r="N79" s="165">
        <v>15.6</v>
      </c>
      <c r="O79" s="165">
        <v>0</v>
      </c>
      <c r="P79" s="165">
        <v>0.5</v>
      </c>
      <c r="Q79" s="165">
        <v>4.64</v>
      </c>
      <c r="R79" s="13"/>
      <c r="S79" s="13"/>
      <c r="T79" s="213"/>
      <c r="U79" s="13"/>
    </row>
    <row r="80" customFormat="1" spans="1:21">
      <c r="A80" s="142" t="s">
        <v>1757</v>
      </c>
      <c r="B80" s="165">
        <v>4.32</v>
      </c>
      <c r="C80" s="165">
        <v>47.97</v>
      </c>
      <c r="D80" s="165">
        <v>29.88</v>
      </c>
      <c r="E80" s="165">
        <v>12.99</v>
      </c>
      <c r="F80" s="165">
        <v>51.18</v>
      </c>
      <c r="G80" s="165">
        <v>47.61</v>
      </c>
      <c r="H80" s="165">
        <v>18.14</v>
      </c>
      <c r="I80" s="165">
        <v>4.2</v>
      </c>
      <c r="J80" s="165">
        <v>0.21</v>
      </c>
      <c r="K80" s="165">
        <v>155.33</v>
      </c>
      <c r="L80" s="165">
        <v>37.7</v>
      </c>
      <c r="M80" s="165">
        <v>16.25</v>
      </c>
      <c r="N80" s="165">
        <v>0</v>
      </c>
      <c r="O80" s="165">
        <v>0</v>
      </c>
      <c r="P80" s="165">
        <v>0.51</v>
      </c>
      <c r="Q80" s="165">
        <v>4.59</v>
      </c>
      <c r="R80" s="13"/>
      <c r="S80" s="13"/>
      <c r="T80" s="213"/>
      <c r="U80" s="13"/>
    </row>
    <row r="81" customFormat="1" spans="1:21">
      <c r="A81" s="142" t="s">
        <v>1758</v>
      </c>
      <c r="B81" s="165">
        <v>4.53</v>
      </c>
      <c r="C81" s="165">
        <v>54.09</v>
      </c>
      <c r="D81" s="165">
        <v>33.24</v>
      </c>
      <c r="E81" s="165">
        <v>12.22</v>
      </c>
      <c r="F81" s="165">
        <v>41.13</v>
      </c>
      <c r="G81" s="165">
        <v>47.61</v>
      </c>
      <c r="H81" s="165">
        <v>18.14</v>
      </c>
      <c r="I81" s="165">
        <v>4.26</v>
      </c>
      <c r="J81" s="165">
        <v>0.24</v>
      </c>
      <c r="K81" s="165">
        <v>159.99</v>
      </c>
      <c r="L81" s="165">
        <v>36.66</v>
      </c>
      <c r="M81" s="165">
        <v>19.12</v>
      </c>
      <c r="N81" s="165">
        <v>0</v>
      </c>
      <c r="O81" s="165">
        <v>0</v>
      </c>
      <c r="P81" s="165">
        <v>0.56</v>
      </c>
      <c r="Q81" s="165">
        <v>4.57</v>
      </c>
      <c r="R81" s="13"/>
      <c r="S81" s="13"/>
      <c r="T81" s="213"/>
      <c r="U81" s="13"/>
    </row>
    <row r="82" customFormat="1" spans="1:21">
      <c r="A82" s="142" t="s">
        <v>1759</v>
      </c>
      <c r="B82" s="165">
        <v>4.55</v>
      </c>
      <c r="C82" s="165">
        <v>50.39</v>
      </c>
      <c r="D82" s="165">
        <v>31.32</v>
      </c>
      <c r="E82" s="165">
        <v>13.11</v>
      </c>
      <c r="F82" s="165">
        <v>42.63</v>
      </c>
      <c r="G82" s="165">
        <v>47.61</v>
      </c>
      <c r="H82" s="165">
        <v>18.14</v>
      </c>
      <c r="I82" s="165">
        <v>4.43</v>
      </c>
      <c r="J82" s="165">
        <v>0.23</v>
      </c>
      <c r="K82" s="165">
        <v>153.22</v>
      </c>
      <c r="L82" s="165">
        <v>35.74</v>
      </c>
      <c r="M82" s="165">
        <v>20.84</v>
      </c>
      <c r="N82" s="165">
        <v>0</v>
      </c>
      <c r="O82" s="165">
        <v>0</v>
      </c>
      <c r="P82" s="165">
        <v>0.55</v>
      </c>
      <c r="Q82" s="165">
        <v>4.62</v>
      </c>
      <c r="R82" s="13"/>
      <c r="S82" s="13"/>
      <c r="T82" s="213"/>
      <c r="U82" s="13"/>
    </row>
    <row r="83" customFormat="1" spans="1:21">
      <c r="A83" s="142" t="s">
        <v>1760</v>
      </c>
      <c r="B83" s="165">
        <v>4.63</v>
      </c>
      <c r="C83" s="165">
        <v>45.63</v>
      </c>
      <c r="D83" s="165">
        <v>28.9</v>
      </c>
      <c r="E83" s="165">
        <v>12.98</v>
      </c>
      <c r="F83" s="165">
        <v>44.63</v>
      </c>
      <c r="G83" s="165">
        <v>48.25</v>
      </c>
      <c r="H83" s="165">
        <v>18.15</v>
      </c>
      <c r="I83" s="165">
        <v>4.87</v>
      </c>
      <c r="J83" s="165">
        <v>0.17</v>
      </c>
      <c r="K83" s="165">
        <v>157.11</v>
      </c>
      <c r="L83" s="165">
        <v>34.85</v>
      </c>
      <c r="M83" s="165">
        <v>22</v>
      </c>
      <c r="N83" s="165">
        <v>0</v>
      </c>
      <c r="O83" s="165">
        <v>0</v>
      </c>
      <c r="P83" s="165">
        <v>0.53</v>
      </c>
      <c r="Q83" s="165">
        <v>4.61</v>
      </c>
      <c r="R83" s="13"/>
      <c r="S83" s="13"/>
      <c r="T83" s="213"/>
      <c r="U83" s="13"/>
    </row>
    <row r="84" customFormat="1" spans="1:21">
      <c r="A84" s="142" t="s">
        <v>1761</v>
      </c>
      <c r="B84" s="165">
        <v>4.79</v>
      </c>
      <c r="C84" s="165">
        <v>46.31</v>
      </c>
      <c r="D84" s="165">
        <v>29.39</v>
      </c>
      <c r="E84" s="165">
        <v>12.01</v>
      </c>
      <c r="F84" s="165">
        <v>36.92</v>
      </c>
      <c r="G84" s="165">
        <v>49.53</v>
      </c>
      <c r="H84" s="165">
        <v>18.17</v>
      </c>
      <c r="I84" s="165">
        <v>4.92</v>
      </c>
      <c r="J84" s="165">
        <v>0.23</v>
      </c>
      <c r="K84" s="165">
        <v>157.73</v>
      </c>
      <c r="L84" s="165">
        <v>34.35</v>
      </c>
      <c r="M84" s="165">
        <v>22.12</v>
      </c>
      <c r="N84" s="165">
        <v>0</v>
      </c>
      <c r="O84" s="165">
        <v>0</v>
      </c>
      <c r="P84" s="165">
        <v>0.56</v>
      </c>
      <c r="Q84" s="165">
        <v>4.63</v>
      </c>
      <c r="R84" s="13"/>
      <c r="S84" s="13"/>
      <c r="T84" s="213"/>
      <c r="U84" s="13"/>
    </row>
    <row r="85" customFormat="1" spans="1:21">
      <c r="A85" s="142" t="s">
        <v>1762</v>
      </c>
      <c r="B85" s="165">
        <v>5.34</v>
      </c>
      <c r="C85" s="165">
        <v>51.9</v>
      </c>
      <c r="D85" s="165">
        <v>32.75</v>
      </c>
      <c r="E85" s="165">
        <v>11.06</v>
      </c>
      <c r="F85" s="165">
        <v>20.72</v>
      </c>
      <c r="G85" s="165">
        <v>49.53</v>
      </c>
      <c r="H85" s="165">
        <v>18.17</v>
      </c>
      <c r="I85" s="165">
        <v>5.07</v>
      </c>
      <c r="J85" s="165">
        <v>0.18</v>
      </c>
      <c r="K85" s="165">
        <v>159.48</v>
      </c>
      <c r="L85" s="165">
        <v>33.7</v>
      </c>
      <c r="M85" s="165">
        <v>25.23</v>
      </c>
      <c r="N85" s="165">
        <v>0</v>
      </c>
      <c r="O85" s="165">
        <v>0</v>
      </c>
      <c r="P85" s="165">
        <v>0.61</v>
      </c>
      <c r="Q85" s="165">
        <v>4.58</v>
      </c>
      <c r="R85" s="13"/>
      <c r="S85" s="13"/>
      <c r="T85" s="213"/>
      <c r="U85" s="13"/>
    </row>
    <row r="86" customFormat="1" spans="1:21">
      <c r="A86" s="142" t="s">
        <v>1763</v>
      </c>
      <c r="B86" s="165">
        <v>5.37</v>
      </c>
      <c r="C86" s="165">
        <v>51.39</v>
      </c>
      <c r="D86" s="165">
        <v>32.51</v>
      </c>
      <c r="E86" s="165">
        <v>11.34</v>
      </c>
      <c r="F86" s="165">
        <v>22.97</v>
      </c>
      <c r="G86" s="165">
        <v>49.53</v>
      </c>
      <c r="H86" s="165">
        <v>18.17</v>
      </c>
      <c r="I86" s="165">
        <v>5.33</v>
      </c>
      <c r="J86" s="165">
        <v>0.18</v>
      </c>
      <c r="K86" s="165">
        <v>206.29</v>
      </c>
      <c r="L86" s="165">
        <v>33.19</v>
      </c>
      <c r="M86" s="165">
        <v>23.81</v>
      </c>
      <c r="N86" s="165">
        <v>0</v>
      </c>
      <c r="O86" s="165">
        <v>0</v>
      </c>
      <c r="P86" s="165">
        <v>0.62</v>
      </c>
      <c r="Q86" s="165">
        <v>4.64</v>
      </c>
      <c r="R86" s="13"/>
      <c r="S86" s="13"/>
      <c r="T86" s="213"/>
      <c r="U86" s="13"/>
    </row>
    <row r="87" customFormat="1" spans="1:21">
      <c r="A87" s="142" t="s">
        <v>1764</v>
      </c>
      <c r="B87" s="165">
        <v>5.56</v>
      </c>
      <c r="C87" s="165">
        <v>51.65</v>
      </c>
      <c r="D87" s="165">
        <v>32.8</v>
      </c>
      <c r="E87" s="165">
        <v>11.29</v>
      </c>
      <c r="F87" s="165">
        <v>26.17</v>
      </c>
      <c r="G87" s="165">
        <v>51.17</v>
      </c>
      <c r="H87" s="165">
        <v>17.67</v>
      </c>
      <c r="I87" s="165">
        <v>5.56</v>
      </c>
      <c r="J87" s="165">
        <v>0.11</v>
      </c>
      <c r="K87" s="165">
        <v>207.49</v>
      </c>
      <c r="L87" s="165">
        <v>32.97</v>
      </c>
      <c r="M87" s="165">
        <v>24.22</v>
      </c>
      <c r="N87" s="165">
        <v>0</v>
      </c>
      <c r="O87" s="165">
        <v>0</v>
      </c>
      <c r="P87" s="165">
        <v>0.63</v>
      </c>
      <c r="Q87" s="165">
        <v>4.67</v>
      </c>
      <c r="R87" s="13"/>
      <c r="S87" s="13"/>
      <c r="T87" s="213"/>
      <c r="U87" s="13"/>
    </row>
    <row r="88" customFormat="1" spans="1:21">
      <c r="A88" s="142" t="s">
        <v>1765</v>
      </c>
      <c r="B88" s="165">
        <v>5.7</v>
      </c>
      <c r="C88" s="165">
        <v>52.67</v>
      </c>
      <c r="D88" s="165">
        <v>33.43</v>
      </c>
      <c r="E88" s="165">
        <v>11.32</v>
      </c>
      <c r="F88" s="165">
        <v>19.71</v>
      </c>
      <c r="G88" s="165">
        <v>54.46</v>
      </c>
      <c r="H88" s="165">
        <v>17.01</v>
      </c>
      <c r="I88" s="165">
        <v>5.75</v>
      </c>
      <c r="J88" s="165">
        <v>0.18</v>
      </c>
      <c r="K88" s="165">
        <v>257.13</v>
      </c>
      <c r="L88" s="165">
        <v>32.75</v>
      </c>
      <c r="M88" s="165">
        <v>24.29</v>
      </c>
      <c r="N88" s="165">
        <v>0</v>
      </c>
      <c r="O88" s="165">
        <v>0</v>
      </c>
      <c r="P88" s="165">
        <v>0.63</v>
      </c>
      <c r="Q88" s="165">
        <v>4.67</v>
      </c>
      <c r="R88" s="13"/>
      <c r="S88" s="13"/>
      <c r="T88" s="213"/>
      <c r="U88" s="13"/>
    </row>
    <row r="89" customFormat="1" spans="1:21">
      <c r="A89" s="142" t="s">
        <v>1766</v>
      </c>
      <c r="B89" s="165">
        <v>5.8</v>
      </c>
      <c r="C89" s="165">
        <v>52.28</v>
      </c>
      <c r="D89" s="165">
        <v>33.32</v>
      </c>
      <c r="E89" s="165">
        <v>11.27</v>
      </c>
      <c r="F89" s="165">
        <v>24.01</v>
      </c>
      <c r="G89" s="165">
        <v>54.46</v>
      </c>
      <c r="H89" s="165">
        <v>17.01</v>
      </c>
      <c r="I89" s="165">
        <v>5.74</v>
      </c>
      <c r="J89" s="165">
        <v>0.11</v>
      </c>
      <c r="K89" s="165">
        <v>162.73</v>
      </c>
      <c r="L89" s="165">
        <v>32.79</v>
      </c>
      <c r="M89" s="165">
        <v>24.31</v>
      </c>
      <c r="N89" s="165">
        <v>0</v>
      </c>
      <c r="O89" s="165">
        <v>0</v>
      </c>
      <c r="P89" s="165">
        <v>0.63</v>
      </c>
      <c r="Q89" s="165">
        <v>4.71</v>
      </c>
      <c r="R89" s="13"/>
      <c r="S89" s="13"/>
      <c r="T89" s="213"/>
      <c r="U89" s="13"/>
    </row>
    <row r="90" customFormat="1" spans="1:21">
      <c r="A90" s="142" t="s">
        <v>1767</v>
      </c>
      <c r="B90" s="165">
        <v>5.72</v>
      </c>
      <c r="C90" s="165">
        <v>52.7</v>
      </c>
      <c r="D90" s="165">
        <v>33.47</v>
      </c>
      <c r="E90" s="165">
        <v>11.13</v>
      </c>
      <c r="F90" s="165">
        <v>22.09</v>
      </c>
      <c r="G90" s="165">
        <v>54.46</v>
      </c>
      <c r="H90" s="165">
        <v>17.01</v>
      </c>
      <c r="I90" s="165">
        <v>5.8</v>
      </c>
      <c r="J90" s="165">
        <v>0.23</v>
      </c>
      <c r="K90" s="165">
        <v>159.91</v>
      </c>
      <c r="L90" s="165">
        <v>32.56</v>
      </c>
      <c r="M90" s="165">
        <v>26.86</v>
      </c>
      <c r="N90" s="165">
        <v>0</v>
      </c>
      <c r="O90" s="165">
        <v>0</v>
      </c>
      <c r="P90" s="165">
        <v>0.69</v>
      </c>
      <c r="Q90" s="165">
        <v>4.74</v>
      </c>
      <c r="R90" s="13"/>
      <c r="S90" s="13"/>
      <c r="T90" s="213"/>
      <c r="U90" s="13"/>
    </row>
    <row r="91" customFormat="1" spans="1:21">
      <c r="A91" s="142" t="s">
        <v>1768</v>
      </c>
      <c r="B91" s="165">
        <v>6.15</v>
      </c>
      <c r="C91" s="165">
        <v>55.16</v>
      </c>
      <c r="D91" s="165">
        <v>35.1</v>
      </c>
      <c r="E91" s="165">
        <v>11.54</v>
      </c>
      <c r="F91" s="165">
        <v>20.82</v>
      </c>
      <c r="G91" s="165">
        <v>55.13</v>
      </c>
      <c r="H91" s="165">
        <v>18.35</v>
      </c>
      <c r="I91" s="165">
        <v>6.01</v>
      </c>
      <c r="J91" s="165">
        <v>0.19</v>
      </c>
      <c r="K91" s="165">
        <v>173.17</v>
      </c>
      <c r="L91" s="165">
        <v>31.94</v>
      </c>
      <c r="M91" s="165">
        <v>27.27</v>
      </c>
      <c r="N91" s="165">
        <v>0</v>
      </c>
      <c r="O91" s="165">
        <v>0</v>
      </c>
      <c r="P91" s="165">
        <v>0.67</v>
      </c>
      <c r="Q91" s="165">
        <v>4.74</v>
      </c>
      <c r="R91" s="13"/>
      <c r="S91" s="13"/>
      <c r="T91" s="213"/>
      <c r="U91" s="13"/>
    </row>
    <row r="92" customFormat="1" spans="1:21">
      <c r="A92" s="142" t="s">
        <v>1769</v>
      </c>
      <c r="B92" s="165">
        <v>6.28</v>
      </c>
      <c r="C92" s="165">
        <v>54.73</v>
      </c>
      <c r="D92" s="165">
        <v>34.98</v>
      </c>
      <c r="E92" s="165">
        <v>11.95</v>
      </c>
      <c r="F92" s="165">
        <v>19.84</v>
      </c>
      <c r="G92" s="165">
        <v>56.46</v>
      </c>
      <c r="H92" s="165">
        <v>20.09</v>
      </c>
      <c r="I92" s="165">
        <v>6.02</v>
      </c>
      <c r="J92" s="165">
        <v>0.23</v>
      </c>
      <c r="K92" s="165">
        <v>156.5</v>
      </c>
      <c r="L92" s="165">
        <v>31.76</v>
      </c>
      <c r="M92" s="165">
        <v>29.01</v>
      </c>
      <c r="N92" s="165">
        <v>0</v>
      </c>
      <c r="O92" s="165">
        <v>0</v>
      </c>
      <c r="P92" s="165">
        <v>0.69</v>
      </c>
      <c r="Q92" s="165">
        <v>4.76</v>
      </c>
      <c r="R92" s="13"/>
      <c r="S92" s="13"/>
      <c r="T92" s="213"/>
      <c r="U92" s="13"/>
    </row>
    <row r="93" customFormat="1" spans="1:21">
      <c r="A93" s="142" t="s">
        <v>1770</v>
      </c>
      <c r="B93" s="165">
        <v>6.45</v>
      </c>
      <c r="C93" s="165">
        <v>56.3</v>
      </c>
      <c r="D93" s="165">
        <v>35.94</v>
      </c>
      <c r="E93" s="165">
        <v>11.78</v>
      </c>
      <c r="F93" s="165">
        <v>15.09</v>
      </c>
      <c r="G93" s="165">
        <v>56.46</v>
      </c>
      <c r="H93" s="165">
        <v>20.09</v>
      </c>
      <c r="I93" s="165">
        <v>6.02</v>
      </c>
      <c r="J93" s="165">
        <v>0.17</v>
      </c>
      <c r="K93" s="165">
        <v>165.09</v>
      </c>
      <c r="L93" s="165">
        <v>31.33</v>
      </c>
      <c r="M93" s="165">
        <v>29.53</v>
      </c>
      <c r="N93" s="165">
        <v>0</v>
      </c>
      <c r="O93" s="165">
        <v>0</v>
      </c>
      <c r="P93" s="165">
        <v>0.69</v>
      </c>
      <c r="Q93" s="165">
        <v>4.77</v>
      </c>
      <c r="R93" s="13"/>
      <c r="S93" s="13"/>
      <c r="T93" s="213"/>
      <c r="U93" s="13"/>
    </row>
    <row r="94" customFormat="1" spans="1:21">
      <c r="A94" s="142" t="s">
        <v>1771</v>
      </c>
      <c r="B94" s="165">
        <v>6.6</v>
      </c>
      <c r="C94" s="165">
        <v>56.88</v>
      </c>
      <c r="D94" s="165">
        <v>36.36</v>
      </c>
      <c r="E94" s="165">
        <v>11.5</v>
      </c>
      <c r="F94" s="165">
        <v>17.46</v>
      </c>
      <c r="G94" s="165">
        <v>56.46</v>
      </c>
      <c r="H94" s="165">
        <v>20.09</v>
      </c>
      <c r="I94" s="165">
        <v>6.06</v>
      </c>
      <c r="J94" s="165">
        <v>0.2</v>
      </c>
      <c r="K94" s="165">
        <v>177.8</v>
      </c>
      <c r="L94" s="165">
        <v>31.24</v>
      </c>
      <c r="M94" s="165">
        <v>29.61</v>
      </c>
      <c r="N94" s="165">
        <v>0</v>
      </c>
      <c r="O94" s="165">
        <v>0</v>
      </c>
      <c r="P94" s="165">
        <v>0.71</v>
      </c>
      <c r="Q94" s="165">
        <v>4.82</v>
      </c>
      <c r="R94" s="13"/>
      <c r="S94" s="13"/>
      <c r="T94" s="213"/>
      <c r="U94" s="13"/>
    </row>
    <row r="95" customFormat="1" spans="1:21">
      <c r="A95" s="142" t="s">
        <v>1772</v>
      </c>
      <c r="B95" s="165">
        <v>6.76</v>
      </c>
      <c r="C95" s="165">
        <v>56.53</v>
      </c>
      <c r="D95" s="165">
        <v>36.31</v>
      </c>
      <c r="E95" s="165">
        <v>11.06</v>
      </c>
      <c r="F95" s="165">
        <v>13.75</v>
      </c>
      <c r="G95" s="165">
        <v>56.32</v>
      </c>
      <c r="H95" s="165">
        <v>20.38</v>
      </c>
      <c r="I95" s="165">
        <v>6.13</v>
      </c>
      <c r="J95" s="165">
        <v>0.18</v>
      </c>
      <c r="K95" s="165">
        <v>182.33</v>
      </c>
      <c r="L95" s="165">
        <v>30.94</v>
      </c>
      <c r="M95" s="165">
        <v>30.42</v>
      </c>
      <c r="N95" s="165">
        <v>0</v>
      </c>
      <c r="O95" s="165">
        <v>0</v>
      </c>
      <c r="P95" s="165">
        <v>0.73</v>
      </c>
      <c r="Q95" s="165">
        <v>4.85</v>
      </c>
      <c r="R95" s="13"/>
      <c r="S95" s="13"/>
      <c r="T95" s="213"/>
      <c r="U95" s="13"/>
    </row>
    <row r="96" customFormat="1" spans="1:26">
      <c r="A96" s="142" t="s">
        <v>1773</v>
      </c>
      <c r="B96" s="165">
        <v>6.96</v>
      </c>
      <c r="C96" s="165">
        <v>56.94</v>
      </c>
      <c r="D96" s="165">
        <v>36.68</v>
      </c>
      <c r="E96" s="165">
        <v>11.26</v>
      </c>
      <c r="F96" s="165">
        <v>15.95</v>
      </c>
      <c r="G96" s="165">
        <v>56.04</v>
      </c>
      <c r="H96" s="165">
        <v>20.76</v>
      </c>
      <c r="I96" s="165">
        <v>6.21</v>
      </c>
      <c r="J96" s="165">
        <v>0.19</v>
      </c>
      <c r="K96" s="165">
        <v>179.38</v>
      </c>
      <c r="L96" s="165">
        <v>30.5</v>
      </c>
      <c r="M96" s="165">
        <v>31.74</v>
      </c>
      <c r="N96" s="165">
        <v>0</v>
      </c>
      <c r="O96" s="165">
        <v>0</v>
      </c>
      <c r="P96" s="165">
        <v>0.74</v>
      </c>
      <c r="Q96" s="165">
        <v>4.86</v>
      </c>
      <c r="R96" s="13"/>
      <c r="S96" s="13"/>
      <c r="T96" s="213"/>
      <c r="U96" s="13"/>
      <c r="Z96" s="222"/>
    </row>
    <row r="97" customFormat="1" spans="1:21">
      <c r="A97" s="142" t="s">
        <v>1774</v>
      </c>
      <c r="B97" s="165">
        <v>6.98</v>
      </c>
      <c r="C97" s="165">
        <v>56.07</v>
      </c>
      <c r="D97" s="165">
        <v>36.24</v>
      </c>
      <c r="E97" s="165">
        <v>11.75</v>
      </c>
      <c r="F97" s="165">
        <v>20.13</v>
      </c>
      <c r="G97" s="165">
        <v>56.04</v>
      </c>
      <c r="H97" s="165">
        <v>20.76</v>
      </c>
      <c r="I97" s="165">
        <v>6.27</v>
      </c>
      <c r="J97" s="165">
        <v>0.22</v>
      </c>
      <c r="K97" s="165">
        <v>159.38</v>
      </c>
      <c r="L97" s="165">
        <v>30.48</v>
      </c>
      <c r="M97" s="165">
        <v>31.8</v>
      </c>
      <c r="N97" s="165">
        <v>0</v>
      </c>
      <c r="O97" s="165">
        <v>0</v>
      </c>
      <c r="P97" s="165">
        <v>0.75</v>
      </c>
      <c r="Q97" s="165">
        <v>4.86</v>
      </c>
      <c r="R97" s="13"/>
      <c r="S97" s="13"/>
      <c r="T97" s="213"/>
      <c r="U97" s="13"/>
    </row>
    <row r="98" customFormat="1" spans="1:21">
      <c r="A98" s="142" t="s">
        <v>1775</v>
      </c>
      <c r="B98" s="165">
        <v>7.34</v>
      </c>
      <c r="C98" s="165">
        <v>58.39</v>
      </c>
      <c r="D98" s="165">
        <v>37.74</v>
      </c>
      <c r="E98" s="165">
        <v>11.1</v>
      </c>
      <c r="F98" s="165">
        <v>14.72</v>
      </c>
      <c r="G98" s="165">
        <v>56.04</v>
      </c>
      <c r="H98" s="165">
        <v>20.76</v>
      </c>
      <c r="I98" s="165">
        <v>6.33</v>
      </c>
      <c r="J98" s="165">
        <v>0.2</v>
      </c>
      <c r="K98" s="165">
        <v>157.53</v>
      </c>
      <c r="L98" s="165">
        <v>30.21</v>
      </c>
      <c r="M98" s="165">
        <v>33.36</v>
      </c>
      <c r="N98" s="165">
        <v>0</v>
      </c>
      <c r="O98" s="165">
        <v>0</v>
      </c>
      <c r="P98" s="165">
        <v>0.76</v>
      </c>
      <c r="Q98" s="165">
        <v>4.83</v>
      </c>
      <c r="R98" s="13"/>
      <c r="S98" s="13"/>
      <c r="T98" s="213"/>
      <c r="U98" s="13"/>
    </row>
    <row r="99" customFormat="1" spans="1:21">
      <c r="A99" s="142" t="s">
        <v>1776</v>
      </c>
      <c r="B99" s="165">
        <v>7.35</v>
      </c>
      <c r="C99" s="165">
        <v>55.73</v>
      </c>
      <c r="D99" s="165">
        <v>36.36</v>
      </c>
      <c r="E99" s="165">
        <v>11.71</v>
      </c>
      <c r="F99" s="165">
        <v>17.47</v>
      </c>
      <c r="G99" s="165">
        <v>56.11</v>
      </c>
      <c r="H99" s="165">
        <v>22.92</v>
      </c>
      <c r="I99" s="165">
        <v>6.37</v>
      </c>
      <c r="J99" s="165">
        <v>0.14</v>
      </c>
      <c r="K99" s="165">
        <v>135.83</v>
      </c>
      <c r="L99" s="165">
        <v>29.91</v>
      </c>
      <c r="M99" s="165">
        <v>33.69</v>
      </c>
      <c r="N99" s="165">
        <v>0</v>
      </c>
      <c r="O99" s="165">
        <v>0</v>
      </c>
      <c r="P99" s="165">
        <v>0.76</v>
      </c>
      <c r="Q99" s="165">
        <v>4.85</v>
      </c>
      <c r="R99" s="13"/>
      <c r="S99" s="13"/>
      <c r="T99" s="213"/>
      <c r="U99" s="13"/>
    </row>
    <row r="100" customFormat="1" spans="1:33">
      <c r="A100" s="142" t="s">
        <v>1777</v>
      </c>
      <c r="B100" s="165">
        <v>7.49</v>
      </c>
      <c r="C100" s="165">
        <v>54.05</v>
      </c>
      <c r="D100" s="165">
        <v>35.6</v>
      </c>
      <c r="E100" s="165">
        <v>11.33</v>
      </c>
      <c r="F100" s="165">
        <v>18.16</v>
      </c>
      <c r="G100" s="165">
        <v>56.25</v>
      </c>
      <c r="H100" s="165">
        <v>25.75</v>
      </c>
      <c r="I100" s="165">
        <v>6.41</v>
      </c>
      <c r="J100" s="165">
        <v>0.22</v>
      </c>
      <c r="K100" s="165">
        <v>145.56</v>
      </c>
      <c r="L100" s="165">
        <v>29.92</v>
      </c>
      <c r="M100" s="165">
        <v>35.74</v>
      </c>
      <c r="N100" s="165">
        <v>0</v>
      </c>
      <c r="O100" s="165">
        <v>0</v>
      </c>
      <c r="P100" s="165">
        <v>0.77</v>
      </c>
      <c r="Q100" s="165">
        <v>4.85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1778</v>
      </c>
      <c r="B101" s="165">
        <v>8.09</v>
      </c>
      <c r="C101" s="165">
        <v>56.43</v>
      </c>
      <c r="D101" s="165">
        <v>37.32</v>
      </c>
      <c r="E101" s="165">
        <v>10.61</v>
      </c>
      <c r="F101" s="165">
        <v>13.28</v>
      </c>
      <c r="G101" s="165">
        <v>56.25</v>
      </c>
      <c r="H101" s="165">
        <v>25.75</v>
      </c>
      <c r="I101" s="165">
        <v>6.39</v>
      </c>
      <c r="J101" s="165">
        <v>0.23</v>
      </c>
      <c r="K101" s="165">
        <v>156.38</v>
      </c>
      <c r="L101" s="165">
        <v>29.42</v>
      </c>
      <c r="M101" s="165">
        <v>38.23</v>
      </c>
      <c r="N101" s="165">
        <v>0</v>
      </c>
      <c r="O101" s="165">
        <v>0</v>
      </c>
      <c r="P101" s="165">
        <v>0.77</v>
      </c>
      <c r="Q101" s="165">
        <v>4.86</v>
      </c>
      <c r="R101" s="13"/>
      <c r="S101" s="13"/>
      <c r="T101" s="213"/>
      <c r="U101" s="13"/>
    </row>
    <row r="102" customFormat="1" spans="1:21">
      <c r="A102" s="142" t="s">
        <v>1779</v>
      </c>
      <c r="B102" s="165">
        <v>8.58</v>
      </c>
      <c r="C102" s="165">
        <v>57.7</v>
      </c>
      <c r="D102" s="165">
        <v>38.38</v>
      </c>
      <c r="E102" s="165">
        <v>10.95</v>
      </c>
      <c r="F102" s="165">
        <v>10.99</v>
      </c>
      <c r="G102" s="165">
        <v>56.25</v>
      </c>
      <c r="H102" s="165">
        <v>25.75</v>
      </c>
      <c r="I102" s="165">
        <v>6.45</v>
      </c>
      <c r="J102" s="165">
        <v>0.21</v>
      </c>
      <c r="K102" s="165">
        <v>189.02</v>
      </c>
      <c r="L102" s="165">
        <v>28.99</v>
      </c>
      <c r="M102" s="165">
        <v>37.05</v>
      </c>
      <c r="N102" s="165">
        <v>0</v>
      </c>
      <c r="O102" s="165">
        <v>0</v>
      </c>
      <c r="P102" s="165">
        <v>0.77</v>
      </c>
      <c r="Q102" s="165">
        <v>4.88</v>
      </c>
      <c r="R102" s="13"/>
      <c r="S102" s="13"/>
      <c r="T102" s="213"/>
      <c r="U102" s="13"/>
    </row>
    <row r="103" customFormat="1" spans="1:21">
      <c r="A103" s="142" t="s">
        <v>1780</v>
      </c>
      <c r="B103" s="165">
        <v>9.02</v>
      </c>
      <c r="C103" s="165">
        <v>59.49</v>
      </c>
      <c r="D103" s="165">
        <v>39.67</v>
      </c>
      <c r="E103" s="165">
        <v>10.93</v>
      </c>
      <c r="F103" s="165">
        <v>12.4</v>
      </c>
      <c r="G103" s="165">
        <v>56.14</v>
      </c>
      <c r="H103" s="165">
        <v>24.43</v>
      </c>
      <c r="I103" s="165">
        <v>6.58</v>
      </c>
      <c r="J103" s="165">
        <v>0.21</v>
      </c>
      <c r="K103" s="165">
        <v>192.4</v>
      </c>
      <c r="L103" s="165">
        <v>28.78</v>
      </c>
      <c r="M103" s="165">
        <v>36.63</v>
      </c>
      <c r="N103" s="165">
        <v>0</v>
      </c>
      <c r="O103" s="165">
        <v>0</v>
      </c>
      <c r="P103" s="165">
        <v>0.77</v>
      </c>
      <c r="Q103" s="165">
        <v>4.92</v>
      </c>
      <c r="R103" s="13"/>
      <c r="S103" s="13"/>
      <c r="T103" s="213"/>
      <c r="U103" s="13"/>
    </row>
    <row r="104" customFormat="1" spans="1:21">
      <c r="A104" s="142" t="s">
        <v>1781</v>
      </c>
      <c r="B104" s="165">
        <v>9.13</v>
      </c>
      <c r="C104" s="165">
        <v>57.76</v>
      </c>
      <c r="D104" s="165">
        <v>38.85</v>
      </c>
      <c r="E104" s="165">
        <v>10.78</v>
      </c>
      <c r="F104" s="165">
        <v>11.26</v>
      </c>
      <c r="G104" s="165">
        <v>55.93</v>
      </c>
      <c r="H104" s="165">
        <v>22.7</v>
      </c>
      <c r="I104" s="165">
        <v>6.65</v>
      </c>
      <c r="J104" s="165">
        <v>0.19</v>
      </c>
      <c r="K104" s="165">
        <v>187.09</v>
      </c>
      <c r="L104" s="165">
        <v>28.59</v>
      </c>
      <c r="M104" s="165">
        <v>38.57</v>
      </c>
      <c r="N104" s="165">
        <v>0</v>
      </c>
      <c r="O104" s="165">
        <v>0</v>
      </c>
      <c r="P104" s="165">
        <v>0.78</v>
      </c>
      <c r="Q104" s="165">
        <v>4.96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4.32</v>
      </c>
      <c r="C106" s="215">
        <f>MIN(C9:C104)</f>
        <v>45.63</v>
      </c>
      <c r="D106" s="215">
        <f t="shared" ref="D106:Q106" si="0">MIN(D9:D104)</f>
        <v>28.9</v>
      </c>
      <c r="E106" s="215">
        <f t="shared" si="0"/>
        <v>6.71</v>
      </c>
      <c r="F106" s="215">
        <f t="shared" si="0"/>
        <v>4.01</v>
      </c>
      <c r="G106" s="215">
        <f t="shared" si="0"/>
        <v>46.44</v>
      </c>
      <c r="H106" s="215">
        <f t="shared" si="0"/>
        <v>17.01</v>
      </c>
      <c r="I106" s="215">
        <f t="shared" si="0"/>
        <v>3.77</v>
      </c>
      <c r="J106" s="215">
        <f t="shared" si="0"/>
        <v>0.11</v>
      </c>
      <c r="K106" s="215">
        <f t="shared" si="0"/>
        <v>1.09</v>
      </c>
      <c r="L106" s="215">
        <f t="shared" si="0"/>
        <v>25.73</v>
      </c>
      <c r="M106" s="215">
        <f t="shared" si="0"/>
        <v>7.45</v>
      </c>
      <c r="N106" s="215">
        <f t="shared" si="0"/>
        <v>0</v>
      </c>
      <c r="O106" s="215">
        <f t="shared" si="0"/>
        <v>0</v>
      </c>
      <c r="P106" s="215">
        <f t="shared" si="0"/>
        <v>0.46</v>
      </c>
      <c r="Q106" s="215">
        <f t="shared" si="0"/>
        <v>4.57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18.64</v>
      </c>
      <c r="C107" s="216">
        <f t="shared" ref="C107:Q107" si="1">MAX(C9:C104)</f>
        <v>71.82</v>
      </c>
      <c r="D107" s="216">
        <f t="shared" si="1"/>
        <v>51</v>
      </c>
      <c r="E107" s="216">
        <f t="shared" si="1"/>
        <v>27.38</v>
      </c>
      <c r="F107" s="216">
        <f t="shared" si="1"/>
        <v>79.52</v>
      </c>
      <c r="G107" s="216">
        <f t="shared" si="1"/>
        <v>73.25</v>
      </c>
      <c r="H107" s="216">
        <f t="shared" si="1"/>
        <v>34.48</v>
      </c>
      <c r="I107" s="216">
        <f t="shared" si="1"/>
        <v>8.47</v>
      </c>
      <c r="J107" s="216">
        <f t="shared" si="1"/>
        <v>1.19</v>
      </c>
      <c r="K107" s="216">
        <f t="shared" si="1"/>
        <v>337.93</v>
      </c>
      <c r="L107" s="216">
        <f t="shared" si="1"/>
        <v>42.6</v>
      </c>
      <c r="M107" s="216">
        <f t="shared" si="1"/>
        <v>48.24</v>
      </c>
      <c r="N107" s="216">
        <f t="shared" si="1"/>
        <v>746.9</v>
      </c>
      <c r="O107" s="216">
        <f t="shared" si="1"/>
        <v>0</v>
      </c>
      <c r="P107" s="216">
        <f t="shared" si="1"/>
        <v>1.03</v>
      </c>
      <c r="Q107" s="216">
        <f t="shared" si="1"/>
        <v>5.74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9.90010416666667</v>
      </c>
      <c r="C108" s="215">
        <f t="shared" ref="C108:Q108" si="2">AVERAGE(C9:C104)</f>
        <v>59.6520833333333</v>
      </c>
      <c r="D108" s="215">
        <f t="shared" si="2"/>
        <v>40.4594791666667</v>
      </c>
      <c r="E108" s="215">
        <f t="shared" si="2"/>
        <v>12.8786458333333</v>
      </c>
      <c r="F108" s="215">
        <f t="shared" si="2"/>
        <v>23.0716666666667</v>
      </c>
      <c r="G108" s="215">
        <f t="shared" si="2"/>
        <v>56.10375</v>
      </c>
      <c r="H108" s="215">
        <f t="shared" si="2"/>
        <v>22.9333333333333</v>
      </c>
      <c r="I108" s="215">
        <f t="shared" si="2"/>
        <v>6.62729166666666</v>
      </c>
      <c r="J108" s="215">
        <f t="shared" si="2"/>
        <v>0.4234375</v>
      </c>
      <c r="K108" s="215">
        <f t="shared" si="2"/>
        <v>202.411354166667</v>
      </c>
      <c r="L108" s="215">
        <f t="shared" si="2"/>
        <v>33.660625</v>
      </c>
      <c r="M108" s="215">
        <f t="shared" si="2"/>
        <v>27.0986458333334</v>
      </c>
      <c r="N108" s="215">
        <f t="shared" si="2"/>
        <v>193.794791666667</v>
      </c>
      <c r="O108" s="215">
        <f t="shared" si="2"/>
        <v>0</v>
      </c>
      <c r="P108" s="215">
        <f t="shared" si="2"/>
        <v>0.744479166666666</v>
      </c>
      <c r="Q108" s="215">
        <f t="shared" si="2"/>
        <v>5.154375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5.26022382849601</v>
      </c>
      <c r="C109" s="215">
        <f t="shared" ref="C109:Q109" si="3">STDEV(C9:C104)</f>
        <v>6.61157038701518</v>
      </c>
      <c r="D109" s="215">
        <f t="shared" si="3"/>
        <v>7.01525696266309</v>
      </c>
      <c r="E109" s="215">
        <f t="shared" si="3"/>
        <v>5.01411410442493</v>
      </c>
      <c r="F109" s="215">
        <f t="shared" si="3"/>
        <v>18.9393063101258</v>
      </c>
      <c r="G109" s="215">
        <f t="shared" si="3"/>
        <v>6.2211916695657</v>
      </c>
      <c r="H109" s="215">
        <f t="shared" si="3"/>
        <v>4.46659924012999</v>
      </c>
      <c r="I109" s="215">
        <f t="shared" si="3"/>
        <v>1.21221891297837</v>
      </c>
      <c r="J109" s="215">
        <f t="shared" si="3"/>
        <v>0.321158521687704</v>
      </c>
      <c r="K109" s="215">
        <f t="shared" si="3"/>
        <v>70.0033375237404</v>
      </c>
      <c r="L109" s="215">
        <f t="shared" si="3"/>
        <v>5.98895137337344</v>
      </c>
      <c r="M109" s="215">
        <f t="shared" si="3"/>
        <v>13.3829190915169</v>
      </c>
      <c r="N109" s="215">
        <f t="shared" si="3"/>
        <v>266.238983016858</v>
      </c>
      <c r="O109" s="215">
        <f t="shared" si="3"/>
        <v>0</v>
      </c>
      <c r="P109" s="215">
        <f t="shared" si="3"/>
        <v>0.140434437159661</v>
      </c>
      <c r="Q109" s="215">
        <f t="shared" si="3"/>
        <v>0.413742387431956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48" activePane="bottomRight" state="frozen"/>
      <selection/>
      <selection pane="topRight"/>
      <selection pane="bottomLeft"/>
      <selection pane="bottomRight" activeCell="G58" sqref="G58:H63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19/04/2023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3" t="s">
        <v>1782</v>
      </c>
      <c r="B9" s="224">
        <v>9.2</v>
      </c>
      <c r="C9" s="224">
        <v>57.73</v>
      </c>
      <c r="D9" s="224">
        <v>38.89</v>
      </c>
      <c r="E9" s="224">
        <v>10.52</v>
      </c>
      <c r="F9" s="224">
        <v>11.97</v>
      </c>
      <c r="G9" s="224">
        <v>55.93</v>
      </c>
      <c r="H9" s="224">
        <v>22.7</v>
      </c>
      <c r="I9" s="224">
        <v>6.7</v>
      </c>
      <c r="J9" s="224">
        <v>0.16</v>
      </c>
      <c r="K9" s="224">
        <v>161.3</v>
      </c>
      <c r="L9" s="224">
        <v>28.38</v>
      </c>
      <c r="M9" s="224">
        <v>39.29</v>
      </c>
      <c r="N9" s="224">
        <v>0</v>
      </c>
      <c r="O9" s="224">
        <v>0</v>
      </c>
      <c r="P9" s="224">
        <v>0.79</v>
      </c>
      <c r="Q9" s="224">
        <v>4.97</v>
      </c>
      <c r="R9" s="13"/>
      <c r="S9" s="13"/>
      <c r="T9" s="213"/>
      <c r="U9" s="13"/>
    </row>
    <row r="10" customFormat="1" spans="1:21">
      <c r="A10" s="13" t="s">
        <v>1783</v>
      </c>
      <c r="B10" s="224">
        <v>9.71</v>
      </c>
      <c r="C10" s="224">
        <v>58.6</v>
      </c>
      <c r="D10" s="224">
        <v>39.75</v>
      </c>
      <c r="E10" s="224">
        <v>10.45</v>
      </c>
      <c r="F10" s="224">
        <v>9.84</v>
      </c>
      <c r="G10" s="224">
        <v>55.93</v>
      </c>
      <c r="H10" s="224">
        <v>22.7</v>
      </c>
      <c r="I10" s="224">
        <v>6.72</v>
      </c>
      <c r="J10" s="224">
        <v>0.15</v>
      </c>
      <c r="K10" s="224">
        <v>168.11</v>
      </c>
      <c r="L10" s="224">
        <v>28.23</v>
      </c>
      <c r="M10" s="224">
        <v>40.42</v>
      </c>
      <c r="N10" s="224">
        <v>0</v>
      </c>
      <c r="O10" s="224">
        <v>0</v>
      </c>
      <c r="P10" s="224">
        <v>0.79</v>
      </c>
      <c r="Q10" s="224">
        <v>5</v>
      </c>
      <c r="R10" s="13"/>
      <c r="S10" s="13"/>
      <c r="T10" s="213"/>
      <c r="U10" s="13"/>
    </row>
    <row r="11" customFormat="1" spans="1:21">
      <c r="A11" s="13" t="s">
        <v>1784</v>
      </c>
      <c r="B11" s="224">
        <v>9.93</v>
      </c>
      <c r="C11" s="224">
        <v>58.38</v>
      </c>
      <c r="D11" s="224">
        <v>39.82</v>
      </c>
      <c r="E11" s="224">
        <v>10.29</v>
      </c>
      <c r="F11" s="224">
        <v>10.32</v>
      </c>
      <c r="G11" s="224">
        <v>56.25</v>
      </c>
      <c r="H11" s="224">
        <v>22.65</v>
      </c>
      <c r="I11" s="224">
        <v>6.7</v>
      </c>
      <c r="J11" s="224">
        <v>0.17</v>
      </c>
      <c r="K11" s="224">
        <v>163.55</v>
      </c>
      <c r="L11" s="224">
        <v>28.19</v>
      </c>
      <c r="M11" s="224">
        <v>40.26</v>
      </c>
      <c r="N11" s="224">
        <v>0</v>
      </c>
      <c r="O11" s="224">
        <v>0</v>
      </c>
      <c r="P11" s="224">
        <v>0.79</v>
      </c>
      <c r="Q11" s="224">
        <v>5.03</v>
      </c>
      <c r="R11" s="13"/>
      <c r="S11" s="13"/>
      <c r="T11" s="213"/>
      <c r="U11" s="13"/>
    </row>
    <row r="12" customFormat="1" spans="1:21">
      <c r="A12" s="13" t="s">
        <v>1785</v>
      </c>
      <c r="B12" s="224">
        <v>9.92</v>
      </c>
      <c r="C12" s="224">
        <v>57.35</v>
      </c>
      <c r="D12" s="224">
        <v>39.27</v>
      </c>
      <c r="E12" s="224">
        <v>10.25</v>
      </c>
      <c r="F12" s="224">
        <v>12.45</v>
      </c>
      <c r="G12" s="224">
        <v>56.89</v>
      </c>
      <c r="H12" s="224">
        <v>22.5</v>
      </c>
      <c r="I12" s="224">
        <v>6.74</v>
      </c>
      <c r="J12" s="224">
        <v>0.19</v>
      </c>
      <c r="K12" s="224">
        <v>174.72</v>
      </c>
      <c r="L12" s="224">
        <v>28.07</v>
      </c>
      <c r="M12" s="224">
        <v>39.08</v>
      </c>
      <c r="N12" s="224">
        <v>0</v>
      </c>
      <c r="O12" s="224">
        <v>0</v>
      </c>
      <c r="P12" s="224">
        <v>0.78</v>
      </c>
      <c r="Q12" s="224">
        <v>5.07</v>
      </c>
      <c r="R12" s="13"/>
      <c r="S12" s="13"/>
      <c r="T12" s="213"/>
      <c r="U12" s="13"/>
    </row>
    <row r="13" customFormat="1" spans="1:21">
      <c r="A13" s="13" t="s">
        <v>1786</v>
      </c>
      <c r="B13" s="224">
        <v>13.6</v>
      </c>
      <c r="C13" s="224">
        <v>60.01</v>
      </c>
      <c r="D13" s="224">
        <v>43.61</v>
      </c>
      <c r="E13" s="224">
        <v>10.2</v>
      </c>
      <c r="F13" s="224">
        <v>11.92</v>
      </c>
      <c r="G13" s="224">
        <v>56.89</v>
      </c>
      <c r="H13" s="224">
        <v>22.5</v>
      </c>
      <c r="I13" s="224">
        <v>6.72</v>
      </c>
      <c r="J13" s="224">
        <v>0.19</v>
      </c>
      <c r="K13" s="224">
        <v>123.68</v>
      </c>
      <c r="L13" s="224">
        <v>28.15</v>
      </c>
      <c r="M13" s="224">
        <v>37.51</v>
      </c>
      <c r="N13" s="224">
        <v>0</v>
      </c>
      <c r="O13" s="224">
        <v>0</v>
      </c>
      <c r="P13" s="224">
        <v>0.81</v>
      </c>
      <c r="Q13" s="224">
        <v>5.09</v>
      </c>
      <c r="R13" s="13"/>
      <c r="S13" s="13"/>
      <c r="T13" s="213"/>
      <c r="U13" s="13"/>
    </row>
    <row r="14" customFormat="1" spans="1:21">
      <c r="A14" s="13" t="s">
        <v>1787</v>
      </c>
      <c r="B14" s="224">
        <v>11.96</v>
      </c>
      <c r="C14" s="224">
        <v>57.43</v>
      </c>
      <c r="D14" s="224">
        <v>40.95</v>
      </c>
      <c r="E14" s="224">
        <v>10.59</v>
      </c>
      <c r="F14" s="224">
        <v>13.49</v>
      </c>
      <c r="G14" s="224">
        <v>56.89</v>
      </c>
      <c r="H14" s="224">
        <v>22.5</v>
      </c>
      <c r="I14" s="224">
        <v>6.88</v>
      </c>
      <c r="J14" s="224">
        <v>0.23</v>
      </c>
      <c r="K14" s="224">
        <v>201.49</v>
      </c>
      <c r="L14" s="224">
        <v>28.09</v>
      </c>
      <c r="M14" s="224">
        <v>37.75</v>
      </c>
      <c r="N14" s="224">
        <v>0</v>
      </c>
      <c r="O14" s="224">
        <v>0</v>
      </c>
      <c r="P14" s="224">
        <v>0.8</v>
      </c>
      <c r="Q14" s="224">
        <v>5.15</v>
      </c>
      <c r="R14" s="13"/>
      <c r="S14" s="13"/>
      <c r="T14" s="213"/>
      <c r="U14" s="13"/>
    </row>
    <row r="15" customFormat="1" spans="1:21">
      <c r="A15" s="13" t="s">
        <v>1788</v>
      </c>
      <c r="B15" s="224">
        <v>10.96</v>
      </c>
      <c r="C15" s="224">
        <v>56.36</v>
      </c>
      <c r="D15" s="224">
        <v>39.59</v>
      </c>
      <c r="E15" s="224">
        <v>11.44</v>
      </c>
      <c r="F15" s="224">
        <v>15.72</v>
      </c>
      <c r="G15" s="224">
        <v>57.49</v>
      </c>
      <c r="H15" s="224">
        <v>20.92</v>
      </c>
      <c r="I15" s="224">
        <v>7.11</v>
      </c>
      <c r="J15" s="224">
        <v>0.27</v>
      </c>
      <c r="K15" s="224">
        <v>195.78</v>
      </c>
      <c r="L15" s="224">
        <v>28.41</v>
      </c>
      <c r="M15" s="224">
        <v>35.59</v>
      </c>
      <c r="N15" s="224">
        <v>0</v>
      </c>
      <c r="O15" s="224">
        <v>0</v>
      </c>
      <c r="P15" s="224">
        <v>0.82</v>
      </c>
      <c r="Q15" s="224">
        <v>5.23</v>
      </c>
      <c r="R15" s="13"/>
      <c r="S15" s="13"/>
      <c r="T15" s="213"/>
      <c r="U15" s="13"/>
    </row>
    <row r="16" customFormat="1" spans="1:21">
      <c r="A16" s="13" t="s">
        <v>1789</v>
      </c>
      <c r="B16" s="224">
        <v>11.34</v>
      </c>
      <c r="C16" s="224">
        <v>58.38</v>
      </c>
      <c r="D16" s="224">
        <v>40.94</v>
      </c>
      <c r="E16" s="224">
        <v>11.3</v>
      </c>
      <c r="F16" s="224">
        <v>11.01</v>
      </c>
      <c r="G16" s="224">
        <v>58.95</v>
      </c>
      <c r="H16" s="224">
        <v>18.32</v>
      </c>
      <c r="I16" s="224">
        <v>7.06</v>
      </c>
      <c r="J16" s="224">
        <v>0.21</v>
      </c>
      <c r="K16" s="224">
        <v>168.97</v>
      </c>
      <c r="L16" s="224">
        <v>28.24</v>
      </c>
      <c r="M16" s="224">
        <v>37.95</v>
      </c>
      <c r="N16" s="224">
        <v>0</v>
      </c>
      <c r="O16" s="224">
        <v>0</v>
      </c>
      <c r="P16" s="224">
        <v>0.82</v>
      </c>
      <c r="Q16" s="224">
        <v>5.15</v>
      </c>
      <c r="R16" s="13"/>
      <c r="S16" s="13"/>
      <c r="T16" s="213"/>
      <c r="U16" s="13"/>
    </row>
    <row r="17" customFormat="1" spans="1:21">
      <c r="A17" s="13" t="s">
        <v>1790</v>
      </c>
      <c r="B17" s="224">
        <v>11.63</v>
      </c>
      <c r="C17" s="224">
        <v>61.45</v>
      </c>
      <c r="D17" s="224">
        <v>42.78</v>
      </c>
      <c r="E17" s="224">
        <v>12.33</v>
      </c>
      <c r="F17" s="224">
        <v>10.68</v>
      </c>
      <c r="G17" s="224">
        <v>58.95</v>
      </c>
      <c r="H17" s="224">
        <v>18.32</v>
      </c>
      <c r="I17" s="224">
        <v>7.14</v>
      </c>
      <c r="J17" s="224">
        <v>0.32</v>
      </c>
      <c r="K17" s="224">
        <v>202.09</v>
      </c>
      <c r="L17" s="224">
        <v>28.4</v>
      </c>
      <c r="M17" s="224">
        <v>35.37</v>
      </c>
      <c r="N17" s="224">
        <v>0</v>
      </c>
      <c r="O17" s="224">
        <v>0</v>
      </c>
      <c r="P17" s="224">
        <v>0.83</v>
      </c>
      <c r="Q17" s="224">
        <v>5.17</v>
      </c>
      <c r="R17" s="13"/>
      <c r="S17" s="13"/>
      <c r="T17" s="213"/>
      <c r="U17" s="13"/>
    </row>
    <row r="18" customFormat="1" spans="1:21">
      <c r="A18" s="13" t="s">
        <v>1791</v>
      </c>
      <c r="B18" s="224">
        <v>11.23</v>
      </c>
      <c r="C18" s="224">
        <v>61.32</v>
      </c>
      <c r="D18" s="224">
        <v>42.39</v>
      </c>
      <c r="E18" s="224">
        <v>15.03</v>
      </c>
      <c r="F18" s="224">
        <v>10.24</v>
      </c>
      <c r="G18" s="224">
        <v>58.95</v>
      </c>
      <c r="H18" s="224">
        <v>18.32</v>
      </c>
      <c r="I18" s="224">
        <v>7.27</v>
      </c>
      <c r="J18" s="224">
        <v>0.26</v>
      </c>
      <c r="K18" s="224">
        <v>165.75</v>
      </c>
      <c r="L18" s="224">
        <v>28.78</v>
      </c>
      <c r="M18" s="224">
        <v>35.21</v>
      </c>
      <c r="N18" s="224">
        <v>0</v>
      </c>
      <c r="O18" s="224">
        <v>0</v>
      </c>
      <c r="P18" s="224">
        <v>0.83</v>
      </c>
      <c r="Q18" s="224">
        <v>5.22</v>
      </c>
      <c r="R18" s="13"/>
      <c r="S18" s="13"/>
      <c r="T18" s="213"/>
      <c r="U18" s="13"/>
    </row>
    <row r="19" customFormat="1" spans="1:21">
      <c r="A19" s="13" t="s">
        <v>1792</v>
      </c>
      <c r="B19" s="224">
        <v>12.11</v>
      </c>
      <c r="C19" s="224">
        <v>62.27</v>
      </c>
      <c r="D19" s="224">
        <v>43.6</v>
      </c>
      <c r="E19" s="224">
        <v>12.82</v>
      </c>
      <c r="F19" s="224">
        <v>8.09</v>
      </c>
      <c r="G19" s="224">
        <v>58.79</v>
      </c>
      <c r="H19" s="224">
        <v>19.56</v>
      </c>
      <c r="I19" s="224">
        <v>7.4</v>
      </c>
      <c r="J19" s="224">
        <v>0.3</v>
      </c>
      <c r="K19" s="224">
        <v>161.08</v>
      </c>
      <c r="L19" s="224">
        <v>27.79</v>
      </c>
      <c r="M19" s="224">
        <v>39.34</v>
      </c>
      <c r="N19" s="224">
        <v>0</v>
      </c>
      <c r="O19" s="224">
        <v>0</v>
      </c>
      <c r="P19" s="224">
        <v>0.83</v>
      </c>
      <c r="Q19" s="224">
        <v>5.21</v>
      </c>
      <c r="R19" s="13"/>
      <c r="S19" s="13"/>
      <c r="T19" s="213"/>
      <c r="U19" s="13"/>
    </row>
    <row r="20" customFormat="1" spans="1:21">
      <c r="A20" s="13" t="s">
        <v>1793</v>
      </c>
      <c r="B20" s="224">
        <v>13.74</v>
      </c>
      <c r="C20" s="224">
        <v>67.81</v>
      </c>
      <c r="D20" s="224">
        <v>47.8</v>
      </c>
      <c r="E20" s="224">
        <v>11.33</v>
      </c>
      <c r="F20" s="224">
        <v>5.67</v>
      </c>
      <c r="G20" s="224">
        <v>58.39</v>
      </c>
      <c r="H20" s="224">
        <v>21.59</v>
      </c>
      <c r="I20" s="224">
        <v>7.48</v>
      </c>
      <c r="J20" s="224">
        <v>0.24</v>
      </c>
      <c r="K20" s="224">
        <v>174.48</v>
      </c>
      <c r="L20" s="224">
        <v>27.42</v>
      </c>
      <c r="M20" s="224">
        <v>40.09</v>
      </c>
      <c r="N20" s="224">
        <v>0</v>
      </c>
      <c r="O20" s="224">
        <v>0</v>
      </c>
      <c r="P20" s="224">
        <v>0.83</v>
      </c>
      <c r="Q20" s="224">
        <v>5.29</v>
      </c>
      <c r="R20" s="13"/>
      <c r="S20" s="13"/>
      <c r="T20" s="213"/>
      <c r="U20" s="13"/>
    </row>
    <row r="21" customFormat="1" spans="1:21">
      <c r="A21" s="13" t="s">
        <v>1794</v>
      </c>
      <c r="B21" s="224">
        <v>13.99</v>
      </c>
      <c r="C21" s="224">
        <v>68.48</v>
      </c>
      <c r="D21" s="224">
        <v>48.35</v>
      </c>
      <c r="E21" s="224">
        <v>10.24</v>
      </c>
      <c r="F21" s="224">
        <v>4.6</v>
      </c>
      <c r="G21" s="224">
        <v>58.39</v>
      </c>
      <c r="H21" s="224">
        <v>21.59</v>
      </c>
      <c r="I21" s="224">
        <v>7.49</v>
      </c>
      <c r="J21" s="224">
        <v>0.23</v>
      </c>
      <c r="K21" s="224">
        <v>158.34</v>
      </c>
      <c r="L21" s="224">
        <v>27.33</v>
      </c>
      <c r="M21" s="224">
        <v>40.77</v>
      </c>
      <c r="N21" s="224">
        <v>0</v>
      </c>
      <c r="O21" s="224">
        <v>0</v>
      </c>
      <c r="P21" s="224">
        <v>0.85</v>
      </c>
      <c r="Q21" s="224">
        <v>5.42</v>
      </c>
      <c r="R21" s="13"/>
      <c r="S21" s="13"/>
      <c r="T21" s="213"/>
      <c r="U21" s="13"/>
    </row>
    <row r="22" customFormat="1" spans="1:21">
      <c r="A22" s="13" t="s">
        <v>1795</v>
      </c>
      <c r="B22" s="224">
        <v>14.14</v>
      </c>
      <c r="C22" s="224">
        <v>68.89</v>
      </c>
      <c r="D22" s="224">
        <v>48.68</v>
      </c>
      <c r="E22" s="224">
        <v>9.97</v>
      </c>
      <c r="F22" s="224">
        <v>4.44</v>
      </c>
      <c r="G22" s="224">
        <v>58.39</v>
      </c>
      <c r="H22" s="224">
        <v>21.59</v>
      </c>
      <c r="I22" s="224">
        <v>7.55</v>
      </c>
      <c r="J22" s="224">
        <v>0.29</v>
      </c>
      <c r="K22" s="224">
        <v>147.16</v>
      </c>
      <c r="L22" s="224">
        <v>27.3</v>
      </c>
      <c r="M22" s="224">
        <v>40.52</v>
      </c>
      <c r="N22" s="224">
        <v>0</v>
      </c>
      <c r="O22" s="224">
        <v>0</v>
      </c>
      <c r="P22" s="224">
        <v>0.85</v>
      </c>
      <c r="Q22" s="224">
        <v>5.49</v>
      </c>
      <c r="R22" s="13"/>
      <c r="S22" s="13"/>
      <c r="T22" s="213"/>
      <c r="U22" s="13"/>
    </row>
    <row r="23" customFormat="1" spans="1:21">
      <c r="A23" s="13" t="s">
        <v>1796</v>
      </c>
      <c r="B23" s="224">
        <v>14.41</v>
      </c>
      <c r="C23" s="224">
        <v>69.2</v>
      </c>
      <c r="D23" s="224">
        <v>49.06</v>
      </c>
      <c r="E23" s="224">
        <v>10.6</v>
      </c>
      <c r="F23" s="224">
        <v>4.22</v>
      </c>
      <c r="G23" s="224">
        <v>56.97</v>
      </c>
      <c r="H23" s="224">
        <v>21.84</v>
      </c>
      <c r="I23" s="224">
        <v>7.67</v>
      </c>
      <c r="J23" s="224">
        <v>0.34</v>
      </c>
      <c r="K23" s="224">
        <v>158.05</v>
      </c>
      <c r="L23" s="224">
        <v>27.4</v>
      </c>
      <c r="M23" s="224">
        <v>41.1</v>
      </c>
      <c r="N23" s="224">
        <v>0</v>
      </c>
      <c r="O23" s="224">
        <v>0</v>
      </c>
      <c r="P23" s="224">
        <v>0.85</v>
      </c>
      <c r="Q23" s="224">
        <v>5.51</v>
      </c>
      <c r="R23" s="13"/>
      <c r="S23" s="13"/>
      <c r="T23" s="213"/>
      <c r="U23" s="13"/>
    </row>
    <row r="24" customFormat="1" spans="1:21">
      <c r="A24" s="13" t="s">
        <v>1797</v>
      </c>
      <c r="B24" s="224">
        <v>14.73</v>
      </c>
      <c r="C24" s="224">
        <v>69.43</v>
      </c>
      <c r="D24" s="224">
        <v>49.44</v>
      </c>
      <c r="E24" s="224">
        <v>9.91</v>
      </c>
      <c r="F24" s="224">
        <v>4.18</v>
      </c>
      <c r="G24" s="224">
        <v>53.49</v>
      </c>
      <c r="H24" s="224">
        <v>22.24</v>
      </c>
      <c r="I24" s="224">
        <v>7.77</v>
      </c>
      <c r="J24" s="224">
        <v>0.2</v>
      </c>
      <c r="K24" s="224">
        <v>143.54</v>
      </c>
      <c r="L24" s="224">
        <v>27.11</v>
      </c>
      <c r="M24" s="224">
        <v>41.44</v>
      </c>
      <c r="N24" s="224">
        <v>0</v>
      </c>
      <c r="O24" s="224">
        <v>0</v>
      </c>
      <c r="P24" s="224">
        <v>0.87</v>
      </c>
      <c r="Q24" s="224">
        <v>5.53</v>
      </c>
      <c r="R24" s="13"/>
      <c r="S24" s="13"/>
      <c r="T24" s="213"/>
      <c r="U24" s="13"/>
    </row>
    <row r="25" customFormat="1" spans="1:21">
      <c r="A25" s="13" t="s">
        <v>1798</v>
      </c>
      <c r="B25" s="224">
        <v>15.03</v>
      </c>
      <c r="C25" s="224">
        <v>69.09</v>
      </c>
      <c r="D25" s="224">
        <v>49.5</v>
      </c>
      <c r="E25" s="224">
        <v>9.73</v>
      </c>
      <c r="F25" s="224">
        <v>4.1</v>
      </c>
      <c r="G25" s="224">
        <v>53.49</v>
      </c>
      <c r="H25" s="224">
        <v>22.24</v>
      </c>
      <c r="I25" s="224">
        <v>7.84</v>
      </c>
      <c r="J25" s="224">
        <v>0.3</v>
      </c>
      <c r="K25" s="224">
        <v>192.85</v>
      </c>
      <c r="L25" s="224">
        <v>26.94</v>
      </c>
      <c r="M25" s="224">
        <v>43.48</v>
      </c>
      <c r="N25" s="224">
        <v>0</v>
      </c>
      <c r="O25" s="224">
        <v>0</v>
      </c>
      <c r="P25" s="224">
        <v>0.87</v>
      </c>
      <c r="Q25" s="224">
        <v>5.52</v>
      </c>
      <c r="R25" s="13"/>
      <c r="S25" s="13"/>
      <c r="T25" s="213"/>
      <c r="U25" s="13"/>
    </row>
    <row r="26" customFormat="1" spans="1:21">
      <c r="A26" s="13" t="s">
        <v>1799</v>
      </c>
      <c r="B26" s="224">
        <v>15.4</v>
      </c>
      <c r="C26" s="224">
        <v>69.84</v>
      </c>
      <c r="D26" s="224">
        <v>50.19</v>
      </c>
      <c r="E26" s="224">
        <v>9.46</v>
      </c>
      <c r="F26" s="224">
        <v>3.87</v>
      </c>
      <c r="G26" s="224">
        <v>53.49</v>
      </c>
      <c r="H26" s="224">
        <v>22.24</v>
      </c>
      <c r="I26" s="224">
        <v>7.9</v>
      </c>
      <c r="J26" s="224">
        <v>0.44</v>
      </c>
      <c r="K26" s="224">
        <v>238.73</v>
      </c>
      <c r="L26" s="224">
        <v>27.14</v>
      </c>
      <c r="M26" s="224">
        <v>39.55</v>
      </c>
      <c r="N26" s="224">
        <v>0</v>
      </c>
      <c r="O26" s="224">
        <v>0</v>
      </c>
      <c r="P26" s="224">
        <v>0.88</v>
      </c>
      <c r="Q26" s="224">
        <v>5.52</v>
      </c>
      <c r="R26" s="13"/>
      <c r="S26" s="13"/>
      <c r="T26" s="213"/>
      <c r="U26" s="13"/>
    </row>
    <row r="27" customFormat="1" spans="1:21">
      <c r="A27" s="13" t="s">
        <v>1800</v>
      </c>
      <c r="B27" s="224">
        <v>15.27</v>
      </c>
      <c r="C27" s="224">
        <v>68.19</v>
      </c>
      <c r="D27" s="224">
        <v>49.22</v>
      </c>
      <c r="E27" s="224">
        <v>9.64</v>
      </c>
      <c r="F27" s="224">
        <v>4.64</v>
      </c>
      <c r="G27" s="224">
        <v>54.77</v>
      </c>
      <c r="H27" s="224">
        <v>22.18</v>
      </c>
      <c r="I27" s="224">
        <v>7.97</v>
      </c>
      <c r="J27" s="224">
        <v>0.32</v>
      </c>
      <c r="K27" s="224">
        <v>211.73</v>
      </c>
      <c r="L27" s="224">
        <v>27.7</v>
      </c>
      <c r="M27" s="224">
        <v>37.62</v>
      </c>
      <c r="N27" s="224">
        <v>0</v>
      </c>
      <c r="O27" s="224">
        <v>0</v>
      </c>
      <c r="P27" s="224">
        <v>0.89</v>
      </c>
      <c r="Q27" s="224">
        <v>5.58</v>
      </c>
      <c r="R27" s="13"/>
      <c r="S27" s="13"/>
      <c r="T27" s="213"/>
      <c r="U27" s="13"/>
    </row>
    <row r="28" customFormat="1" spans="1:21">
      <c r="A28" s="13" t="s">
        <v>1801</v>
      </c>
      <c r="B28" s="224">
        <v>15.32</v>
      </c>
      <c r="C28" s="224">
        <v>68.13</v>
      </c>
      <c r="D28" s="224">
        <v>49.23</v>
      </c>
      <c r="E28" s="224">
        <v>10.32</v>
      </c>
      <c r="F28" s="224">
        <v>4.79</v>
      </c>
      <c r="G28" s="224">
        <v>57.92</v>
      </c>
      <c r="H28" s="224">
        <v>22.09</v>
      </c>
      <c r="I28" s="224">
        <v>8.13</v>
      </c>
      <c r="J28" s="224">
        <v>0.64</v>
      </c>
      <c r="K28" s="224">
        <v>238.99</v>
      </c>
      <c r="L28" s="224">
        <v>27.75</v>
      </c>
      <c r="M28" s="224">
        <v>36.05</v>
      </c>
      <c r="N28" s="224">
        <v>0</v>
      </c>
      <c r="O28" s="224">
        <v>0</v>
      </c>
      <c r="P28" s="224">
        <v>0.89</v>
      </c>
      <c r="Q28" s="224">
        <v>5.59</v>
      </c>
      <c r="R28" s="13"/>
      <c r="S28" s="13"/>
      <c r="T28" s="213"/>
      <c r="U28" s="13"/>
    </row>
    <row r="29" customFormat="1" spans="1:21">
      <c r="A29" s="13" t="s">
        <v>1802</v>
      </c>
      <c r="B29" s="224">
        <v>15.15</v>
      </c>
      <c r="C29" s="224">
        <v>68.96</v>
      </c>
      <c r="D29" s="224">
        <v>49.53</v>
      </c>
      <c r="E29" s="224">
        <v>10.37</v>
      </c>
      <c r="F29" s="224">
        <v>4.6</v>
      </c>
      <c r="G29" s="224">
        <v>57.92</v>
      </c>
      <c r="H29" s="224">
        <v>22.09</v>
      </c>
      <c r="I29" s="224">
        <v>8.27</v>
      </c>
      <c r="J29" s="224">
        <v>0.46</v>
      </c>
      <c r="K29" s="224">
        <v>219.75</v>
      </c>
      <c r="L29" s="224">
        <v>28.28</v>
      </c>
      <c r="M29" s="224">
        <v>34.44</v>
      </c>
      <c r="N29" s="224">
        <v>0</v>
      </c>
      <c r="O29" s="224">
        <v>0</v>
      </c>
      <c r="P29" s="224">
        <v>0.92</v>
      </c>
      <c r="Q29" s="224">
        <v>5.56</v>
      </c>
      <c r="R29" s="13"/>
      <c r="S29" s="13"/>
      <c r="T29" s="213"/>
      <c r="U29" s="13"/>
    </row>
    <row r="30" customFormat="1" spans="1:21">
      <c r="A30" s="13" t="s">
        <v>1803</v>
      </c>
      <c r="B30" s="224">
        <v>15.28</v>
      </c>
      <c r="C30" s="224">
        <v>69.39</v>
      </c>
      <c r="D30" s="224">
        <v>49.85</v>
      </c>
      <c r="E30" s="224">
        <v>10.42</v>
      </c>
      <c r="F30" s="224">
        <v>4.38</v>
      </c>
      <c r="G30" s="224">
        <v>57.92</v>
      </c>
      <c r="H30" s="224">
        <v>22.09</v>
      </c>
      <c r="I30" s="224">
        <v>8.58</v>
      </c>
      <c r="J30" s="224">
        <v>0.98</v>
      </c>
      <c r="K30" s="224">
        <v>271.22</v>
      </c>
      <c r="L30" s="224">
        <v>28.94</v>
      </c>
      <c r="M30" s="224">
        <v>29.96</v>
      </c>
      <c r="N30" s="224">
        <v>0</v>
      </c>
      <c r="O30" s="224">
        <v>0</v>
      </c>
      <c r="P30" s="224">
        <v>0.94</v>
      </c>
      <c r="Q30" s="224">
        <v>5.57</v>
      </c>
      <c r="R30" s="13"/>
      <c r="S30" s="13"/>
      <c r="T30" s="213"/>
      <c r="U30" s="13"/>
    </row>
    <row r="31" customFormat="1" spans="1:21">
      <c r="A31" s="13" t="s">
        <v>1804</v>
      </c>
      <c r="B31" s="224">
        <v>15.44</v>
      </c>
      <c r="C31" s="224">
        <v>68.91</v>
      </c>
      <c r="D31" s="224">
        <v>49.73</v>
      </c>
      <c r="E31" s="224">
        <v>11.48</v>
      </c>
      <c r="F31" s="224">
        <v>4.92</v>
      </c>
      <c r="G31" s="224">
        <v>59.19</v>
      </c>
      <c r="H31" s="224">
        <v>23.94</v>
      </c>
      <c r="I31" s="224">
        <v>9.02</v>
      </c>
      <c r="J31" s="224">
        <v>1.41</v>
      </c>
      <c r="K31" s="224">
        <v>283.18</v>
      </c>
      <c r="L31" s="224">
        <v>29.82</v>
      </c>
      <c r="M31" s="224">
        <v>26.27</v>
      </c>
      <c r="N31" s="224">
        <v>0</v>
      </c>
      <c r="O31" s="224">
        <v>0</v>
      </c>
      <c r="P31" s="224">
        <v>0.95</v>
      </c>
      <c r="Q31" s="224">
        <v>5.58</v>
      </c>
      <c r="R31" s="13"/>
      <c r="S31" s="13"/>
      <c r="T31" s="213"/>
      <c r="U31" s="13"/>
    </row>
    <row r="32" customFormat="1" spans="1:21">
      <c r="A32" s="13" t="s">
        <v>1805</v>
      </c>
      <c r="B32" s="224">
        <v>15.29</v>
      </c>
      <c r="C32" s="224">
        <v>67.1</v>
      </c>
      <c r="D32" s="224">
        <v>48.67</v>
      </c>
      <c r="E32" s="224">
        <v>11.21</v>
      </c>
      <c r="F32" s="224">
        <v>5.35</v>
      </c>
      <c r="G32" s="224">
        <v>62.31</v>
      </c>
      <c r="H32" s="224">
        <v>26.93</v>
      </c>
      <c r="I32" s="224">
        <v>9.28</v>
      </c>
      <c r="J32" s="224">
        <v>1.23</v>
      </c>
      <c r="K32" s="224">
        <v>286.38</v>
      </c>
      <c r="L32" s="224">
        <v>30.17</v>
      </c>
      <c r="M32" s="224">
        <v>24.73</v>
      </c>
      <c r="N32" s="224">
        <v>3</v>
      </c>
      <c r="O32" s="224">
        <v>0</v>
      </c>
      <c r="P32" s="224">
        <v>0.97</v>
      </c>
      <c r="Q32" s="224">
        <v>5.59</v>
      </c>
      <c r="R32" s="13"/>
      <c r="S32" s="13"/>
      <c r="T32" s="213"/>
      <c r="U32" s="13"/>
    </row>
    <row r="33" customFormat="1" spans="1:21">
      <c r="A33" s="13" t="s">
        <v>1806</v>
      </c>
      <c r="B33" s="224">
        <v>15.22</v>
      </c>
      <c r="C33" s="224">
        <v>67.96</v>
      </c>
      <c r="D33" s="224">
        <v>49.06</v>
      </c>
      <c r="E33" s="224">
        <v>11.41</v>
      </c>
      <c r="F33" s="224">
        <v>5.93</v>
      </c>
      <c r="G33" s="224">
        <v>62.31</v>
      </c>
      <c r="H33" s="224">
        <v>26.93</v>
      </c>
      <c r="I33" s="224">
        <v>9.3</v>
      </c>
      <c r="J33" s="224">
        <v>1.11</v>
      </c>
      <c r="K33" s="224">
        <v>290.99</v>
      </c>
      <c r="L33" s="224">
        <v>30.07</v>
      </c>
      <c r="M33" s="224">
        <v>25.19</v>
      </c>
      <c r="N33" s="224">
        <v>18.4</v>
      </c>
      <c r="O33" s="224">
        <v>0</v>
      </c>
      <c r="P33" s="224">
        <v>0.96</v>
      </c>
      <c r="Q33" s="224">
        <v>5.59</v>
      </c>
      <c r="R33" s="13"/>
      <c r="S33" s="13"/>
      <c r="T33" s="213"/>
      <c r="U33" s="13"/>
    </row>
    <row r="34" customFormat="1" spans="1:21">
      <c r="A34" s="13" t="s">
        <v>1807</v>
      </c>
      <c r="B34" s="224">
        <v>15.53</v>
      </c>
      <c r="C34" s="224">
        <v>69.66</v>
      </c>
      <c r="D34" s="224">
        <v>50.2</v>
      </c>
      <c r="E34" s="224">
        <v>11.82</v>
      </c>
      <c r="F34" s="224">
        <v>4.93</v>
      </c>
      <c r="G34" s="224">
        <v>62.31</v>
      </c>
      <c r="H34" s="224">
        <v>26.93</v>
      </c>
      <c r="I34" s="224">
        <v>9.27</v>
      </c>
      <c r="J34" s="224">
        <v>1.03</v>
      </c>
      <c r="K34" s="224">
        <v>284.36</v>
      </c>
      <c r="L34" s="224">
        <v>30.1</v>
      </c>
      <c r="M34" s="224">
        <v>25.74</v>
      </c>
      <c r="N34" s="224">
        <v>44.5</v>
      </c>
      <c r="O34" s="224">
        <v>0</v>
      </c>
      <c r="P34" s="224">
        <v>0.97</v>
      </c>
      <c r="Q34" s="224">
        <v>5.59</v>
      </c>
      <c r="R34" s="13"/>
      <c r="S34" s="13"/>
      <c r="T34" s="213"/>
      <c r="U34" s="13"/>
    </row>
    <row r="35" customFormat="1" spans="1:21">
      <c r="A35" s="13" t="s">
        <v>1808</v>
      </c>
      <c r="B35" s="224">
        <v>15.81</v>
      </c>
      <c r="C35" s="224">
        <v>69.52</v>
      </c>
      <c r="D35" s="224">
        <v>50.35</v>
      </c>
      <c r="E35" s="224">
        <v>13.75</v>
      </c>
      <c r="F35" s="224">
        <v>4.86</v>
      </c>
      <c r="G35" s="224">
        <v>65.26</v>
      </c>
      <c r="H35" s="224">
        <v>27.31</v>
      </c>
      <c r="I35" s="224">
        <v>9.28</v>
      </c>
      <c r="J35" s="224">
        <v>1.19</v>
      </c>
      <c r="K35" s="224">
        <v>287.23</v>
      </c>
      <c r="L35" s="224">
        <v>30.58</v>
      </c>
      <c r="M35" s="224">
        <v>25.19</v>
      </c>
      <c r="N35" s="224">
        <v>55.2</v>
      </c>
      <c r="O35" s="224">
        <v>0</v>
      </c>
      <c r="P35" s="224">
        <v>0.98</v>
      </c>
      <c r="Q35" s="224">
        <v>5.6</v>
      </c>
      <c r="R35" s="13"/>
      <c r="S35" s="13"/>
      <c r="T35" s="213"/>
      <c r="U35" s="13"/>
    </row>
    <row r="36" customFormat="1" spans="1:21">
      <c r="A36" s="13" t="s">
        <v>1809</v>
      </c>
      <c r="B36" s="224">
        <v>15.77</v>
      </c>
      <c r="C36" s="224">
        <v>69.51</v>
      </c>
      <c r="D36" s="224">
        <v>50.32</v>
      </c>
      <c r="E36" s="224">
        <v>14.47</v>
      </c>
      <c r="F36" s="224">
        <v>5.89</v>
      </c>
      <c r="G36" s="224">
        <v>72.5</v>
      </c>
      <c r="H36" s="224">
        <v>28.89</v>
      </c>
      <c r="I36" s="224">
        <v>9.28</v>
      </c>
      <c r="J36" s="224">
        <v>1.42</v>
      </c>
      <c r="K36" s="224">
        <v>287.4</v>
      </c>
      <c r="L36" s="224">
        <v>30.98</v>
      </c>
      <c r="M36" s="224">
        <v>24.76</v>
      </c>
      <c r="N36" s="224">
        <v>55.7</v>
      </c>
      <c r="O36" s="224">
        <v>0</v>
      </c>
      <c r="P36" s="224">
        <v>1</v>
      </c>
      <c r="Q36" s="224">
        <v>5.64</v>
      </c>
      <c r="R36" s="13"/>
      <c r="S36" s="13"/>
      <c r="T36" s="213"/>
      <c r="U36" s="13"/>
    </row>
    <row r="37" customFormat="1" spans="1:21">
      <c r="A37" s="13" t="s">
        <v>1810</v>
      </c>
      <c r="B37" s="224">
        <v>15.76</v>
      </c>
      <c r="C37" s="224">
        <v>70.25</v>
      </c>
      <c r="D37" s="224">
        <v>50.69</v>
      </c>
      <c r="E37" s="224">
        <v>22.46</v>
      </c>
      <c r="F37" s="224">
        <v>6.41</v>
      </c>
      <c r="G37" s="224">
        <v>72.5</v>
      </c>
      <c r="H37" s="224">
        <v>28.89</v>
      </c>
      <c r="I37" s="224">
        <v>9.23</v>
      </c>
      <c r="J37" s="224">
        <v>1.24</v>
      </c>
      <c r="K37" s="224">
        <v>295.4</v>
      </c>
      <c r="L37" s="224">
        <v>31.3</v>
      </c>
      <c r="M37" s="224">
        <v>24.33</v>
      </c>
      <c r="N37" s="224">
        <v>63.8</v>
      </c>
      <c r="O37" s="224">
        <v>0</v>
      </c>
      <c r="P37" s="224">
        <v>1.01</v>
      </c>
      <c r="Q37" s="224">
        <v>5.66</v>
      </c>
      <c r="R37" s="13"/>
      <c r="S37" s="13"/>
      <c r="T37" s="213"/>
      <c r="U37" s="13"/>
    </row>
    <row r="38" customFormat="1" spans="1:21">
      <c r="A38" s="13" t="s">
        <v>1811</v>
      </c>
      <c r="B38" s="224">
        <v>16.02</v>
      </c>
      <c r="C38" s="224">
        <v>70.92</v>
      </c>
      <c r="D38" s="224">
        <v>51.25</v>
      </c>
      <c r="E38" s="224">
        <v>20.39</v>
      </c>
      <c r="F38" s="224">
        <v>7.18</v>
      </c>
      <c r="G38" s="224">
        <v>72.5</v>
      </c>
      <c r="H38" s="224">
        <v>28.89</v>
      </c>
      <c r="I38" s="224">
        <v>9.16</v>
      </c>
      <c r="J38" s="224">
        <v>0.77</v>
      </c>
      <c r="K38" s="224">
        <v>305.72</v>
      </c>
      <c r="L38" s="224">
        <v>31.81</v>
      </c>
      <c r="M38" s="224">
        <v>24.38</v>
      </c>
      <c r="N38" s="224">
        <v>81</v>
      </c>
      <c r="O38" s="224">
        <v>0</v>
      </c>
      <c r="P38" s="224">
        <v>1.02</v>
      </c>
      <c r="Q38" s="224">
        <v>5.69</v>
      </c>
      <c r="R38" s="13"/>
      <c r="S38" s="13"/>
      <c r="T38" s="213"/>
      <c r="U38" s="13"/>
    </row>
    <row r="39" customFormat="1" spans="1:21">
      <c r="A39" s="13" t="s">
        <v>1812</v>
      </c>
      <c r="B39" s="224">
        <v>16.05</v>
      </c>
      <c r="C39" s="224">
        <v>70.85</v>
      </c>
      <c r="D39" s="224">
        <v>51.24</v>
      </c>
      <c r="E39" s="224">
        <v>23.36</v>
      </c>
      <c r="F39" s="224">
        <v>7.85</v>
      </c>
      <c r="G39" s="224">
        <v>76.6</v>
      </c>
      <c r="H39" s="224">
        <v>32.01</v>
      </c>
      <c r="I39" s="224">
        <v>9.15</v>
      </c>
      <c r="J39" s="224">
        <v>0.6</v>
      </c>
      <c r="K39" s="224">
        <v>295.52</v>
      </c>
      <c r="L39" s="224">
        <v>32.71</v>
      </c>
      <c r="M39" s="224">
        <v>23.87</v>
      </c>
      <c r="N39" s="224">
        <v>109.8</v>
      </c>
      <c r="O39" s="224">
        <v>0</v>
      </c>
      <c r="P39" s="224">
        <v>1.04</v>
      </c>
      <c r="Q39" s="224">
        <v>5.72</v>
      </c>
      <c r="R39" s="13"/>
      <c r="S39" s="13"/>
      <c r="T39" s="213"/>
      <c r="U39" s="13"/>
    </row>
    <row r="40" customFormat="1" spans="1:21">
      <c r="A40" s="13" t="s">
        <v>1813</v>
      </c>
      <c r="B40" s="224">
        <v>15.82</v>
      </c>
      <c r="C40" s="224">
        <v>69.3</v>
      </c>
      <c r="D40" s="224">
        <v>50.24</v>
      </c>
      <c r="E40" s="224">
        <v>24.18</v>
      </c>
      <c r="F40" s="224">
        <v>12.01</v>
      </c>
      <c r="G40" s="224">
        <v>86.71</v>
      </c>
      <c r="H40" s="224">
        <v>37.12</v>
      </c>
      <c r="I40" s="224">
        <v>9.14</v>
      </c>
      <c r="J40" s="224">
        <v>0.65</v>
      </c>
      <c r="K40" s="224">
        <v>321.47</v>
      </c>
      <c r="L40" s="224">
        <v>33.55</v>
      </c>
      <c r="M40" s="224">
        <v>22.29</v>
      </c>
      <c r="N40" s="224">
        <v>169.1</v>
      </c>
      <c r="O40" s="224">
        <v>0</v>
      </c>
      <c r="P40" s="224">
        <v>1.02</v>
      </c>
      <c r="Q40" s="224">
        <v>5.72</v>
      </c>
      <c r="R40" s="13"/>
      <c r="S40" s="13"/>
      <c r="T40" s="213"/>
      <c r="U40" s="13"/>
    </row>
    <row r="41" customFormat="1" spans="1:21">
      <c r="A41" s="13" t="s">
        <v>1814</v>
      </c>
      <c r="B41" s="224">
        <v>14.8</v>
      </c>
      <c r="C41" s="224">
        <v>66.41</v>
      </c>
      <c r="D41" s="224">
        <v>47.92</v>
      </c>
      <c r="E41" s="224">
        <v>23.57</v>
      </c>
      <c r="F41" s="224">
        <v>17.74</v>
      </c>
      <c r="G41" s="224">
        <v>86.71</v>
      </c>
      <c r="H41" s="224">
        <v>37.12</v>
      </c>
      <c r="I41" s="224">
        <v>9.11</v>
      </c>
      <c r="J41" s="224">
        <v>0.61</v>
      </c>
      <c r="K41" s="224">
        <v>351.08</v>
      </c>
      <c r="L41" s="224">
        <v>34.54</v>
      </c>
      <c r="M41" s="224">
        <v>20.73</v>
      </c>
      <c r="N41" s="224">
        <v>245.5</v>
      </c>
      <c r="O41" s="224">
        <v>0</v>
      </c>
      <c r="P41" s="224">
        <v>1.01</v>
      </c>
      <c r="Q41" s="224">
        <v>5.68</v>
      </c>
      <c r="R41" s="13"/>
      <c r="S41" s="13"/>
      <c r="T41" s="213"/>
      <c r="U41" s="13"/>
    </row>
    <row r="42" customFormat="1" spans="1:21">
      <c r="A42" s="13" t="s">
        <v>1815</v>
      </c>
      <c r="B42" s="224">
        <v>14.11</v>
      </c>
      <c r="C42" s="224">
        <v>65.95</v>
      </c>
      <c r="D42" s="224">
        <v>47.13</v>
      </c>
      <c r="E42" s="224">
        <v>22.45</v>
      </c>
      <c r="F42" s="224">
        <v>18.84</v>
      </c>
      <c r="G42" s="224">
        <v>86.71</v>
      </c>
      <c r="H42" s="224">
        <v>37.12</v>
      </c>
      <c r="I42" s="224">
        <v>8.9</v>
      </c>
      <c r="J42" s="224">
        <v>0.63</v>
      </c>
      <c r="K42" s="224">
        <v>350.34</v>
      </c>
      <c r="L42" s="224">
        <v>35.34</v>
      </c>
      <c r="M42" s="224">
        <v>19.56</v>
      </c>
      <c r="N42" s="224">
        <v>323.5</v>
      </c>
      <c r="O42" s="224">
        <v>0</v>
      </c>
      <c r="P42" s="224">
        <v>1</v>
      </c>
      <c r="Q42" s="224">
        <v>5.54</v>
      </c>
      <c r="R42" s="13"/>
      <c r="S42" s="13"/>
      <c r="T42" s="213"/>
      <c r="U42" s="13"/>
    </row>
    <row r="43" customFormat="1" spans="1:21">
      <c r="A43" s="13" t="s">
        <v>1816</v>
      </c>
      <c r="B43" s="224">
        <v>13.92</v>
      </c>
      <c r="C43" s="224">
        <v>66.16</v>
      </c>
      <c r="D43" s="224">
        <v>47.08</v>
      </c>
      <c r="E43" s="224">
        <v>15.57</v>
      </c>
      <c r="F43" s="224">
        <v>15.38</v>
      </c>
      <c r="G43" s="224">
        <v>89.03</v>
      </c>
      <c r="H43" s="224">
        <v>37.55</v>
      </c>
      <c r="I43" s="224">
        <v>8.68</v>
      </c>
      <c r="J43" s="224">
        <v>1.33</v>
      </c>
      <c r="K43" s="224">
        <v>303.3</v>
      </c>
      <c r="L43" s="224">
        <v>35.78</v>
      </c>
      <c r="M43" s="224">
        <v>18.58</v>
      </c>
      <c r="N43" s="224">
        <v>327.1</v>
      </c>
      <c r="O43" s="224">
        <v>0</v>
      </c>
      <c r="P43" s="224">
        <v>0.97</v>
      </c>
      <c r="Q43" s="224">
        <v>5.49</v>
      </c>
      <c r="R43" s="13"/>
      <c r="S43" s="13"/>
      <c r="T43" s="213"/>
      <c r="U43" s="13"/>
    </row>
    <row r="44" customFormat="1" spans="1:21">
      <c r="A44" s="13" t="s">
        <v>1817</v>
      </c>
      <c r="B44" s="224">
        <v>12.3</v>
      </c>
      <c r="C44" s="224">
        <v>62.66</v>
      </c>
      <c r="D44" s="224">
        <v>43.95</v>
      </c>
      <c r="E44" s="224">
        <v>14.76</v>
      </c>
      <c r="F44" s="224">
        <v>23.52</v>
      </c>
      <c r="G44" s="224">
        <v>94.75</v>
      </c>
      <c r="H44" s="224">
        <v>38.26</v>
      </c>
      <c r="I44" s="224">
        <v>8.56</v>
      </c>
      <c r="J44" s="224">
        <v>0.78</v>
      </c>
      <c r="K44" s="224">
        <v>4.17</v>
      </c>
      <c r="L44" s="224">
        <v>36.51</v>
      </c>
      <c r="M44" s="224">
        <v>18.26</v>
      </c>
      <c r="N44" s="224">
        <v>207.2</v>
      </c>
      <c r="O44" s="224">
        <v>0</v>
      </c>
      <c r="P44" s="224">
        <v>0.94</v>
      </c>
      <c r="Q44" s="224">
        <v>5.45</v>
      </c>
      <c r="R44" s="13"/>
      <c r="S44" s="13"/>
      <c r="T44" s="213"/>
      <c r="U44" s="13"/>
    </row>
    <row r="45" customFormat="1" spans="1:21">
      <c r="A45" s="13" t="s">
        <v>1818</v>
      </c>
      <c r="B45" s="224">
        <v>11.48</v>
      </c>
      <c r="C45" s="224">
        <v>62.43</v>
      </c>
      <c r="D45" s="224">
        <v>43.17</v>
      </c>
      <c r="E45" s="224">
        <v>13.49</v>
      </c>
      <c r="F45" s="224">
        <v>24.42</v>
      </c>
      <c r="G45" s="224">
        <v>94.75</v>
      </c>
      <c r="H45" s="224">
        <v>38.26</v>
      </c>
      <c r="I45" s="224">
        <v>8.37</v>
      </c>
      <c r="J45" s="224">
        <v>0.86</v>
      </c>
      <c r="K45" s="224">
        <v>342.95</v>
      </c>
      <c r="L45" s="224">
        <v>36.99</v>
      </c>
      <c r="M45" s="224">
        <v>16.88</v>
      </c>
      <c r="N45" s="224">
        <v>221.9</v>
      </c>
      <c r="O45" s="224">
        <v>0</v>
      </c>
      <c r="P45" s="224">
        <v>0.93</v>
      </c>
      <c r="Q45" s="224">
        <v>5.42</v>
      </c>
      <c r="R45" s="13"/>
      <c r="S45" s="13"/>
      <c r="T45" s="213"/>
      <c r="U45" s="13"/>
    </row>
    <row r="46" customFormat="1" spans="1:21">
      <c r="A46" s="13" t="s">
        <v>1819</v>
      </c>
      <c r="B46" s="224">
        <v>11.67</v>
      </c>
      <c r="C46" s="224">
        <v>62.19</v>
      </c>
      <c r="D46" s="224">
        <v>43.21</v>
      </c>
      <c r="E46" s="224">
        <v>17.82</v>
      </c>
      <c r="F46" s="224">
        <v>20.09</v>
      </c>
      <c r="G46" s="224">
        <v>94.75</v>
      </c>
      <c r="H46" s="224">
        <v>38.26</v>
      </c>
      <c r="I46" s="224">
        <v>8.17</v>
      </c>
      <c r="J46" s="224">
        <v>1.17</v>
      </c>
      <c r="K46" s="224">
        <v>306.59</v>
      </c>
      <c r="L46" s="224">
        <v>37.46</v>
      </c>
      <c r="M46" s="224">
        <v>16.54</v>
      </c>
      <c r="N46" s="224">
        <v>265.8</v>
      </c>
      <c r="O46" s="224">
        <v>0</v>
      </c>
      <c r="P46" s="224">
        <v>0.93</v>
      </c>
      <c r="Q46" s="224">
        <v>5.37</v>
      </c>
      <c r="R46" s="13"/>
      <c r="S46" s="13"/>
      <c r="T46" s="213"/>
      <c r="U46" s="13"/>
    </row>
    <row r="47" customFormat="1" spans="1:21">
      <c r="A47" s="13" t="s">
        <v>1820</v>
      </c>
      <c r="B47" s="224">
        <v>10.54</v>
      </c>
      <c r="C47" s="224">
        <v>62.57</v>
      </c>
      <c r="D47" s="224">
        <v>42.49</v>
      </c>
      <c r="E47" s="224">
        <v>14.32</v>
      </c>
      <c r="F47" s="224">
        <v>22.63</v>
      </c>
      <c r="G47" s="224">
        <v>92.81</v>
      </c>
      <c r="H47" s="224">
        <v>37.76</v>
      </c>
      <c r="I47" s="224">
        <v>8.06</v>
      </c>
      <c r="J47" s="224">
        <v>0.89</v>
      </c>
      <c r="K47" s="224">
        <v>344.39</v>
      </c>
      <c r="L47" s="224">
        <v>38.04</v>
      </c>
      <c r="M47" s="224">
        <v>15.33</v>
      </c>
      <c r="N47" s="224">
        <v>406.4</v>
      </c>
      <c r="O47" s="224">
        <v>0</v>
      </c>
      <c r="P47" s="224">
        <v>0.91</v>
      </c>
      <c r="Q47" s="224">
        <v>5.31</v>
      </c>
      <c r="R47" s="13"/>
      <c r="S47" s="13"/>
      <c r="T47" s="213"/>
      <c r="U47" s="13"/>
    </row>
    <row r="48" customFormat="1" spans="1:21">
      <c r="A48" s="13" t="s">
        <v>1821</v>
      </c>
      <c r="B48" s="224">
        <v>9.63</v>
      </c>
      <c r="C48" s="224">
        <v>64.21</v>
      </c>
      <c r="D48" s="224">
        <v>42.62</v>
      </c>
      <c r="E48" s="224">
        <v>11.52</v>
      </c>
      <c r="F48" s="224">
        <v>21.83</v>
      </c>
      <c r="G48" s="224">
        <v>88.05</v>
      </c>
      <c r="H48" s="224">
        <v>36.94</v>
      </c>
      <c r="I48" s="224">
        <v>7.92</v>
      </c>
      <c r="J48" s="224">
        <v>1.4</v>
      </c>
      <c r="K48" s="224">
        <v>309.23</v>
      </c>
      <c r="L48" s="224">
        <v>38.6</v>
      </c>
      <c r="M48" s="224">
        <v>13.45</v>
      </c>
      <c r="N48" s="224">
        <v>433.8</v>
      </c>
      <c r="O48" s="224">
        <v>0</v>
      </c>
      <c r="P48" s="224">
        <v>0.89</v>
      </c>
      <c r="Q48" s="224">
        <v>5.28</v>
      </c>
      <c r="R48" s="13"/>
      <c r="S48" s="13"/>
      <c r="T48" s="213"/>
      <c r="U48" s="13"/>
    </row>
    <row r="49" customFormat="1" spans="1:21">
      <c r="A49" s="13" t="s">
        <v>1822</v>
      </c>
      <c r="B49" s="224">
        <v>9.1</v>
      </c>
      <c r="C49" s="224">
        <v>62.74</v>
      </c>
      <c r="D49" s="224">
        <v>41.43</v>
      </c>
      <c r="E49" s="224">
        <v>10.18</v>
      </c>
      <c r="F49" s="224">
        <v>22.4</v>
      </c>
      <c r="G49" s="224">
        <v>88.05</v>
      </c>
      <c r="H49" s="224">
        <v>36.94</v>
      </c>
      <c r="I49" s="224">
        <v>7.76</v>
      </c>
      <c r="J49" s="224">
        <v>1.28</v>
      </c>
      <c r="K49" s="224">
        <v>329.85</v>
      </c>
      <c r="L49" s="224">
        <v>39.08</v>
      </c>
      <c r="M49" s="224">
        <v>12.54</v>
      </c>
      <c r="N49" s="224">
        <v>583.9</v>
      </c>
      <c r="O49" s="224">
        <v>0</v>
      </c>
      <c r="P49" s="224">
        <v>0.87</v>
      </c>
      <c r="Q49" s="224">
        <v>5.2</v>
      </c>
      <c r="R49" s="13"/>
      <c r="S49" s="13"/>
      <c r="T49" s="213"/>
      <c r="U49" s="13"/>
    </row>
    <row r="50" customFormat="1" spans="1:21">
      <c r="A50" s="13" t="s">
        <v>1823</v>
      </c>
      <c r="B50" s="224">
        <v>9.06</v>
      </c>
      <c r="C50" s="224">
        <v>62.95</v>
      </c>
      <c r="D50" s="224">
        <v>41.5</v>
      </c>
      <c r="E50" s="224">
        <v>11.96</v>
      </c>
      <c r="F50" s="224">
        <v>20.84</v>
      </c>
      <c r="G50" s="224">
        <v>88.05</v>
      </c>
      <c r="H50" s="224">
        <v>36.94</v>
      </c>
      <c r="I50" s="224">
        <v>7.58</v>
      </c>
      <c r="J50" s="224">
        <v>1.22</v>
      </c>
      <c r="K50" s="224">
        <v>320.5</v>
      </c>
      <c r="L50" s="224">
        <v>39.52</v>
      </c>
      <c r="M50" s="224">
        <v>12.67</v>
      </c>
      <c r="N50" s="224">
        <v>408.7</v>
      </c>
      <c r="O50" s="224">
        <v>0</v>
      </c>
      <c r="P50" s="224">
        <v>0.85</v>
      </c>
      <c r="Q50" s="224">
        <v>5.14</v>
      </c>
      <c r="R50" s="13"/>
      <c r="S50" s="13"/>
      <c r="T50" s="213"/>
      <c r="U50" s="13"/>
    </row>
    <row r="51" customFormat="1" spans="1:21">
      <c r="A51" s="13" t="s">
        <v>1824</v>
      </c>
      <c r="B51" s="224">
        <v>7.71</v>
      </c>
      <c r="C51" s="224">
        <v>62.02</v>
      </c>
      <c r="D51" s="224">
        <v>39.94</v>
      </c>
      <c r="E51" s="224">
        <v>10.78</v>
      </c>
      <c r="F51" s="224">
        <v>18.71</v>
      </c>
      <c r="G51" s="224">
        <v>85.45</v>
      </c>
      <c r="H51" s="224">
        <v>34.46</v>
      </c>
      <c r="I51" s="224">
        <v>7.32</v>
      </c>
      <c r="J51" s="224">
        <v>2.03</v>
      </c>
      <c r="K51" s="224">
        <v>294.41</v>
      </c>
      <c r="L51" s="224">
        <v>39.44</v>
      </c>
      <c r="M51" s="224">
        <v>12.66</v>
      </c>
      <c r="N51" s="224">
        <v>647.8</v>
      </c>
      <c r="O51" s="224">
        <v>0</v>
      </c>
      <c r="P51" s="224">
        <v>0.85</v>
      </c>
      <c r="Q51" s="224">
        <v>5.1</v>
      </c>
      <c r="R51" s="13"/>
      <c r="S51" s="13"/>
      <c r="T51" s="213"/>
      <c r="U51" s="13"/>
    </row>
    <row r="52" customFormat="1" spans="1:21">
      <c r="A52" s="13" t="s">
        <v>1825</v>
      </c>
      <c r="B52" s="224">
        <v>7.03</v>
      </c>
      <c r="C52" s="224">
        <v>60.22</v>
      </c>
      <c r="D52" s="224">
        <v>38.45</v>
      </c>
      <c r="E52" s="224">
        <v>11.2</v>
      </c>
      <c r="F52" s="224">
        <v>24.77</v>
      </c>
      <c r="G52" s="224">
        <v>79.04</v>
      </c>
      <c r="H52" s="224">
        <v>30.41</v>
      </c>
      <c r="I52" s="224">
        <v>7.35</v>
      </c>
      <c r="J52" s="224">
        <v>1.41</v>
      </c>
      <c r="K52" s="224">
        <v>312.68</v>
      </c>
      <c r="L52" s="224">
        <v>39.75</v>
      </c>
      <c r="M52" s="224">
        <v>11.92</v>
      </c>
      <c r="N52" s="224">
        <v>653.2</v>
      </c>
      <c r="O52" s="224">
        <v>0</v>
      </c>
      <c r="P52" s="224">
        <v>0.81</v>
      </c>
      <c r="Q52" s="224">
        <v>5.04</v>
      </c>
      <c r="R52" s="13"/>
      <c r="S52" s="13"/>
      <c r="T52" s="213"/>
      <c r="U52" s="13"/>
    </row>
    <row r="53" customFormat="1" spans="1:21">
      <c r="A53" s="13" t="s">
        <v>1826</v>
      </c>
      <c r="B53" s="224">
        <v>6.88</v>
      </c>
      <c r="C53" s="224">
        <v>60.12</v>
      </c>
      <c r="D53" s="224">
        <v>38.28</v>
      </c>
      <c r="E53" s="224">
        <v>14.52</v>
      </c>
      <c r="F53" s="224">
        <v>29.1</v>
      </c>
      <c r="G53" s="224">
        <v>79.04</v>
      </c>
      <c r="H53" s="224">
        <v>30.41</v>
      </c>
      <c r="I53" s="224">
        <v>7.38</v>
      </c>
      <c r="J53" s="224">
        <v>1.38</v>
      </c>
      <c r="K53" s="224">
        <v>1.43</v>
      </c>
      <c r="L53" s="224">
        <v>39.86</v>
      </c>
      <c r="M53" s="224">
        <v>10.82</v>
      </c>
      <c r="N53" s="224">
        <v>619.6</v>
      </c>
      <c r="O53" s="224">
        <v>0</v>
      </c>
      <c r="P53" s="224">
        <v>0.78</v>
      </c>
      <c r="Q53" s="224">
        <v>4.94</v>
      </c>
      <c r="R53" s="13"/>
      <c r="S53" s="13"/>
      <c r="T53" s="213"/>
      <c r="U53" s="13"/>
    </row>
    <row r="54" customFormat="1" spans="1:21">
      <c r="A54" s="13" t="s">
        <v>1827</v>
      </c>
      <c r="B54" s="224">
        <v>7</v>
      </c>
      <c r="C54" s="224">
        <v>61.16</v>
      </c>
      <c r="D54" s="224">
        <v>38.92</v>
      </c>
      <c r="E54" s="224">
        <v>17.34</v>
      </c>
      <c r="F54" s="224">
        <v>28.82</v>
      </c>
      <c r="G54" s="224">
        <v>79.04</v>
      </c>
      <c r="H54" s="224">
        <v>30.41</v>
      </c>
      <c r="I54" s="224">
        <v>7.1</v>
      </c>
      <c r="J54" s="224">
        <v>0.96</v>
      </c>
      <c r="K54" s="224">
        <v>325.79</v>
      </c>
      <c r="L54" s="224">
        <v>40.29</v>
      </c>
      <c r="M54" s="224">
        <v>10.92</v>
      </c>
      <c r="N54" s="224">
        <v>546</v>
      </c>
      <c r="O54" s="224">
        <v>0</v>
      </c>
      <c r="P54" s="224">
        <v>0.78</v>
      </c>
      <c r="Q54" s="224">
        <v>4.94</v>
      </c>
      <c r="R54" s="13"/>
      <c r="S54" s="13"/>
      <c r="T54" s="213"/>
      <c r="U54" s="13"/>
    </row>
    <row r="55" customFormat="1" spans="1:21">
      <c r="A55" s="13" t="s">
        <v>1828</v>
      </c>
      <c r="B55" s="224">
        <v>7.35</v>
      </c>
      <c r="C55" s="224">
        <v>56.52</v>
      </c>
      <c r="D55" s="224">
        <v>36.78</v>
      </c>
      <c r="E55" s="224">
        <v>25.78</v>
      </c>
      <c r="F55" s="224">
        <v>44.88</v>
      </c>
      <c r="G55" s="224">
        <v>76.18</v>
      </c>
      <c r="H55" s="224">
        <v>29.12</v>
      </c>
      <c r="I55" s="224">
        <v>6.82</v>
      </c>
      <c r="J55" s="224">
        <v>1.24</v>
      </c>
      <c r="K55" s="224">
        <v>42.92</v>
      </c>
      <c r="L55" s="224">
        <v>40.14</v>
      </c>
      <c r="M55" s="224">
        <v>10.72</v>
      </c>
      <c r="N55" s="224">
        <v>569.2</v>
      </c>
      <c r="O55" s="224">
        <v>0</v>
      </c>
      <c r="P55" s="224">
        <v>0.73</v>
      </c>
      <c r="Q55" s="224">
        <v>4.92</v>
      </c>
      <c r="R55" s="13"/>
      <c r="S55" s="13"/>
      <c r="T55" s="213"/>
      <c r="U55" s="13"/>
    </row>
    <row r="56" customFormat="1" spans="1:21">
      <c r="A56" s="13" t="s">
        <v>1829</v>
      </c>
      <c r="B56" s="224">
        <v>6.7</v>
      </c>
      <c r="C56" s="224">
        <v>57.35</v>
      </c>
      <c r="D56" s="224">
        <v>36.69</v>
      </c>
      <c r="E56" s="224">
        <v>27.5</v>
      </c>
      <c r="F56" s="224">
        <v>37.99</v>
      </c>
      <c r="G56" s="224">
        <v>69.15</v>
      </c>
      <c r="H56" s="224">
        <v>27.09</v>
      </c>
      <c r="I56" s="224">
        <v>6.42</v>
      </c>
      <c r="J56" s="224">
        <v>1.02</v>
      </c>
      <c r="K56" s="224">
        <v>5.73</v>
      </c>
      <c r="L56" s="224">
        <v>40.64</v>
      </c>
      <c r="M56" s="224">
        <v>10.35</v>
      </c>
      <c r="N56" s="224">
        <v>681.9</v>
      </c>
      <c r="O56" s="224">
        <v>0</v>
      </c>
      <c r="P56" s="224">
        <v>0.73</v>
      </c>
      <c r="Q56" s="224">
        <v>4.87</v>
      </c>
      <c r="R56" s="13"/>
      <c r="S56" s="13"/>
      <c r="T56" s="213"/>
      <c r="U56" s="13"/>
    </row>
    <row r="57" customFormat="1" spans="1:21">
      <c r="A57" s="13" t="s">
        <v>1830</v>
      </c>
      <c r="B57" s="224">
        <v>6.42</v>
      </c>
      <c r="C57" s="224">
        <v>51.58</v>
      </c>
      <c r="D57" s="224">
        <v>33.45</v>
      </c>
      <c r="E57" s="224">
        <v>35.24</v>
      </c>
      <c r="F57" s="224">
        <v>72.78</v>
      </c>
      <c r="G57" s="224">
        <v>69.15</v>
      </c>
      <c r="H57" s="224">
        <v>27.09</v>
      </c>
      <c r="I57" s="224">
        <v>5.97</v>
      </c>
      <c r="J57" s="224">
        <v>0.72</v>
      </c>
      <c r="K57" s="224">
        <v>29.23</v>
      </c>
      <c r="L57" s="224">
        <v>41.21</v>
      </c>
      <c r="M57" s="224">
        <v>9.7</v>
      </c>
      <c r="N57" s="224">
        <v>743.5</v>
      </c>
      <c r="O57" s="224">
        <v>0</v>
      </c>
      <c r="P57" s="224">
        <v>0.7</v>
      </c>
      <c r="Q57" s="224">
        <v>4.75</v>
      </c>
      <c r="R57" s="13"/>
      <c r="S57" s="13"/>
      <c r="T57" s="213"/>
      <c r="U57" s="13"/>
    </row>
    <row r="58" customFormat="1" spans="1:21">
      <c r="A58" s="13" t="s">
        <v>1831</v>
      </c>
      <c r="B58" s="182" t="s">
        <v>12</v>
      </c>
      <c r="C58" s="182" t="s">
        <v>12</v>
      </c>
      <c r="D58" s="182" t="s">
        <v>12</v>
      </c>
      <c r="E58" s="182" t="s">
        <v>12</v>
      </c>
      <c r="F58" s="224">
        <v>81.86</v>
      </c>
      <c r="G58" s="182" t="s">
        <v>12</v>
      </c>
      <c r="H58" s="182" t="s">
        <v>12</v>
      </c>
      <c r="I58" s="224">
        <v>5.77</v>
      </c>
      <c r="J58" s="224">
        <v>1.17</v>
      </c>
      <c r="K58" s="224">
        <v>301.69</v>
      </c>
      <c r="L58" s="224">
        <v>41.64</v>
      </c>
      <c r="M58" s="224">
        <v>9.41</v>
      </c>
      <c r="N58" s="224">
        <v>631.3</v>
      </c>
      <c r="O58" s="224">
        <v>0</v>
      </c>
      <c r="P58" s="224">
        <v>0.39</v>
      </c>
      <c r="Q58" s="224">
        <v>4.35</v>
      </c>
      <c r="R58" s="13"/>
      <c r="S58" s="13"/>
      <c r="T58" s="213"/>
      <c r="U58" s="13"/>
    </row>
    <row r="59" customFormat="1" spans="1:21">
      <c r="A59" s="13" t="s">
        <v>1832</v>
      </c>
      <c r="B59" s="182" t="s">
        <v>12</v>
      </c>
      <c r="C59" s="182" t="s">
        <v>12</v>
      </c>
      <c r="D59" s="182" t="s">
        <v>12</v>
      </c>
      <c r="E59" s="182" t="s">
        <v>12</v>
      </c>
      <c r="F59" s="224">
        <v>73.22</v>
      </c>
      <c r="G59" s="182" t="s">
        <v>12</v>
      </c>
      <c r="H59" s="182" t="s">
        <v>12</v>
      </c>
      <c r="I59" s="224">
        <v>5.01</v>
      </c>
      <c r="J59" s="224">
        <v>0.52</v>
      </c>
      <c r="K59" s="224">
        <v>357.73</v>
      </c>
      <c r="L59" s="224">
        <v>41.04</v>
      </c>
      <c r="M59" s="224">
        <v>9.56</v>
      </c>
      <c r="N59" s="224">
        <v>342.2</v>
      </c>
      <c r="O59" s="224">
        <v>0</v>
      </c>
      <c r="P59" s="224">
        <v>0.58</v>
      </c>
      <c r="Q59" s="224">
        <v>4.31</v>
      </c>
      <c r="R59" s="13"/>
      <c r="S59" s="13"/>
      <c r="T59" s="213"/>
      <c r="U59" s="13"/>
    </row>
    <row r="60" customFormat="1" spans="1:21">
      <c r="A60" s="13" t="s">
        <v>1833</v>
      </c>
      <c r="B60" s="182" t="s">
        <v>12</v>
      </c>
      <c r="C60" s="182" t="s">
        <v>12</v>
      </c>
      <c r="D60" s="182" t="s">
        <v>12</v>
      </c>
      <c r="E60" s="182" t="s">
        <v>12</v>
      </c>
      <c r="F60" s="224">
        <v>71.45</v>
      </c>
      <c r="G60" s="182" t="s">
        <v>12</v>
      </c>
      <c r="H60" s="182" t="s">
        <v>12</v>
      </c>
      <c r="I60" s="224">
        <v>4.68</v>
      </c>
      <c r="J60" s="224">
        <v>0.84</v>
      </c>
      <c r="K60" s="224">
        <v>327.78</v>
      </c>
      <c r="L60" s="224">
        <v>41.18</v>
      </c>
      <c r="M60" s="224">
        <v>9.3</v>
      </c>
      <c r="N60" s="224">
        <v>687.4</v>
      </c>
      <c r="O60" s="224">
        <v>0</v>
      </c>
      <c r="P60" s="224">
        <v>0.57</v>
      </c>
      <c r="Q60" s="224">
        <v>4.27</v>
      </c>
      <c r="R60" s="13"/>
      <c r="S60" s="13"/>
      <c r="T60" s="213"/>
      <c r="U60" s="13"/>
    </row>
    <row r="61" customFormat="1" spans="1:21">
      <c r="A61" s="13" t="s">
        <v>1834</v>
      </c>
      <c r="B61" s="182" t="s">
        <v>12</v>
      </c>
      <c r="C61" s="182" t="s">
        <v>12</v>
      </c>
      <c r="D61" s="182" t="s">
        <v>12</v>
      </c>
      <c r="E61" s="182" t="s">
        <v>12</v>
      </c>
      <c r="F61" s="224">
        <v>65.87</v>
      </c>
      <c r="G61" s="182" t="s">
        <v>12</v>
      </c>
      <c r="H61" s="182" t="s">
        <v>12</v>
      </c>
      <c r="I61" s="224">
        <v>6.51</v>
      </c>
      <c r="J61" s="224">
        <v>0.62</v>
      </c>
      <c r="K61" s="224">
        <v>307.17</v>
      </c>
      <c r="L61" s="224">
        <v>41.51</v>
      </c>
      <c r="M61" s="224">
        <v>9.02</v>
      </c>
      <c r="N61" s="224">
        <v>457.7</v>
      </c>
      <c r="O61" s="224">
        <v>0</v>
      </c>
      <c r="P61" s="224">
        <v>0.55</v>
      </c>
      <c r="Q61" s="224">
        <v>4.23</v>
      </c>
      <c r="R61" s="13"/>
      <c r="S61" s="13"/>
      <c r="T61" s="213"/>
      <c r="U61" s="13"/>
    </row>
    <row r="62" customFormat="1" spans="1:21">
      <c r="A62" s="13" t="s">
        <v>1835</v>
      </c>
      <c r="B62" s="182" t="s">
        <v>12</v>
      </c>
      <c r="C62" s="182" t="s">
        <v>12</v>
      </c>
      <c r="D62" s="182" t="s">
        <v>12</v>
      </c>
      <c r="E62" s="182" t="s">
        <v>12</v>
      </c>
      <c r="F62" s="224">
        <v>85.11</v>
      </c>
      <c r="G62" s="182" t="s">
        <v>12</v>
      </c>
      <c r="H62" s="182" t="s">
        <v>12</v>
      </c>
      <c r="I62" s="224">
        <v>9.07</v>
      </c>
      <c r="J62" s="224">
        <v>0.52</v>
      </c>
      <c r="K62" s="224">
        <v>306.89</v>
      </c>
      <c r="L62" s="224">
        <v>40.83</v>
      </c>
      <c r="M62" s="224">
        <v>9.47</v>
      </c>
      <c r="N62" s="224">
        <v>373.4</v>
      </c>
      <c r="O62" s="224">
        <v>0</v>
      </c>
      <c r="P62" s="224">
        <v>0.53</v>
      </c>
      <c r="Q62" s="224">
        <v>4.31</v>
      </c>
      <c r="R62" s="13"/>
      <c r="S62" s="13"/>
      <c r="T62" s="213"/>
      <c r="U62" s="13"/>
    </row>
    <row r="63" customFormat="1" spans="1:21">
      <c r="A63" s="13" t="s">
        <v>1836</v>
      </c>
      <c r="B63" s="224">
        <v>2.7</v>
      </c>
      <c r="C63" s="224">
        <v>15.17</v>
      </c>
      <c r="D63" s="224">
        <v>11.44</v>
      </c>
      <c r="E63" s="182" t="s">
        <v>12</v>
      </c>
      <c r="F63" s="224">
        <v>81.8</v>
      </c>
      <c r="G63" s="182" t="s">
        <v>12</v>
      </c>
      <c r="H63" s="182" t="s">
        <v>12</v>
      </c>
      <c r="I63" s="224">
        <v>12.72</v>
      </c>
      <c r="J63" s="224">
        <v>0.59</v>
      </c>
      <c r="K63" s="224">
        <v>38.17</v>
      </c>
      <c r="L63" s="224">
        <v>42.01</v>
      </c>
      <c r="M63" s="224">
        <v>8.73</v>
      </c>
      <c r="N63" s="224">
        <v>609.5</v>
      </c>
      <c r="O63" s="224">
        <v>0</v>
      </c>
      <c r="P63" s="224">
        <v>0.5</v>
      </c>
      <c r="Q63" s="224">
        <v>4.56</v>
      </c>
      <c r="R63" s="13"/>
      <c r="S63" s="13"/>
      <c r="T63" s="213"/>
      <c r="U63" s="13"/>
    </row>
    <row r="64" customFormat="1" spans="1:21">
      <c r="A64" s="13" t="s">
        <v>1837</v>
      </c>
      <c r="B64" s="224">
        <v>2.64</v>
      </c>
      <c r="C64" s="224">
        <v>20.71</v>
      </c>
      <c r="D64" s="224">
        <v>14.29</v>
      </c>
      <c r="E64" s="182" t="s">
        <v>12</v>
      </c>
      <c r="F64" s="224">
        <v>91.17</v>
      </c>
      <c r="G64" s="224">
        <v>32.54</v>
      </c>
      <c r="H64" s="224">
        <v>2.48</v>
      </c>
      <c r="I64" s="224">
        <v>14.89</v>
      </c>
      <c r="J64" s="224">
        <v>0.48</v>
      </c>
      <c r="K64" s="224">
        <v>318.2</v>
      </c>
      <c r="L64" s="224">
        <v>41.88</v>
      </c>
      <c r="M64" s="224">
        <v>8.55</v>
      </c>
      <c r="N64" s="224">
        <v>626.3</v>
      </c>
      <c r="O64" s="224">
        <v>0</v>
      </c>
      <c r="P64" s="224">
        <v>0.49</v>
      </c>
      <c r="Q64" s="224">
        <v>4.48</v>
      </c>
      <c r="R64" s="13"/>
      <c r="S64" s="13"/>
      <c r="T64" s="213"/>
      <c r="U64" s="13"/>
    </row>
    <row r="65" customFormat="1" spans="1:21">
      <c r="A65" s="13" t="s">
        <v>1838</v>
      </c>
      <c r="B65" s="224">
        <v>1.01</v>
      </c>
      <c r="C65" s="224">
        <v>19.14</v>
      </c>
      <c r="D65" s="224">
        <v>14.68</v>
      </c>
      <c r="E65" s="182" t="s">
        <v>12</v>
      </c>
      <c r="F65" s="224">
        <v>48.22</v>
      </c>
      <c r="G65" s="224">
        <v>32.54</v>
      </c>
      <c r="H65" s="224">
        <v>2.48</v>
      </c>
      <c r="I65" s="224">
        <v>17.61</v>
      </c>
      <c r="J65" s="224">
        <v>0.29</v>
      </c>
      <c r="K65" s="224">
        <v>116.11</v>
      </c>
      <c r="L65" s="224">
        <v>42.67</v>
      </c>
      <c r="M65" s="224">
        <v>8.23</v>
      </c>
      <c r="N65" s="224">
        <v>561.9</v>
      </c>
      <c r="O65" s="224">
        <v>0</v>
      </c>
      <c r="P65" s="224">
        <v>0.48</v>
      </c>
      <c r="Q65" s="224">
        <v>4.3</v>
      </c>
      <c r="R65" s="13"/>
      <c r="S65" s="13"/>
      <c r="T65" s="213"/>
      <c r="U65" s="13"/>
    </row>
    <row r="66" customFormat="1" spans="1:21">
      <c r="A66" s="13" t="s">
        <v>1839</v>
      </c>
      <c r="B66" s="224">
        <v>-7.45</v>
      </c>
      <c r="C66" s="224">
        <v>24.46</v>
      </c>
      <c r="D66" s="224">
        <v>8.16</v>
      </c>
      <c r="E66" s="182" t="s">
        <v>12</v>
      </c>
      <c r="F66" s="224">
        <v>57.75</v>
      </c>
      <c r="G66" s="224">
        <v>32.54</v>
      </c>
      <c r="H66" s="224">
        <v>2.48</v>
      </c>
      <c r="I66" s="224">
        <v>24.18</v>
      </c>
      <c r="J66" s="224">
        <v>0.64</v>
      </c>
      <c r="K66" s="224">
        <v>54.18</v>
      </c>
      <c r="L66" s="224">
        <v>43.05</v>
      </c>
      <c r="M66" s="224">
        <v>8.1</v>
      </c>
      <c r="N66" s="224">
        <v>566.6</v>
      </c>
      <c r="O66" s="224">
        <v>0</v>
      </c>
      <c r="P66" s="224">
        <v>0.47</v>
      </c>
      <c r="Q66" s="224">
        <v>4.31</v>
      </c>
      <c r="R66" s="13"/>
      <c r="S66" s="13"/>
      <c r="T66" s="213"/>
      <c r="U66" s="13"/>
    </row>
    <row r="67" customFormat="1" spans="1:21">
      <c r="A67" s="13" t="s">
        <v>1840</v>
      </c>
      <c r="B67" s="224">
        <v>-16.21</v>
      </c>
      <c r="C67" s="224">
        <v>32.13</v>
      </c>
      <c r="D67" s="224">
        <v>5.14</v>
      </c>
      <c r="E67" s="224">
        <v>13.98</v>
      </c>
      <c r="F67" s="224">
        <v>56.98</v>
      </c>
      <c r="G67" s="224">
        <v>32.54</v>
      </c>
      <c r="H67" s="224">
        <v>2.48</v>
      </c>
      <c r="I67" s="224">
        <v>39.39</v>
      </c>
      <c r="J67" s="224">
        <v>0.84</v>
      </c>
      <c r="K67" s="224">
        <v>39.79</v>
      </c>
      <c r="L67" s="224">
        <v>42.44</v>
      </c>
      <c r="M67" s="224">
        <v>8.31</v>
      </c>
      <c r="N67" s="224">
        <v>544.8</v>
      </c>
      <c r="O67" s="224">
        <v>0</v>
      </c>
      <c r="P67" s="224">
        <v>0.52</v>
      </c>
      <c r="Q67" s="224">
        <v>4.57</v>
      </c>
      <c r="R67" s="13"/>
      <c r="S67" s="13"/>
      <c r="T67" s="213"/>
      <c r="U67" s="13"/>
    </row>
    <row r="68" customFormat="1" spans="1:21">
      <c r="A68" s="13" t="s">
        <v>1841</v>
      </c>
      <c r="B68" s="224">
        <v>5.93</v>
      </c>
      <c r="C68" s="224">
        <v>43.11</v>
      </c>
      <c r="D68" s="224">
        <v>30.96</v>
      </c>
      <c r="E68" s="224">
        <v>14.81</v>
      </c>
      <c r="F68" s="224">
        <v>51.76</v>
      </c>
      <c r="G68" s="224">
        <v>35.43</v>
      </c>
      <c r="H68" s="224">
        <v>5.32</v>
      </c>
      <c r="I68" s="224">
        <v>50.81</v>
      </c>
      <c r="J68" s="224">
        <v>0.98</v>
      </c>
      <c r="K68" s="224">
        <v>297.71</v>
      </c>
      <c r="L68" s="224">
        <v>42.03</v>
      </c>
      <c r="M68" s="224">
        <v>8.51</v>
      </c>
      <c r="N68" s="224">
        <v>500.2</v>
      </c>
      <c r="O68" s="224">
        <v>0</v>
      </c>
      <c r="P68" s="224">
        <v>0.54</v>
      </c>
      <c r="Q68" s="224">
        <v>4.89</v>
      </c>
      <c r="R68" s="13"/>
      <c r="S68" s="13"/>
      <c r="T68" s="213"/>
      <c r="U68" s="13"/>
    </row>
    <row r="69" customFormat="1" spans="1:21">
      <c r="A69" s="13" t="s">
        <v>1842</v>
      </c>
      <c r="B69" s="224">
        <v>4.52</v>
      </c>
      <c r="C69" s="224">
        <v>41.36</v>
      </c>
      <c r="D69" s="224">
        <v>26.59</v>
      </c>
      <c r="E69" s="224">
        <v>12.67</v>
      </c>
      <c r="F69" s="224">
        <v>50.97</v>
      </c>
      <c r="G69" s="224">
        <v>35.56</v>
      </c>
      <c r="H69" s="224">
        <v>5.32</v>
      </c>
      <c r="I69" s="224">
        <v>55.27</v>
      </c>
      <c r="J69" s="224">
        <v>0.27</v>
      </c>
      <c r="K69" s="224">
        <v>335.59</v>
      </c>
      <c r="L69" s="224">
        <v>42.1</v>
      </c>
      <c r="M69" s="224">
        <v>8.51</v>
      </c>
      <c r="N69" s="224">
        <v>489.7</v>
      </c>
      <c r="O69" s="224">
        <v>0</v>
      </c>
      <c r="P69" s="224">
        <v>0.52</v>
      </c>
      <c r="Q69" s="224">
        <v>5.15</v>
      </c>
      <c r="R69" s="13"/>
      <c r="S69" s="13"/>
      <c r="T69" s="213"/>
      <c r="U69" s="13"/>
    </row>
    <row r="70" customFormat="1" spans="1:21">
      <c r="A70" s="13" t="s">
        <v>1843</v>
      </c>
      <c r="B70" s="224">
        <v>4.48</v>
      </c>
      <c r="C70" s="224">
        <v>44.86</v>
      </c>
      <c r="D70" s="224">
        <v>28.38</v>
      </c>
      <c r="E70" s="224">
        <v>12.3</v>
      </c>
      <c r="F70" s="224">
        <v>53.44</v>
      </c>
      <c r="G70" s="224">
        <v>35.56</v>
      </c>
      <c r="H70" s="224">
        <v>5.32</v>
      </c>
      <c r="I70" s="224">
        <v>51.98</v>
      </c>
      <c r="J70" s="224">
        <v>0.17</v>
      </c>
      <c r="K70" s="224">
        <v>236.69</v>
      </c>
      <c r="L70" s="224">
        <v>42.15</v>
      </c>
      <c r="M70" s="224">
        <v>8.71</v>
      </c>
      <c r="N70" s="224">
        <v>275.9</v>
      </c>
      <c r="O70" s="224">
        <v>0</v>
      </c>
      <c r="P70" s="224">
        <v>0.5</v>
      </c>
      <c r="Q70" s="224">
        <v>5.21</v>
      </c>
      <c r="R70" s="13"/>
      <c r="S70" s="13"/>
      <c r="T70" s="213"/>
      <c r="U70" s="13"/>
    </row>
    <row r="71" customFormat="1" spans="1:21">
      <c r="A71" s="13" t="s">
        <v>1844</v>
      </c>
      <c r="B71" s="224">
        <v>4.13</v>
      </c>
      <c r="C71" s="224">
        <v>40.91</v>
      </c>
      <c r="D71" s="224">
        <v>26.04</v>
      </c>
      <c r="E71" s="224">
        <v>12.35</v>
      </c>
      <c r="F71" s="224">
        <v>55.53</v>
      </c>
      <c r="G71" s="224">
        <v>35.56</v>
      </c>
      <c r="H71" s="224">
        <v>5.32</v>
      </c>
      <c r="I71" s="224">
        <v>41.77</v>
      </c>
      <c r="J71" s="224">
        <v>0.56</v>
      </c>
      <c r="K71" s="224">
        <v>280.19</v>
      </c>
      <c r="L71" s="224">
        <v>42.15</v>
      </c>
      <c r="M71" s="224">
        <v>8.85</v>
      </c>
      <c r="N71" s="224">
        <v>393.7</v>
      </c>
      <c r="O71" s="224">
        <v>0</v>
      </c>
      <c r="P71" s="224">
        <v>0.49</v>
      </c>
      <c r="Q71" s="224">
        <v>5.19</v>
      </c>
      <c r="R71" s="13"/>
      <c r="S71" s="13"/>
      <c r="T71" s="213"/>
      <c r="U71" s="13"/>
    </row>
    <row r="72" customFormat="1" spans="1:21">
      <c r="A72" s="13" t="s">
        <v>1845</v>
      </c>
      <c r="B72" s="224">
        <v>4.16</v>
      </c>
      <c r="C72" s="224">
        <v>43.81</v>
      </c>
      <c r="D72" s="224">
        <v>27.57</v>
      </c>
      <c r="E72" s="224">
        <v>9.86</v>
      </c>
      <c r="F72" s="224">
        <v>43.68</v>
      </c>
      <c r="G72" s="224">
        <v>33.92</v>
      </c>
      <c r="H72" s="224">
        <v>10.37</v>
      </c>
      <c r="I72" s="224">
        <v>33.22</v>
      </c>
      <c r="J72" s="224">
        <v>0.49</v>
      </c>
      <c r="K72" s="224">
        <v>269.77</v>
      </c>
      <c r="L72" s="224">
        <v>42.3</v>
      </c>
      <c r="M72" s="224">
        <v>8.67</v>
      </c>
      <c r="N72" s="224">
        <v>281.8</v>
      </c>
      <c r="O72" s="224">
        <v>0</v>
      </c>
      <c r="P72" s="224">
        <v>0.48</v>
      </c>
      <c r="Q72" s="224">
        <v>5.14</v>
      </c>
      <c r="R72" s="13"/>
      <c r="S72" s="13"/>
      <c r="T72" s="213"/>
      <c r="U72" s="13"/>
    </row>
    <row r="73" customFormat="1" spans="1:21">
      <c r="A73" s="13" t="s">
        <v>1846</v>
      </c>
      <c r="B73" s="224">
        <v>4.06</v>
      </c>
      <c r="C73" s="224">
        <v>41.98</v>
      </c>
      <c r="D73" s="224">
        <v>26.54</v>
      </c>
      <c r="E73" s="224">
        <v>10.81</v>
      </c>
      <c r="F73" s="224">
        <v>59.9</v>
      </c>
      <c r="G73" s="224">
        <v>33.84</v>
      </c>
      <c r="H73" s="224">
        <v>10.37</v>
      </c>
      <c r="I73" s="224">
        <v>27.24</v>
      </c>
      <c r="J73" s="224">
        <v>0.42</v>
      </c>
      <c r="K73" s="224">
        <v>263.93</v>
      </c>
      <c r="L73" s="224">
        <v>40.91</v>
      </c>
      <c r="M73" s="224">
        <v>9.72</v>
      </c>
      <c r="N73" s="224">
        <v>85.2</v>
      </c>
      <c r="O73" s="224">
        <v>0</v>
      </c>
      <c r="P73" s="224">
        <v>0.47</v>
      </c>
      <c r="Q73" s="224">
        <v>5.13</v>
      </c>
      <c r="R73" s="13"/>
      <c r="S73" s="13"/>
      <c r="T73" s="213"/>
      <c r="U73" s="13"/>
    </row>
    <row r="74" customFormat="1" spans="1:21">
      <c r="A74" s="13" t="s">
        <v>1847</v>
      </c>
      <c r="B74" s="224">
        <v>3.5</v>
      </c>
      <c r="C74" s="224">
        <v>35.13</v>
      </c>
      <c r="D74" s="224">
        <v>22.51</v>
      </c>
      <c r="E74" s="224">
        <v>10.99</v>
      </c>
      <c r="F74" s="224">
        <v>51.35</v>
      </c>
      <c r="G74" s="224">
        <v>33.84</v>
      </c>
      <c r="H74" s="224">
        <v>10.37</v>
      </c>
      <c r="I74" s="224">
        <v>10.31</v>
      </c>
      <c r="J74" s="224">
        <v>0.36</v>
      </c>
      <c r="K74" s="224">
        <v>243.6</v>
      </c>
      <c r="L74" s="224">
        <v>39.96</v>
      </c>
      <c r="M74" s="224">
        <v>10.93</v>
      </c>
      <c r="N74" s="224">
        <v>60.9</v>
      </c>
      <c r="O74" s="224">
        <v>0</v>
      </c>
      <c r="P74" s="224">
        <v>0.44</v>
      </c>
      <c r="Q74" s="224">
        <v>4.97</v>
      </c>
      <c r="R74" s="13"/>
      <c r="S74" s="13"/>
      <c r="T74" s="213"/>
      <c r="U74" s="13"/>
    </row>
    <row r="75" customFormat="1" spans="1:21">
      <c r="A75" s="13" t="s">
        <v>1848</v>
      </c>
      <c r="B75" s="224">
        <v>3.66</v>
      </c>
      <c r="C75" s="224">
        <v>45.75</v>
      </c>
      <c r="D75" s="224">
        <v>28.19</v>
      </c>
      <c r="E75" s="224">
        <v>8.51</v>
      </c>
      <c r="F75" s="224">
        <v>15.54</v>
      </c>
      <c r="G75" s="224">
        <v>33.84</v>
      </c>
      <c r="H75" s="224">
        <v>10.37</v>
      </c>
      <c r="I75" s="224">
        <v>0</v>
      </c>
      <c r="J75" s="224">
        <v>0.06</v>
      </c>
      <c r="K75" s="224">
        <v>207.92</v>
      </c>
      <c r="L75" s="224">
        <v>39.74</v>
      </c>
      <c r="M75" s="224">
        <v>12.18</v>
      </c>
      <c r="N75" s="224">
        <v>73.2</v>
      </c>
      <c r="O75" s="224">
        <v>0</v>
      </c>
      <c r="P75" s="224">
        <v>0.46</v>
      </c>
      <c r="Q75" s="224">
        <v>4.85</v>
      </c>
      <c r="R75" s="13"/>
      <c r="S75" s="13"/>
      <c r="T75" s="213"/>
      <c r="U75" s="13"/>
    </row>
    <row r="76" customFormat="1" spans="1:21">
      <c r="A76" s="13" t="s">
        <v>1849</v>
      </c>
      <c r="B76" s="224">
        <v>4.55</v>
      </c>
      <c r="C76" s="224">
        <v>54.9</v>
      </c>
      <c r="D76" s="224">
        <v>33.69</v>
      </c>
      <c r="E76" s="224">
        <v>8.06</v>
      </c>
      <c r="F76" s="224">
        <v>9.84</v>
      </c>
      <c r="G76" s="224">
        <v>37.21</v>
      </c>
      <c r="H76" s="224">
        <v>14.08</v>
      </c>
      <c r="I76" s="224">
        <v>0</v>
      </c>
      <c r="J76" s="224">
        <v>0.23</v>
      </c>
      <c r="K76" s="224">
        <v>41.92</v>
      </c>
      <c r="L76" s="224">
        <v>39.9</v>
      </c>
      <c r="M76" s="224">
        <v>11.85</v>
      </c>
      <c r="N76" s="224">
        <v>113</v>
      </c>
      <c r="O76" s="224">
        <v>0</v>
      </c>
      <c r="P76" s="224">
        <v>0.48</v>
      </c>
      <c r="Q76" s="224">
        <v>5.03</v>
      </c>
      <c r="R76" s="13"/>
      <c r="S76" s="13"/>
      <c r="T76" s="213"/>
      <c r="U76" s="13"/>
    </row>
    <row r="77" customFormat="1" spans="1:21">
      <c r="A77" s="13" t="s">
        <v>1850</v>
      </c>
      <c r="B77" s="224">
        <v>5.98</v>
      </c>
      <c r="C77" s="224">
        <v>61.87</v>
      </c>
      <c r="D77" s="224">
        <v>38.47</v>
      </c>
      <c r="E77" s="224">
        <v>9.1</v>
      </c>
      <c r="F77" s="224">
        <v>9.13</v>
      </c>
      <c r="G77" s="224">
        <v>37.37</v>
      </c>
      <c r="H77" s="224">
        <v>14.08</v>
      </c>
      <c r="I77" s="224">
        <v>0</v>
      </c>
      <c r="J77" s="224">
        <v>0.27</v>
      </c>
      <c r="K77" s="224">
        <v>30.7</v>
      </c>
      <c r="L77" s="224">
        <v>39.94</v>
      </c>
      <c r="M77" s="224">
        <v>11.79</v>
      </c>
      <c r="N77" s="224">
        <v>101.8</v>
      </c>
      <c r="O77" s="224">
        <v>0</v>
      </c>
      <c r="P77" s="224">
        <v>0.51</v>
      </c>
      <c r="Q77" s="224">
        <v>5.23</v>
      </c>
      <c r="R77" s="13"/>
      <c r="S77" s="13"/>
      <c r="T77" s="213"/>
      <c r="U77" s="13"/>
    </row>
    <row r="78" customFormat="1" spans="1:21">
      <c r="A78" s="13" t="s">
        <v>1851</v>
      </c>
      <c r="B78" s="224">
        <v>8.88</v>
      </c>
      <c r="C78" s="224">
        <v>68.96</v>
      </c>
      <c r="D78" s="224">
        <v>44.5</v>
      </c>
      <c r="E78" s="224">
        <v>10.22</v>
      </c>
      <c r="F78" s="224">
        <v>9.23</v>
      </c>
      <c r="G78" s="224">
        <v>37.37</v>
      </c>
      <c r="H78" s="224">
        <v>14.08</v>
      </c>
      <c r="I78" s="224">
        <v>0</v>
      </c>
      <c r="J78" s="224">
        <v>0.33</v>
      </c>
      <c r="K78" s="224">
        <v>38.64</v>
      </c>
      <c r="L78" s="224">
        <v>39.82</v>
      </c>
      <c r="M78" s="224">
        <v>12.15</v>
      </c>
      <c r="N78" s="224">
        <v>79.9</v>
      </c>
      <c r="O78" s="224">
        <v>0</v>
      </c>
      <c r="P78" s="224">
        <v>0.54</v>
      </c>
      <c r="Q78" s="224">
        <v>5.44</v>
      </c>
      <c r="R78" s="13"/>
      <c r="S78" s="13"/>
      <c r="T78" s="213"/>
      <c r="U78" s="13"/>
    </row>
    <row r="79" customFormat="1" spans="1:21">
      <c r="A79" s="13" t="s">
        <v>1852</v>
      </c>
      <c r="B79" s="224">
        <v>16.99</v>
      </c>
      <c r="C79" s="224">
        <v>73.57</v>
      </c>
      <c r="D79" s="224">
        <v>54.59</v>
      </c>
      <c r="E79" s="224">
        <v>14.83</v>
      </c>
      <c r="F79" s="224">
        <v>12.5</v>
      </c>
      <c r="G79" s="224">
        <v>37.37</v>
      </c>
      <c r="H79" s="224">
        <v>14.07</v>
      </c>
      <c r="I79" s="224">
        <v>0</v>
      </c>
      <c r="J79" s="224">
        <v>0.5</v>
      </c>
      <c r="K79" s="224">
        <v>66.07</v>
      </c>
      <c r="L79" s="224">
        <v>39.3</v>
      </c>
      <c r="M79" s="224">
        <v>13.82</v>
      </c>
      <c r="N79" s="224">
        <v>42.7</v>
      </c>
      <c r="O79" s="224">
        <v>0</v>
      </c>
      <c r="P79" s="224">
        <v>0.82</v>
      </c>
      <c r="Q79" s="224">
        <v>5.57</v>
      </c>
      <c r="R79" s="13"/>
      <c r="S79" s="13"/>
      <c r="T79" s="213"/>
      <c r="U79" s="13"/>
    </row>
    <row r="80" customFormat="1" spans="1:21">
      <c r="A80" s="13" t="s">
        <v>1853</v>
      </c>
      <c r="B80" s="224">
        <v>8.4</v>
      </c>
      <c r="C80" s="224">
        <v>66.92</v>
      </c>
      <c r="D80" s="224">
        <v>43.05</v>
      </c>
      <c r="E80" s="224">
        <v>16.51</v>
      </c>
      <c r="F80" s="224">
        <v>19.11</v>
      </c>
      <c r="G80" s="224">
        <v>63.48</v>
      </c>
      <c r="H80" s="224">
        <v>21.11</v>
      </c>
      <c r="I80" s="224">
        <v>0</v>
      </c>
      <c r="J80" s="224">
        <v>0.24</v>
      </c>
      <c r="K80" s="224">
        <v>175.75</v>
      </c>
      <c r="L80" s="224">
        <v>38.14</v>
      </c>
      <c r="M80" s="224">
        <v>17.66</v>
      </c>
      <c r="N80" s="224">
        <v>20.8</v>
      </c>
      <c r="O80" s="224">
        <v>0</v>
      </c>
      <c r="P80" s="224">
        <v>0.76</v>
      </c>
      <c r="Q80" s="224">
        <v>5.74</v>
      </c>
      <c r="R80" s="13"/>
      <c r="S80" s="13"/>
      <c r="T80" s="213"/>
      <c r="U80" s="13"/>
    </row>
    <row r="81" customFormat="1" spans="1:21">
      <c r="A81" s="13" t="s">
        <v>1854</v>
      </c>
      <c r="B81" s="224">
        <v>7.86</v>
      </c>
      <c r="C81" s="224">
        <v>64.62</v>
      </c>
      <c r="D81" s="224">
        <v>41.41</v>
      </c>
      <c r="E81" s="224">
        <v>12.39</v>
      </c>
      <c r="F81" s="224">
        <v>26.43</v>
      </c>
      <c r="G81" s="224">
        <v>64.69</v>
      </c>
      <c r="H81" s="224">
        <v>21.11</v>
      </c>
      <c r="I81" s="224">
        <v>0</v>
      </c>
      <c r="J81" s="224">
        <v>0.26</v>
      </c>
      <c r="K81" s="224">
        <v>170.4</v>
      </c>
      <c r="L81" s="224">
        <v>36.86</v>
      </c>
      <c r="M81" s="224">
        <v>19.84</v>
      </c>
      <c r="N81" s="224">
        <v>1.8</v>
      </c>
      <c r="O81" s="224">
        <v>0</v>
      </c>
      <c r="P81" s="224">
        <v>0.76</v>
      </c>
      <c r="Q81" s="224">
        <v>5.64</v>
      </c>
      <c r="R81" s="13"/>
      <c r="S81" s="13"/>
      <c r="T81" s="213"/>
      <c r="U81" s="13"/>
    </row>
    <row r="82" customFormat="1" spans="1:21">
      <c r="A82" s="13" t="s">
        <v>1855</v>
      </c>
      <c r="B82" s="224">
        <v>7.26</v>
      </c>
      <c r="C82" s="224">
        <v>57.7</v>
      </c>
      <c r="D82" s="224">
        <v>37.31</v>
      </c>
      <c r="E82" s="224">
        <v>12.91</v>
      </c>
      <c r="F82" s="224">
        <v>27.81</v>
      </c>
      <c r="G82" s="224">
        <v>64.69</v>
      </c>
      <c r="H82" s="224">
        <v>21.11</v>
      </c>
      <c r="I82" s="224">
        <v>0</v>
      </c>
      <c r="J82" s="224">
        <v>0.22</v>
      </c>
      <c r="K82" s="224">
        <v>164.62</v>
      </c>
      <c r="L82" s="224">
        <v>35.55</v>
      </c>
      <c r="M82" s="224">
        <v>23.23</v>
      </c>
      <c r="N82" s="224">
        <v>0</v>
      </c>
      <c r="O82" s="224">
        <v>0</v>
      </c>
      <c r="P82" s="224">
        <v>0.71</v>
      </c>
      <c r="Q82" s="224">
        <v>5.46</v>
      </c>
      <c r="R82" s="13"/>
      <c r="S82" s="13"/>
      <c r="T82" s="213"/>
      <c r="U82" s="13"/>
    </row>
    <row r="83" customFormat="1" spans="1:21">
      <c r="A83" s="13" t="s">
        <v>1856</v>
      </c>
      <c r="B83" s="224">
        <v>7.46</v>
      </c>
      <c r="C83" s="224">
        <v>54.18</v>
      </c>
      <c r="D83" s="224">
        <v>35.64</v>
      </c>
      <c r="E83" s="224">
        <v>12.22</v>
      </c>
      <c r="F83" s="224">
        <v>25.48</v>
      </c>
      <c r="G83" s="224">
        <v>64.69</v>
      </c>
      <c r="H83" s="224">
        <v>21.11</v>
      </c>
      <c r="I83" s="224">
        <v>0</v>
      </c>
      <c r="J83" s="224">
        <v>0.25</v>
      </c>
      <c r="K83" s="224">
        <v>160.78</v>
      </c>
      <c r="L83" s="224">
        <v>34.84</v>
      </c>
      <c r="M83" s="224">
        <v>26.2</v>
      </c>
      <c r="N83" s="224">
        <v>0</v>
      </c>
      <c r="O83" s="224">
        <v>0</v>
      </c>
      <c r="P83" s="224">
        <v>0.78</v>
      </c>
      <c r="Q83" s="224">
        <v>5.35</v>
      </c>
      <c r="R83" s="13"/>
      <c r="S83" s="13"/>
      <c r="T83" s="213"/>
      <c r="U83" s="13"/>
    </row>
    <row r="84" customFormat="1" spans="1:21">
      <c r="A84" s="13" t="s">
        <v>1857</v>
      </c>
      <c r="B84" s="224">
        <v>7.2</v>
      </c>
      <c r="C84" s="224">
        <v>51.42</v>
      </c>
      <c r="D84" s="224">
        <v>33.99</v>
      </c>
      <c r="E84" s="224">
        <v>13</v>
      </c>
      <c r="F84" s="224">
        <v>30.16</v>
      </c>
      <c r="G84" s="224">
        <v>81.64</v>
      </c>
      <c r="H84" s="224">
        <v>24.45</v>
      </c>
      <c r="I84" s="224">
        <v>0</v>
      </c>
      <c r="J84" s="224">
        <v>0.2</v>
      </c>
      <c r="K84" s="224">
        <v>165.03</v>
      </c>
      <c r="L84" s="224">
        <v>34.33</v>
      </c>
      <c r="M84" s="224">
        <v>26.19</v>
      </c>
      <c r="N84" s="224">
        <v>0</v>
      </c>
      <c r="O84" s="224">
        <v>0</v>
      </c>
      <c r="P84" s="224">
        <v>0.74</v>
      </c>
      <c r="Q84" s="224">
        <v>5.31</v>
      </c>
      <c r="R84" s="13"/>
      <c r="S84" s="13"/>
      <c r="T84" s="213"/>
      <c r="U84" s="13"/>
    </row>
    <row r="85" customFormat="1" spans="1:21">
      <c r="A85" s="13" t="s">
        <v>1858</v>
      </c>
      <c r="B85" s="224">
        <v>7.06</v>
      </c>
      <c r="C85" s="224">
        <v>49.68</v>
      </c>
      <c r="D85" s="224">
        <v>32.97</v>
      </c>
      <c r="E85" s="224">
        <v>14.02</v>
      </c>
      <c r="F85" s="224">
        <v>29.2</v>
      </c>
      <c r="G85" s="224">
        <v>82.43</v>
      </c>
      <c r="H85" s="224">
        <v>24.45</v>
      </c>
      <c r="I85" s="224">
        <v>0</v>
      </c>
      <c r="J85" s="224">
        <v>0.2</v>
      </c>
      <c r="K85" s="224">
        <v>151.46</v>
      </c>
      <c r="L85" s="224">
        <v>33.98</v>
      </c>
      <c r="M85" s="224">
        <v>27.23</v>
      </c>
      <c r="N85" s="224">
        <v>0</v>
      </c>
      <c r="O85" s="224">
        <v>0</v>
      </c>
      <c r="P85" s="224">
        <v>0.77</v>
      </c>
      <c r="Q85" s="224">
        <v>5.23</v>
      </c>
      <c r="R85" s="13"/>
      <c r="S85" s="13"/>
      <c r="T85" s="213"/>
      <c r="U85" s="13"/>
    </row>
    <row r="86" customFormat="1" spans="1:21">
      <c r="A86" s="13" t="s">
        <v>1859</v>
      </c>
      <c r="B86" s="224">
        <v>7.75</v>
      </c>
      <c r="C86" s="224">
        <v>52.8</v>
      </c>
      <c r="D86" s="224">
        <v>35.15</v>
      </c>
      <c r="E86" s="224">
        <v>13.56</v>
      </c>
      <c r="F86" s="224">
        <v>26.78</v>
      </c>
      <c r="G86" s="224">
        <v>82.43</v>
      </c>
      <c r="H86" s="224">
        <v>24.45</v>
      </c>
      <c r="I86" s="224">
        <v>0</v>
      </c>
      <c r="J86" s="224">
        <v>0.19</v>
      </c>
      <c r="K86" s="224">
        <v>137.9</v>
      </c>
      <c r="L86" s="224">
        <v>33.58</v>
      </c>
      <c r="M86" s="224">
        <v>26.32</v>
      </c>
      <c r="N86" s="224">
        <v>0</v>
      </c>
      <c r="O86" s="224">
        <v>0</v>
      </c>
      <c r="P86" s="224">
        <v>0.75</v>
      </c>
      <c r="Q86" s="224">
        <v>5.12</v>
      </c>
      <c r="R86" s="13"/>
      <c r="S86" s="13"/>
      <c r="T86" s="213"/>
      <c r="U86" s="13"/>
    </row>
    <row r="87" customFormat="1" spans="1:21">
      <c r="A87" s="13" t="s">
        <v>1860</v>
      </c>
      <c r="B87" s="224">
        <v>8.11</v>
      </c>
      <c r="C87" s="224">
        <v>50.53</v>
      </c>
      <c r="D87" s="224">
        <v>34.25</v>
      </c>
      <c r="E87" s="224">
        <v>13.72</v>
      </c>
      <c r="F87" s="224">
        <v>24.53</v>
      </c>
      <c r="G87" s="224">
        <v>82.43</v>
      </c>
      <c r="H87" s="224">
        <v>24.45</v>
      </c>
      <c r="I87" s="224">
        <v>0</v>
      </c>
      <c r="J87" s="224">
        <v>0.26</v>
      </c>
      <c r="K87" s="224">
        <v>139.47</v>
      </c>
      <c r="L87" s="224">
        <v>33.37</v>
      </c>
      <c r="M87" s="224">
        <v>26.68</v>
      </c>
      <c r="N87" s="224">
        <v>0</v>
      </c>
      <c r="O87" s="224">
        <v>0</v>
      </c>
      <c r="P87" s="224">
        <v>0.82</v>
      </c>
      <c r="Q87" s="224">
        <v>5.11</v>
      </c>
      <c r="R87" s="13"/>
      <c r="S87" s="13"/>
      <c r="T87" s="213"/>
      <c r="U87" s="13"/>
    </row>
    <row r="88" customFormat="1" spans="1:21">
      <c r="A88" s="13" t="s">
        <v>1861</v>
      </c>
      <c r="B88" s="224">
        <v>37.6</v>
      </c>
      <c r="C88" s="224">
        <v>71.87</v>
      </c>
      <c r="D88" s="224">
        <v>69.12</v>
      </c>
      <c r="E88" s="224">
        <v>13.47</v>
      </c>
      <c r="F88" s="224">
        <v>6.09</v>
      </c>
      <c r="G88" s="224">
        <v>80.05</v>
      </c>
      <c r="H88" s="224">
        <v>22.38</v>
      </c>
      <c r="I88" s="224">
        <v>0</v>
      </c>
      <c r="J88" s="224">
        <v>0.29</v>
      </c>
      <c r="K88" s="224">
        <v>91.34</v>
      </c>
      <c r="L88" s="224">
        <v>33.13</v>
      </c>
      <c r="M88" s="224">
        <v>27.39</v>
      </c>
      <c r="N88" s="224">
        <v>0</v>
      </c>
      <c r="O88" s="224">
        <v>0</v>
      </c>
      <c r="P88" s="224">
        <v>1.19</v>
      </c>
      <c r="Q88" s="224">
        <v>5.13</v>
      </c>
      <c r="R88" s="13"/>
      <c r="S88" s="13"/>
      <c r="T88" s="213"/>
      <c r="U88" s="13"/>
    </row>
    <row r="89" customFormat="1" spans="1:21">
      <c r="A89" s="13" t="s">
        <v>1862</v>
      </c>
      <c r="B89" s="224">
        <v>35.63</v>
      </c>
      <c r="C89" s="224">
        <v>72.63</v>
      </c>
      <c r="D89" s="224">
        <v>68.68</v>
      </c>
      <c r="E89" s="224">
        <v>14.6</v>
      </c>
      <c r="F89" s="224">
        <v>5.07</v>
      </c>
      <c r="G89" s="224">
        <v>79.94</v>
      </c>
      <c r="H89" s="224">
        <v>22.38</v>
      </c>
      <c r="I89" s="224">
        <v>0</v>
      </c>
      <c r="J89" s="224">
        <v>0.18</v>
      </c>
      <c r="K89" s="224">
        <v>73.5</v>
      </c>
      <c r="L89" s="224">
        <v>33.41</v>
      </c>
      <c r="M89" s="224">
        <v>25.87</v>
      </c>
      <c r="N89" s="224">
        <v>0</v>
      </c>
      <c r="O89" s="224">
        <v>0</v>
      </c>
      <c r="P89" s="224">
        <v>1.36</v>
      </c>
      <c r="Q89" s="224">
        <v>5.69</v>
      </c>
      <c r="R89" s="13"/>
      <c r="S89" s="13"/>
      <c r="T89" s="213"/>
      <c r="U89" s="13"/>
    </row>
    <row r="90" customFormat="1" spans="1:21">
      <c r="A90" s="13" t="s">
        <v>1863</v>
      </c>
      <c r="B90" s="224">
        <v>24.71</v>
      </c>
      <c r="C90" s="224">
        <v>70.91</v>
      </c>
      <c r="D90" s="224">
        <v>58.21</v>
      </c>
      <c r="E90" s="224">
        <v>13.02</v>
      </c>
      <c r="F90" s="224">
        <v>4.89</v>
      </c>
      <c r="G90" s="224">
        <v>79.94</v>
      </c>
      <c r="H90" s="224">
        <v>22.38</v>
      </c>
      <c r="I90" s="224">
        <v>0</v>
      </c>
      <c r="J90" s="224">
        <v>0.24</v>
      </c>
      <c r="K90" s="224">
        <v>159.11</v>
      </c>
      <c r="L90" s="224">
        <v>32.77</v>
      </c>
      <c r="M90" s="224">
        <v>29.14</v>
      </c>
      <c r="N90" s="224">
        <v>0</v>
      </c>
      <c r="O90" s="224">
        <v>0</v>
      </c>
      <c r="P90" s="224">
        <v>1.25</v>
      </c>
      <c r="Q90" s="224">
        <v>6.23</v>
      </c>
      <c r="R90" s="13"/>
      <c r="S90" s="13"/>
      <c r="T90" s="213"/>
      <c r="U90" s="13"/>
    </row>
    <row r="91" customFormat="1" spans="1:21">
      <c r="A91" s="13" t="s">
        <v>1864</v>
      </c>
      <c r="B91" s="224">
        <v>38.41</v>
      </c>
      <c r="C91" s="224">
        <v>74.21</v>
      </c>
      <c r="D91" s="224">
        <v>70.97</v>
      </c>
      <c r="E91" s="224">
        <v>14.15</v>
      </c>
      <c r="F91" s="224">
        <v>4.43</v>
      </c>
      <c r="G91" s="224">
        <v>79.94</v>
      </c>
      <c r="H91" s="224">
        <v>22.38</v>
      </c>
      <c r="I91" s="224">
        <v>0</v>
      </c>
      <c r="J91" s="224">
        <v>0.11</v>
      </c>
      <c r="K91" s="224">
        <v>307.85</v>
      </c>
      <c r="L91" s="224">
        <v>32.39</v>
      </c>
      <c r="M91" s="224">
        <v>27.33</v>
      </c>
      <c r="N91" s="224">
        <v>0</v>
      </c>
      <c r="O91" s="224">
        <v>0</v>
      </c>
      <c r="P91" s="224">
        <v>1.32</v>
      </c>
      <c r="Q91" s="224">
        <v>6.2</v>
      </c>
      <c r="R91" s="13"/>
      <c r="S91" s="13"/>
      <c r="T91" s="213"/>
      <c r="U91" s="13"/>
    </row>
    <row r="92" customFormat="1" spans="1:21">
      <c r="A92" s="13" t="s">
        <v>1865</v>
      </c>
      <c r="B92" s="224">
        <v>29.96</v>
      </c>
      <c r="C92" s="224">
        <v>71.44</v>
      </c>
      <c r="D92" s="224">
        <v>62.76</v>
      </c>
      <c r="E92" s="224">
        <v>25.18</v>
      </c>
      <c r="F92" s="224">
        <v>6.41</v>
      </c>
      <c r="G92" s="224">
        <v>95.99</v>
      </c>
      <c r="H92" s="224">
        <v>30.69</v>
      </c>
      <c r="I92" s="224">
        <v>0</v>
      </c>
      <c r="J92" s="224">
        <v>0.38</v>
      </c>
      <c r="K92" s="224">
        <v>38.1</v>
      </c>
      <c r="L92" s="224">
        <v>33.46</v>
      </c>
      <c r="M92" s="224">
        <v>23.6</v>
      </c>
      <c r="N92" s="224">
        <v>0</v>
      </c>
      <c r="O92" s="224">
        <v>0</v>
      </c>
      <c r="P92" s="224">
        <v>1.27</v>
      </c>
      <c r="Q92" s="224">
        <v>6.44</v>
      </c>
      <c r="R92" s="13"/>
      <c r="S92" s="13"/>
      <c r="T92" s="213"/>
      <c r="U92" s="13"/>
    </row>
    <row r="93" customFormat="1" spans="1:21">
      <c r="A93" s="13" t="s">
        <v>1866</v>
      </c>
      <c r="B93" s="224">
        <v>28.78</v>
      </c>
      <c r="C93" s="224">
        <v>70.67</v>
      </c>
      <c r="D93" s="224">
        <v>61.36</v>
      </c>
      <c r="E93" s="224">
        <v>36.04</v>
      </c>
      <c r="F93" s="224">
        <v>8.39</v>
      </c>
      <c r="G93" s="224">
        <v>96.73</v>
      </c>
      <c r="H93" s="224">
        <v>30.69</v>
      </c>
      <c r="I93" s="224">
        <v>0</v>
      </c>
      <c r="J93" s="224">
        <v>0.39</v>
      </c>
      <c r="K93" s="224">
        <v>51.69</v>
      </c>
      <c r="L93" s="224">
        <v>33.5</v>
      </c>
      <c r="M93" s="224">
        <v>22.88</v>
      </c>
      <c r="N93" s="224">
        <v>0</v>
      </c>
      <c r="O93" s="224">
        <v>0</v>
      </c>
      <c r="P93" s="224">
        <v>1.26</v>
      </c>
      <c r="Q93" s="224">
        <v>6.52</v>
      </c>
      <c r="R93" s="13"/>
      <c r="S93" s="13"/>
      <c r="T93" s="213"/>
      <c r="U93" s="13"/>
    </row>
    <row r="94" customFormat="1" spans="1:21">
      <c r="A94" s="13" t="s">
        <v>1867</v>
      </c>
      <c r="B94" s="224">
        <v>38.43</v>
      </c>
      <c r="C94" s="224">
        <v>74.24</v>
      </c>
      <c r="D94" s="224">
        <v>71.07</v>
      </c>
      <c r="E94" s="224">
        <v>45.1</v>
      </c>
      <c r="F94" s="224">
        <v>6.8</v>
      </c>
      <c r="G94" s="224">
        <v>96.73</v>
      </c>
      <c r="H94" s="224">
        <v>30.69</v>
      </c>
      <c r="I94" s="224">
        <v>0</v>
      </c>
      <c r="J94" s="224">
        <v>0.19</v>
      </c>
      <c r="K94" s="224">
        <v>53.86</v>
      </c>
      <c r="L94" s="224">
        <v>33.07</v>
      </c>
      <c r="M94" s="224">
        <v>24.18</v>
      </c>
      <c r="N94" s="224">
        <v>0</v>
      </c>
      <c r="O94" s="224">
        <v>0</v>
      </c>
      <c r="P94" s="224">
        <v>1.36</v>
      </c>
      <c r="Q94" s="224">
        <v>6.57</v>
      </c>
      <c r="R94" s="13"/>
      <c r="S94" s="13"/>
      <c r="T94" s="213"/>
      <c r="U94" s="13"/>
    </row>
    <row r="95" customFormat="1" spans="1:21">
      <c r="A95" s="13" t="s">
        <v>1868</v>
      </c>
      <c r="B95" s="224">
        <v>37.34</v>
      </c>
      <c r="C95" s="224">
        <v>73.91</v>
      </c>
      <c r="D95" s="224">
        <v>69.91</v>
      </c>
      <c r="E95" s="224">
        <v>49.06</v>
      </c>
      <c r="F95" s="224">
        <v>5.04</v>
      </c>
      <c r="G95" s="224">
        <v>96.73</v>
      </c>
      <c r="H95" s="224">
        <v>30.69</v>
      </c>
      <c r="I95" s="224">
        <v>0</v>
      </c>
      <c r="J95" s="224">
        <v>0.22</v>
      </c>
      <c r="K95" s="224">
        <v>143.56</v>
      </c>
      <c r="L95" s="224">
        <v>32.3</v>
      </c>
      <c r="M95" s="224">
        <v>27.5</v>
      </c>
      <c r="N95" s="224">
        <v>0</v>
      </c>
      <c r="O95" s="224">
        <v>0</v>
      </c>
      <c r="P95" s="224">
        <v>1.31</v>
      </c>
      <c r="Q95" s="224">
        <v>6.79</v>
      </c>
      <c r="R95" s="13"/>
      <c r="S95" s="13"/>
      <c r="T95" s="213"/>
      <c r="U95" s="13"/>
    </row>
    <row r="96" customFormat="1" spans="1:26">
      <c r="A96" s="13" t="s">
        <v>1869</v>
      </c>
      <c r="B96" s="224">
        <v>27.27</v>
      </c>
      <c r="C96" s="224">
        <v>72.03</v>
      </c>
      <c r="D96" s="224">
        <v>60.85</v>
      </c>
      <c r="E96" s="224">
        <v>38.24</v>
      </c>
      <c r="F96" s="224">
        <v>4.47</v>
      </c>
      <c r="G96" s="224">
        <v>122.85</v>
      </c>
      <c r="H96" s="224">
        <v>40.74</v>
      </c>
      <c r="I96" s="224">
        <v>0</v>
      </c>
      <c r="J96" s="224">
        <v>0.24</v>
      </c>
      <c r="K96" s="224">
        <v>162.18</v>
      </c>
      <c r="L96" s="224">
        <v>31.35</v>
      </c>
      <c r="M96" s="224">
        <v>29.25</v>
      </c>
      <c r="N96" s="224">
        <v>0</v>
      </c>
      <c r="O96" s="224">
        <v>0</v>
      </c>
      <c r="P96" s="224">
        <v>1.27</v>
      </c>
      <c r="Q96" s="224">
        <v>6.97</v>
      </c>
      <c r="R96" s="13"/>
      <c r="S96" s="13"/>
      <c r="T96" s="213"/>
      <c r="U96" s="13"/>
      <c r="Z96" s="222"/>
    </row>
    <row r="97" customFormat="1" spans="1:21">
      <c r="A97" s="13" t="s">
        <v>1870</v>
      </c>
      <c r="B97" s="224">
        <v>35.84</v>
      </c>
      <c r="C97" s="224">
        <v>72.69</v>
      </c>
      <c r="D97" s="224">
        <v>68.07</v>
      </c>
      <c r="E97" s="224">
        <v>52.5</v>
      </c>
      <c r="F97" s="224">
        <v>4.51</v>
      </c>
      <c r="G97" s="224">
        <v>124.06</v>
      </c>
      <c r="H97" s="224">
        <v>40.74</v>
      </c>
      <c r="I97" s="224">
        <v>0</v>
      </c>
      <c r="J97" s="224">
        <v>0.21</v>
      </c>
      <c r="K97" s="224">
        <v>117.8</v>
      </c>
      <c r="L97" s="224">
        <v>31.2</v>
      </c>
      <c r="M97" s="224">
        <v>29.58</v>
      </c>
      <c r="N97" s="224">
        <v>0</v>
      </c>
      <c r="O97" s="224">
        <v>0</v>
      </c>
      <c r="P97" s="224">
        <v>1.35</v>
      </c>
      <c r="Q97" s="224">
        <v>6.82</v>
      </c>
      <c r="R97" s="13"/>
      <c r="S97" s="13"/>
      <c r="T97" s="213"/>
      <c r="U97" s="13"/>
    </row>
    <row r="98" customFormat="1" spans="1:21">
      <c r="A98" s="13" t="s">
        <v>1871</v>
      </c>
      <c r="B98" s="224">
        <v>33.64</v>
      </c>
      <c r="C98" s="224">
        <v>70.84</v>
      </c>
      <c r="D98" s="224">
        <v>65.34</v>
      </c>
      <c r="E98" s="224">
        <v>45.65</v>
      </c>
      <c r="F98" s="224">
        <v>5.76</v>
      </c>
      <c r="G98" s="224">
        <v>124.06</v>
      </c>
      <c r="H98" s="224">
        <v>40.74</v>
      </c>
      <c r="I98" s="224">
        <v>0</v>
      </c>
      <c r="J98" s="224">
        <v>0.42</v>
      </c>
      <c r="K98" s="224">
        <v>74.34</v>
      </c>
      <c r="L98" s="224">
        <v>31.47</v>
      </c>
      <c r="M98" s="224">
        <v>27.77</v>
      </c>
      <c r="N98" s="224">
        <v>0</v>
      </c>
      <c r="O98" s="224">
        <v>0</v>
      </c>
      <c r="P98" s="224">
        <v>1.32</v>
      </c>
      <c r="Q98" s="224">
        <v>6.89</v>
      </c>
      <c r="R98" s="13"/>
      <c r="S98" s="13"/>
      <c r="T98" s="213"/>
      <c r="U98" s="13"/>
    </row>
    <row r="99" customFormat="1" spans="1:21">
      <c r="A99" s="13" t="s">
        <v>1872</v>
      </c>
      <c r="B99" s="224">
        <v>28.64</v>
      </c>
      <c r="C99" s="224">
        <v>67.48</v>
      </c>
      <c r="D99" s="224">
        <v>59.58</v>
      </c>
      <c r="E99" s="224">
        <v>22.74</v>
      </c>
      <c r="F99" s="224">
        <v>8.69</v>
      </c>
      <c r="G99" s="224">
        <v>124.06</v>
      </c>
      <c r="H99" s="224">
        <v>40.74</v>
      </c>
      <c r="I99" s="224">
        <v>0</v>
      </c>
      <c r="J99" s="224">
        <v>0.36</v>
      </c>
      <c r="K99" s="224">
        <v>66.97</v>
      </c>
      <c r="L99" s="224">
        <v>31.97</v>
      </c>
      <c r="M99" s="224">
        <v>24.78</v>
      </c>
      <c r="N99" s="224">
        <v>0</v>
      </c>
      <c r="O99" s="224">
        <v>0</v>
      </c>
      <c r="P99" s="224">
        <v>1.13</v>
      </c>
      <c r="Q99" s="224">
        <v>6.91</v>
      </c>
      <c r="R99" s="13"/>
      <c r="S99" s="13"/>
      <c r="T99" s="213"/>
      <c r="U99" s="13"/>
    </row>
    <row r="100" customFormat="1" spans="1:33">
      <c r="A100" s="13" t="s">
        <v>1873</v>
      </c>
      <c r="B100" s="224">
        <v>26.12</v>
      </c>
      <c r="C100" s="224">
        <v>64.89</v>
      </c>
      <c r="D100" s="224">
        <v>56.2</v>
      </c>
      <c r="E100" s="224">
        <v>19.17</v>
      </c>
      <c r="F100" s="224">
        <v>8.77</v>
      </c>
      <c r="G100" s="224">
        <v>139.26</v>
      </c>
      <c r="H100" s="224">
        <v>46.58</v>
      </c>
      <c r="I100" s="224">
        <v>0</v>
      </c>
      <c r="J100" s="224">
        <v>0.29</v>
      </c>
      <c r="K100" s="224">
        <v>93.51</v>
      </c>
      <c r="L100" s="224">
        <v>31.77</v>
      </c>
      <c r="M100" s="224">
        <v>26.23</v>
      </c>
      <c r="N100" s="224">
        <v>0</v>
      </c>
      <c r="O100" s="224">
        <v>0</v>
      </c>
      <c r="P100" s="224">
        <v>0.97</v>
      </c>
      <c r="Q100" s="224">
        <v>6.53</v>
      </c>
      <c r="R100" s="13"/>
      <c r="S100" s="13"/>
      <c r="T100" s="213"/>
      <c r="U100" s="13"/>
      <c r="AB100" s="223"/>
      <c r="AG100" s="222"/>
    </row>
    <row r="101" customFormat="1" spans="1:21">
      <c r="A101" s="13" t="s">
        <v>1874</v>
      </c>
      <c r="B101" s="224">
        <v>23.25</v>
      </c>
      <c r="C101" s="224">
        <v>59.71</v>
      </c>
      <c r="D101" s="224">
        <v>51.2</v>
      </c>
      <c r="E101" s="224">
        <v>21.06</v>
      </c>
      <c r="F101" s="224">
        <v>11.42</v>
      </c>
      <c r="G101" s="224">
        <v>139.97</v>
      </c>
      <c r="H101" s="224">
        <v>46.58</v>
      </c>
      <c r="I101" s="224">
        <v>0</v>
      </c>
      <c r="J101" s="224">
        <v>0.18</v>
      </c>
      <c r="K101" s="224">
        <v>109.89</v>
      </c>
      <c r="L101" s="224">
        <v>31.55</v>
      </c>
      <c r="M101" s="224">
        <v>26.12</v>
      </c>
      <c r="N101" s="224">
        <v>0</v>
      </c>
      <c r="O101" s="224">
        <v>0</v>
      </c>
      <c r="P101" s="224">
        <v>0.87</v>
      </c>
      <c r="Q101" s="224">
        <v>6.2</v>
      </c>
      <c r="R101" s="13"/>
      <c r="S101" s="13"/>
      <c r="T101" s="213"/>
      <c r="U101" s="13"/>
    </row>
    <row r="102" customFormat="1" spans="1:21">
      <c r="A102" s="13" t="s">
        <v>1875</v>
      </c>
      <c r="B102" s="224">
        <v>23.61</v>
      </c>
      <c r="C102" s="224">
        <v>57.37</v>
      </c>
      <c r="D102" s="224">
        <v>50.26</v>
      </c>
      <c r="E102" s="224">
        <v>18.16</v>
      </c>
      <c r="F102" s="224">
        <v>9.85</v>
      </c>
      <c r="G102" s="224">
        <v>139.97</v>
      </c>
      <c r="H102" s="224">
        <v>46.58</v>
      </c>
      <c r="I102" s="224">
        <v>0</v>
      </c>
      <c r="J102" s="224">
        <v>0.15</v>
      </c>
      <c r="K102" s="224">
        <v>137.85</v>
      </c>
      <c r="L102" s="224">
        <v>31.21</v>
      </c>
      <c r="M102" s="224">
        <v>26.69</v>
      </c>
      <c r="N102" s="224">
        <v>0</v>
      </c>
      <c r="O102" s="224">
        <v>0</v>
      </c>
      <c r="P102" s="224">
        <v>0.72</v>
      </c>
      <c r="Q102" s="224">
        <v>5.85</v>
      </c>
      <c r="R102" s="13"/>
      <c r="S102" s="13"/>
      <c r="T102" s="213"/>
      <c r="U102" s="13"/>
    </row>
    <row r="103" customFormat="1" spans="1:21">
      <c r="A103" s="13" t="s">
        <v>1876</v>
      </c>
      <c r="B103" s="224">
        <v>18.02</v>
      </c>
      <c r="C103" s="224">
        <v>53.61</v>
      </c>
      <c r="D103" s="224">
        <v>43.82</v>
      </c>
      <c r="E103" s="224">
        <v>16.33</v>
      </c>
      <c r="F103" s="224">
        <v>7.68</v>
      </c>
      <c r="G103" s="224">
        <v>139.97</v>
      </c>
      <c r="H103" s="224">
        <v>46.58</v>
      </c>
      <c r="I103" s="224">
        <v>0</v>
      </c>
      <c r="J103" s="224">
        <v>0.18</v>
      </c>
      <c r="K103" s="224">
        <v>160.68</v>
      </c>
      <c r="L103" s="224">
        <v>30.48</v>
      </c>
      <c r="M103" s="224">
        <v>29.28</v>
      </c>
      <c r="N103" s="224">
        <v>0</v>
      </c>
      <c r="O103" s="224">
        <v>0</v>
      </c>
      <c r="P103" s="224">
        <v>0.6</v>
      </c>
      <c r="Q103" s="224">
        <v>5.61</v>
      </c>
      <c r="R103" s="13"/>
      <c r="S103" s="13"/>
      <c r="T103" s="213"/>
      <c r="U103" s="13"/>
    </row>
    <row r="104" customFormat="1" spans="1:21">
      <c r="A104" s="13" t="s">
        <v>1877</v>
      </c>
      <c r="B104" s="224">
        <v>15.12</v>
      </c>
      <c r="C104" s="224">
        <v>50.17</v>
      </c>
      <c r="D104" s="224">
        <v>39.69</v>
      </c>
      <c r="E104" s="224">
        <v>14.82</v>
      </c>
      <c r="F104" s="224">
        <v>9.97</v>
      </c>
      <c r="G104" s="224">
        <v>114.02</v>
      </c>
      <c r="H104" s="224">
        <v>38.16</v>
      </c>
      <c r="I104" s="224">
        <v>0</v>
      </c>
      <c r="J104" s="224">
        <v>0.35</v>
      </c>
      <c r="K104" s="224">
        <v>190.25</v>
      </c>
      <c r="L104" s="224">
        <v>29.73</v>
      </c>
      <c r="M104" s="224">
        <v>32.75</v>
      </c>
      <c r="N104" s="224">
        <v>0</v>
      </c>
      <c r="O104" s="224">
        <v>0</v>
      </c>
      <c r="P104" s="224">
        <v>0.58</v>
      </c>
      <c r="Q104" s="224">
        <v>5.39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-16.21</v>
      </c>
      <c r="C106" s="215">
        <f>MIN(C9:C104)</f>
        <v>15.17</v>
      </c>
      <c r="D106" s="215">
        <f t="shared" ref="D106:Q106" si="0">MIN(D9:D104)</f>
        <v>5.14</v>
      </c>
      <c r="E106" s="215">
        <f t="shared" si="0"/>
        <v>8.06</v>
      </c>
      <c r="F106" s="215">
        <f t="shared" si="0"/>
        <v>3.87</v>
      </c>
      <c r="G106" s="215">
        <f t="shared" si="0"/>
        <v>32.54</v>
      </c>
      <c r="H106" s="215">
        <f t="shared" si="0"/>
        <v>2.48</v>
      </c>
      <c r="I106" s="215">
        <f t="shared" si="0"/>
        <v>0</v>
      </c>
      <c r="J106" s="215">
        <f t="shared" si="0"/>
        <v>0.06</v>
      </c>
      <c r="K106" s="215">
        <f t="shared" si="0"/>
        <v>1.43</v>
      </c>
      <c r="L106" s="215">
        <f t="shared" si="0"/>
        <v>26.94</v>
      </c>
      <c r="M106" s="215">
        <f t="shared" si="0"/>
        <v>8.1</v>
      </c>
      <c r="N106" s="215">
        <f t="shared" si="0"/>
        <v>0</v>
      </c>
      <c r="O106" s="215">
        <f t="shared" si="0"/>
        <v>0</v>
      </c>
      <c r="P106" s="215">
        <f t="shared" si="0"/>
        <v>0.39</v>
      </c>
      <c r="Q106" s="215">
        <f t="shared" si="0"/>
        <v>4.23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38.43</v>
      </c>
      <c r="C107" s="216">
        <f t="shared" ref="C107:Q107" si="1">MAX(C9:C104)</f>
        <v>74.24</v>
      </c>
      <c r="D107" s="216">
        <f t="shared" si="1"/>
        <v>71.07</v>
      </c>
      <c r="E107" s="216">
        <f t="shared" si="1"/>
        <v>52.5</v>
      </c>
      <c r="F107" s="216">
        <f t="shared" si="1"/>
        <v>91.17</v>
      </c>
      <c r="G107" s="216">
        <f t="shared" si="1"/>
        <v>139.97</v>
      </c>
      <c r="H107" s="216">
        <f t="shared" si="1"/>
        <v>46.58</v>
      </c>
      <c r="I107" s="216">
        <f t="shared" si="1"/>
        <v>55.27</v>
      </c>
      <c r="J107" s="216">
        <f t="shared" si="1"/>
        <v>2.03</v>
      </c>
      <c r="K107" s="216">
        <f t="shared" si="1"/>
        <v>357.73</v>
      </c>
      <c r="L107" s="216">
        <f t="shared" si="1"/>
        <v>43.05</v>
      </c>
      <c r="M107" s="216">
        <f t="shared" si="1"/>
        <v>43.48</v>
      </c>
      <c r="N107" s="216">
        <f t="shared" si="1"/>
        <v>743.5</v>
      </c>
      <c r="O107" s="216">
        <f t="shared" si="1"/>
        <v>0</v>
      </c>
      <c r="P107" s="216">
        <f t="shared" si="1"/>
        <v>1.36</v>
      </c>
      <c r="Q107" s="216">
        <f t="shared" si="1"/>
        <v>6.97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13.4446153846154</v>
      </c>
      <c r="C108" s="215">
        <f t="shared" ref="C108:Q108" si="2">AVERAGE(C9:C104)</f>
        <v>59.9148351648351</v>
      </c>
      <c r="D108" s="215">
        <f t="shared" si="2"/>
        <v>43.5142857142857</v>
      </c>
      <c r="E108" s="215">
        <f t="shared" si="2"/>
        <v>16.2741379310345</v>
      </c>
      <c r="F108" s="215">
        <f t="shared" si="2"/>
        <v>22.5971875</v>
      </c>
      <c r="G108" s="215">
        <f t="shared" si="2"/>
        <v>71.1525555555556</v>
      </c>
      <c r="H108" s="215">
        <f t="shared" si="2"/>
        <v>25.0633333333333</v>
      </c>
      <c r="I108" s="215">
        <f t="shared" si="2"/>
        <v>8.303125</v>
      </c>
      <c r="J108" s="215">
        <f t="shared" si="2"/>
        <v>0.560625</v>
      </c>
      <c r="K108" s="215">
        <f t="shared" si="2"/>
        <v>195.124270833333</v>
      </c>
      <c r="L108" s="215">
        <f t="shared" si="2"/>
        <v>34.5029166666667</v>
      </c>
      <c r="M108" s="215">
        <f t="shared" si="2"/>
        <v>22.9086458333333</v>
      </c>
      <c r="N108" s="215">
        <f t="shared" si="2"/>
        <v>170.908333333333</v>
      </c>
      <c r="O108" s="215">
        <f t="shared" si="2"/>
        <v>0</v>
      </c>
      <c r="P108" s="215">
        <f t="shared" si="2"/>
        <v>0.83</v>
      </c>
      <c r="Q108" s="215">
        <f t="shared" si="2"/>
        <v>5.38416666666667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9.76060031255959</v>
      </c>
      <c r="C109" s="215">
        <f t="shared" ref="C109:Q109" si="3">STDEV(C9:C104)</f>
        <v>12.7410062713218</v>
      </c>
      <c r="D109" s="215">
        <f t="shared" si="3"/>
        <v>13.2931420199253</v>
      </c>
      <c r="E109" s="215">
        <f t="shared" si="3"/>
        <v>9.25617236575004</v>
      </c>
      <c r="F109" s="215">
        <f t="shared" si="3"/>
        <v>22.4949679380277</v>
      </c>
      <c r="G109" s="215">
        <f t="shared" si="3"/>
        <v>27.2141394825884</v>
      </c>
      <c r="H109" s="215">
        <f t="shared" si="3"/>
        <v>10.8637409494028</v>
      </c>
      <c r="I109" s="215">
        <f t="shared" si="3"/>
        <v>11.0235592029072</v>
      </c>
      <c r="J109" s="215">
        <f t="shared" si="3"/>
        <v>0.421837615302631</v>
      </c>
      <c r="K109" s="215">
        <f t="shared" si="3"/>
        <v>101.940030159582</v>
      </c>
      <c r="L109" s="215">
        <f t="shared" si="3"/>
        <v>5.23414979104417</v>
      </c>
      <c r="M109" s="215">
        <f t="shared" si="3"/>
        <v>10.907417912382</v>
      </c>
      <c r="N109" s="215">
        <f t="shared" si="3"/>
        <v>236.305425318776</v>
      </c>
      <c r="O109" s="215">
        <f t="shared" si="3"/>
        <v>0</v>
      </c>
      <c r="P109" s="215">
        <f t="shared" si="3"/>
        <v>0.240735714447454</v>
      </c>
      <c r="Q109" s="215">
        <f t="shared" si="3"/>
        <v>0.599895897401623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91</v>
      </c>
      <c r="C110" s="216">
        <f t="shared" si="4"/>
        <v>91</v>
      </c>
      <c r="D110" s="216">
        <f t="shared" si="4"/>
        <v>91</v>
      </c>
      <c r="E110" s="216">
        <f t="shared" si="4"/>
        <v>87</v>
      </c>
      <c r="F110" s="216">
        <f t="shared" si="4"/>
        <v>96</v>
      </c>
      <c r="G110" s="216">
        <f t="shared" si="4"/>
        <v>90</v>
      </c>
      <c r="H110" s="216">
        <f t="shared" si="4"/>
        <v>90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20/04/2023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3" t="s">
        <v>1878</v>
      </c>
      <c r="B9" s="224">
        <v>10.98</v>
      </c>
      <c r="C9" s="224">
        <v>31.48</v>
      </c>
      <c r="D9" s="224">
        <v>26.6</v>
      </c>
      <c r="E9" s="224">
        <v>13.3</v>
      </c>
      <c r="F9" s="224">
        <v>25.88</v>
      </c>
      <c r="G9" s="224">
        <v>112.81</v>
      </c>
      <c r="H9" s="224">
        <v>38.16</v>
      </c>
      <c r="I9" s="224">
        <v>0</v>
      </c>
      <c r="J9" s="224">
        <v>0.13</v>
      </c>
      <c r="K9" s="224">
        <v>239.54</v>
      </c>
      <c r="L9" s="224">
        <v>29.19</v>
      </c>
      <c r="M9" s="224">
        <v>32.94</v>
      </c>
      <c r="N9" s="224">
        <v>0</v>
      </c>
      <c r="O9" s="224">
        <v>0</v>
      </c>
      <c r="P9" s="224">
        <v>0.56</v>
      </c>
      <c r="Q9" s="224">
        <v>5.03</v>
      </c>
      <c r="R9" s="13"/>
      <c r="S9" s="13"/>
      <c r="T9" s="213"/>
      <c r="U9" s="13"/>
    </row>
    <row r="10" customFormat="1" spans="1:21">
      <c r="A10" s="13" t="s">
        <v>1879</v>
      </c>
      <c r="B10" s="224">
        <v>10.14</v>
      </c>
      <c r="C10" s="224">
        <v>29.15</v>
      </c>
      <c r="D10" s="224">
        <v>24.71</v>
      </c>
      <c r="E10" s="224">
        <v>17.35</v>
      </c>
      <c r="F10" s="224">
        <v>35.7</v>
      </c>
      <c r="G10" s="224">
        <v>112.81</v>
      </c>
      <c r="H10" s="224">
        <v>38.16</v>
      </c>
      <c r="I10" s="224">
        <v>0</v>
      </c>
      <c r="J10" s="224">
        <v>0.14</v>
      </c>
      <c r="K10" s="224">
        <v>217.07</v>
      </c>
      <c r="L10" s="224">
        <v>29.82</v>
      </c>
      <c r="M10" s="224">
        <v>28.91</v>
      </c>
      <c r="N10" s="224">
        <v>0</v>
      </c>
      <c r="O10" s="224">
        <v>0</v>
      </c>
      <c r="P10" s="224">
        <v>0.45</v>
      </c>
      <c r="Q10" s="224">
        <v>4.66</v>
      </c>
      <c r="R10" s="13"/>
      <c r="S10" s="13"/>
      <c r="T10" s="213"/>
      <c r="U10" s="13"/>
    </row>
    <row r="11" customFormat="1" spans="1:21">
      <c r="A11" s="13" t="s">
        <v>1880</v>
      </c>
      <c r="B11" s="224">
        <v>9.38</v>
      </c>
      <c r="C11" s="224">
        <v>27.94</v>
      </c>
      <c r="D11" s="224">
        <v>23.47</v>
      </c>
      <c r="E11" s="224">
        <v>18.46</v>
      </c>
      <c r="F11" s="224">
        <v>39.21</v>
      </c>
      <c r="G11" s="224">
        <v>112.81</v>
      </c>
      <c r="H11" s="224">
        <v>38.16</v>
      </c>
      <c r="I11" s="224">
        <v>0</v>
      </c>
      <c r="J11" s="224">
        <v>0.11</v>
      </c>
      <c r="K11" s="224">
        <v>216.15</v>
      </c>
      <c r="L11" s="224">
        <v>29.65</v>
      </c>
      <c r="M11" s="224">
        <v>29.26</v>
      </c>
      <c r="N11" s="224">
        <v>0</v>
      </c>
      <c r="O11" s="224">
        <v>0</v>
      </c>
      <c r="P11" s="224">
        <v>0.42</v>
      </c>
      <c r="Q11" s="224">
        <v>4.54</v>
      </c>
      <c r="R11" s="13"/>
      <c r="S11" s="13"/>
      <c r="T11" s="213"/>
      <c r="U11" s="13"/>
    </row>
    <row r="12" customFormat="1" spans="1:21">
      <c r="A12" s="13" t="s">
        <v>1881</v>
      </c>
      <c r="B12" s="224">
        <v>8.8</v>
      </c>
      <c r="C12" s="224">
        <v>27.1</v>
      </c>
      <c r="D12" s="224">
        <v>22.57</v>
      </c>
      <c r="E12" s="224">
        <v>17.07</v>
      </c>
      <c r="F12" s="224">
        <v>34.84</v>
      </c>
      <c r="G12" s="224">
        <v>87.47</v>
      </c>
      <c r="H12" s="224">
        <v>34.7</v>
      </c>
      <c r="I12" s="224">
        <v>0</v>
      </c>
      <c r="J12" s="224">
        <v>0.22</v>
      </c>
      <c r="K12" s="224">
        <v>230.3</v>
      </c>
      <c r="L12" s="224">
        <v>29.13</v>
      </c>
      <c r="M12" s="224">
        <v>30.42</v>
      </c>
      <c r="N12" s="224">
        <v>0</v>
      </c>
      <c r="O12" s="224">
        <v>0</v>
      </c>
      <c r="P12" s="224">
        <v>0.42</v>
      </c>
      <c r="Q12" s="224">
        <v>4.76</v>
      </c>
      <c r="R12" s="13"/>
      <c r="S12" s="13"/>
      <c r="T12" s="213"/>
      <c r="U12" s="13"/>
    </row>
    <row r="13" customFormat="1" spans="1:21">
      <c r="A13" s="13" t="s">
        <v>1882</v>
      </c>
      <c r="B13" s="224">
        <v>8.65</v>
      </c>
      <c r="C13" s="224">
        <v>26.19</v>
      </c>
      <c r="D13" s="224">
        <v>21.97</v>
      </c>
      <c r="E13" s="224">
        <v>16.64</v>
      </c>
      <c r="F13" s="224">
        <v>32.08</v>
      </c>
      <c r="G13" s="224">
        <v>86.29</v>
      </c>
      <c r="H13" s="224">
        <v>34.7</v>
      </c>
      <c r="I13" s="224">
        <v>0</v>
      </c>
      <c r="J13" s="224">
        <v>0.15</v>
      </c>
      <c r="K13" s="224">
        <v>198.62</v>
      </c>
      <c r="L13" s="224">
        <v>28.8</v>
      </c>
      <c r="M13" s="224">
        <v>32.59</v>
      </c>
      <c r="N13" s="224">
        <v>0</v>
      </c>
      <c r="O13" s="224">
        <v>0</v>
      </c>
      <c r="P13" s="224">
        <v>0.43</v>
      </c>
      <c r="Q13" s="224">
        <v>4.96</v>
      </c>
      <c r="R13" s="13"/>
      <c r="S13" s="13"/>
      <c r="T13" s="213"/>
      <c r="U13" s="13"/>
    </row>
    <row r="14" customFormat="1" spans="1:21">
      <c r="A14" s="13" t="s">
        <v>1883</v>
      </c>
      <c r="B14" s="224">
        <v>8.11</v>
      </c>
      <c r="C14" s="224">
        <v>25.61</v>
      </c>
      <c r="D14" s="224">
        <v>21.23</v>
      </c>
      <c r="E14" s="224">
        <v>16.42</v>
      </c>
      <c r="F14" s="224">
        <v>34.11</v>
      </c>
      <c r="G14" s="224">
        <v>86.29</v>
      </c>
      <c r="H14" s="224">
        <v>34.7</v>
      </c>
      <c r="I14" s="224">
        <v>0</v>
      </c>
      <c r="J14" s="224">
        <v>0.18</v>
      </c>
      <c r="K14" s="224">
        <v>210.3</v>
      </c>
      <c r="L14" s="224">
        <v>28.41</v>
      </c>
      <c r="M14" s="224">
        <v>33.29</v>
      </c>
      <c r="N14" s="224">
        <v>0</v>
      </c>
      <c r="O14" s="224">
        <v>0</v>
      </c>
      <c r="P14" s="224">
        <v>0.42</v>
      </c>
      <c r="Q14" s="224">
        <v>5</v>
      </c>
      <c r="R14" s="13"/>
      <c r="S14" s="13"/>
      <c r="T14" s="213"/>
      <c r="U14" s="13"/>
    </row>
    <row r="15" customFormat="1" spans="1:21">
      <c r="A15" s="13" t="s">
        <v>1884</v>
      </c>
      <c r="B15" s="224">
        <v>7.66</v>
      </c>
      <c r="C15" s="224">
        <v>24.81</v>
      </c>
      <c r="D15" s="224">
        <v>20.46</v>
      </c>
      <c r="E15" s="224">
        <v>14.44</v>
      </c>
      <c r="F15" s="224">
        <v>28.38</v>
      </c>
      <c r="G15" s="224">
        <v>86.29</v>
      </c>
      <c r="H15" s="224">
        <v>34.7</v>
      </c>
      <c r="I15" s="224">
        <v>0</v>
      </c>
      <c r="J15" s="224">
        <v>0.15</v>
      </c>
      <c r="K15" s="224">
        <v>143.2</v>
      </c>
      <c r="L15" s="224">
        <v>28.12</v>
      </c>
      <c r="M15" s="224">
        <v>36.26</v>
      </c>
      <c r="N15" s="224">
        <v>0</v>
      </c>
      <c r="O15" s="224">
        <v>0</v>
      </c>
      <c r="P15" s="224">
        <v>0.41</v>
      </c>
      <c r="Q15" s="224">
        <v>5</v>
      </c>
      <c r="R15" s="13"/>
      <c r="S15" s="13"/>
      <c r="T15" s="213"/>
      <c r="U15" s="13"/>
    </row>
    <row r="16" customFormat="1" spans="1:21">
      <c r="A16" s="13" t="s">
        <v>1885</v>
      </c>
      <c r="B16" s="224">
        <v>6.71</v>
      </c>
      <c r="C16" s="224">
        <v>22.74</v>
      </c>
      <c r="D16" s="224">
        <v>18.61</v>
      </c>
      <c r="E16" s="224">
        <v>15.22</v>
      </c>
      <c r="F16" s="224">
        <v>36.46</v>
      </c>
      <c r="G16" s="224">
        <v>67.99</v>
      </c>
      <c r="H16" s="224">
        <v>30.31</v>
      </c>
      <c r="I16" s="224">
        <v>0</v>
      </c>
      <c r="J16" s="224">
        <v>0.13</v>
      </c>
      <c r="K16" s="224">
        <v>149.47</v>
      </c>
      <c r="L16" s="224">
        <v>28.26</v>
      </c>
      <c r="M16" s="224">
        <v>34.48</v>
      </c>
      <c r="N16" s="224">
        <v>0</v>
      </c>
      <c r="O16" s="224">
        <v>0</v>
      </c>
      <c r="P16" s="224">
        <v>0.41</v>
      </c>
      <c r="Q16" s="224">
        <v>5</v>
      </c>
      <c r="R16" s="13"/>
      <c r="S16" s="13"/>
      <c r="T16" s="213"/>
      <c r="U16" s="13"/>
    </row>
    <row r="17" customFormat="1" spans="1:21">
      <c r="A17" s="13" t="s">
        <v>1886</v>
      </c>
      <c r="B17" s="224">
        <v>6.44</v>
      </c>
      <c r="C17" s="224">
        <v>22.74</v>
      </c>
      <c r="D17" s="224">
        <v>18.39</v>
      </c>
      <c r="E17" s="224">
        <v>10.89</v>
      </c>
      <c r="F17" s="224">
        <v>37.62</v>
      </c>
      <c r="G17" s="224">
        <v>67.14</v>
      </c>
      <c r="H17" s="224">
        <v>30.31</v>
      </c>
      <c r="I17" s="224">
        <v>0</v>
      </c>
      <c r="J17" s="224">
        <v>0.07</v>
      </c>
      <c r="K17" s="224">
        <v>201.94</v>
      </c>
      <c r="L17" s="224">
        <v>28.33</v>
      </c>
      <c r="M17" s="224">
        <v>34.78</v>
      </c>
      <c r="N17" s="224">
        <v>0</v>
      </c>
      <c r="O17" s="224">
        <v>0</v>
      </c>
      <c r="P17" s="224">
        <v>0.41</v>
      </c>
      <c r="Q17" s="224">
        <v>5</v>
      </c>
      <c r="R17" s="13"/>
      <c r="S17" s="13"/>
      <c r="T17" s="213"/>
      <c r="U17" s="13"/>
    </row>
    <row r="18" customFormat="1" spans="1:21">
      <c r="A18" s="13" t="s">
        <v>1887</v>
      </c>
      <c r="B18" s="224">
        <v>5.91</v>
      </c>
      <c r="C18" s="224">
        <v>21.45</v>
      </c>
      <c r="D18" s="224">
        <v>17.29</v>
      </c>
      <c r="E18" s="224">
        <v>11.75</v>
      </c>
      <c r="F18" s="224">
        <v>44.45</v>
      </c>
      <c r="G18" s="224">
        <v>67.14</v>
      </c>
      <c r="H18" s="224">
        <v>30.31</v>
      </c>
      <c r="I18" s="224">
        <v>0</v>
      </c>
      <c r="J18" s="224">
        <v>0.07</v>
      </c>
      <c r="K18" s="224">
        <v>183.17</v>
      </c>
      <c r="L18" s="224">
        <v>28.5</v>
      </c>
      <c r="M18" s="224">
        <v>35.21</v>
      </c>
      <c r="N18" s="224">
        <v>0</v>
      </c>
      <c r="O18" s="224">
        <v>0</v>
      </c>
      <c r="P18" s="224">
        <v>0.41</v>
      </c>
      <c r="Q18" s="224">
        <v>5</v>
      </c>
      <c r="R18" s="13"/>
      <c r="S18" s="13"/>
      <c r="T18" s="213"/>
      <c r="U18" s="13"/>
    </row>
    <row r="19" customFormat="1" spans="1:21">
      <c r="A19" s="13" t="s">
        <v>1888</v>
      </c>
      <c r="B19" s="224">
        <v>5.4</v>
      </c>
      <c r="C19" s="224">
        <v>19.64</v>
      </c>
      <c r="D19" s="224">
        <v>15.94</v>
      </c>
      <c r="E19" s="224">
        <v>11.6</v>
      </c>
      <c r="F19" s="224">
        <v>50.97</v>
      </c>
      <c r="G19" s="224">
        <v>67.14</v>
      </c>
      <c r="H19" s="224">
        <v>30.31</v>
      </c>
      <c r="I19" s="224">
        <v>0</v>
      </c>
      <c r="J19" s="224">
        <v>0.16</v>
      </c>
      <c r="K19" s="224">
        <v>100.64</v>
      </c>
      <c r="L19" s="224">
        <v>28.53</v>
      </c>
      <c r="M19" s="224">
        <v>35.8</v>
      </c>
      <c r="N19" s="224">
        <v>0</v>
      </c>
      <c r="O19" s="224">
        <v>0</v>
      </c>
      <c r="P19" s="224">
        <v>0.39</v>
      </c>
      <c r="Q19" s="224">
        <v>5</v>
      </c>
      <c r="R19" s="13"/>
      <c r="S19" s="13"/>
      <c r="T19" s="213"/>
      <c r="U19" s="13"/>
    </row>
    <row r="20" customFormat="1" spans="1:21">
      <c r="A20" s="13" t="s">
        <v>1889</v>
      </c>
      <c r="B20" s="224">
        <v>8.65</v>
      </c>
      <c r="C20" s="224">
        <v>29.44</v>
      </c>
      <c r="D20" s="224">
        <v>23.67</v>
      </c>
      <c r="E20" s="224">
        <v>9.84</v>
      </c>
      <c r="F20" s="224">
        <v>31.58</v>
      </c>
      <c r="G20" s="224">
        <v>50.09</v>
      </c>
      <c r="H20" s="224">
        <v>25.27</v>
      </c>
      <c r="I20" s="224">
        <v>0</v>
      </c>
      <c r="J20" s="224">
        <v>0.11</v>
      </c>
      <c r="K20" s="224">
        <v>353.94</v>
      </c>
      <c r="L20" s="224">
        <v>28.13</v>
      </c>
      <c r="M20" s="224">
        <v>36.89</v>
      </c>
      <c r="N20" s="224">
        <v>0</v>
      </c>
      <c r="O20" s="224">
        <v>0</v>
      </c>
      <c r="P20" s="224">
        <v>0.42</v>
      </c>
      <c r="Q20" s="224">
        <v>5</v>
      </c>
      <c r="R20" s="13"/>
      <c r="S20" s="13"/>
      <c r="T20" s="213"/>
      <c r="U20" s="13"/>
    </row>
    <row r="21" customFormat="1" spans="1:21">
      <c r="A21" s="13" t="s">
        <v>1890</v>
      </c>
      <c r="B21" s="224">
        <v>8.11</v>
      </c>
      <c r="C21" s="224">
        <v>35.53</v>
      </c>
      <c r="D21" s="224">
        <v>26.42</v>
      </c>
      <c r="E21" s="224">
        <v>9.4</v>
      </c>
      <c r="F21" s="224">
        <v>27.12</v>
      </c>
      <c r="G21" s="224">
        <v>49.3</v>
      </c>
      <c r="H21" s="224">
        <v>25.27</v>
      </c>
      <c r="I21" s="224">
        <v>0</v>
      </c>
      <c r="J21" s="224">
        <v>0.14</v>
      </c>
      <c r="K21" s="224">
        <v>152.86</v>
      </c>
      <c r="L21" s="224">
        <v>28.67</v>
      </c>
      <c r="M21" s="224">
        <v>36.33</v>
      </c>
      <c r="N21" s="224">
        <v>0</v>
      </c>
      <c r="O21" s="224">
        <v>0</v>
      </c>
      <c r="P21" s="224">
        <v>0.43</v>
      </c>
      <c r="Q21" s="224">
        <v>5</v>
      </c>
      <c r="R21" s="13"/>
      <c r="S21" s="13"/>
      <c r="T21" s="213"/>
      <c r="U21" s="13"/>
    </row>
    <row r="22" customFormat="1" spans="1:21">
      <c r="A22" s="13" t="s">
        <v>1891</v>
      </c>
      <c r="B22" s="224">
        <v>5.76</v>
      </c>
      <c r="C22" s="224">
        <v>30.7</v>
      </c>
      <c r="D22" s="224">
        <v>22.01</v>
      </c>
      <c r="E22" s="224">
        <v>10.68</v>
      </c>
      <c r="F22" s="224">
        <v>29.88</v>
      </c>
      <c r="G22" s="224">
        <v>49.3</v>
      </c>
      <c r="H22" s="224">
        <v>25.27</v>
      </c>
      <c r="I22" s="224">
        <v>0</v>
      </c>
      <c r="J22" s="224">
        <v>0.15</v>
      </c>
      <c r="K22" s="224">
        <v>179.14</v>
      </c>
      <c r="L22" s="224">
        <v>28.43</v>
      </c>
      <c r="M22" s="224">
        <v>37.04</v>
      </c>
      <c r="N22" s="224">
        <v>0</v>
      </c>
      <c r="O22" s="224">
        <v>0</v>
      </c>
      <c r="P22" s="224">
        <v>0.45</v>
      </c>
      <c r="Q22" s="224">
        <v>5</v>
      </c>
      <c r="R22" s="13"/>
      <c r="S22" s="13"/>
      <c r="T22" s="213"/>
      <c r="U22" s="13"/>
    </row>
    <row r="23" customFormat="1" spans="1:21">
      <c r="A23" s="13" t="s">
        <v>1892</v>
      </c>
      <c r="B23" s="224">
        <v>5.73</v>
      </c>
      <c r="C23" s="224">
        <v>30.22</v>
      </c>
      <c r="D23" s="224">
        <v>21.73</v>
      </c>
      <c r="E23" s="224">
        <v>10.49</v>
      </c>
      <c r="F23" s="224">
        <v>30.43</v>
      </c>
      <c r="G23" s="224">
        <v>49.3</v>
      </c>
      <c r="H23" s="224">
        <v>25.27</v>
      </c>
      <c r="I23" s="224">
        <v>0</v>
      </c>
      <c r="J23" s="224">
        <v>0.15</v>
      </c>
      <c r="K23" s="224">
        <v>227.15</v>
      </c>
      <c r="L23" s="224">
        <v>28.16</v>
      </c>
      <c r="M23" s="224">
        <v>37.42</v>
      </c>
      <c r="N23" s="224">
        <v>0</v>
      </c>
      <c r="O23" s="224">
        <v>0</v>
      </c>
      <c r="P23" s="224">
        <v>0.5</v>
      </c>
      <c r="Q23" s="224">
        <v>5</v>
      </c>
      <c r="R23" s="13"/>
      <c r="S23" s="13"/>
      <c r="T23" s="213"/>
      <c r="U23" s="13"/>
    </row>
    <row r="24" customFormat="1" spans="1:21">
      <c r="A24" s="13" t="s">
        <v>1893</v>
      </c>
      <c r="B24" s="224">
        <v>5.77</v>
      </c>
      <c r="C24" s="224">
        <v>31.89</v>
      </c>
      <c r="D24" s="224">
        <v>22.64</v>
      </c>
      <c r="E24" s="224">
        <v>10.87</v>
      </c>
      <c r="F24" s="224">
        <v>26.64</v>
      </c>
      <c r="G24" s="224">
        <v>50.7</v>
      </c>
      <c r="H24" s="224">
        <v>26.76</v>
      </c>
      <c r="I24" s="224">
        <v>0</v>
      </c>
      <c r="J24" s="224">
        <v>0.11</v>
      </c>
      <c r="K24" s="224">
        <v>216.26</v>
      </c>
      <c r="L24" s="224">
        <v>27.8</v>
      </c>
      <c r="M24" s="224">
        <v>38.77</v>
      </c>
      <c r="N24" s="224">
        <v>0</v>
      </c>
      <c r="O24" s="224">
        <v>0</v>
      </c>
      <c r="P24" s="224">
        <v>0.54</v>
      </c>
      <c r="Q24" s="224">
        <v>5</v>
      </c>
      <c r="R24" s="13"/>
      <c r="S24" s="13"/>
      <c r="T24" s="213"/>
      <c r="U24" s="13"/>
    </row>
    <row r="25" customFormat="1" spans="1:21">
      <c r="A25" s="13" t="s">
        <v>1894</v>
      </c>
      <c r="B25" s="224">
        <v>6.32</v>
      </c>
      <c r="C25" s="224">
        <v>38.13</v>
      </c>
      <c r="D25" s="224">
        <v>26.34</v>
      </c>
      <c r="E25" s="224">
        <v>10.55</v>
      </c>
      <c r="F25" s="224">
        <v>12.81</v>
      </c>
      <c r="G25" s="224">
        <v>50.77</v>
      </c>
      <c r="H25" s="224">
        <v>26.76</v>
      </c>
      <c r="I25" s="224">
        <v>0</v>
      </c>
      <c r="J25" s="224">
        <v>0.15</v>
      </c>
      <c r="K25" s="224">
        <v>218.03</v>
      </c>
      <c r="L25" s="224">
        <v>27.6</v>
      </c>
      <c r="M25" s="224">
        <v>39.69</v>
      </c>
      <c r="N25" s="224">
        <v>0</v>
      </c>
      <c r="O25" s="224">
        <v>0</v>
      </c>
      <c r="P25" s="224">
        <v>0.6</v>
      </c>
      <c r="Q25" s="224">
        <v>5</v>
      </c>
      <c r="R25" s="13"/>
      <c r="S25" s="13"/>
      <c r="T25" s="213"/>
      <c r="U25" s="13"/>
    </row>
    <row r="26" customFormat="1" spans="1:21">
      <c r="A26" s="13" t="s">
        <v>1895</v>
      </c>
      <c r="B26" s="224">
        <v>7.04</v>
      </c>
      <c r="C26" s="224">
        <v>44.42</v>
      </c>
      <c r="D26" s="224">
        <v>30.2</v>
      </c>
      <c r="E26" s="224">
        <v>9.26</v>
      </c>
      <c r="F26" s="224">
        <v>7.72</v>
      </c>
      <c r="G26" s="224">
        <v>50.77</v>
      </c>
      <c r="H26" s="224">
        <v>26.76</v>
      </c>
      <c r="I26" s="224">
        <v>0</v>
      </c>
      <c r="J26" s="224">
        <v>0.56</v>
      </c>
      <c r="K26" s="224">
        <v>240.44</v>
      </c>
      <c r="L26" s="224">
        <v>27.64</v>
      </c>
      <c r="M26" s="224">
        <v>39.74</v>
      </c>
      <c r="N26" s="224">
        <v>0</v>
      </c>
      <c r="O26" s="224">
        <v>0</v>
      </c>
      <c r="P26" s="224">
        <v>0.66</v>
      </c>
      <c r="Q26" s="224">
        <v>5</v>
      </c>
      <c r="R26" s="13"/>
      <c r="S26" s="13"/>
      <c r="T26" s="213"/>
      <c r="U26" s="13"/>
    </row>
    <row r="27" customFormat="1" spans="1:21">
      <c r="A27" s="13" t="s">
        <v>1896</v>
      </c>
      <c r="B27" s="224">
        <v>7.28</v>
      </c>
      <c r="C27" s="224">
        <v>46.01</v>
      </c>
      <c r="D27" s="224">
        <v>31.22</v>
      </c>
      <c r="E27" s="224">
        <v>8.71</v>
      </c>
      <c r="F27" s="224">
        <v>11.95</v>
      </c>
      <c r="G27" s="224">
        <v>50.77</v>
      </c>
      <c r="H27" s="224">
        <v>26.76</v>
      </c>
      <c r="I27" s="224">
        <v>0</v>
      </c>
      <c r="J27" s="224">
        <v>0.7</v>
      </c>
      <c r="K27" s="224">
        <v>228.7</v>
      </c>
      <c r="L27" s="224">
        <v>28.5</v>
      </c>
      <c r="M27" s="224">
        <v>37.46</v>
      </c>
      <c r="N27" s="224">
        <v>0</v>
      </c>
      <c r="O27" s="224">
        <v>0</v>
      </c>
      <c r="P27" s="224">
        <v>0.68</v>
      </c>
      <c r="Q27" s="224">
        <v>4.9</v>
      </c>
      <c r="R27" s="13"/>
      <c r="S27" s="13"/>
      <c r="T27" s="213"/>
      <c r="U27" s="13"/>
    </row>
    <row r="28" customFormat="1" spans="1:21">
      <c r="A28" s="13" t="s">
        <v>1897</v>
      </c>
      <c r="B28" s="224">
        <v>7.04</v>
      </c>
      <c r="C28" s="224">
        <v>44.59</v>
      </c>
      <c r="D28" s="224">
        <v>30.3</v>
      </c>
      <c r="E28" s="224">
        <v>8.39</v>
      </c>
      <c r="F28" s="224">
        <v>10.9</v>
      </c>
      <c r="G28" s="224">
        <v>41.93</v>
      </c>
      <c r="H28" s="224">
        <v>25.02</v>
      </c>
      <c r="I28" s="224">
        <v>0</v>
      </c>
      <c r="J28" s="224">
        <v>0.48</v>
      </c>
      <c r="K28" s="224">
        <v>221.14</v>
      </c>
      <c r="L28" s="224">
        <v>28.79</v>
      </c>
      <c r="M28" s="224">
        <v>36.88</v>
      </c>
      <c r="N28" s="224">
        <v>0</v>
      </c>
      <c r="O28" s="224">
        <v>0</v>
      </c>
      <c r="P28" s="224">
        <v>0.67</v>
      </c>
      <c r="Q28" s="224">
        <v>4.76</v>
      </c>
      <c r="R28" s="13"/>
      <c r="S28" s="13"/>
      <c r="T28" s="213"/>
      <c r="U28" s="13"/>
    </row>
    <row r="29" customFormat="1" spans="1:21">
      <c r="A29" s="13" t="s">
        <v>1898</v>
      </c>
      <c r="B29" s="224">
        <v>7.06</v>
      </c>
      <c r="C29" s="224">
        <v>49.28</v>
      </c>
      <c r="D29" s="224">
        <v>32.76</v>
      </c>
      <c r="E29" s="224">
        <v>7.78</v>
      </c>
      <c r="F29" s="224">
        <v>7.82</v>
      </c>
      <c r="G29" s="224">
        <v>41.52</v>
      </c>
      <c r="H29" s="224">
        <v>25.02</v>
      </c>
      <c r="I29" s="224">
        <v>0</v>
      </c>
      <c r="J29" s="224">
        <v>0.78</v>
      </c>
      <c r="K29" s="224">
        <v>245.66</v>
      </c>
      <c r="L29" s="224">
        <v>28.75</v>
      </c>
      <c r="M29" s="224">
        <v>36.94</v>
      </c>
      <c r="N29" s="224">
        <v>0</v>
      </c>
      <c r="O29" s="224">
        <v>0</v>
      </c>
      <c r="P29" s="224">
        <v>0.68</v>
      </c>
      <c r="Q29" s="224">
        <v>4.66</v>
      </c>
      <c r="R29" s="13"/>
      <c r="S29" s="13"/>
      <c r="T29" s="213"/>
      <c r="U29" s="13"/>
    </row>
    <row r="30" customFormat="1" spans="1:21">
      <c r="A30" s="13" t="s">
        <v>1899</v>
      </c>
      <c r="B30" s="224">
        <v>6.82</v>
      </c>
      <c r="C30" s="224">
        <v>48.67</v>
      </c>
      <c r="D30" s="224">
        <v>32.25</v>
      </c>
      <c r="E30" s="224">
        <v>8.06</v>
      </c>
      <c r="F30" s="224">
        <v>12.64</v>
      </c>
      <c r="G30" s="224">
        <v>41.52</v>
      </c>
      <c r="H30" s="224">
        <v>25.02</v>
      </c>
      <c r="I30" s="224">
        <v>0</v>
      </c>
      <c r="J30" s="224">
        <v>1.12</v>
      </c>
      <c r="K30" s="224">
        <v>284.88</v>
      </c>
      <c r="L30" s="224">
        <v>29.06</v>
      </c>
      <c r="M30" s="224">
        <v>35.6</v>
      </c>
      <c r="N30" s="224">
        <v>0</v>
      </c>
      <c r="O30" s="224">
        <v>0</v>
      </c>
      <c r="P30" s="224">
        <v>0.67</v>
      </c>
      <c r="Q30" s="224">
        <v>4.58</v>
      </c>
      <c r="R30" s="13"/>
      <c r="S30" s="13"/>
      <c r="T30" s="213"/>
      <c r="U30" s="13"/>
    </row>
    <row r="31" customFormat="1" spans="1:21">
      <c r="A31" s="13" t="s">
        <v>1900</v>
      </c>
      <c r="B31" s="224">
        <v>7.29</v>
      </c>
      <c r="C31" s="224">
        <v>52.87</v>
      </c>
      <c r="D31" s="224">
        <v>34.82</v>
      </c>
      <c r="E31" s="224">
        <v>7.5</v>
      </c>
      <c r="F31" s="224">
        <v>7.41</v>
      </c>
      <c r="G31" s="224">
        <v>41.52</v>
      </c>
      <c r="H31" s="224">
        <v>25.02</v>
      </c>
      <c r="I31" s="224">
        <v>0</v>
      </c>
      <c r="J31" s="224">
        <v>1.58</v>
      </c>
      <c r="K31" s="224">
        <v>281.77</v>
      </c>
      <c r="L31" s="224">
        <v>29.45</v>
      </c>
      <c r="M31" s="224">
        <v>34.39</v>
      </c>
      <c r="N31" s="224">
        <v>0</v>
      </c>
      <c r="O31" s="224">
        <v>0</v>
      </c>
      <c r="P31" s="224">
        <v>0.68</v>
      </c>
      <c r="Q31" s="224">
        <v>4.49</v>
      </c>
      <c r="R31" s="13"/>
      <c r="S31" s="13"/>
      <c r="T31" s="213"/>
      <c r="U31" s="13"/>
    </row>
    <row r="32" customFormat="1" spans="1:21">
      <c r="A32" s="13" t="s">
        <v>1901</v>
      </c>
      <c r="B32" s="224">
        <v>7.63</v>
      </c>
      <c r="C32" s="224">
        <v>54.63</v>
      </c>
      <c r="D32" s="224">
        <v>36.01</v>
      </c>
      <c r="E32" s="224">
        <v>8.95</v>
      </c>
      <c r="F32" s="224">
        <v>8.57</v>
      </c>
      <c r="G32" s="224">
        <v>43.39</v>
      </c>
      <c r="H32" s="224">
        <v>24.47</v>
      </c>
      <c r="I32" s="224">
        <v>0</v>
      </c>
      <c r="J32" s="224">
        <v>1.45</v>
      </c>
      <c r="K32" s="224">
        <v>287.91</v>
      </c>
      <c r="L32" s="224">
        <v>29.44</v>
      </c>
      <c r="M32" s="224">
        <v>34.64</v>
      </c>
      <c r="N32" s="224">
        <v>0.2</v>
      </c>
      <c r="O32" s="224">
        <v>0</v>
      </c>
      <c r="P32" s="224">
        <v>0.7</v>
      </c>
      <c r="Q32" s="224">
        <v>4.48</v>
      </c>
      <c r="R32" s="13"/>
      <c r="S32" s="13"/>
      <c r="T32" s="213"/>
      <c r="U32" s="13"/>
    </row>
    <row r="33" customFormat="1" spans="1:21">
      <c r="A33" s="13" t="s">
        <v>1902</v>
      </c>
      <c r="B33" s="224">
        <v>9.58</v>
      </c>
      <c r="C33" s="224">
        <v>56.48</v>
      </c>
      <c r="D33" s="224">
        <v>38.54</v>
      </c>
      <c r="E33" s="224">
        <v>10.19</v>
      </c>
      <c r="F33" s="224">
        <v>7.82</v>
      </c>
      <c r="G33" s="224">
        <v>43.47</v>
      </c>
      <c r="H33" s="224">
        <v>24.47</v>
      </c>
      <c r="I33" s="224">
        <v>0</v>
      </c>
      <c r="J33" s="224">
        <v>1.11</v>
      </c>
      <c r="K33" s="224">
        <v>290.15</v>
      </c>
      <c r="L33" s="224">
        <v>29.55</v>
      </c>
      <c r="M33" s="224">
        <v>34.36</v>
      </c>
      <c r="N33" s="224">
        <v>10.6</v>
      </c>
      <c r="O33" s="224">
        <v>0</v>
      </c>
      <c r="P33" s="224">
        <v>0.71</v>
      </c>
      <c r="Q33" s="224">
        <v>4.56</v>
      </c>
      <c r="R33" s="13"/>
      <c r="S33" s="13"/>
      <c r="T33" s="213"/>
      <c r="U33" s="13"/>
    </row>
    <row r="34" customFormat="1" spans="1:21">
      <c r="A34" s="13" t="s">
        <v>1903</v>
      </c>
      <c r="B34" s="224">
        <v>9.39</v>
      </c>
      <c r="C34" s="224">
        <v>57.5</v>
      </c>
      <c r="D34" s="224">
        <v>38.92</v>
      </c>
      <c r="E34" s="224">
        <v>8.91</v>
      </c>
      <c r="F34" s="224">
        <v>8.29</v>
      </c>
      <c r="G34" s="224">
        <v>43.47</v>
      </c>
      <c r="H34" s="224">
        <v>24.47</v>
      </c>
      <c r="I34" s="224">
        <v>0</v>
      </c>
      <c r="J34" s="224">
        <v>1.01</v>
      </c>
      <c r="K34" s="224">
        <v>260.71</v>
      </c>
      <c r="L34" s="224">
        <v>29.73</v>
      </c>
      <c r="M34" s="224">
        <v>33.94</v>
      </c>
      <c r="N34" s="224">
        <v>25.4</v>
      </c>
      <c r="O34" s="224">
        <v>0</v>
      </c>
      <c r="P34" s="224">
        <v>0.72</v>
      </c>
      <c r="Q34" s="224">
        <v>4.63</v>
      </c>
      <c r="R34" s="13"/>
      <c r="S34" s="13"/>
      <c r="T34" s="213"/>
      <c r="U34" s="13"/>
    </row>
    <row r="35" customFormat="1" spans="1:21">
      <c r="A35" s="13" t="s">
        <v>1904</v>
      </c>
      <c r="B35" s="224">
        <v>8.5</v>
      </c>
      <c r="C35" s="224">
        <v>55.42</v>
      </c>
      <c r="D35" s="224">
        <v>37.12</v>
      </c>
      <c r="E35" s="224">
        <v>9.03</v>
      </c>
      <c r="F35" s="224">
        <v>9.94</v>
      </c>
      <c r="G35" s="224">
        <v>43.47</v>
      </c>
      <c r="H35" s="224">
        <v>24.47</v>
      </c>
      <c r="I35" s="224">
        <v>0</v>
      </c>
      <c r="J35" s="224">
        <v>0.98</v>
      </c>
      <c r="K35" s="224">
        <v>249.55</v>
      </c>
      <c r="L35" s="224">
        <v>29.85</v>
      </c>
      <c r="M35" s="224">
        <v>33.91</v>
      </c>
      <c r="N35" s="224">
        <v>38.1</v>
      </c>
      <c r="O35" s="224">
        <v>0</v>
      </c>
      <c r="P35" s="224">
        <v>0.73</v>
      </c>
      <c r="Q35" s="224">
        <v>4.73</v>
      </c>
      <c r="R35" s="13"/>
      <c r="S35" s="13"/>
      <c r="T35" s="213"/>
      <c r="U35" s="13"/>
    </row>
    <row r="36" customFormat="1" spans="1:21">
      <c r="A36" s="13" t="s">
        <v>1905</v>
      </c>
      <c r="B36" s="224">
        <v>9.94</v>
      </c>
      <c r="C36" s="224">
        <v>57.27</v>
      </c>
      <c r="D36" s="224">
        <v>39.25</v>
      </c>
      <c r="E36" s="224">
        <v>9.09</v>
      </c>
      <c r="F36" s="224">
        <v>7.84</v>
      </c>
      <c r="G36" s="224">
        <v>53.61</v>
      </c>
      <c r="H36" s="224">
        <v>25.46</v>
      </c>
      <c r="I36" s="224">
        <v>0</v>
      </c>
      <c r="J36" s="224">
        <v>0.97</v>
      </c>
      <c r="K36" s="224">
        <v>249.96</v>
      </c>
      <c r="L36" s="224">
        <v>30.03</v>
      </c>
      <c r="M36" s="224">
        <v>33.65</v>
      </c>
      <c r="N36" s="224">
        <v>51.8</v>
      </c>
      <c r="O36" s="224">
        <v>0</v>
      </c>
      <c r="P36" s="224">
        <v>0.75</v>
      </c>
      <c r="Q36" s="224">
        <v>4.82</v>
      </c>
      <c r="R36" s="13"/>
      <c r="S36" s="13"/>
      <c r="T36" s="213"/>
      <c r="U36" s="13"/>
    </row>
    <row r="37" customFormat="1" spans="1:21">
      <c r="A37" s="13" t="s">
        <v>1906</v>
      </c>
      <c r="B37" s="224">
        <v>9.39</v>
      </c>
      <c r="C37" s="224">
        <v>61.38</v>
      </c>
      <c r="D37" s="224">
        <v>40.95</v>
      </c>
      <c r="E37" s="224">
        <v>8.41</v>
      </c>
      <c r="F37" s="224">
        <v>6.64</v>
      </c>
      <c r="G37" s="224">
        <v>54.08</v>
      </c>
      <c r="H37" s="224">
        <v>25.46</v>
      </c>
      <c r="I37" s="224">
        <v>0</v>
      </c>
      <c r="J37" s="224">
        <v>1.05</v>
      </c>
      <c r="K37" s="224">
        <v>242.65</v>
      </c>
      <c r="L37" s="224">
        <v>30.17</v>
      </c>
      <c r="M37" s="224">
        <v>33.61</v>
      </c>
      <c r="N37" s="224">
        <v>71.7</v>
      </c>
      <c r="O37" s="224">
        <v>0</v>
      </c>
      <c r="P37" s="224">
        <v>0.75</v>
      </c>
      <c r="Q37" s="224">
        <v>4.87</v>
      </c>
      <c r="R37" s="13"/>
      <c r="S37" s="13"/>
      <c r="T37" s="213"/>
      <c r="U37" s="13"/>
    </row>
    <row r="38" customFormat="1" spans="1:21">
      <c r="A38" s="13" t="s">
        <v>1907</v>
      </c>
      <c r="B38" s="224">
        <v>9.07</v>
      </c>
      <c r="C38" s="224">
        <v>61.66</v>
      </c>
      <c r="D38" s="224">
        <v>40.84</v>
      </c>
      <c r="E38" s="224">
        <v>7.97</v>
      </c>
      <c r="F38" s="224">
        <v>7.08</v>
      </c>
      <c r="G38" s="224">
        <v>54.08</v>
      </c>
      <c r="H38" s="224">
        <v>25.46</v>
      </c>
      <c r="I38" s="224">
        <v>0</v>
      </c>
      <c r="J38" s="224">
        <v>1.13</v>
      </c>
      <c r="K38" s="224">
        <v>241.91</v>
      </c>
      <c r="L38" s="224">
        <v>30.3</v>
      </c>
      <c r="M38" s="224">
        <v>33.6</v>
      </c>
      <c r="N38" s="224">
        <v>80.9</v>
      </c>
      <c r="O38" s="224">
        <v>0</v>
      </c>
      <c r="P38" s="224">
        <v>0.74</v>
      </c>
      <c r="Q38" s="224">
        <v>4.91</v>
      </c>
      <c r="R38" s="13"/>
      <c r="S38" s="13"/>
      <c r="T38" s="213"/>
      <c r="U38" s="13"/>
    </row>
    <row r="39" customFormat="1" spans="1:21">
      <c r="A39" s="13" t="s">
        <v>1908</v>
      </c>
      <c r="B39" s="224">
        <v>8.74</v>
      </c>
      <c r="C39" s="224">
        <v>61.82</v>
      </c>
      <c r="D39" s="224">
        <v>40.66</v>
      </c>
      <c r="E39" s="224">
        <v>8.82</v>
      </c>
      <c r="F39" s="224">
        <v>7.45</v>
      </c>
      <c r="G39" s="224">
        <v>54.08</v>
      </c>
      <c r="H39" s="224">
        <v>25.46</v>
      </c>
      <c r="I39" s="224">
        <v>0</v>
      </c>
      <c r="J39" s="224">
        <v>0.86</v>
      </c>
      <c r="K39" s="224">
        <v>241.73</v>
      </c>
      <c r="L39" s="224">
        <v>30.33</v>
      </c>
      <c r="M39" s="224">
        <v>34.55</v>
      </c>
      <c r="N39" s="224">
        <v>96.9</v>
      </c>
      <c r="O39" s="224">
        <v>0</v>
      </c>
      <c r="P39" s="224">
        <v>0.77</v>
      </c>
      <c r="Q39" s="224">
        <v>4.93</v>
      </c>
      <c r="R39" s="13"/>
      <c r="S39" s="13"/>
      <c r="T39" s="213"/>
      <c r="U39" s="13"/>
    </row>
    <row r="40" customFormat="1" spans="1:21">
      <c r="A40" s="13" t="s">
        <v>1909</v>
      </c>
      <c r="B40" s="224">
        <v>8.47</v>
      </c>
      <c r="C40" s="224">
        <v>58.65</v>
      </c>
      <c r="D40" s="224">
        <v>38.79</v>
      </c>
      <c r="E40" s="224">
        <v>9.47</v>
      </c>
      <c r="F40" s="224">
        <v>7.96</v>
      </c>
      <c r="G40" s="224">
        <v>58.72</v>
      </c>
      <c r="H40" s="224">
        <v>29.45</v>
      </c>
      <c r="I40" s="224">
        <v>0</v>
      </c>
      <c r="J40" s="224">
        <v>0.94</v>
      </c>
      <c r="K40" s="224">
        <v>240.53</v>
      </c>
      <c r="L40" s="224">
        <v>30.37</v>
      </c>
      <c r="M40" s="224">
        <v>35.9</v>
      </c>
      <c r="N40" s="224">
        <v>138.8</v>
      </c>
      <c r="O40" s="224">
        <v>0</v>
      </c>
      <c r="P40" s="224">
        <v>0.82</v>
      </c>
      <c r="Q40" s="224">
        <v>4.94</v>
      </c>
      <c r="R40" s="13"/>
      <c r="S40" s="13"/>
      <c r="T40" s="213"/>
      <c r="U40" s="13"/>
    </row>
    <row r="41" customFormat="1" spans="1:21">
      <c r="A41" s="13" t="s">
        <v>1910</v>
      </c>
      <c r="B41" s="224">
        <v>8.86</v>
      </c>
      <c r="C41" s="224">
        <v>63.75</v>
      </c>
      <c r="D41" s="224">
        <v>41.76</v>
      </c>
      <c r="E41" s="224">
        <v>7.52</v>
      </c>
      <c r="F41" s="224">
        <v>6.66</v>
      </c>
      <c r="G41" s="224">
        <v>58.94</v>
      </c>
      <c r="H41" s="224">
        <v>29.45</v>
      </c>
      <c r="I41" s="224">
        <v>0</v>
      </c>
      <c r="J41" s="224">
        <v>1.41</v>
      </c>
      <c r="K41" s="224">
        <v>245.9</v>
      </c>
      <c r="L41" s="224">
        <v>30.58</v>
      </c>
      <c r="M41" s="224">
        <v>34.9</v>
      </c>
      <c r="N41" s="224">
        <v>161.4</v>
      </c>
      <c r="O41" s="224">
        <v>0</v>
      </c>
      <c r="P41" s="224">
        <v>0.81</v>
      </c>
      <c r="Q41" s="224">
        <v>4.99</v>
      </c>
      <c r="R41" s="13"/>
      <c r="S41" s="13"/>
      <c r="T41" s="213"/>
      <c r="U41" s="13"/>
    </row>
    <row r="42" customFormat="1" spans="1:21">
      <c r="A42" s="13" t="s">
        <v>1911</v>
      </c>
      <c r="B42" s="224">
        <v>8.6</v>
      </c>
      <c r="C42" s="224">
        <v>66.21</v>
      </c>
      <c r="D42" s="224">
        <v>42.84</v>
      </c>
      <c r="E42" s="224">
        <v>6.94</v>
      </c>
      <c r="F42" s="224">
        <v>8.79</v>
      </c>
      <c r="G42" s="224">
        <v>58.94</v>
      </c>
      <c r="H42" s="224">
        <v>29.45</v>
      </c>
      <c r="I42" s="224">
        <v>0</v>
      </c>
      <c r="J42" s="224">
        <v>1.37</v>
      </c>
      <c r="K42" s="224">
        <v>249.43</v>
      </c>
      <c r="L42" s="224">
        <v>30.92</v>
      </c>
      <c r="M42" s="224">
        <v>33.52</v>
      </c>
      <c r="N42" s="224">
        <v>199.7</v>
      </c>
      <c r="O42" s="224">
        <v>0</v>
      </c>
      <c r="P42" s="224">
        <v>0.78</v>
      </c>
      <c r="Q42" s="224">
        <v>5.02</v>
      </c>
      <c r="R42" s="13"/>
      <c r="S42" s="13"/>
      <c r="T42" s="213"/>
      <c r="U42" s="13"/>
    </row>
    <row r="43" customFormat="1" spans="1:21">
      <c r="A43" s="13" t="s">
        <v>1912</v>
      </c>
      <c r="B43" s="224">
        <v>7.54</v>
      </c>
      <c r="C43" s="224">
        <v>57.79</v>
      </c>
      <c r="D43" s="224">
        <v>37.59</v>
      </c>
      <c r="E43" s="224">
        <v>6.65</v>
      </c>
      <c r="F43" s="224">
        <v>10.18</v>
      </c>
      <c r="G43" s="224">
        <v>58.94</v>
      </c>
      <c r="H43" s="224">
        <v>29.45</v>
      </c>
      <c r="I43" s="224">
        <v>0</v>
      </c>
      <c r="J43" s="224">
        <v>1.42</v>
      </c>
      <c r="K43" s="224">
        <v>247.25</v>
      </c>
      <c r="L43" s="224">
        <v>31.28</v>
      </c>
      <c r="M43" s="224">
        <v>32.39</v>
      </c>
      <c r="N43" s="224">
        <v>188.4</v>
      </c>
      <c r="O43" s="224">
        <v>0</v>
      </c>
      <c r="P43" s="224">
        <v>0.71</v>
      </c>
      <c r="Q43" s="224">
        <v>4.7</v>
      </c>
      <c r="R43" s="13"/>
      <c r="S43" s="13"/>
      <c r="T43" s="213"/>
      <c r="U43" s="13"/>
    </row>
    <row r="44" customFormat="1" spans="1:21">
      <c r="A44" s="13" t="s">
        <v>1913</v>
      </c>
      <c r="B44" s="224">
        <v>6.51</v>
      </c>
      <c r="C44" s="224">
        <v>51.45</v>
      </c>
      <c r="D44" s="224">
        <v>33.45</v>
      </c>
      <c r="E44" s="224">
        <v>7.64</v>
      </c>
      <c r="F44" s="224">
        <v>11.99</v>
      </c>
      <c r="G44" s="224">
        <v>58.89</v>
      </c>
      <c r="H44" s="224">
        <v>27.07</v>
      </c>
      <c r="I44" s="224">
        <v>0</v>
      </c>
      <c r="J44" s="224">
        <v>1.72</v>
      </c>
      <c r="K44" s="224">
        <v>265.81</v>
      </c>
      <c r="L44" s="224">
        <v>31.65</v>
      </c>
      <c r="M44" s="224">
        <v>31.5</v>
      </c>
      <c r="N44" s="224">
        <v>213.9</v>
      </c>
      <c r="O44" s="224">
        <v>0</v>
      </c>
      <c r="P44" s="224">
        <v>0.67</v>
      </c>
      <c r="Q44" s="224">
        <v>4.71</v>
      </c>
      <c r="R44" s="13"/>
      <c r="S44" s="13"/>
      <c r="T44" s="213"/>
      <c r="U44" s="13"/>
    </row>
    <row r="45" customFormat="1" spans="1:21">
      <c r="A45" s="13" t="s">
        <v>1914</v>
      </c>
      <c r="B45" s="224">
        <v>6.3</v>
      </c>
      <c r="C45" s="224">
        <v>46.27</v>
      </c>
      <c r="D45" s="224">
        <v>30.57</v>
      </c>
      <c r="E45" s="224">
        <v>11.08</v>
      </c>
      <c r="F45" s="224">
        <v>19.09</v>
      </c>
      <c r="G45" s="224">
        <v>58.89</v>
      </c>
      <c r="H45" s="224">
        <v>27.07</v>
      </c>
      <c r="I45" s="224">
        <v>0</v>
      </c>
      <c r="J45" s="224">
        <v>1.5</v>
      </c>
      <c r="K45" s="224">
        <v>264.63</v>
      </c>
      <c r="L45" s="224">
        <v>32.54</v>
      </c>
      <c r="M45" s="224">
        <v>30.39</v>
      </c>
      <c r="N45" s="224">
        <v>273</v>
      </c>
      <c r="O45" s="224">
        <v>0</v>
      </c>
      <c r="P45" s="224">
        <v>0.67</v>
      </c>
      <c r="Q45" s="224">
        <v>5</v>
      </c>
      <c r="R45" s="13"/>
      <c r="S45" s="13"/>
      <c r="T45" s="213"/>
      <c r="U45" s="13"/>
    </row>
    <row r="46" customFormat="1" spans="1:21">
      <c r="A46" s="13" t="s">
        <v>1915</v>
      </c>
      <c r="B46" s="224">
        <v>6.01</v>
      </c>
      <c r="C46" s="224">
        <v>42.14</v>
      </c>
      <c r="D46" s="224">
        <v>28.19</v>
      </c>
      <c r="E46" s="224">
        <v>16.18</v>
      </c>
      <c r="F46" s="224">
        <v>26.08</v>
      </c>
      <c r="G46" s="224">
        <v>58.89</v>
      </c>
      <c r="H46" s="224">
        <v>27.07</v>
      </c>
      <c r="I46" s="224">
        <v>0</v>
      </c>
      <c r="J46" s="224">
        <v>1.28</v>
      </c>
      <c r="K46" s="224">
        <v>267.25</v>
      </c>
      <c r="L46" s="224">
        <v>33.35</v>
      </c>
      <c r="M46" s="224">
        <v>29.14</v>
      </c>
      <c r="N46" s="224">
        <v>290.1</v>
      </c>
      <c r="O46" s="224">
        <v>0</v>
      </c>
      <c r="P46" s="224">
        <v>0.72</v>
      </c>
      <c r="Q46" s="224">
        <v>5</v>
      </c>
      <c r="R46" s="13"/>
      <c r="S46" s="13"/>
      <c r="T46" s="213"/>
      <c r="U46" s="13"/>
    </row>
    <row r="47" customFormat="1" spans="1:21">
      <c r="A47" s="13" t="s">
        <v>1916</v>
      </c>
      <c r="B47" s="224">
        <v>6.87</v>
      </c>
      <c r="C47" s="224">
        <v>43.26</v>
      </c>
      <c r="D47" s="224">
        <v>29.46</v>
      </c>
      <c r="E47" s="224">
        <v>12.99</v>
      </c>
      <c r="F47" s="224">
        <v>27.28</v>
      </c>
      <c r="G47" s="224">
        <v>58.89</v>
      </c>
      <c r="H47" s="224">
        <v>27.07</v>
      </c>
      <c r="I47" s="224">
        <v>0</v>
      </c>
      <c r="J47" s="224">
        <v>1.99</v>
      </c>
      <c r="K47" s="224">
        <v>288.69</v>
      </c>
      <c r="L47" s="224">
        <v>34.12</v>
      </c>
      <c r="M47" s="224">
        <v>26.34</v>
      </c>
      <c r="N47" s="224">
        <v>366.7</v>
      </c>
      <c r="O47" s="224">
        <v>0</v>
      </c>
      <c r="P47" s="224">
        <v>0.66</v>
      </c>
      <c r="Q47" s="224">
        <v>5</v>
      </c>
      <c r="R47" s="13"/>
      <c r="S47" s="13"/>
      <c r="T47" s="213"/>
      <c r="U47" s="13"/>
    </row>
    <row r="48" customFormat="1" spans="1:21">
      <c r="A48" s="13" t="s">
        <v>1917</v>
      </c>
      <c r="B48" s="224">
        <v>6.61</v>
      </c>
      <c r="C48" s="224">
        <v>39.54</v>
      </c>
      <c r="D48" s="224">
        <v>27.31</v>
      </c>
      <c r="E48" s="224">
        <v>10.42</v>
      </c>
      <c r="F48" s="224">
        <v>24.06</v>
      </c>
      <c r="G48" s="224">
        <v>63.49</v>
      </c>
      <c r="H48" s="224">
        <v>26.65</v>
      </c>
      <c r="I48" s="224">
        <v>0</v>
      </c>
      <c r="J48" s="224">
        <v>2.33</v>
      </c>
      <c r="K48" s="224">
        <v>286.39</v>
      </c>
      <c r="L48" s="224">
        <v>34.43</v>
      </c>
      <c r="M48" s="224">
        <v>24.36</v>
      </c>
      <c r="N48" s="224">
        <v>385.5</v>
      </c>
      <c r="O48" s="224">
        <v>0</v>
      </c>
      <c r="P48" s="224">
        <v>0.6</v>
      </c>
      <c r="Q48" s="224">
        <v>5</v>
      </c>
      <c r="R48" s="13"/>
      <c r="S48" s="13"/>
      <c r="T48" s="213"/>
      <c r="U48" s="13"/>
    </row>
    <row r="49" customFormat="1" spans="1:21">
      <c r="A49" s="13" t="s">
        <v>1918</v>
      </c>
      <c r="B49" s="224">
        <v>5.82</v>
      </c>
      <c r="C49" s="224">
        <v>37.47</v>
      </c>
      <c r="D49" s="224">
        <v>25.6</v>
      </c>
      <c r="E49" s="224">
        <v>8.46</v>
      </c>
      <c r="F49" s="224">
        <v>29.39</v>
      </c>
      <c r="G49" s="224">
        <v>63.71</v>
      </c>
      <c r="H49" s="224">
        <v>26.65</v>
      </c>
      <c r="I49" s="224">
        <v>0</v>
      </c>
      <c r="J49" s="224">
        <v>2.42</v>
      </c>
      <c r="K49" s="224">
        <v>299.54</v>
      </c>
      <c r="L49" s="224">
        <v>34.51</v>
      </c>
      <c r="M49" s="224">
        <v>23.89</v>
      </c>
      <c r="N49" s="224">
        <v>398.4</v>
      </c>
      <c r="O49" s="224">
        <v>0</v>
      </c>
      <c r="P49" s="224">
        <v>0.56</v>
      </c>
      <c r="Q49" s="224">
        <v>5</v>
      </c>
      <c r="R49" s="13"/>
      <c r="S49" s="13"/>
      <c r="T49" s="213"/>
      <c r="U49" s="13"/>
    </row>
    <row r="50" customFormat="1" spans="1:21">
      <c r="A50" s="13" t="s">
        <v>1919</v>
      </c>
      <c r="B50" s="224">
        <v>5.23</v>
      </c>
      <c r="C50" s="224">
        <v>35.2</v>
      </c>
      <c r="D50" s="224">
        <v>23.94</v>
      </c>
      <c r="E50" s="224">
        <v>9.36</v>
      </c>
      <c r="F50" s="224">
        <v>24.98</v>
      </c>
      <c r="G50" s="224">
        <v>63.71</v>
      </c>
      <c r="H50" s="224">
        <v>26.65</v>
      </c>
      <c r="I50" s="224">
        <v>0</v>
      </c>
      <c r="J50" s="224">
        <v>2.56</v>
      </c>
      <c r="K50" s="224">
        <v>292.52</v>
      </c>
      <c r="L50" s="224">
        <v>34.61</v>
      </c>
      <c r="M50" s="224">
        <v>22.84</v>
      </c>
      <c r="N50" s="224">
        <v>338.9</v>
      </c>
      <c r="O50" s="224">
        <v>0</v>
      </c>
      <c r="P50" s="224">
        <v>0.53</v>
      </c>
      <c r="Q50" s="224">
        <v>5</v>
      </c>
      <c r="R50" s="13"/>
      <c r="S50" s="13"/>
      <c r="T50" s="213"/>
      <c r="U50" s="13"/>
    </row>
    <row r="51" customFormat="1" spans="1:21">
      <c r="A51" s="13" t="s">
        <v>1920</v>
      </c>
      <c r="B51" s="224">
        <v>5.72</v>
      </c>
      <c r="C51" s="224">
        <v>34.47</v>
      </c>
      <c r="D51" s="224">
        <v>23.94</v>
      </c>
      <c r="E51" s="224">
        <v>9.78</v>
      </c>
      <c r="F51" s="224">
        <v>27.43</v>
      </c>
      <c r="G51" s="224">
        <v>63.71</v>
      </c>
      <c r="H51" s="224">
        <v>26.65</v>
      </c>
      <c r="I51" s="224">
        <v>0</v>
      </c>
      <c r="J51" s="224">
        <v>2.74</v>
      </c>
      <c r="K51" s="224">
        <v>293.86</v>
      </c>
      <c r="L51" s="224">
        <v>35.09</v>
      </c>
      <c r="M51" s="224">
        <v>21.5</v>
      </c>
      <c r="N51" s="224">
        <v>526.8</v>
      </c>
      <c r="O51" s="224">
        <v>0</v>
      </c>
      <c r="P51" s="224">
        <v>0.49</v>
      </c>
      <c r="Q51" s="224">
        <v>5</v>
      </c>
      <c r="R51" s="13"/>
      <c r="S51" s="13"/>
      <c r="T51" s="213"/>
      <c r="U51" s="13"/>
    </row>
    <row r="52" customFormat="1" spans="1:21">
      <c r="A52" s="13" t="s">
        <v>1921</v>
      </c>
      <c r="B52" s="224">
        <v>5.74</v>
      </c>
      <c r="C52" s="224">
        <v>34.54</v>
      </c>
      <c r="D52" s="224">
        <v>24</v>
      </c>
      <c r="E52" s="224">
        <v>12.37</v>
      </c>
      <c r="F52" s="224">
        <v>36.12</v>
      </c>
      <c r="G52" s="224">
        <v>69.44</v>
      </c>
      <c r="H52" s="224">
        <v>28.68</v>
      </c>
      <c r="I52" s="224">
        <v>0</v>
      </c>
      <c r="J52" s="224">
        <v>2.06</v>
      </c>
      <c r="K52" s="224">
        <v>294.21</v>
      </c>
      <c r="L52" s="224">
        <v>35.8</v>
      </c>
      <c r="M52" s="224">
        <v>21.4</v>
      </c>
      <c r="N52" s="224">
        <v>583.4</v>
      </c>
      <c r="O52" s="224">
        <v>0</v>
      </c>
      <c r="P52" s="224">
        <v>0.47</v>
      </c>
      <c r="Q52" s="224">
        <v>5</v>
      </c>
      <c r="R52" s="13"/>
      <c r="S52" s="13"/>
      <c r="T52" s="213"/>
      <c r="U52" s="13"/>
    </row>
    <row r="53" customFormat="1" spans="1:21">
      <c r="A53" s="13" t="s">
        <v>1922</v>
      </c>
      <c r="B53" s="224">
        <v>6.23</v>
      </c>
      <c r="C53" s="224">
        <v>33.77</v>
      </c>
      <c r="D53" s="224">
        <v>23.99</v>
      </c>
      <c r="E53" s="224">
        <v>14.94</v>
      </c>
      <c r="F53" s="224">
        <v>33.15</v>
      </c>
      <c r="G53" s="224">
        <v>69.71</v>
      </c>
      <c r="H53" s="224">
        <v>28.68</v>
      </c>
      <c r="I53" s="224">
        <v>0</v>
      </c>
      <c r="J53" s="224">
        <v>2.29</v>
      </c>
      <c r="K53" s="224">
        <v>287.82</v>
      </c>
      <c r="L53" s="224">
        <v>35.9</v>
      </c>
      <c r="M53" s="224">
        <v>20.99</v>
      </c>
      <c r="N53" s="224">
        <v>485.9</v>
      </c>
      <c r="O53" s="224">
        <v>0</v>
      </c>
      <c r="P53" s="224">
        <v>0.47</v>
      </c>
      <c r="Q53" s="224">
        <v>5</v>
      </c>
      <c r="R53" s="13"/>
      <c r="S53" s="13"/>
      <c r="T53" s="213"/>
      <c r="U53" s="13"/>
    </row>
    <row r="54" customFormat="1" spans="1:21">
      <c r="A54" s="13" t="s">
        <v>1923</v>
      </c>
      <c r="B54" s="224">
        <v>5.11</v>
      </c>
      <c r="C54" s="224">
        <v>31.94</v>
      </c>
      <c r="D54" s="224">
        <v>22.14</v>
      </c>
      <c r="E54" s="224">
        <v>14.47</v>
      </c>
      <c r="F54" s="224">
        <v>42.19</v>
      </c>
      <c r="G54" s="224">
        <v>69.71</v>
      </c>
      <c r="H54" s="224">
        <v>28.68</v>
      </c>
      <c r="I54" s="224">
        <v>0</v>
      </c>
      <c r="J54" s="224">
        <v>2.01</v>
      </c>
      <c r="K54" s="224">
        <v>281.73</v>
      </c>
      <c r="L54" s="224">
        <v>36.29</v>
      </c>
      <c r="M54" s="224">
        <v>19.58</v>
      </c>
      <c r="N54" s="224">
        <v>585.4</v>
      </c>
      <c r="O54" s="224">
        <v>0</v>
      </c>
      <c r="P54" s="224">
        <v>0.43</v>
      </c>
      <c r="Q54" s="224">
        <v>5</v>
      </c>
      <c r="R54" s="13"/>
      <c r="S54" s="13"/>
      <c r="T54" s="213"/>
      <c r="U54" s="13"/>
    </row>
    <row r="55" customFormat="1" spans="1:21">
      <c r="A55" s="13" t="s">
        <v>1924</v>
      </c>
      <c r="B55" s="224">
        <v>5.53</v>
      </c>
      <c r="C55" s="224">
        <v>31.41</v>
      </c>
      <c r="D55" s="224">
        <v>22.19</v>
      </c>
      <c r="E55" s="224">
        <v>16.99</v>
      </c>
      <c r="F55" s="224">
        <v>53.48</v>
      </c>
      <c r="G55" s="224">
        <v>69.71</v>
      </c>
      <c r="H55" s="224">
        <v>28.68</v>
      </c>
      <c r="I55" s="224">
        <v>0</v>
      </c>
      <c r="J55" s="224">
        <v>1.42</v>
      </c>
      <c r="K55" s="224">
        <v>294.55</v>
      </c>
      <c r="L55" s="224">
        <v>36.47</v>
      </c>
      <c r="M55" s="224">
        <v>19.49</v>
      </c>
      <c r="N55" s="224">
        <v>484.4</v>
      </c>
      <c r="O55" s="224">
        <v>0</v>
      </c>
      <c r="P55" s="224">
        <v>0.42</v>
      </c>
      <c r="Q55" s="224">
        <v>5</v>
      </c>
      <c r="R55" s="13"/>
      <c r="S55" s="13"/>
      <c r="T55" s="213"/>
      <c r="U55" s="13"/>
    </row>
    <row r="56" customFormat="1" spans="1:21">
      <c r="A56" s="13" t="s">
        <v>1925</v>
      </c>
      <c r="B56" s="224">
        <v>5.62</v>
      </c>
      <c r="C56" s="224">
        <v>30.53</v>
      </c>
      <c r="D56" s="224">
        <v>21.81</v>
      </c>
      <c r="E56" s="224">
        <v>21.86</v>
      </c>
      <c r="F56" s="224">
        <v>53.57</v>
      </c>
      <c r="G56" s="224">
        <v>67.6</v>
      </c>
      <c r="H56" s="224">
        <v>26.44</v>
      </c>
      <c r="I56" s="224">
        <v>0</v>
      </c>
      <c r="J56" s="224">
        <v>1.34</v>
      </c>
      <c r="K56" s="224">
        <v>298.9</v>
      </c>
      <c r="L56" s="224">
        <v>36.98</v>
      </c>
      <c r="M56" s="224">
        <v>18.99</v>
      </c>
      <c r="N56" s="224">
        <v>599.5</v>
      </c>
      <c r="O56" s="224">
        <v>0</v>
      </c>
      <c r="P56" s="224">
        <v>0.4</v>
      </c>
      <c r="Q56" s="224">
        <v>5</v>
      </c>
      <c r="R56" s="13"/>
      <c r="S56" s="13"/>
      <c r="T56" s="213"/>
      <c r="U56" s="13"/>
    </row>
    <row r="57" customFormat="1" spans="1:21">
      <c r="A57" s="13" t="s">
        <v>1926</v>
      </c>
      <c r="B57" s="224">
        <v>5.55</v>
      </c>
      <c r="C57" s="224">
        <v>31.52</v>
      </c>
      <c r="D57" s="224">
        <v>22.27</v>
      </c>
      <c r="E57" s="224">
        <v>18.73</v>
      </c>
      <c r="F57" s="224">
        <v>44.7</v>
      </c>
      <c r="G57" s="224">
        <v>67.51</v>
      </c>
      <c r="H57" s="224">
        <v>26.44</v>
      </c>
      <c r="I57" s="224">
        <v>0</v>
      </c>
      <c r="J57" s="224">
        <v>1.87</v>
      </c>
      <c r="K57" s="224">
        <v>293.25</v>
      </c>
      <c r="L57" s="224">
        <v>37.2</v>
      </c>
      <c r="M57" s="224">
        <v>18.05</v>
      </c>
      <c r="N57" s="224">
        <v>519.3</v>
      </c>
      <c r="O57" s="224">
        <v>0</v>
      </c>
      <c r="P57" s="224">
        <v>0.41</v>
      </c>
      <c r="Q57" s="224">
        <v>5</v>
      </c>
      <c r="R57" s="13"/>
      <c r="S57" s="13"/>
      <c r="T57" s="213"/>
      <c r="U57" s="13"/>
    </row>
    <row r="58" customFormat="1" spans="1:21">
      <c r="A58" s="13" t="s">
        <v>1927</v>
      </c>
      <c r="B58" s="224">
        <v>5.74</v>
      </c>
      <c r="C58" s="224">
        <v>27.99</v>
      </c>
      <c r="D58" s="224">
        <v>20.58</v>
      </c>
      <c r="E58" s="224">
        <v>15.64</v>
      </c>
      <c r="F58" s="224">
        <v>52.53</v>
      </c>
      <c r="G58" s="224">
        <v>67.51</v>
      </c>
      <c r="H58" s="224">
        <v>26.44</v>
      </c>
      <c r="I58" s="224">
        <v>0</v>
      </c>
      <c r="J58" s="224">
        <v>1.29</v>
      </c>
      <c r="K58" s="224">
        <v>22.65</v>
      </c>
      <c r="L58" s="224">
        <v>36.87</v>
      </c>
      <c r="M58" s="224">
        <v>17.98</v>
      </c>
      <c r="N58" s="224">
        <v>298.9</v>
      </c>
      <c r="O58" s="224">
        <v>0</v>
      </c>
      <c r="P58" s="224">
        <v>0.4</v>
      </c>
      <c r="Q58" s="224">
        <v>5</v>
      </c>
      <c r="R58" s="13"/>
      <c r="S58" s="13"/>
      <c r="T58" s="213"/>
      <c r="U58" s="13"/>
    </row>
    <row r="59" customFormat="1" spans="1:21">
      <c r="A59" s="13" t="s">
        <v>1928</v>
      </c>
      <c r="B59" s="224">
        <v>7.08</v>
      </c>
      <c r="C59" s="224">
        <v>28.93</v>
      </c>
      <c r="D59" s="224">
        <v>22.15</v>
      </c>
      <c r="E59" s="224">
        <v>13.79</v>
      </c>
      <c r="F59" s="224">
        <v>56.73</v>
      </c>
      <c r="G59" s="224">
        <v>67.51</v>
      </c>
      <c r="H59" s="224">
        <v>26.44</v>
      </c>
      <c r="I59" s="224">
        <v>0</v>
      </c>
      <c r="J59" s="224">
        <v>1.65</v>
      </c>
      <c r="K59" s="224">
        <v>26.82</v>
      </c>
      <c r="L59" s="224">
        <v>37.06</v>
      </c>
      <c r="M59" s="224">
        <v>17.56</v>
      </c>
      <c r="N59" s="224">
        <v>582.3</v>
      </c>
      <c r="O59" s="224">
        <v>0</v>
      </c>
      <c r="P59" s="224">
        <v>0.38</v>
      </c>
      <c r="Q59" s="224">
        <v>5</v>
      </c>
      <c r="R59" s="13"/>
      <c r="S59" s="13"/>
      <c r="T59" s="213"/>
      <c r="U59" s="13"/>
    </row>
    <row r="60" customFormat="1" spans="1:21">
      <c r="A60" s="13" t="s">
        <v>1929</v>
      </c>
      <c r="B60" s="224">
        <v>7.08</v>
      </c>
      <c r="C60" s="224">
        <v>28.29</v>
      </c>
      <c r="D60" s="224">
        <v>21.81</v>
      </c>
      <c r="E60" s="224">
        <v>17.79</v>
      </c>
      <c r="F60" s="224">
        <v>59.8</v>
      </c>
      <c r="G60" s="224">
        <v>67.08</v>
      </c>
      <c r="H60" s="224">
        <v>23.15</v>
      </c>
      <c r="I60" s="224">
        <v>0</v>
      </c>
      <c r="J60" s="224">
        <v>1.14</v>
      </c>
      <c r="K60" s="224">
        <v>352.42</v>
      </c>
      <c r="L60" s="224">
        <v>37.57</v>
      </c>
      <c r="M60" s="224">
        <v>16.98</v>
      </c>
      <c r="N60" s="224">
        <v>461.3</v>
      </c>
      <c r="O60" s="224">
        <v>0</v>
      </c>
      <c r="P60" s="224">
        <v>0.38</v>
      </c>
      <c r="Q60" s="224">
        <v>5</v>
      </c>
      <c r="R60" s="13"/>
      <c r="S60" s="13"/>
      <c r="T60" s="213"/>
      <c r="U60" s="13"/>
    </row>
    <row r="61" customFormat="1" spans="1:21">
      <c r="A61" s="13" t="s">
        <v>1930</v>
      </c>
      <c r="B61" s="224">
        <v>5.65</v>
      </c>
      <c r="C61" s="224">
        <v>30.27</v>
      </c>
      <c r="D61" s="224">
        <v>21.7</v>
      </c>
      <c r="E61" s="224">
        <v>34.88</v>
      </c>
      <c r="F61" s="224">
        <v>50.52</v>
      </c>
      <c r="G61" s="224">
        <v>67.06</v>
      </c>
      <c r="H61" s="224">
        <v>23.15</v>
      </c>
      <c r="I61" s="224">
        <v>0</v>
      </c>
      <c r="J61" s="224">
        <v>0.77</v>
      </c>
      <c r="K61" s="224">
        <v>334.43</v>
      </c>
      <c r="L61" s="224">
        <v>37.33</v>
      </c>
      <c r="M61" s="224">
        <v>17.31</v>
      </c>
      <c r="N61" s="224">
        <v>254.9</v>
      </c>
      <c r="O61" s="224">
        <v>0</v>
      </c>
      <c r="P61" s="224">
        <v>0.44</v>
      </c>
      <c r="Q61" s="224">
        <v>5</v>
      </c>
      <c r="R61" s="13"/>
      <c r="S61" s="13"/>
      <c r="T61" s="213"/>
      <c r="U61" s="13"/>
    </row>
    <row r="62" customFormat="1" spans="1:21">
      <c r="A62" s="13" t="s">
        <v>1931</v>
      </c>
      <c r="B62" s="224">
        <v>6.68</v>
      </c>
      <c r="C62" s="224">
        <v>34.5</v>
      </c>
      <c r="D62" s="224">
        <v>24.73</v>
      </c>
      <c r="E62" s="224">
        <v>36.23</v>
      </c>
      <c r="F62" s="224">
        <v>39.55</v>
      </c>
      <c r="G62" s="224">
        <v>67.06</v>
      </c>
      <c r="H62" s="224">
        <v>23.15</v>
      </c>
      <c r="I62" s="224">
        <v>0</v>
      </c>
      <c r="J62" s="224">
        <v>0.67</v>
      </c>
      <c r="K62" s="224">
        <v>359.54</v>
      </c>
      <c r="L62" s="224">
        <v>37.17</v>
      </c>
      <c r="M62" s="224">
        <v>17.37</v>
      </c>
      <c r="N62" s="224">
        <v>361.7</v>
      </c>
      <c r="O62" s="224">
        <v>0</v>
      </c>
      <c r="P62" s="224">
        <v>0.48</v>
      </c>
      <c r="Q62" s="224">
        <v>5</v>
      </c>
      <c r="R62" s="13"/>
      <c r="S62" s="13"/>
      <c r="T62" s="213"/>
      <c r="U62" s="13"/>
    </row>
    <row r="63" customFormat="1" spans="1:21">
      <c r="A63" s="13" t="s">
        <v>1932</v>
      </c>
      <c r="B63" s="224">
        <v>6.34</v>
      </c>
      <c r="C63" s="224">
        <v>35.07</v>
      </c>
      <c r="D63" s="224">
        <v>24.76</v>
      </c>
      <c r="E63" s="224">
        <v>36</v>
      </c>
      <c r="F63" s="224">
        <v>35.57</v>
      </c>
      <c r="G63" s="224">
        <v>67.06</v>
      </c>
      <c r="H63" s="224">
        <v>23.15</v>
      </c>
      <c r="I63" s="224">
        <v>0</v>
      </c>
      <c r="J63" s="224">
        <v>0.69</v>
      </c>
      <c r="K63" s="224">
        <v>328.56</v>
      </c>
      <c r="L63" s="224">
        <v>38.57</v>
      </c>
      <c r="M63" s="224">
        <v>16.28</v>
      </c>
      <c r="N63" s="224">
        <v>567.9</v>
      </c>
      <c r="O63" s="224">
        <v>0</v>
      </c>
      <c r="P63" s="224">
        <v>0.52</v>
      </c>
      <c r="Q63" s="224">
        <v>5</v>
      </c>
      <c r="R63" s="13"/>
      <c r="S63" s="13"/>
      <c r="T63" s="213"/>
      <c r="U63" s="13"/>
    </row>
    <row r="64" customFormat="1" spans="1:21">
      <c r="A64" s="13" t="s">
        <v>1933</v>
      </c>
      <c r="B64" s="224">
        <v>5.4</v>
      </c>
      <c r="C64" s="224">
        <v>35.99</v>
      </c>
      <c r="D64" s="224">
        <v>24.48</v>
      </c>
      <c r="E64" s="224">
        <v>30.71</v>
      </c>
      <c r="F64" s="224">
        <v>38.98</v>
      </c>
      <c r="G64" s="224">
        <v>64.92</v>
      </c>
      <c r="H64" s="224">
        <v>22.24</v>
      </c>
      <c r="I64" s="224">
        <v>0</v>
      </c>
      <c r="J64" s="224">
        <v>1.2</v>
      </c>
      <c r="K64" s="224">
        <v>37.28</v>
      </c>
      <c r="L64" s="224">
        <v>38.31</v>
      </c>
      <c r="M64" s="224">
        <v>16.14</v>
      </c>
      <c r="N64" s="224">
        <v>567.7</v>
      </c>
      <c r="O64" s="224">
        <v>0</v>
      </c>
      <c r="P64" s="224">
        <v>0.55</v>
      </c>
      <c r="Q64" s="224">
        <v>5</v>
      </c>
      <c r="R64" s="13"/>
      <c r="S64" s="13"/>
      <c r="T64" s="213"/>
      <c r="U64" s="13"/>
    </row>
    <row r="65" customFormat="1" spans="1:21">
      <c r="A65" s="13" t="s">
        <v>1934</v>
      </c>
      <c r="B65" s="224">
        <v>6.47</v>
      </c>
      <c r="C65" s="224">
        <v>39.25</v>
      </c>
      <c r="D65" s="224">
        <v>27.05</v>
      </c>
      <c r="E65" s="224">
        <v>26.78</v>
      </c>
      <c r="F65" s="224">
        <v>41.65</v>
      </c>
      <c r="G65" s="224">
        <v>64.83</v>
      </c>
      <c r="H65" s="224">
        <v>22.24</v>
      </c>
      <c r="I65" s="224">
        <v>0</v>
      </c>
      <c r="J65" s="224">
        <v>1.11</v>
      </c>
      <c r="K65" s="224">
        <v>24.12</v>
      </c>
      <c r="L65" s="224">
        <v>38.89</v>
      </c>
      <c r="M65" s="224">
        <v>15.7</v>
      </c>
      <c r="N65" s="224">
        <v>583.6</v>
      </c>
      <c r="O65" s="224">
        <v>0</v>
      </c>
      <c r="P65" s="224">
        <v>0.6</v>
      </c>
      <c r="Q65" s="224">
        <v>5</v>
      </c>
      <c r="R65" s="13"/>
      <c r="S65" s="13"/>
      <c r="T65" s="213"/>
      <c r="U65" s="13"/>
    </row>
    <row r="66" customFormat="1" spans="1:21">
      <c r="A66" s="13" t="s">
        <v>1935</v>
      </c>
      <c r="B66" s="224">
        <v>6.01</v>
      </c>
      <c r="C66" s="224">
        <v>38.37</v>
      </c>
      <c r="D66" s="224">
        <v>26.22</v>
      </c>
      <c r="E66" s="224">
        <v>28.13</v>
      </c>
      <c r="F66" s="224">
        <v>41.06</v>
      </c>
      <c r="G66" s="224">
        <v>64.83</v>
      </c>
      <c r="H66" s="224">
        <v>22.24</v>
      </c>
      <c r="I66" s="224">
        <v>0</v>
      </c>
      <c r="J66" s="224">
        <v>0.45</v>
      </c>
      <c r="K66" s="224">
        <v>13.69</v>
      </c>
      <c r="L66" s="224">
        <v>39.26</v>
      </c>
      <c r="M66" s="224">
        <v>15.08</v>
      </c>
      <c r="N66" s="224">
        <v>572</v>
      </c>
      <c r="O66" s="224">
        <v>0</v>
      </c>
      <c r="P66" s="224">
        <v>0.62</v>
      </c>
      <c r="Q66" s="224">
        <v>5</v>
      </c>
      <c r="R66" s="13"/>
      <c r="S66" s="13"/>
      <c r="T66" s="213"/>
      <c r="U66" s="13"/>
    </row>
    <row r="67" customFormat="1" spans="1:21">
      <c r="A67" s="13" t="s">
        <v>1936</v>
      </c>
      <c r="B67" s="224">
        <v>6.63</v>
      </c>
      <c r="C67" s="224">
        <v>42.2</v>
      </c>
      <c r="D67" s="224">
        <v>28.72</v>
      </c>
      <c r="E67" s="224">
        <v>21.27</v>
      </c>
      <c r="F67" s="224">
        <v>44.31</v>
      </c>
      <c r="G67" s="224">
        <v>64.83</v>
      </c>
      <c r="H67" s="224">
        <v>22.24</v>
      </c>
      <c r="I67" s="224">
        <v>0</v>
      </c>
      <c r="J67" s="224">
        <v>0.76</v>
      </c>
      <c r="K67" s="224">
        <v>337.42</v>
      </c>
      <c r="L67" s="224">
        <v>38.39</v>
      </c>
      <c r="M67" s="224">
        <v>15.65</v>
      </c>
      <c r="N67" s="224">
        <v>337.8</v>
      </c>
      <c r="O67" s="224">
        <v>0</v>
      </c>
      <c r="P67" s="224">
        <v>0.62</v>
      </c>
      <c r="Q67" s="224">
        <v>5</v>
      </c>
      <c r="R67" s="13"/>
      <c r="S67" s="13"/>
      <c r="T67" s="213"/>
      <c r="U67" s="13"/>
    </row>
    <row r="68" customFormat="1" spans="1:21">
      <c r="A68" s="13" t="s">
        <v>1937</v>
      </c>
      <c r="B68" s="224">
        <v>7.04</v>
      </c>
      <c r="C68" s="224">
        <v>44.45</v>
      </c>
      <c r="D68" s="224">
        <v>30.22</v>
      </c>
      <c r="E68" s="224">
        <v>14.59</v>
      </c>
      <c r="F68" s="224">
        <v>36.78</v>
      </c>
      <c r="G68" s="224">
        <v>57.93</v>
      </c>
      <c r="H68" s="224">
        <v>23.29</v>
      </c>
      <c r="I68" s="224">
        <v>0</v>
      </c>
      <c r="J68" s="224">
        <v>1.14</v>
      </c>
      <c r="K68" s="224">
        <v>50.67</v>
      </c>
      <c r="L68" s="224">
        <v>38.81</v>
      </c>
      <c r="M68" s="224">
        <v>15.62</v>
      </c>
      <c r="N68" s="224">
        <v>318.5</v>
      </c>
      <c r="O68" s="224">
        <v>0</v>
      </c>
      <c r="P68" s="224">
        <v>0.61</v>
      </c>
      <c r="Q68" s="224">
        <v>5</v>
      </c>
      <c r="R68" s="13"/>
      <c r="S68" s="13"/>
      <c r="T68" s="213"/>
      <c r="U68" s="13"/>
    </row>
    <row r="69" customFormat="1" spans="1:21">
      <c r="A69" s="13" t="s">
        <v>1938</v>
      </c>
      <c r="B69" s="224">
        <v>7.53</v>
      </c>
      <c r="C69" s="224">
        <v>44.29</v>
      </c>
      <c r="D69" s="224">
        <v>30.53</v>
      </c>
      <c r="E69" s="224">
        <v>15.11</v>
      </c>
      <c r="F69" s="224">
        <v>36.12</v>
      </c>
      <c r="G69" s="224">
        <v>57.61</v>
      </c>
      <c r="H69" s="224">
        <v>23.29</v>
      </c>
      <c r="I69" s="224">
        <v>0</v>
      </c>
      <c r="J69" s="224">
        <v>1.24</v>
      </c>
      <c r="K69" s="224">
        <v>41.18</v>
      </c>
      <c r="L69" s="224">
        <v>38.05</v>
      </c>
      <c r="M69" s="224">
        <v>15.95</v>
      </c>
      <c r="N69" s="224">
        <v>288.6</v>
      </c>
      <c r="O69" s="224">
        <v>0</v>
      </c>
      <c r="P69" s="224">
        <v>0.61</v>
      </c>
      <c r="Q69" s="224">
        <v>4.92</v>
      </c>
      <c r="R69" s="13"/>
      <c r="S69" s="13"/>
      <c r="T69" s="213"/>
      <c r="U69" s="13"/>
    </row>
    <row r="70" customFormat="1" spans="1:21">
      <c r="A70" s="13" t="s">
        <v>1939</v>
      </c>
      <c r="B70" s="224">
        <v>8.65</v>
      </c>
      <c r="C70" s="224">
        <v>47.34</v>
      </c>
      <c r="D70" s="224">
        <v>33.02</v>
      </c>
      <c r="E70" s="224">
        <v>15.81</v>
      </c>
      <c r="F70" s="224">
        <v>36.68</v>
      </c>
      <c r="G70" s="224">
        <v>57.61</v>
      </c>
      <c r="H70" s="224">
        <v>23.29</v>
      </c>
      <c r="I70" s="224">
        <v>0</v>
      </c>
      <c r="J70" s="224">
        <v>1</v>
      </c>
      <c r="K70" s="224">
        <v>28.61</v>
      </c>
      <c r="L70" s="224">
        <v>38.21</v>
      </c>
      <c r="M70" s="224">
        <v>15.55</v>
      </c>
      <c r="N70" s="224">
        <v>375.1</v>
      </c>
      <c r="O70" s="224">
        <v>0</v>
      </c>
      <c r="P70" s="224">
        <v>0.6</v>
      </c>
      <c r="Q70" s="224">
        <v>4.81</v>
      </c>
      <c r="R70" s="13"/>
      <c r="S70" s="13"/>
      <c r="T70" s="213"/>
      <c r="U70" s="13"/>
    </row>
    <row r="71" customFormat="1" spans="1:21">
      <c r="A71" s="13" t="s">
        <v>1940</v>
      </c>
      <c r="B71" s="224">
        <v>7.03</v>
      </c>
      <c r="C71" s="224">
        <v>48.1</v>
      </c>
      <c r="D71" s="224">
        <v>32.12</v>
      </c>
      <c r="E71" s="224">
        <v>12.84</v>
      </c>
      <c r="F71" s="224">
        <v>28.01</v>
      </c>
      <c r="G71" s="224">
        <v>57.61</v>
      </c>
      <c r="H71" s="224">
        <v>23.29</v>
      </c>
      <c r="I71" s="224">
        <v>0</v>
      </c>
      <c r="J71" s="224">
        <v>1.44</v>
      </c>
      <c r="K71" s="224">
        <v>52.1</v>
      </c>
      <c r="L71" s="224">
        <v>38.36</v>
      </c>
      <c r="M71" s="224">
        <v>14.99</v>
      </c>
      <c r="N71" s="224">
        <v>463.4</v>
      </c>
      <c r="O71" s="224">
        <v>0</v>
      </c>
      <c r="P71" s="224">
        <v>0.61</v>
      </c>
      <c r="Q71" s="224">
        <v>4.67</v>
      </c>
      <c r="R71" s="13"/>
      <c r="S71" s="13"/>
      <c r="T71" s="213"/>
      <c r="U71" s="13"/>
    </row>
    <row r="72" customFormat="1" spans="1:21">
      <c r="A72" s="13" t="s">
        <v>1941</v>
      </c>
      <c r="B72" s="224">
        <v>6.46</v>
      </c>
      <c r="C72" s="224">
        <v>48.38</v>
      </c>
      <c r="D72" s="224">
        <v>31.8</v>
      </c>
      <c r="E72" s="224">
        <v>12.99</v>
      </c>
      <c r="F72" s="224">
        <v>30.72</v>
      </c>
      <c r="G72" s="224">
        <v>54.39</v>
      </c>
      <c r="H72" s="224">
        <v>23.6</v>
      </c>
      <c r="I72" s="224">
        <v>0</v>
      </c>
      <c r="J72" s="224">
        <v>1.48</v>
      </c>
      <c r="K72" s="224">
        <v>56.29</v>
      </c>
      <c r="L72" s="224">
        <v>38.57</v>
      </c>
      <c r="M72" s="224">
        <v>14.29</v>
      </c>
      <c r="N72" s="224">
        <v>387</v>
      </c>
      <c r="O72" s="224">
        <v>0</v>
      </c>
      <c r="P72" s="224">
        <v>0.61</v>
      </c>
      <c r="Q72" s="224">
        <v>4.53</v>
      </c>
      <c r="R72" s="13"/>
      <c r="S72" s="13"/>
      <c r="T72" s="213"/>
      <c r="U72" s="13"/>
    </row>
    <row r="73" customFormat="1" spans="1:21">
      <c r="A73" s="13" t="s">
        <v>1942</v>
      </c>
      <c r="B73" s="224">
        <v>6.86</v>
      </c>
      <c r="C73" s="224">
        <v>48.43</v>
      </c>
      <c r="D73" s="224">
        <v>32.16</v>
      </c>
      <c r="E73" s="224">
        <v>12.58</v>
      </c>
      <c r="F73" s="224">
        <v>37.2</v>
      </c>
      <c r="G73" s="224">
        <v>54.24</v>
      </c>
      <c r="H73" s="224">
        <v>23.6</v>
      </c>
      <c r="I73" s="224">
        <v>0</v>
      </c>
      <c r="J73" s="224">
        <v>1.13</v>
      </c>
      <c r="K73" s="224">
        <v>45.07</v>
      </c>
      <c r="L73" s="224">
        <v>38.49</v>
      </c>
      <c r="M73" s="224">
        <v>14.28</v>
      </c>
      <c r="N73" s="224">
        <v>329.6</v>
      </c>
      <c r="O73" s="224">
        <v>0</v>
      </c>
      <c r="P73" s="224">
        <v>0.58</v>
      </c>
      <c r="Q73" s="224">
        <v>4.46</v>
      </c>
      <c r="R73" s="13"/>
      <c r="S73" s="13"/>
      <c r="T73" s="213"/>
      <c r="U73" s="13"/>
    </row>
    <row r="74" customFormat="1" spans="1:21">
      <c r="A74" s="13" t="s">
        <v>1943</v>
      </c>
      <c r="B74" s="224">
        <v>7.67</v>
      </c>
      <c r="C74" s="224">
        <v>54.08</v>
      </c>
      <c r="D74" s="224">
        <v>35.76</v>
      </c>
      <c r="E74" s="224">
        <v>15.19</v>
      </c>
      <c r="F74" s="224">
        <v>27.45</v>
      </c>
      <c r="G74" s="224">
        <v>54.24</v>
      </c>
      <c r="H74" s="224">
        <v>23.6</v>
      </c>
      <c r="I74" s="224">
        <v>0</v>
      </c>
      <c r="J74" s="224">
        <v>1.55</v>
      </c>
      <c r="K74" s="224">
        <v>57.35</v>
      </c>
      <c r="L74" s="224">
        <v>38.25</v>
      </c>
      <c r="M74" s="224">
        <v>14.65</v>
      </c>
      <c r="N74" s="224">
        <v>302.2</v>
      </c>
      <c r="O74" s="224">
        <v>0</v>
      </c>
      <c r="P74" s="224">
        <v>0.59</v>
      </c>
      <c r="Q74" s="224">
        <v>4.42</v>
      </c>
      <c r="R74" s="13"/>
      <c r="S74" s="13"/>
      <c r="T74" s="213"/>
      <c r="U74" s="13"/>
    </row>
    <row r="75" customFormat="1" spans="1:21">
      <c r="A75" s="13" t="s">
        <v>1944</v>
      </c>
      <c r="B75" s="224">
        <v>7.23</v>
      </c>
      <c r="C75" s="224">
        <v>54.41</v>
      </c>
      <c r="D75" s="224">
        <v>35.57</v>
      </c>
      <c r="E75" s="224">
        <v>21.85</v>
      </c>
      <c r="F75" s="224">
        <v>27.66</v>
      </c>
      <c r="G75" s="224">
        <v>54.24</v>
      </c>
      <c r="H75" s="224">
        <v>23.6</v>
      </c>
      <c r="I75" s="224">
        <v>0</v>
      </c>
      <c r="J75" s="224">
        <v>1.22</v>
      </c>
      <c r="K75" s="224">
        <v>65.37</v>
      </c>
      <c r="L75" s="224">
        <v>38.08</v>
      </c>
      <c r="M75" s="224">
        <v>14.73</v>
      </c>
      <c r="N75" s="224">
        <v>257.9</v>
      </c>
      <c r="O75" s="224">
        <v>0</v>
      </c>
      <c r="P75" s="224">
        <v>0.57</v>
      </c>
      <c r="Q75" s="224">
        <v>4.52</v>
      </c>
      <c r="R75" s="13"/>
      <c r="S75" s="13"/>
      <c r="T75" s="213"/>
      <c r="U75" s="13"/>
    </row>
    <row r="76" customFormat="1" spans="1:21">
      <c r="A76" s="13" t="s">
        <v>1945</v>
      </c>
      <c r="B76" s="224">
        <v>7.96</v>
      </c>
      <c r="C76" s="224">
        <v>52.73</v>
      </c>
      <c r="D76" s="224">
        <v>35.28</v>
      </c>
      <c r="E76" s="224">
        <v>22.21</v>
      </c>
      <c r="F76" s="224">
        <v>30.56</v>
      </c>
      <c r="G76" s="224">
        <v>53.77</v>
      </c>
      <c r="H76" s="224">
        <v>21.93</v>
      </c>
      <c r="I76" s="224">
        <v>0</v>
      </c>
      <c r="J76" s="224">
        <v>1.04</v>
      </c>
      <c r="K76" s="224">
        <v>61.3</v>
      </c>
      <c r="L76" s="224">
        <v>37.88</v>
      </c>
      <c r="M76" s="224">
        <v>14.8</v>
      </c>
      <c r="N76" s="224">
        <v>193.6</v>
      </c>
      <c r="O76" s="224">
        <v>0</v>
      </c>
      <c r="P76" s="224">
        <v>0.57</v>
      </c>
      <c r="Q76" s="224">
        <v>4.55</v>
      </c>
      <c r="R76" s="13"/>
      <c r="S76" s="13"/>
      <c r="T76" s="213"/>
      <c r="U76" s="13"/>
    </row>
    <row r="77" customFormat="1" spans="1:21">
      <c r="A77" s="13" t="s">
        <v>1946</v>
      </c>
      <c r="B77" s="224">
        <v>11.54</v>
      </c>
      <c r="C77" s="224">
        <v>60.79</v>
      </c>
      <c r="D77" s="224">
        <v>42.36</v>
      </c>
      <c r="E77" s="224">
        <v>32.68</v>
      </c>
      <c r="F77" s="224">
        <v>21.22</v>
      </c>
      <c r="G77" s="224">
        <v>53.75</v>
      </c>
      <c r="H77" s="224">
        <v>21.93</v>
      </c>
      <c r="I77" s="224">
        <v>0</v>
      </c>
      <c r="J77" s="224">
        <v>1.17</v>
      </c>
      <c r="K77" s="224">
        <v>57.68</v>
      </c>
      <c r="L77" s="224">
        <v>37.41</v>
      </c>
      <c r="M77" s="224">
        <v>14.8</v>
      </c>
      <c r="N77" s="224">
        <v>134.4</v>
      </c>
      <c r="O77" s="224">
        <v>0</v>
      </c>
      <c r="P77" s="224">
        <v>0.6</v>
      </c>
      <c r="Q77" s="224">
        <v>4.63</v>
      </c>
      <c r="R77" s="13"/>
      <c r="S77" s="13"/>
      <c r="T77" s="213"/>
      <c r="U77" s="13"/>
    </row>
    <row r="78" customFormat="1" spans="1:21">
      <c r="A78" s="13" t="s">
        <v>1947</v>
      </c>
      <c r="B78" s="224">
        <v>14.52</v>
      </c>
      <c r="C78" s="224">
        <v>65.58</v>
      </c>
      <c r="D78" s="224">
        <v>47.26</v>
      </c>
      <c r="E78" s="224">
        <v>34.8</v>
      </c>
      <c r="F78" s="224">
        <v>20.42</v>
      </c>
      <c r="G78" s="224">
        <v>53.75</v>
      </c>
      <c r="H78" s="224">
        <v>21.93</v>
      </c>
      <c r="I78" s="224">
        <v>0</v>
      </c>
      <c r="J78" s="224">
        <v>0.93</v>
      </c>
      <c r="K78" s="224">
        <v>52.24</v>
      </c>
      <c r="L78" s="224">
        <v>37.11</v>
      </c>
      <c r="M78" s="224">
        <v>14.89</v>
      </c>
      <c r="N78" s="224">
        <v>84.7</v>
      </c>
      <c r="O78" s="224">
        <v>0</v>
      </c>
      <c r="P78" s="224">
        <v>0.63</v>
      </c>
      <c r="Q78" s="224">
        <v>4.75</v>
      </c>
      <c r="R78" s="13"/>
      <c r="S78" s="13"/>
      <c r="T78" s="213"/>
      <c r="U78" s="13"/>
    </row>
    <row r="79" customFormat="1" spans="1:21">
      <c r="A79" s="13" t="s">
        <v>1948</v>
      </c>
      <c r="B79" s="224">
        <v>9.71</v>
      </c>
      <c r="C79" s="224">
        <v>55.19</v>
      </c>
      <c r="D79" s="224">
        <v>37.98</v>
      </c>
      <c r="E79" s="224">
        <v>17.37</v>
      </c>
      <c r="F79" s="224">
        <v>33.13</v>
      </c>
      <c r="G79" s="224">
        <v>53.75</v>
      </c>
      <c r="H79" s="224">
        <v>21.93</v>
      </c>
      <c r="I79" s="224">
        <v>0</v>
      </c>
      <c r="J79" s="224">
        <v>0.55</v>
      </c>
      <c r="K79" s="224">
        <v>75.14</v>
      </c>
      <c r="L79" s="224">
        <v>36.62</v>
      </c>
      <c r="M79" s="224">
        <v>15.93</v>
      </c>
      <c r="N79" s="224">
        <v>38</v>
      </c>
      <c r="O79" s="224">
        <v>0</v>
      </c>
      <c r="P79" s="224">
        <v>0.61</v>
      </c>
      <c r="Q79" s="224">
        <v>4.91</v>
      </c>
      <c r="R79" s="13"/>
      <c r="S79" s="13"/>
      <c r="T79" s="213"/>
      <c r="U79" s="13"/>
    </row>
    <row r="80" customFormat="1" spans="1:21">
      <c r="A80" s="13" t="s">
        <v>1949</v>
      </c>
      <c r="B80" s="224">
        <v>10.88</v>
      </c>
      <c r="C80" s="224">
        <v>59.55</v>
      </c>
      <c r="D80" s="224">
        <v>41.19</v>
      </c>
      <c r="E80" s="224">
        <v>13.4</v>
      </c>
      <c r="F80" s="224">
        <v>24.77</v>
      </c>
      <c r="G80" s="224">
        <v>52.75</v>
      </c>
      <c r="H80" s="224">
        <v>18.78</v>
      </c>
      <c r="I80" s="224">
        <v>0</v>
      </c>
      <c r="J80" s="224">
        <v>0.48</v>
      </c>
      <c r="K80" s="224">
        <v>74.39</v>
      </c>
      <c r="L80" s="224">
        <v>35.79</v>
      </c>
      <c r="M80" s="224">
        <v>18.23</v>
      </c>
      <c r="N80" s="224">
        <v>9.8</v>
      </c>
      <c r="O80" s="224">
        <v>0</v>
      </c>
      <c r="P80" s="224">
        <v>0.65</v>
      </c>
      <c r="Q80" s="224">
        <v>4.92</v>
      </c>
      <c r="R80" s="13"/>
      <c r="S80" s="13"/>
      <c r="T80" s="213"/>
      <c r="U80" s="13"/>
    </row>
    <row r="81" customFormat="1" spans="1:21">
      <c r="A81" s="13" t="s">
        <v>1950</v>
      </c>
      <c r="B81" s="224">
        <v>9.59</v>
      </c>
      <c r="C81" s="224">
        <v>64.1</v>
      </c>
      <c r="D81" s="224">
        <v>42.53</v>
      </c>
      <c r="E81" s="224">
        <v>8.17</v>
      </c>
      <c r="F81" s="224">
        <v>17.29</v>
      </c>
      <c r="G81" s="224">
        <v>52.7</v>
      </c>
      <c r="H81" s="224">
        <v>18.78</v>
      </c>
      <c r="I81" s="224">
        <v>0</v>
      </c>
      <c r="J81" s="224">
        <v>0.58</v>
      </c>
      <c r="K81" s="224">
        <v>74.08</v>
      </c>
      <c r="L81" s="224">
        <v>35.24</v>
      </c>
      <c r="M81" s="224">
        <v>19.04</v>
      </c>
      <c r="N81" s="224">
        <v>0</v>
      </c>
      <c r="O81" s="224">
        <v>0</v>
      </c>
      <c r="P81" s="224">
        <v>0.65</v>
      </c>
      <c r="Q81" s="224">
        <v>5.02</v>
      </c>
      <c r="R81" s="13"/>
      <c r="S81" s="13"/>
      <c r="T81" s="213"/>
      <c r="U81" s="13"/>
    </row>
    <row r="82" customFormat="1" spans="1:21">
      <c r="A82" s="13" t="s">
        <v>1951</v>
      </c>
      <c r="B82" s="224">
        <v>9.68</v>
      </c>
      <c r="C82" s="224">
        <v>63.6</v>
      </c>
      <c r="D82" s="224">
        <v>42.35</v>
      </c>
      <c r="E82" s="224">
        <v>8.45</v>
      </c>
      <c r="F82" s="224">
        <v>16.55</v>
      </c>
      <c r="G82" s="224">
        <v>52.7</v>
      </c>
      <c r="H82" s="224">
        <v>18.78</v>
      </c>
      <c r="I82" s="224">
        <v>0</v>
      </c>
      <c r="J82" s="224">
        <v>1.08</v>
      </c>
      <c r="K82" s="224">
        <v>64.41</v>
      </c>
      <c r="L82" s="224">
        <v>34.71</v>
      </c>
      <c r="M82" s="224">
        <v>20.1</v>
      </c>
      <c r="N82" s="224">
        <v>0</v>
      </c>
      <c r="O82" s="224">
        <v>0</v>
      </c>
      <c r="P82" s="224">
        <v>0.66</v>
      </c>
      <c r="Q82" s="224">
        <v>5.06</v>
      </c>
      <c r="R82" s="13"/>
      <c r="S82" s="13"/>
      <c r="T82" s="213"/>
      <c r="U82" s="13"/>
    </row>
    <row r="83" customFormat="1" spans="1:21">
      <c r="A83" s="13" t="s">
        <v>1952</v>
      </c>
      <c r="B83" s="224">
        <v>12.52</v>
      </c>
      <c r="C83" s="224">
        <v>61.8</v>
      </c>
      <c r="D83" s="224">
        <v>43.68</v>
      </c>
      <c r="E83" s="224">
        <v>21.65</v>
      </c>
      <c r="F83" s="224">
        <v>14.81</v>
      </c>
      <c r="G83" s="224">
        <v>52.7</v>
      </c>
      <c r="H83" s="224">
        <v>18.78</v>
      </c>
      <c r="I83" s="224">
        <v>0</v>
      </c>
      <c r="J83" s="224">
        <v>0.72</v>
      </c>
      <c r="K83" s="224">
        <v>68.74</v>
      </c>
      <c r="L83" s="224">
        <v>34.18</v>
      </c>
      <c r="M83" s="224">
        <v>21.64</v>
      </c>
      <c r="N83" s="224">
        <v>0</v>
      </c>
      <c r="O83" s="224">
        <v>0</v>
      </c>
      <c r="P83" s="224">
        <v>0.71</v>
      </c>
      <c r="Q83" s="224">
        <v>4.89</v>
      </c>
      <c r="R83" s="13"/>
      <c r="S83" s="13"/>
      <c r="T83" s="213"/>
      <c r="U83" s="13"/>
    </row>
    <row r="84" customFormat="1" spans="1:21">
      <c r="A84" s="13" t="s">
        <v>1953</v>
      </c>
      <c r="B84" s="224">
        <v>13.43</v>
      </c>
      <c r="C84" s="224">
        <v>59.08</v>
      </c>
      <c r="D84" s="224">
        <v>42.99</v>
      </c>
      <c r="E84" s="224">
        <v>30.14</v>
      </c>
      <c r="F84" s="224">
        <v>17.27</v>
      </c>
      <c r="G84" s="224">
        <v>59.71</v>
      </c>
      <c r="H84" s="224">
        <v>18.54</v>
      </c>
      <c r="I84" s="224">
        <v>0</v>
      </c>
      <c r="J84" s="224">
        <v>1.01</v>
      </c>
      <c r="K84" s="224">
        <v>66.55</v>
      </c>
      <c r="L84" s="224">
        <v>33.79</v>
      </c>
      <c r="M84" s="224">
        <v>22.11</v>
      </c>
      <c r="N84" s="224">
        <v>0</v>
      </c>
      <c r="O84" s="224">
        <v>0</v>
      </c>
      <c r="P84" s="224">
        <v>0.7</v>
      </c>
      <c r="Q84" s="224">
        <v>4.83</v>
      </c>
      <c r="R84" s="13"/>
      <c r="S84" s="13"/>
      <c r="T84" s="213"/>
      <c r="U84" s="13"/>
    </row>
    <row r="85" customFormat="1" spans="1:21">
      <c r="A85" s="13" t="s">
        <v>1954</v>
      </c>
      <c r="B85" s="224">
        <v>10.29</v>
      </c>
      <c r="C85" s="224">
        <v>50.09</v>
      </c>
      <c r="D85" s="224">
        <v>35.77</v>
      </c>
      <c r="E85" s="224">
        <v>13.29</v>
      </c>
      <c r="F85" s="224">
        <v>24.87</v>
      </c>
      <c r="G85" s="224">
        <v>60.04</v>
      </c>
      <c r="H85" s="224">
        <v>18.54</v>
      </c>
      <c r="I85" s="224">
        <v>0</v>
      </c>
      <c r="J85" s="224">
        <v>0.84</v>
      </c>
      <c r="K85" s="224">
        <v>71.09</v>
      </c>
      <c r="L85" s="224">
        <v>33.54</v>
      </c>
      <c r="M85" s="224">
        <v>22.06</v>
      </c>
      <c r="N85" s="224">
        <v>0</v>
      </c>
      <c r="O85" s="224">
        <v>0</v>
      </c>
      <c r="P85" s="224">
        <v>0.56</v>
      </c>
      <c r="Q85" s="224">
        <v>4.76</v>
      </c>
      <c r="R85" s="13"/>
      <c r="S85" s="13"/>
      <c r="T85" s="213"/>
      <c r="U85" s="13"/>
    </row>
    <row r="86" customFormat="1" spans="1:21">
      <c r="A86" s="13" t="s">
        <v>1955</v>
      </c>
      <c r="B86" s="224">
        <v>10.56</v>
      </c>
      <c r="C86" s="224">
        <v>48.21</v>
      </c>
      <c r="D86" s="224">
        <v>35.01</v>
      </c>
      <c r="E86" s="224">
        <v>10.05</v>
      </c>
      <c r="F86" s="224">
        <v>27.34</v>
      </c>
      <c r="G86" s="224">
        <v>60.04</v>
      </c>
      <c r="H86" s="224">
        <v>18.54</v>
      </c>
      <c r="I86" s="224">
        <v>0</v>
      </c>
      <c r="J86" s="224">
        <v>0.9</v>
      </c>
      <c r="K86" s="224">
        <v>63.66</v>
      </c>
      <c r="L86" s="224">
        <v>33.13</v>
      </c>
      <c r="M86" s="224">
        <v>22.89</v>
      </c>
      <c r="N86" s="224">
        <v>0</v>
      </c>
      <c r="O86" s="224">
        <v>0</v>
      </c>
      <c r="P86" s="224">
        <v>0.54</v>
      </c>
      <c r="Q86" s="224">
        <v>4.6</v>
      </c>
      <c r="R86" s="13"/>
      <c r="S86" s="13"/>
      <c r="T86" s="213"/>
      <c r="U86" s="13"/>
    </row>
    <row r="87" customFormat="1" spans="1:21">
      <c r="A87" s="13" t="s">
        <v>1956</v>
      </c>
      <c r="B87" s="224">
        <v>12.58</v>
      </c>
      <c r="C87" s="224">
        <v>44.83</v>
      </c>
      <c r="D87" s="224">
        <v>34.86</v>
      </c>
      <c r="E87" s="224">
        <v>12.64</v>
      </c>
      <c r="F87" s="224">
        <v>31.24</v>
      </c>
      <c r="G87" s="224">
        <v>60.04</v>
      </c>
      <c r="H87" s="224">
        <v>18.54</v>
      </c>
      <c r="I87" s="224">
        <v>0</v>
      </c>
      <c r="J87" s="224">
        <v>1.11</v>
      </c>
      <c r="K87" s="224">
        <v>42.25</v>
      </c>
      <c r="L87" s="224">
        <v>32.59</v>
      </c>
      <c r="M87" s="224">
        <v>23.6</v>
      </c>
      <c r="N87" s="224">
        <v>0</v>
      </c>
      <c r="O87" s="224">
        <v>0</v>
      </c>
      <c r="P87" s="224">
        <v>0.55</v>
      </c>
      <c r="Q87" s="224">
        <v>4.8</v>
      </c>
      <c r="R87" s="13"/>
      <c r="S87" s="13"/>
      <c r="T87" s="213"/>
      <c r="U87" s="13"/>
    </row>
    <row r="88" customFormat="1" spans="1:21">
      <c r="A88" s="13" t="s">
        <v>1957</v>
      </c>
      <c r="B88" s="224">
        <v>12.09</v>
      </c>
      <c r="C88" s="224">
        <v>38.88</v>
      </c>
      <c r="D88" s="224">
        <v>31.35</v>
      </c>
      <c r="E88" s="224">
        <v>14.86</v>
      </c>
      <c r="F88" s="224">
        <v>36.4</v>
      </c>
      <c r="G88" s="224">
        <v>57.87</v>
      </c>
      <c r="H88" s="224">
        <v>20.06</v>
      </c>
      <c r="I88" s="224">
        <v>0</v>
      </c>
      <c r="J88" s="224">
        <v>1.36</v>
      </c>
      <c r="K88" s="224">
        <v>57.42</v>
      </c>
      <c r="L88" s="224">
        <v>32.59</v>
      </c>
      <c r="M88" s="224">
        <v>23.01</v>
      </c>
      <c r="N88" s="224">
        <v>0</v>
      </c>
      <c r="O88" s="224">
        <v>0</v>
      </c>
      <c r="P88" s="224">
        <v>0.51</v>
      </c>
      <c r="Q88" s="224">
        <v>4.99</v>
      </c>
      <c r="R88" s="13"/>
      <c r="S88" s="13"/>
      <c r="T88" s="213"/>
      <c r="U88" s="13"/>
    </row>
    <row r="89" customFormat="1" spans="1:21">
      <c r="A89" s="13" t="s">
        <v>1958</v>
      </c>
      <c r="B89" s="224">
        <v>13.35</v>
      </c>
      <c r="C89" s="224">
        <v>37.84</v>
      </c>
      <c r="D89" s="224">
        <v>31.82</v>
      </c>
      <c r="E89" s="224">
        <v>16.69</v>
      </c>
      <c r="F89" s="224">
        <v>39.84</v>
      </c>
      <c r="G89" s="224">
        <v>57.77</v>
      </c>
      <c r="H89" s="224">
        <v>20.06</v>
      </c>
      <c r="I89" s="224">
        <v>0</v>
      </c>
      <c r="J89" s="224">
        <v>1.23</v>
      </c>
      <c r="K89" s="224">
        <v>51.75</v>
      </c>
      <c r="L89" s="224">
        <v>32.61</v>
      </c>
      <c r="M89" s="224">
        <v>22.79</v>
      </c>
      <c r="N89" s="224">
        <v>0</v>
      </c>
      <c r="O89" s="224">
        <v>0</v>
      </c>
      <c r="P89" s="224">
        <v>0.49</v>
      </c>
      <c r="Q89" s="224">
        <v>5</v>
      </c>
      <c r="R89" s="13"/>
      <c r="S89" s="13"/>
      <c r="T89" s="213"/>
      <c r="U89" s="13"/>
    </row>
    <row r="90" customFormat="1" spans="1:21">
      <c r="A90" s="13" t="s">
        <v>1959</v>
      </c>
      <c r="B90" s="224">
        <v>10.62</v>
      </c>
      <c r="C90" s="224">
        <v>38.42</v>
      </c>
      <c r="D90" s="224">
        <v>29.94</v>
      </c>
      <c r="E90" s="224">
        <v>17.1</v>
      </c>
      <c r="F90" s="224">
        <v>32.51</v>
      </c>
      <c r="G90" s="224">
        <v>57.77</v>
      </c>
      <c r="H90" s="224">
        <v>20.06</v>
      </c>
      <c r="I90" s="224">
        <v>0</v>
      </c>
      <c r="J90" s="224">
        <v>1.44</v>
      </c>
      <c r="K90" s="224">
        <v>38.44</v>
      </c>
      <c r="L90" s="224">
        <v>32.19</v>
      </c>
      <c r="M90" s="224">
        <v>24.8</v>
      </c>
      <c r="N90" s="224">
        <v>0</v>
      </c>
      <c r="O90" s="224">
        <v>0</v>
      </c>
      <c r="P90" s="224">
        <v>0.45</v>
      </c>
      <c r="Q90" s="224">
        <v>5</v>
      </c>
      <c r="R90" s="13"/>
      <c r="S90" s="13"/>
      <c r="T90" s="213"/>
      <c r="U90" s="13"/>
    </row>
    <row r="91" customFormat="1" spans="1:21">
      <c r="A91" s="13" t="s">
        <v>1960</v>
      </c>
      <c r="B91" s="224">
        <v>8.98</v>
      </c>
      <c r="C91" s="224">
        <v>31.7</v>
      </c>
      <c r="D91" s="224">
        <v>25.12</v>
      </c>
      <c r="E91" s="224">
        <v>14.97</v>
      </c>
      <c r="F91" s="224">
        <v>37.04</v>
      </c>
      <c r="G91" s="224">
        <v>57.77</v>
      </c>
      <c r="H91" s="224">
        <v>20.06</v>
      </c>
      <c r="I91" s="224">
        <v>0</v>
      </c>
      <c r="J91" s="224">
        <v>1.47</v>
      </c>
      <c r="K91" s="224">
        <v>40.73</v>
      </c>
      <c r="L91" s="224">
        <v>31.49</v>
      </c>
      <c r="M91" s="224">
        <v>27.28</v>
      </c>
      <c r="N91" s="224">
        <v>0</v>
      </c>
      <c r="O91" s="224">
        <v>0</v>
      </c>
      <c r="P91" s="224">
        <v>0.42</v>
      </c>
      <c r="Q91" s="224">
        <v>5</v>
      </c>
      <c r="R91" s="13"/>
      <c r="S91" s="13"/>
      <c r="T91" s="213"/>
      <c r="U91" s="13"/>
    </row>
    <row r="92" customFormat="1" spans="1:21">
      <c r="A92" s="13" t="s">
        <v>1961</v>
      </c>
      <c r="B92" s="224">
        <v>9.67</v>
      </c>
      <c r="C92" s="224">
        <v>30.07</v>
      </c>
      <c r="D92" s="224">
        <v>24.82</v>
      </c>
      <c r="E92" s="224">
        <v>10.63</v>
      </c>
      <c r="F92" s="224">
        <v>39.4</v>
      </c>
      <c r="G92" s="224">
        <v>58.89</v>
      </c>
      <c r="H92" s="224">
        <v>19.13</v>
      </c>
      <c r="I92" s="224">
        <v>0</v>
      </c>
      <c r="J92" s="224">
        <v>0.59</v>
      </c>
      <c r="K92" s="224">
        <v>15.06</v>
      </c>
      <c r="L92" s="224">
        <v>31.08</v>
      </c>
      <c r="M92" s="224">
        <v>28.62</v>
      </c>
      <c r="N92" s="224">
        <v>0</v>
      </c>
      <c r="O92" s="224">
        <v>0</v>
      </c>
      <c r="P92" s="224">
        <v>0.38</v>
      </c>
      <c r="Q92" s="224">
        <v>5</v>
      </c>
      <c r="R92" s="13"/>
      <c r="S92" s="13"/>
      <c r="T92" s="213"/>
      <c r="U92" s="13"/>
    </row>
    <row r="93" customFormat="1" spans="1:21">
      <c r="A93" s="13" t="s">
        <v>1962</v>
      </c>
      <c r="B93" s="224">
        <v>8.19</v>
      </c>
      <c r="C93" s="224">
        <v>39.37</v>
      </c>
      <c r="D93" s="224">
        <v>28.49</v>
      </c>
      <c r="E93" s="224">
        <v>12.56</v>
      </c>
      <c r="F93" s="224">
        <v>19.98</v>
      </c>
      <c r="G93" s="224">
        <v>58.94</v>
      </c>
      <c r="H93" s="224">
        <v>19.13</v>
      </c>
      <c r="I93" s="224">
        <v>0</v>
      </c>
      <c r="J93" s="224">
        <v>2.09</v>
      </c>
      <c r="K93" s="224">
        <v>296.29</v>
      </c>
      <c r="L93" s="224">
        <v>31.14</v>
      </c>
      <c r="M93" s="224">
        <v>28.09</v>
      </c>
      <c r="N93" s="224">
        <v>0</v>
      </c>
      <c r="O93" s="224">
        <v>0</v>
      </c>
      <c r="P93" s="224">
        <v>0.44</v>
      </c>
      <c r="Q93" s="224">
        <v>5</v>
      </c>
      <c r="R93" s="13"/>
      <c r="S93" s="13"/>
      <c r="T93" s="213"/>
      <c r="U93" s="13"/>
    </row>
    <row r="94" customFormat="1" spans="1:21">
      <c r="A94" s="13" t="s">
        <v>1963</v>
      </c>
      <c r="B94" s="224">
        <v>7.22</v>
      </c>
      <c r="C94" s="224">
        <v>39.72</v>
      </c>
      <c r="D94" s="224">
        <v>27.89</v>
      </c>
      <c r="E94" s="224">
        <v>12.92</v>
      </c>
      <c r="F94" s="224">
        <v>13.14</v>
      </c>
      <c r="G94" s="224">
        <v>58.94</v>
      </c>
      <c r="H94" s="224">
        <v>19.13</v>
      </c>
      <c r="I94" s="224">
        <v>0</v>
      </c>
      <c r="J94" s="224">
        <v>2.41</v>
      </c>
      <c r="K94" s="224">
        <v>299.58</v>
      </c>
      <c r="L94" s="224">
        <v>30.66</v>
      </c>
      <c r="M94" s="224">
        <v>30.62</v>
      </c>
      <c r="N94" s="224">
        <v>0</v>
      </c>
      <c r="O94" s="224">
        <v>0</v>
      </c>
      <c r="P94" s="224">
        <v>0.46</v>
      </c>
      <c r="Q94" s="224">
        <v>5</v>
      </c>
      <c r="R94" s="13"/>
      <c r="S94" s="13"/>
      <c r="T94" s="213"/>
      <c r="U94" s="13"/>
    </row>
    <row r="95" customFormat="1" spans="1:21">
      <c r="A95" s="13" t="s">
        <v>1964</v>
      </c>
      <c r="B95" s="224">
        <v>6.65</v>
      </c>
      <c r="C95" s="224">
        <v>36.4</v>
      </c>
      <c r="D95" s="224">
        <v>25.7</v>
      </c>
      <c r="E95" s="224">
        <v>9.05</v>
      </c>
      <c r="F95" s="224">
        <v>16.01</v>
      </c>
      <c r="G95" s="224">
        <v>58.94</v>
      </c>
      <c r="H95" s="224">
        <v>19.13</v>
      </c>
      <c r="I95" s="224">
        <v>0</v>
      </c>
      <c r="J95" s="224">
        <v>1.88</v>
      </c>
      <c r="K95" s="224">
        <v>270.52</v>
      </c>
      <c r="L95" s="224">
        <v>30.18</v>
      </c>
      <c r="M95" s="224">
        <v>32.52</v>
      </c>
      <c r="N95" s="224">
        <v>0</v>
      </c>
      <c r="O95" s="224">
        <v>0</v>
      </c>
      <c r="P95" s="224">
        <v>0.44</v>
      </c>
      <c r="Q95" s="224">
        <v>5</v>
      </c>
      <c r="R95" s="13"/>
      <c r="S95" s="13"/>
      <c r="T95" s="213"/>
      <c r="U95" s="13"/>
    </row>
    <row r="96" customFormat="1" spans="1:26">
      <c r="A96" s="13" t="s">
        <v>1965</v>
      </c>
      <c r="B96" s="224">
        <v>5.56</v>
      </c>
      <c r="C96" s="224">
        <v>34.65</v>
      </c>
      <c r="D96" s="224">
        <v>23.92</v>
      </c>
      <c r="E96" s="224">
        <v>7.45</v>
      </c>
      <c r="F96" s="224">
        <v>17.35</v>
      </c>
      <c r="G96" s="224">
        <v>63.44</v>
      </c>
      <c r="H96" s="224">
        <v>19.34</v>
      </c>
      <c r="I96" s="224">
        <v>0</v>
      </c>
      <c r="J96" s="224">
        <v>1.63</v>
      </c>
      <c r="K96" s="224">
        <v>238.23</v>
      </c>
      <c r="L96" s="224">
        <v>30</v>
      </c>
      <c r="M96" s="224">
        <v>35.13</v>
      </c>
      <c r="N96" s="224">
        <v>0</v>
      </c>
      <c r="O96" s="224">
        <v>0</v>
      </c>
      <c r="P96" s="224">
        <v>0.43</v>
      </c>
      <c r="Q96" s="224">
        <v>5</v>
      </c>
      <c r="R96" s="13"/>
      <c r="S96" s="13"/>
      <c r="T96" s="213"/>
      <c r="U96" s="13"/>
      <c r="Z96" s="222"/>
    </row>
    <row r="97" customFormat="1" spans="1:21">
      <c r="A97" s="13" t="s">
        <v>1966</v>
      </c>
      <c r="B97" s="224">
        <v>4.8</v>
      </c>
      <c r="C97" s="224">
        <v>32.79</v>
      </c>
      <c r="D97" s="224">
        <v>22.33</v>
      </c>
      <c r="E97" s="224">
        <v>7.69</v>
      </c>
      <c r="F97" s="224">
        <v>22.39</v>
      </c>
      <c r="G97" s="224">
        <v>63.65</v>
      </c>
      <c r="H97" s="224">
        <v>19.34</v>
      </c>
      <c r="I97" s="224">
        <v>0</v>
      </c>
      <c r="J97" s="224">
        <v>1.32</v>
      </c>
      <c r="K97" s="224">
        <v>234.92</v>
      </c>
      <c r="L97" s="224">
        <v>29.21</v>
      </c>
      <c r="M97" s="224">
        <v>39.75</v>
      </c>
      <c r="N97" s="224">
        <v>0</v>
      </c>
      <c r="O97" s="224">
        <v>0</v>
      </c>
      <c r="P97" s="224">
        <v>0.42</v>
      </c>
      <c r="Q97" s="224">
        <v>5</v>
      </c>
      <c r="R97" s="13"/>
      <c r="S97" s="13"/>
      <c r="T97" s="213"/>
      <c r="U97" s="13"/>
    </row>
    <row r="98" customFormat="1" spans="1:21">
      <c r="A98" s="13" t="s">
        <v>1967</v>
      </c>
      <c r="B98" s="224">
        <v>4.09</v>
      </c>
      <c r="C98" s="224">
        <v>26.47</v>
      </c>
      <c r="D98" s="224">
        <v>18.46</v>
      </c>
      <c r="E98" s="224">
        <v>7.53</v>
      </c>
      <c r="F98" s="224">
        <v>44.74</v>
      </c>
      <c r="G98" s="224">
        <v>63.65</v>
      </c>
      <c r="H98" s="224">
        <v>19.34</v>
      </c>
      <c r="I98" s="224">
        <v>0</v>
      </c>
      <c r="J98" s="224">
        <v>0.81</v>
      </c>
      <c r="K98" s="224">
        <v>233.85</v>
      </c>
      <c r="L98" s="224">
        <v>28.99</v>
      </c>
      <c r="M98" s="224">
        <v>39.96</v>
      </c>
      <c r="N98" s="224">
        <v>0</v>
      </c>
      <c r="O98" s="224">
        <v>0</v>
      </c>
      <c r="P98" s="224">
        <v>0.39</v>
      </c>
      <c r="Q98" s="224">
        <v>5</v>
      </c>
      <c r="R98" s="13"/>
      <c r="S98" s="13"/>
      <c r="T98" s="213"/>
      <c r="U98" s="13"/>
    </row>
    <row r="99" customFormat="1" spans="1:21">
      <c r="A99" s="13" t="s">
        <v>1968</v>
      </c>
      <c r="B99" s="224">
        <v>3.68</v>
      </c>
      <c r="C99" s="224">
        <v>20.88</v>
      </c>
      <c r="D99" s="224">
        <v>15.21</v>
      </c>
      <c r="E99" s="224">
        <v>7.97</v>
      </c>
      <c r="F99" s="224">
        <v>65.1</v>
      </c>
      <c r="G99" s="224">
        <v>63.65</v>
      </c>
      <c r="H99" s="224">
        <v>19.34</v>
      </c>
      <c r="I99" s="224">
        <v>0</v>
      </c>
      <c r="J99" s="224">
        <v>0.25</v>
      </c>
      <c r="K99" s="224">
        <v>216.01</v>
      </c>
      <c r="L99" s="224">
        <v>29.07</v>
      </c>
      <c r="M99" s="224">
        <v>39.18</v>
      </c>
      <c r="N99" s="224">
        <v>0</v>
      </c>
      <c r="O99" s="224">
        <v>0</v>
      </c>
      <c r="P99" s="224">
        <v>0.32</v>
      </c>
      <c r="Q99" s="224">
        <v>5</v>
      </c>
      <c r="R99" s="13"/>
      <c r="S99" s="13"/>
      <c r="T99" s="213"/>
      <c r="U99" s="13"/>
    </row>
    <row r="100" customFormat="1" spans="1:33">
      <c r="A100" s="13" t="s">
        <v>1969</v>
      </c>
      <c r="B100" s="224">
        <v>5.92</v>
      </c>
      <c r="C100" s="224">
        <v>30.36</v>
      </c>
      <c r="D100" s="224">
        <v>21.96</v>
      </c>
      <c r="E100" s="224">
        <v>8.77</v>
      </c>
      <c r="F100" s="224">
        <v>36.9</v>
      </c>
      <c r="G100" s="224">
        <v>70.97</v>
      </c>
      <c r="H100" s="224">
        <v>18.28</v>
      </c>
      <c r="I100" s="224">
        <v>0</v>
      </c>
      <c r="J100" s="224">
        <v>0.7</v>
      </c>
      <c r="K100" s="224">
        <v>321.63</v>
      </c>
      <c r="L100" s="224">
        <v>28.84</v>
      </c>
      <c r="M100" s="224">
        <v>39.22</v>
      </c>
      <c r="N100" s="224">
        <v>0</v>
      </c>
      <c r="O100" s="224">
        <v>0</v>
      </c>
      <c r="P100" s="224">
        <v>0.36</v>
      </c>
      <c r="Q100" s="224">
        <v>5</v>
      </c>
      <c r="R100" s="13"/>
      <c r="S100" s="13"/>
      <c r="T100" s="213"/>
      <c r="U100" s="13"/>
      <c r="AB100" s="223"/>
      <c r="AG100" s="222"/>
    </row>
    <row r="101" customFormat="1" spans="1:21">
      <c r="A101" s="13" t="s">
        <v>1970</v>
      </c>
      <c r="B101" s="224">
        <v>7.14</v>
      </c>
      <c r="C101" s="224">
        <v>35.39</v>
      </c>
      <c r="D101" s="224">
        <v>25.57</v>
      </c>
      <c r="E101" s="224">
        <v>9.24</v>
      </c>
      <c r="F101" s="224">
        <v>23.55</v>
      </c>
      <c r="G101" s="224">
        <v>71.31</v>
      </c>
      <c r="H101" s="224">
        <v>18.28</v>
      </c>
      <c r="I101" s="224">
        <v>0</v>
      </c>
      <c r="J101" s="224">
        <v>0.53</v>
      </c>
      <c r="K101" s="224">
        <v>304.23</v>
      </c>
      <c r="L101" s="224">
        <v>28.84</v>
      </c>
      <c r="M101" s="224">
        <v>39.36</v>
      </c>
      <c r="N101" s="224">
        <v>0</v>
      </c>
      <c r="O101" s="224">
        <v>0</v>
      </c>
      <c r="P101" s="224">
        <v>0.41</v>
      </c>
      <c r="Q101" s="224">
        <v>5</v>
      </c>
      <c r="R101" s="13"/>
      <c r="S101" s="13"/>
      <c r="T101" s="213"/>
      <c r="U101" s="13"/>
    </row>
    <row r="102" customFormat="1" spans="1:21">
      <c r="A102" s="13" t="s">
        <v>1971</v>
      </c>
      <c r="B102" s="224">
        <v>5.69</v>
      </c>
      <c r="C102" s="224">
        <v>36.41</v>
      </c>
      <c r="D102" s="224">
        <v>24.94</v>
      </c>
      <c r="E102" s="224">
        <v>9.15</v>
      </c>
      <c r="F102" s="224">
        <v>9.68</v>
      </c>
      <c r="G102" s="224">
        <v>71.31</v>
      </c>
      <c r="H102" s="224">
        <v>18.28</v>
      </c>
      <c r="I102" s="224">
        <v>0</v>
      </c>
      <c r="J102" s="224">
        <v>1.75</v>
      </c>
      <c r="K102" s="224">
        <v>287.14</v>
      </c>
      <c r="L102" s="224">
        <v>28.92</v>
      </c>
      <c r="M102" s="224">
        <v>40.17</v>
      </c>
      <c r="N102" s="224">
        <v>0</v>
      </c>
      <c r="O102" s="224">
        <v>0</v>
      </c>
      <c r="P102" s="224">
        <v>0.47</v>
      </c>
      <c r="Q102" s="224">
        <v>5</v>
      </c>
      <c r="R102" s="13"/>
      <c r="S102" s="13"/>
      <c r="T102" s="213"/>
      <c r="U102" s="13"/>
    </row>
    <row r="103" customFormat="1" spans="1:21">
      <c r="A103" s="13" t="s">
        <v>1972</v>
      </c>
      <c r="B103" s="224">
        <v>5.26</v>
      </c>
      <c r="C103" s="224">
        <v>39.01</v>
      </c>
      <c r="D103" s="224">
        <v>25.95</v>
      </c>
      <c r="E103" s="224">
        <v>8.53</v>
      </c>
      <c r="F103" s="224">
        <v>7.92</v>
      </c>
      <c r="G103" s="224">
        <v>71.31</v>
      </c>
      <c r="H103" s="224">
        <v>18.28</v>
      </c>
      <c r="I103" s="224">
        <v>0</v>
      </c>
      <c r="J103" s="224">
        <v>2.35</v>
      </c>
      <c r="K103" s="224">
        <v>278.49</v>
      </c>
      <c r="L103" s="224">
        <v>27.07</v>
      </c>
      <c r="M103" s="224">
        <v>51.72</v>
      </c>
      <c r="N103" s="224">
        <v>0</v>
      </c>
      <c r="O103" s="224">
        <v>0</v>
      </c>
      <c r="P103" s="224">
        <v>0.49</v>
      </c>
      <c r="Q103" s="224">
        <v>5</v>
      </c>
      <c r="R103" s="13"/>
      <c r="S103" s="13"/>
      <c r="T103" s="213"/>
      <c r="U103" s="13"/>
    </row>
    <row r="104" customFormat="1" spans="1:21">
      <c r="A104" s="13" t="s">
        <v>1973</v>
      </c>
      <c r="B104" s="224">
        <v>5.48</v>
      </c>
      <c r="C104" s="224">
        <v>41.06</v>
      </c>
      <c r="D104" s="224">
        <v>27.2</v>
      </c>
      <c r="E104" s="224">
        <v>8.5</v>
      </c>
      <c r="F104" s="224">
        <v>6.56</v>
      </c>
      <c r="G104" s="224">
        <v>61.6</v>
      </c>
      <c r="H104" s="224">
        <v>19.46</v>
      </c>
      <c r="I104" s="224">
        <v>0</v>
      </c>
      <c r="J104" s="224">
        <v>2.63</v>
      </c>
      <c r="K104" s="224">
        <v>287.59</v>
      </c>
      <c r="L104" s="224">
        <v>25.65</v>
      </c>
      <c r="M104" s="224">
        <v>57.81</v>
      </c>
      <c r="N104" s="224">
        <v>0</v>
      </c>
      <c r="O104" s="224">
        <v>0</v>
      </c>
      <c r="P104" s="224">
        <v>0.54</v>
      </c>
      <c r="Q104" s="224">
        <v>5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3.68</v>
      </c>
      <c r="C106" s="215">
        <f>MIN(C9:C104)</f>
        <v>19.64</v>
      </c>
      <c r="D106" s="215">
        <f t="shared" ref="D106:Q106" si="0">MIN(D9:D104)</f>
        <v>15.21</v>
      </c>
      <c r="E106" s="215">
        <f t="shared" si="0"/>
        <v>6.65</v>
      </c>
      <c r="F106" s="215">
        <f t="shared" si="0"/>
        <v>6.56</v>
      </c>
      <c r="G106" s="215">
        <f t="shared" si="0"/>
        <v>41.52</v>
      </c>
      <c r="H106" s="215">
        <f t="shared" si="0"/>
        <v>18.28</v>
      </c>
      <c r="I106" s="215">
        <f t="shared" si="0"/>
        <v>0</v>
      </c>
      <c r="J106" s="215">
        <f t="shared" si="0"/>
        <v>0.07</v>
      </c>
      <c r="K106" s="215">
        <f t="shared" si="0"/>
        <v>13.69</v>
      </c>
      <c r="L106" s="215">
        <f t="shared" si="0"/>
        <v>25.65</v>
      </c>
      <c r="M106" s="215">
        <f t="shared" si="0"/>
        <v>14.28</v>
      </c>
      <c r="N106" s="215">
        <f t="shared" si="0"/>
        <v>0</v>
      </c>
      <c r="O106" s="215">
        <f t="shared" si="0"/>
        <v>0</v>
      </c>
      <c r="P106" s="215">
        <f t="shared" si="0"/>
        <v>0.32</v>
      </c>
      <c r="Q106" s="215">
        <f t="shared" si="0"/>
        <v>4.42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14.52</v>
      </c>
      <c r="C107" s="216">
        <f t="shared" ref="C107:Q107" si="1">MAX(C9:C104)</f>
        <v>66.21</v>
      </c>
      <c r="D107" s="216">
        <f t="shared" si="1"/>
        <v>47.26</v>
      </c>
      <c r="E107" s="216">
        <f t="shared" si="1"/>
        <v>36.23</v>
      </c>
      <c r="F107" s="216">
        <f t="shared" si="1"/>
        <v>65.1</v>
      </c>
      <c r="G107" s="216">
        <f t="shared" si="1"/>
        <v>112.81</v>
      </c>
      <c r="H107" s="216">
        <f t="shared" si="1"/>
        <v>38.16</v>
      </c>
      <c r="I107" s="216">
        <f t="shared" si="1"/>
        <v>0</v>
      </c>
      <c r="J107" s="216">
        <f t="shared" si="1"/>
        <v>2.74</v>
      </c>
      <c r="K107" s="216">
        <f t="shared" si="1"/>
        <v>359.54</v>
      </c>
      <c r="L107" s="216">
        <f t="shared" si="1"/>
        <v>39.26</v>
      </c>
      <c r="M107" s="216">
        <f t="shared" si="1"/>
        <v>57.81</v>
      </c>
      <c r="N107" s="216">
        <f t="shared" si="1"/>
        <v>599.5</v>
      </c>
      <c r="O107" s="216">
        <f t="shared" si="1"/>
        <v>0</v>
      </c>
      <c r="P107" s="216">
        <f t="shared" si="1"/>
        <v>0.82</v>
      </c>
      <c r="Q107" s="216">
        <f t="shared" si="1"/>
        <v>5.06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7.6959375</v>
      </c>
      <c r="C108" s="215">
        <f t="shared" ref="C108:Q108" si="2">AVERAGE(C9:C104)</f>
        <v>41.6872916666667</v>
      </c>
      <c r="D108" s="215">
        <f t="shared" si="2"/>
        <v>29.3025</v>
      </c>
      <c r="E108" s="215">
        <f t="shared" si="2"/>
        <v>14.0888541666667</v>
      </c>
      <c r="F108" s="215">
        <f t="shared" si="2"/>
        <v>27.4648958333333</v>
      </c>
      <c r="G108" s="215">
        <f t="shared" si="2"/>
        <v>61.40375</v>
      </c>
      <c r="H108" s="215">
        <f t="shared" si="2"/>
        <v>24.6710416666667</v>
      </c>
      <c r="I108" s="215">
        <f t="shared" si="2"/>
        <v>0</v>
      </c>
      <c r="J108" s="215">
        <f t="shared" si="2"/>
        <v>1.07864583333333</v>
      </c>
      <c r="K108" s="215">
        <f t="shared" si="2"/>
        <v>192.439375</v>
      </c>
      <c r="L108" s="215">
        <f t="shared" si="2"/>
        <v>32.5621875</v>
      </c>
      <c r="M108" s="215">
        <f t="shared" si="2"/>
        <v>27.7578125</v>
      </c>
      <c r="N108" s="215">
        <f t="shared" si="2"/>
        <v>155.0625</v>
      </c>
      <c r="O108" s="215">
        <f t="shared" si="2"/>
        <v>0</v>
      </c>
      <c r="P108" s="215">
        <f t="shared" si="2"/>
        <v>0.550208333333333</v>
      </c>
      <c r="Q108" s="215">
        <f t="shared" si="2"/>
        <v>4.89239583333333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2.1769633984424</v>
      </c>
      <c r="C109" s="215">
        <f t="shared" ref="C109:Q109" si="3">STDEV(C9:C104)</f>
        <v>12.3628820076505</v>
      </c>
      <c r="D109" s="215">
        <f t="shared" si="3"/>
        <v>7.50367166266306</v>
      </c>
      <c r="E109" s="215">
        <f t="shared" si="3"/>
        <v>7.09355361463998</v>
      </c>
      <c r="F109" s="215">
        <f t="shared" si="3"/>
        <v>14.2832269680424</v>
      </c>
      <c r="G109" s="215">
        <f t="shared" si="3"/>
        <v>13.2420475638857</v>
      </c>
      <c r="H109" s="215">
        <f t="shared" si="3"/>
        <v>4.79106173908449</v>
      </c>
      <c r="I109" s="215">
        <f t="shared" si="3"/>
        <v>0</v>
      </c>
      <c r="J109" s="215">
        <f t="shared" si="3"/>
        <v>0.678826572366519</v>
      </c>
      <c r="K109" s="215">
        <f t="shared" si="3"/>
        <v>106.01490035107</v>
      </c>
      <c r="L109" s="215">
        <f t="shared" si="3"/>
        <v>3.85262677393107</v>
      </c>
      <c r="M109" s="215">
        <f t="shared" si="3"/>
        <v>9.46609708971137</v>
      </c>
      <c r="N109" s="215">
        <f t="shared" si="3"/>
        <v>203.760324246017</v>
      </c>
      <c r="O109" s="215">
        <f t="shared" si="3"/>
        <v>0</v>
      </c>
      <c r="P109" s="215">
        <f t="shared" si="3"/>
        <v>0.124189830642801</v>
      </c>
      <c r="Q109" s="215">
        <f t="shared" si="3"/>
        <v>0.170434397267482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21/04/2023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3" t="s">
        <v>1974</v>
      </c>
      <c r="B9" s="224">
        <v>6.25</v>
      </c>
      <c r="C9" s="224">
        <v>44.31</v>
      </c>
      <c r="D9" s="224">
        <v>29.52</v>
      </c>
      <c r="E9" s="224">
        <v>7.8</v>
      </c>
      <c r="F9" s="224">
        <v>6</v>
      </c>
      <c r="G9" s="224">
        <v>61.15</v>
      </c>
      <c r="H9" s="224">
        <v>19.46</v>
      </c>
      <c r="I9" s="224">
        <v>0</v>
      </c>
      <c r="J9" s="224">
        <v>1.44</v>
      </c>
      <c r="K9" s="224">
        <v>287.9</v>
      </c>
      <c r="L9" s="224">
        <v>24.69</v>
      </c>
      <c r="M9" s="224">
        <v>63.76</v>
      </c>
      <c r="N9" s="224">
        <v>0</v>
      </c>
      <c r="O9" s="224">
        <v>0</v>
      </c>
      <c r="P9" s="224">
        <v>0.57</v>
      </c>
      <c r="Q9" s="224">
        <v>5</v>
      </c>
      <c r="R9" s="13"/>
      <c r="S9" s="13"/>
      <c r="T9" s="213"/>
      <c r="U9" s="13"/>
    </row>
    <row r="10" customFormat="1" spans="1:21">
      <c r="A10" s="13" t="s">
        <v>1975</v>
      </c>
      <c r="B10" s="224">
        <v>6.7</v>
      </c>
      <c r="C10" s="224">
        <v>45.54</v>
      </c>
      <c r="D10" s="224">
        <v>30.52</v>
      </c>
      <c r="E10" s="224">
        <v>7.43</v>
      </c>
      <c r="F10" s="224">
        <v>6.57</v>
      </c>
      <c r="G10" s="224">
        <v>61.15</v>
      </c>
      <c r="H10" s="224">
        <v>19.46</v>
      </c>
      <c r="I10" s="224">
        <v>0</v>
      </c>
      <c r="J10" s="224">
        <v>1.09</v>
      </c>
      <c r="K10" s="224">
        <v>288.02</v>
      </c>
      <c r="L10" s="224">
        <v>25.28</v>
      </c>
      <c r="M10" s="224">
        <v>61.16</v>
      </c>
      <c r="N10" s="224">
        <v>0</v>
      </c>
      <c r="O10" s="224">
        <v>0</v>
      </c>
      <c r="P10" s="224">
        <v>0.58</v>
      </c>
      <c r="Q10" s="224">
        <v>5</v>
      </c>
      <c r="R10" s="13"/>
      <c r="S10" s="13"/>
      <c r="T10" s="213"/>
      <c r="U10" s="13"/>
    </row>
    <row r="11" customFormat="1" spans="1:21">
      <c r="A11" s="13" t="s">
        <v>1976</v>
      </c>
      <c r="B11" s="224">
        <v>7.15</v>
      </c>
      <c r="C11" s="224">
        <v>47.36</v>
      </c>
      <c r="D11" s="224">
        <v>31.83</v>
      </c>
      <c r="E11" s="224">
        <v>7.08</v>
      </c>
      <c r="F11" s="224">
        <v>6.28</v>
      </c>
      <c r="G11" s="224">
        <v>61.15</v>
      </c>
      <c r="H11" s="224">
        <v>19.46</v>
      </c>
      <c r="I11" s="224">
        <v>0</v>
      </c>
      <c r="J11" s="224">
        <v>1.18</v>
      </c>
      <c r="K11" s="224">
        <v>278.33</v>
      </c>
      <c r="L11" s="224">
        <v>25.42</v>
      </c>
      <c r="M11" s="224">
        <v>59.14</v>
      </c>
      <c r="N11" s="224">
        <v>0</v>
      </c>
      <c r="O11" s="224">
        <v>0</v>
      </c>
      <c r="P11" s="224">
        <v>0.58</v>
      </c>
      <c r="Q11" s="224">
        <v>5</v>
      </c>
      <c r="R11" s="13"/>
      <c r="S11" s="13"/>
      <c r="T11" s="213"/>
      <c r="U11" s="13"/>
    </row>
    <row r="12" customFormat="1" spans="1:21">
      <c r="A12" s="13" t="s">
        <v>1977</v>
      </c>
      <c r="B12" s="224">
        <v>7.55</v>
      </c>
      <c r="C12" s="224">
        <v>49.58</v>
      </c>
      <c r="D12" s="224">
        <v>33.31</v>
      </c>
      <c r="E12" s="224">
        <v>6.92</v>
      </c>
      <c r="F12" s="224">
        <v>6.35</v>
      </c>
      <c r="G12" s="224">
        <v>49.03</v>
      </c>
      <c r="H12" s="224">
        <v>15.95</v>
      </c>
      <c r="I12" s="224">
        <v>0</v>
      </c>
      <c r="J12" s="224">
        <v>1.17</v>
      </c>
      <c r="K12" s="224">
        <v>284.81</v>
      </c>
      <c r="L12" s="224">
        <v>25.5</v>
      </c>
      <c r="M12" s="224">
        <v>57.76</v>
      </c>
      <c r="N12" s="224">
        <v>0</v>
      </c>
      <c r="O12" s="224">
        <v>0</v>
      </c>
      <c r="P12" s="224">
        <v>0.58</v>
      </c>
      <c r="Q12" s="224">
        <v>4.96</v>
      </c>
      <c r="R12" s="13"/>
      <c r="S12" s="13"/>
      <c r="T12" s="213"/>
      <c r="U12" s="13"/>
    </row>
    <row r="13" customFormat="1" spans="1:21">
      <c r="A13" s="13" t="s">
        <v>1978</v>
      </c>
      <c r="B13" s="224">
        <v>7.97</v>
      </c>
      <c r="C13" s="224">
        <v>51.62</v>
      </c>
      <c r="D13" s="224">
        <v>34.71</v>
      </c>
      <c r="E13" s="224">
        <v>7.09</v>
      </c>
      <c r="F13" s="224">
        <v>6.65</v>
      </c>
      <c r="G13" s="224">
        <v>48.46</v>
      </c>
      <c r="H13" s="224">
        <v>15.95</v>
      </c>
      <c r="I13" s="224">
        <v>0</v>
      </c>
      <c r="J13" s="224">
        <v>0.68</v>
      </c>
      <c r="K13" s="224">
        <v>353.62</v>
      </c>
      <c r="L13" s="224">
        <v>25.65</v>
      </c>
      <c r="M13" s="224">
        <v>56.64</v>
      </c>
      <c r="N13" s="224">
        <v>0</v>
      </c>
      <c r="O13" s="224">
        <v>0</v>
      </c>
      <c r="P13" s="224">
        <v>0.58</v>
      </c>
      <c r="Q13" s="224">
        <v>4.8</v>
      </c>
      <c r="R13" s="13"/>
      <c r="S13" s="13"/>
      <c r="T13" s="213"/>
      <c r="U13" s="13"/>
    </row>
    <row r="14" customFormat="1" spans="1:21">
      <c r="A14" s="13" t="s">
        <v>1979</v>
      </c>
      <c r="B14" s="224">
        <v>8.53</v>
      </c>
      <c r="C14" s="224">
        <v>53.62</v>
      </c>
      <c r="D14" s="224">
        <v>36.2</v>
      </c>
      <c r="E14" s="224">
        <v>6.38</v>
      </c>
      <c r="F14" s="224">
        <v>5.87</v>
      </c>
      <c r="G14" s="224">
        <v>48.46</v>
      </c>
      <c r="H14" s="224">
        <v>15.95</v>
      </c>
      <c r="I14" s="224">
        <v>0</v>
      </c>
      <c r="J14" s="224">
        <v>1.1</v>
      </c>
      <c r="K14" s="224">
        <v>63.01</v>
      </c>
      <c r="L14" s="224">
        <v>25.22</v>
      </c>
      <c r="M14" s="224">
        <v>59.47</v>
      </c>
      <c r="N14" s="224">
        <v>0</v>
      </c>
      <c r="O14" s="224">
        <v>0</v>
      </c>
      <c r="P14" s="224">
        <v>0.57</v>
      </c>
      <c r="Q14" s="224">
        <v>4.66</v>
      </c>
      <c r="R14" s="13"/>
      <c r="S14" s="13"/>
      <c r="T14" s="213"/>
      <c r="U14" s="13"/>
    </row>
    <row r="15" customFormat="1" spans="1:21">
      <c r="A15" s="13" t="s">
        <v>1980</v>
      </c>
      <c r="B15" s="224">
        <v>8.75</v>
      </c>
      <c r="C15" s="224">
        <v>55.65</v>
      </c>
      <c r="D15" s="224">
        <v>37.44</v>
      </c>
      <c r="E15" s="224">
        <v>6.32</v>
      </c>
      <c r="F15" s="224">
        <v>4.94</v>
      </c>
      <c r="G15" s="224">
        <v>48.46</v>
      </c>
      <c r="H15" s="224">
        <v>15.95</v>
      </c>
      <c r="I15" s="224">
        <v>0</v>
      </c>
      <c r="J15" s="224">
        <v>1.42</v>
      </c>
      <c r="K15" s="224">
        <v>66.78</v>
      </c>
      <c r="L15" s="224">
        <v>25.02</v>
      </c>
      <c r="M15" s="224">
        <v>59.27</v>
      </c>
      <c r="N15" s="224">
        <v>0</v>
      </c>
      <c r="O15" s="224">
        <v>0</v>
      </c>
      <c r="P15" s="224">
        <v>0.57</v>
      </c>
      <c r="Q15" s="224">
        <v>4.58</v>
      </c>
      <c r="R15" s="13"/>
      <c r="S15" s="13"/>
      <c r="T15" s="213"/>
      <c r="U15" s="13"/>
    </row>
    <row r="16" customFormat="1" spans="1:21">
      <c r="A16" s="13" t="s">
        <v>1981</v>
      </c>
      <c r="B16" s="224">
        <v>8.77</v>
      </c>
      <c r="C16" s="224">
        <v>57.26</v>
      </c>
      <c r="D16" s="224">
        <v>38.3</v>
      </c>
      <c r="E16" s="224">
        <v>6.94</v>
      </c>
      <c r="F16" s="224">
        <v>5.71</v>
      </c>
      <c r="G16" s="224">
        <v>47.41</v>
      </c>
      <c r="H16" s="224">
        <v>13.45</v>
      </c>
      <c r="I16" s="224">
        <v>0</v>
      </c>
      <c r="J16" s="224">
        <v>0.6</v>
      </c>
      <c r="K16" s="224">
        <v>88.62</v>
      </c>
      <c r="L16" s="224">
        <v>25.12</v>
      </c>
      <c r="M16" s="224">
        <v>59.08</v>
      </c>
      <c r="N16" s="224">
        <v>0</v>
      </c>
      <c r="O16" s="224">
        <v>0</v>
      </c>
      <c r="P16" s="224">
        <v>0.57</v>
      </c>
      <c r="Q16" s="224">
        <v>4.48</v>
      </c>
      <c r="R16" s="13"/>
      <c r="S16" s="13"/>
      <c r="T16" s="213"/>
      <c r="U16" s="13"/>
    </row>
    <row r="17" customFormat="1" spans="1:21">
      <c r="A17" s="13" t="s">
        <v>1982</v>
      </c>
      <c r="B17" s="224">
        <v>9.08</v>
      </c>
      <c r="C17" s="224">
        <v>58.69</v>
      </c>
      <c r="D17" s="224">
        <v>39.3</v>
      </c>
      <c r="E17" s="224">
        <v>7.75</v>
      </c>
      <c r="F17" s="224">
        <v>5.23</v>
      </c>
      <c r="G17" s="224">
        <v>47.36</v>
      </c>
      <c r="H17" s="224">
        <v>13.45</v>
      </c>
      <c r="I17" s="224">
        <v>0</v>
      </c>
      <c r="J17" s="224">
        <v>1.52</v>
      </c>
      <c r="K17" s="224">
        <v>61.18</v>
      </c>
      <c r="L17" s="224">
        <v>25.09</v>
      </c>
      <c r="M17" s="224">
        <v>60.6</v>
      </c>
      <c r="N17" s="224">
        <v>0</v>
      </c>
      <c r="O17" s="224">
        <v>0</v>
      </c>
      <c r="P17" s="224">
        <v>0.58</v>
      </c>
      <c r="Q17" s="224">
        <v>4.5</v>
      </c>
      <c r="R17" s="13"/>
      <c r="S17" s="13"/>
      <c r="T17" s="213"/>
      <c r="U17" s="13"/>
    </row>
    <row r="18" customFormat="1" spans="1:21">
      <c r="A18" s="13" t="s">
        <v>1983</v>
      </c>
      <c r="B18" s="224">
        <v>9.83</v>
      </c>
      <c r="C18" s="224">
        <v>60.06</v>
      </c>
      <c r="D18" s="224">
        <v>40.61</v>
      </c>
      <c r="E18" s="224">
        <v>8.76</v>
      </c>
      <c r="F18" s="224">
        <v>4.98</v>
      </c>
      <c r="G18" s="224">
        <v>47.36</v>
      </c>
      <c r="H18" s="224">
        <v>13.45</v>
      </c>
      <c r="I18" s="224">
        <v>0</v>
      </c>
      <c r="J18" s="224">
        <v>1.28</v>
      </c>
      <c r="K18" s="224">
        <v>47.12</v>
      </c>
      <c r="L18" s="224">
        <v>24.92</v>
      </c>
      <c r="M18" s="224">
        <v>60.82</v>
      </c>
      <c r="N18" s="224">
        <v>0</v>
      </c>
      <c r="O18" s="224">
        <v>0</v>
      </c>
      <c r="P18" s="224">
        <v>0.58</v>
      </c>
      <c r="Q18" s="224">
        <v>4.62</v>
      </c>
      <c r="R18" s="13"/>
      <c r="S18" s="13"/>
      <c r="T18" s="213"/>
      <c r="U18" s="13"/>
    </row>
    <row r="19" customFormat="1" spans="1:21">
      <c r="A19" s="13" t="s">
        <v>1984</v>
      </c>
      <c r="B19" s="224">
        <v>10.46</v>
      </c>
      <c r="C19" s="224">
        <v>60.4</v>
      </c>
      <c r="D19" s="224">
        <v>41.3</v>
      </c>
      <c r="E19" s="224">
        <v>9.11</v>
      </c>
      <c r="F19" s="224">
        <v>5.69</v>
      </c>
      <c r="G19" s="224">
        <v>47.36</v>
      </c>
      <c r="H19" s="224">
        <v>13.45</v>
      </c>
      <c r="I19" s="224">
        <v>0</v>
      </c>
      <c r="J19" s="224">
        <v>0.75</v>
      </c>
      <c r="K19" s="224">
        <v>4.82</v>
      </c>
      <c r="L19" s="224">
        <v>24.73</v>
      </c>
      <c r="M19" s="224">
        <v>62.17</v>
      </c>
      <c r="N19" s="224">
        <v>0</v>
      </c>
      <c r="O19" s="224">
        <v>0</v>
      </c>
      <c r="P19" s="224">
        <v>0.59</v>
      </c>
      <c r="Q19" s="224">
        <v>4.69</v>
      </c>
      <c r="R19" s="13"/>
      <c r="S19" s="13"/>
      <c r="T19" s="213"/>
      <c r="U19" s="13"/>
    </row>
    <row r="20" customFormat="1" spans="1:21">
      <c r="A20" s="13" t="s">
        <v>1985</v>
      </c>
      <c r="B20" s="224">
        <v>11.21</v>
      </c>
      <c r="C20" s="224">
        <v>60.98</v>
      </c>
      <c r="D20" s="224">
        <v>42.2</v>
      </c>
      <c r="E20" s="224">
        <v>10.5</v>
      </c>
      <c r="F20" s="224">
        <v>4.8</v>
      </c>
      <c r="G20" s="224">
        <v>49.55</v>
      </c>
      <c r="H20" s="224">
        <v>14.97</v>
      </c>
      <c r="I20" s="224">
        <v>0</v>
      </c>
      <c r="J20" s="224">
        <v>0.58</v>
      </c>
      <c r="K20" s="224">
        <v>339.24</v>
      </c>
      <c r="L20" s="224">
        <v>24.53</v>
      </c>
      <c r="M20" s="224">
        <v>63.06</v>
      </c>
      <c r="N20" s="224">
        <v>0</v>
      </c>
      <c r="O20" s="224">
        <v>0</v>
      </c>
      <c r="P20" s="224">
        <v>0.61</v>
      </c>
      <c r="Q20" s="224">
        <v>4.78</v>
      </c>
      <c r="R20" s="13"/>
      <c r="S20" s="13"/>
      <c r="T20" s="213"/>
      <c r="U20" s="13"/>
    </row>
    <row r="21" customFormat="1" spans="1:21">
      <c r="A21" s="13" t="s">
        <v>1986</v>
      </c>
      <c r="B21" s="224">
        <v>12.11</v>
      </c>
      <c r="C21" s="224">
        <v>62.89</v>
      </c>
      <c r="D21" s="224">
        <v>43.92</v>
      </c>
      <c r="E21" s="224">
        <v>11.79</v>
      </c>
      <c r="F21" s="224">
        <v>4.78</v>
      </c>
      <c r="G21" s="224">
        <v>49.65</v>
      </c>
      <c r="H21" s="224">
        <v>14.97</v>
      </c>
      <c r="I21" s="224">
        <v>0</v>
      </c>
      <c r="J21" s="224">
        <v>0.86</v>
      </c>
      <c r="K21" s="224">
        <v>22.82</v>
      </c>
      <c r="L21" s="224">
        <v>24.73</v>
      </c>
      <c r="M21" s="224">
        <v>60.02</v>
      </c>
      <c r="N21" s="224">
        <v>0</v>
      </c>
      <c r="O21" s="224">
        <v>0</v>
      </c>
      <c r="P21" s="224">
        <v>0.62</v>
      </c>
      <c r="Q21" s="224">
        <v>4.86</v>
      </c>
      <c r="R21" s="13"/>
      <c r="S21" s="13"/>
      <c r="T21" s="213"/>
      <c r="U21" s="13"/>
    </row>
    <row r="22" customFormat="1" spans="1:21">
      <c r="A22" s="13" t="s">
        <v>1987</v>
      </c>
      <c r="B22" s="224">
        <v>12.93</v>
      </c>
      <c r="C22" s="224">
        <v>64.46</v>
      </c>
      <c r="D22" s="224">
        <v>45.4</v>
      </c>
      <c r="E22" s="224">
        <v>12.13</v>
      </c>
      <c r="F22" s="224">
        <v>4.26</v>
      </c>
      <c r="G22" s="224">
        <v>49.65</v>
      </c>
      <c r="H22" s="224">
        <v>14.97</v>
      </c>
      <c r="I22" s="224">
        <v>0</v>
      </c>
      <c r="J22" s="224">
        <v>0.55</v>
      </c>
      <c r="K22" s="224">
        <v>1.32</v>
      </c>
      <c r="L22" s="224">
        <v>24.81</v>
      </c>
      <c r="M22" s="224">
        <v>58.74</v>
      </c>
      <c r="N22" s="224">
        <v>0</v>
      </c>
      <c r="O22" s="224">
        <v>0</v>
      </c>
      <c r="P22" s="224">
        <v>0.64</v>
      </c>
      <c r="Q22" s="224">
        <v>4.97</v>
      </c>
      <c r="R22" s="13"/>
      <c r="S22" s="13"/>
      <c r="T22" s="213"/>
      <c r="U22" s="13"/>
    </row>
    <row r="23" customFormat="1" spans="1:21">
      <c r="A23" s="13" t="s">
        <v>1988</v>
      </c>
      <c r="B23" s="224">
        <v>13.89</v>
      </c>
      <c r="C23" s="224">
        <v>65.13</v>
      </c>
      <c r="D23" s="224">
        <v>46.52</v>
      </c>
      <c r="E23" s="224">
        <v>10.58</v>
      </c>
      <c r="F23" s="224">
        <v>4.04</v>
      </c>
      <c r="G23" s="224">
        <v>49.65</v>
      </c>
      <c r="H23" s="224">
        <v>14.97</v>
      </c>
      <c r="I23" s="224">
        <v>0</v>
      </c>
      <c r="J23" s="224">
        <v>0.53</v>
      </c>
      <c r="K23" s="224">
        <v>262.51</v>
      </c>
      <c r="L23" s="224">
        <v>25.07</v>
      </c>
      <c r="M23" s="224">
        <v>56.94</v>
      </c>
      <c r="N23" s="224">
        <v>0</v>
      </c>
      <c r="O23" s="224">
        <v>0</v>
      </c>
      <c r="P23" s="224">
        <v>0.64</v>
      </c>
      <c r="Q23" s="224">
        <v>5.06</v>
      </c>
      <c r="R23" s="13"/>
      <c r="S23" s="13"/>
      <c r="T23" s="213"/>
      <c r="U23" s="13"/>
    </row>
    <row r="24" customFormat="1" spans="1:21">
      <c r="A24" s="13" t="s">
        <v>1989</v>
      </c>
      <c r="B24" s="224">
        <v>14.7</v>
      </c>
      <c r="C24" s="224">
        <v>68.31</v>
      </c>
      <c r="D24" s="224">
        <v>48.83</v>
      </c>
      <c r="E24" s="224">
        <v>9.79</v>
      </c>
      <c r="F24" s="224">
        <v>3.71</v>
      </c>
      <c r="G24" s="224">
        <v>53.47</v>
      </c>
      <c r="H24" s="224">
        <v>17.2</v>
      </c>
      <c r="I24" s="224">
        <v>0</v>
      </c>
      <c r="J24" s="224">
        <v>0.43</v>
      </c>
      <c r="K24" s="224">
        <v>279.95</v>
      </c>
      <c r="L24" s="224">
        <v>24.82</v>
      </c>
      <c r="M24" s="224">
        <v>60.32</v>
      </c>
      <c r="N24" s="224">
        <v>0</v>
      </c>
      <c r="O24" s="224">
        <v>0</v>
      </c>
      <c r="P24" s="224">
        <v>0.66</v>
      </c>
      <c r="Q24" s="224">
        <v>5.19</v>
      </c>
      <c r="R24" s="13"/>
      <c r="S24" s="13"/>
      <c r="T24" s="213"/>
      <c r="U24" s="13"/>
    </row>
    <row r="25" customFormat="1" spans="1:21">
      <c r="A25" s="13" t="s">
        <v>1990</v>
      </c>
      <c r="B25" s="224">
        <v>15.1</v>
      </c>
      <c r="C25" s="224">
        <v>62.32</v>
      </c>
      <c r="D25" s="224">
        <v>46.02</v>
      </c>
      <c r="E25" s="224">
        <v>10.62</v>
      </c>
      <c r="F25" s="224">
        <v>6.81</v>
      </c>
      <c r="G25" s="224">
        <v>53.65</v>
      </c>
      <c r="H25" s="224">
        <v>17.2</v>
      </c>
      <c r="I25" s="224">
        <v>0</v>
      </c>
      <c r="J25" s="224">
        <v>0.46</v>
      </c>
      <c r="K25" s="224">
        <v>19.04</v>
      </c>
      <c r="L25" s="224">
        <v>24.7</v>
      </c>
      <c r="M25" s="224">
        <v>60.54</v>
      </c>
      <c r="N25" s="224">
        <v>0</v>
      </c>
      <c r="O25" s="224">
        <v>0</v>
      </c>
      <c r="P25" s="224">
        <v>0.58</v>
      </c>
      <c r="Q25" s="224">
        <v>5.18</v>
      </c>
      <c r="R25" s="13"/>
      <c r="S25" s="13"/>
      <c r="T25" s="213"/>
      <c r="U25" s="13"/>
    </row>
    <row r="26" customFormat="1" spans="1:21">
      <c r="A26" s="13" t="s">
        <v>1991</v>
      </c>
      <c r="B26" s="224">
        <v>13.56</v>
      </c>
      <c r="C26" s="224">
        <v>49.73</v>
      </c>
      <c r="D26" s="224">
        <v>38.2</v>
      </c>
      <c r="E26" s="224">
        <v>10.62</v>
      </c>
      <c r="F26" s="224">
        <v>12.6</v>
      </c>
      <c r="G26" s="224">
        <v>53.65</v>
      </c>
      <c r="H26" s="224">
        <v>17.2</v>
      </c>
      <c r="I26" s="224">
        <v>0</v>
      </c>
      <c r="J26" s="224">
        <v>0.99</v>
      </c>
      <c r="K26" s="224">
        <v>291.31</v>
      </c>
      <c r="L26" s="224">
        <v>25.01</v>
      </c>
      <c r="M26" s="224">
        <v>58.04</v>
      </c>
      <c r="N26" s="224">
        <v>0</v>
      </c>
      <c r="O26" s="224">
        <v>0</v>
      </c>
      <c r="P26" s="224">
        <v>0.48</v>
      </c>
      <c r="Q26" s="224">
        <v>4.78</v>
      </c>
      <c r="R26" s="13"/>
      <c r="S26" s="13"/>
      <c r="T26" s="213"/>
      <c r="U26" s="13"/>
    </row>
    <row r="27" customFormat="1" spans="1:21">
      <c r="A27" s="13" t="s">
        <v>1992</v>
      </c>
      <c r="B27" s="224">
        <v>11.87</v>
      </c>
      <c r="C27" s="224">
        <v>42.44</v>
      </c>
      <c r="D27" s="224">
        <v>33.04</v>
      </c>
      <c r="E27" s="224">
        <v>17.42</v>
      </c>
      <c r="F27" s="224">
        <v>19.04</v>
      </c>
      <c r="G27" s="224">
        <v>53.65</v>
      </c>
      <c r="H27" s="224">
        <v>17.2</v>
      </c>
      <c r="I27" s="224">
        <v>0</v>
      </c>
      <c r="J27" s="224">
        <v>0.7</v>
      </c>
      <c r="K27" s="224">
        <v>299.98</v>
      </c>
      <c r="L27" s="224">
        <v>25.03</v>
      </c>
      <c r="M27" s="224">
        <v>58</v>
      </c>
      <c r="N27" s="224">
        <v>0</v>
      </c>
      <c r="O27" s="224">
        <v>0</v>
      </c>
      <c r="P27" s="224">
        <v>0.42</v>
      </c>
      <c r="Q27" s="224">
        <v>4.88</v>
      </c>
      <c r="R27" s="13"/>
      <c r="S27" s="13"/>
      <c r="T27" s="213"/>
      <c r="U27" s="13"/>
    </row>
    <row r="28" customFormat="1" spans="1:21">
      <c r="A28" s="13" t="s">
        <v>1993</v>
      </c>
      <c r="B28" s="224">
        <v>12.08</v>
      </c>
      <c r="C28" s="224">
        <v>40.61</v>
      </c>
      <c r="D28" s="224">
        <v>32.26</v>
      </c>
      <c r="E28" s="224">
        <v>26.47</v>
      </c>
      <c r="F28" s="224">
        <v>18.97</v>
      </c>
      <c r="G28" s="224">
        <v>60.33</v>
      </c>
      <c r="H28" s="224">
        <v>20.91</v>
      </c>
      <c r="I28" s="224">
        <v>0</v>
      </c>
      <c r="J28" s="224">
        <v>0.11</v>
      </c>
      <c r="K28" s="224">
        <v>207.8</v>
      </c>
      <c r="L28" s="224">
        <v>25.11</v>
      </c>
      <c r="M28" s="224">
        <v>58.81</v>
      </c>
      <c r="N28" s="224">
        <v>0</v>
      </c>
      <c r="O28" s="224">
        <v>0</v>
      </c>
      <c r="P28" s="224">
        <v>0.4</v>
      </c>
      <c r="Q28" s="224">
        <v>5</v>
      </c>
      <c r="R28" s="13"/>
      <c r="S28" s="13"/>
      <c r="T28" s="213"/>
      <c r="U28" s="13"/>
    </row>
    <row r="29" customFormat="1" spans="1:21">
      <c r="A29" s="13" t="s">
        <v>1994</v>
      </c>
      <c r="B29" s="224">
        <v>10.51</v>
      </c>
      <c r="C29" s="224">
        <v>35.8</v>
      </c>
      <c r="D29" s="224">
        <v>28.48</v>
      </c>
      <c r="E29" s="224">
        <v>20.18</v>
      </c>
      <c r="F29" s="224">
        <v>19.81</v>
      </c>
      <c r="G29" s="224">
        <v>60.64</v>
      </c>
      <c r="H29" s="224">
        <v>20.91</v>
      </c>
      <c r="I29" s="224">
        <v>0</v>
      </c>
      <c r="J29" s="224">
        <v>0.13</v>
      </c>
      <c r="K29" s="224">
        <v>165.73</v>
      </c>
      <c r="L29" s="224">
        <v>24.77</v>
      </c>
      <c r="M29" s="224">
        <v>64.58</v>
      </c>
      <c r="N29" s="224">
        <v>0</v>
      </c>
      <c r="O29" s="224">
        <v>0</v>
      </c>
      <c r="P29" s="224">
        <v>0.39</v>
      </c>
      <c r="Q29" s="224">
        <v>5</v>
      </c>
      <c r="R29" s="13"/>
      <c r="S29" s="13"/>
      <c r="T29" s="213"/>
      <c r="U29" s="13"/>
    </row>
    <row r="30" customFormat="1" spans="1:21">
      <c r="A30" s="13" t="s">
        <v>1995</v>
      </c>
      <c r="B30" s="224">
        <v>8.89</v>
      </c>
      <c r="C30" s="224">
        <v>31.62</v>
      </c>
      <c r="D30" s="224">
        <v>25</v>
      </c>
      <c r="E30" s="224">
        <v>16.27</v>
      </c>
      <c r="F30" s="224">
        <v>21.74</v>
      </c>
      <c r="G30" s="224">
        <v>60.64</v>
      </c>
      <c r="H30" s="224">
        <v>20.91</v>
      </c>
      <c r="I30" s="224">
        <v>0</v>
      </c>
      <c r="J30" s="224">
        <v>0.2</v>
      </c>
      <c r="K30" s="224">
        <v>213.91</v>
      </c>
      <c r="L30" s="224">
        <v>24.01</v>
      </c>
      <c r="M30" s="224">
        <v>69.91</v>
      </c>
      <c r="N30" s="224">
        <v>0</v>
      </c>
      <c r="O30" s="224">
        <v>0</v>
      </c>
      <c r="P30" s="224">
        <v>0.36</v>
      </c>
      <c r="Q30" s="224">
        <v>5</v>
      </c>
      <c r="R30" s="13"/>
      <c r="S30" s="13"/>
      <c r="T30" s="213"/>
      <c r="U30" s="13"/>
    </row>
    <row r="31" customFormat="1" spans="1:21">
      <c r="A31" s="13" t="s">
        <v>1996</v>
      </c>
      <c r="B31" s="224">
        <v>8.73</v>
      </c>
      <c r="C31" s="224">
        <v>33.48</v>
      </c>
      <c r="D31" s="224">
        <v>25.84</v>
      </c>
      <c r="E31" s="224">
        <v>12.93</v>
      </c>
      <c r="F31" s="224">
        <v>19.96</v>
      </c>
      <c r="G31" s="224">
        <v>60.64</v>
      </c>
      <c r="H31" s="224">
        <v>20.91</v>
      </c>
      <c r="I31" s="224">
        <v>0</v>
      </c>
      <c r="J31" s="224">
        <v>0.27</v>
      </c>
      <c r="K31" s="224">
        <v>230.65</v>
      </c>
      <c r="L31" s="224">
        <v>23.36</v>
      </c>
      <c r="M31" s="224">
        <v>73.5</v>
      </c>
      <c r="N31" s="224">
        <v>0</v>
      </c>
      <c r="O31" s="224">
        <v>0</v>
      </c>
      <c r="P31" s="224">
        <v>0.35</v>
      </c>
      <c r="Q31" s="224">
        <v>5</v>
      </c>
      <c r="R31" s="13"/>
      <c r="S31" s="13"/>
      <c r="T31" s="213"/>
      <c r="U31" s="13"/>
    </row>
    <row r="32" customFormat="1" spans="1:21">
      <c r="A32" s="13" t="s">
        <v>1997</v>
      </c>
      <c r="B32" s="224">
        <v>8</v>
      </c>
      <c r="C32" s="224">
        <v>29.08</v>
      </c>
      <c r="D32" s="224">
        <v>22.96</v>
      </c>
      <c r="E32" s="224">
        <v>9.66</v>
      </c>
      <c r="F32" s="224">
        <v>24.15</v>
      </c>
      <c r="G32" s="224">
        <v>56.24</v>
      </c>
      <c r="H32" s="224">
        <v>18.89</v>
      </c>
      <c r="I32" s="224">
        <v>0</v>
      </c>
      <c r="J32" s="224">
        <v>0.08</v>
      </c>
      <c r="K32" s="224">
        <v>198.18</v>
      </c>
      <c r="L32" s="224">
        <v>23.37</v>
      </c>
      <c r="M32" s="224">
        <v>72.27</v>
      </c>
      <c r="N32" s="224">
        <v>2.2</v>
      </c>
      <c r="O32" s="224">
        <v>0</v>
      </c>
      <c r="P32" s="224">
        <v>0.32</v>
      </c>
      <c r="Q32" s="224">
        <v>5</v>
      </c>
      <c r="R32" s="13"/>
      <c r="S32" s="13"/>
      <c r="T32" s="213"/>
      <c r="U32" s="13"/>
    </row>
    <row r="33" customFormat="1" spans="1:21">
      <c r="A33" s="13" t="s">
        <v>1998</v>
      </c>
      <c r="B33" s="224">
        <v>7.59</v>
      </c>
      <c r="C33" s="224">
        <v>27.97</v>
      </c>
      <c r="D33" s="224">
        <v>22.05</v>
      </c>
      <c r="E33" s="224">
        <v>9.63</v>
      </c>
      <c r="F33" s="224">
        <v>21.81</v>
      </c>
      <c r="G33" s="224">
        <v>56.03</v>
      </c>
      <c r="H33" s="224">
        <v>18.89</v>
      </c>
      <c r="I33" s="224">
        <v>0</v>
      </c>
      <c r="J33" s="224">
        <v>0.37</v>
      </c>
      <c r="K33" s="224">
        <v>251.57</v>
      </c>
      <c r="L33" s="224">
        <v>23.54</v>
      </c>
      <c r="M33" s="224">
        <v>72.14</v>
      </c>
      <c r="N33" s="224">
        <v>4.3</v>
      </c>
      <c r="O33" s="224">
        <v>0</v>
      </c>
      <c r="P33" s="224">
        <v>0.33</v>
      </c>
      <c r="Q33" s="224">
        <v>5</v>
      </c>
      <c r="R33" s="13"/>
      <c r="S33" s="13"/>
      <c r="T33" s="213"/>
      <c r="U33" s="13"/>
    </row>
    <row r="34" customFormat="1" spans="1:21">
      <c r="A34" s="13" t="s">
        <v>1999</v>
      </c>
      <c r="B34" s="224">
        <v>7.89</v>
      </c>
      <c r="C34" s="224">
        <v>30.32</v>
      </c>
      <c r="D34" s="224">
        <v>23.52</v>
      </c>
      <c r="E34" s="224">
        <v>9.55</v>
      </c>
      <c r="F34" s="224">
        <v>19.03</v>
      </c>
      <c r="G34" s="224">
        <v>56.03</v>
      </c>
      <c r="H34" s="224">
        <v>18.89</v>
      </c>
      <c r="I34" s="224">
        <v>0</v>
      </c>
      <c r="J34" s="224">
        <v>0.58</v>
      </c>
      <c r="K34" s="224">
        <v>239.78</v>
      </c>
      <c r="L34" s="224">
        <v>23.73</v>
      </c>
      <c r="M34" s="224">
        <v>68.98</v>
      </c>
      <c r="N34" s="224">
        <v>1.9</v>
      </c>
      <c r="O34" s="224">
        <v>0</v>
      </c>
      <c r="P34" s="224">
        <v>0.35</v>
      </c>
      <c r="Q34" s="224">
        <v>5</v>
      </c>
      <c r="R34" s="13"/>
      <c r="S34" s="13"/>
      <c r="T34" s="213"/>
      <c r="U34" s="13"/>
    </row>
    <row r="35" customFormat="1" spans="1:21">
      <c r="A35" s="13" t="s">
        <v>2000</v>
      </c>
      <c r="B35" s="224">
        <v>7.7</v>
      </c>
      <c r="C35" s="224">
        <v>31.09</v>
      </c>
      <c r="D35" s="224">
        <v>23.76</v>
      </c>
      <c r="E35" s="224">
        <v>9.18</v>
      </c>
      <c r="F35" s="224">
        <v>16.39</v>
      </c>
      <c r="G35" s="224">
        <v>56.03</v>
      </c>
      <c r="H35" s="224">
        <v>18.89</v>
      </c>
      <c r="I35" s="224">
        <v>0</v>
      </c>
      <c r="J35" s="224">
        <v>0.68</v>
      </c>
      <c r="K35" s="224">
        <v>234.28</v>
      </c>
      <c r="L35" s="224">
        <v>23.89</v>
      </c>
      <c r="M35" s="224">
        <v>67.58</v>
      </c>
      <c r="N35" s="224">
        <v>4.3</v>
      </c>
      <c r="O35" s="224">
        <v>0</v>
      </c>
      <c r="P35" s="224">
        <v>0.35</v>
      </c>
      <c r="Q35" s="224">
        <v>5</v>
      </c>
      <c r="R35" s="13"/>
      <c r="S35" s="13"/>
      <c r="T35" s="213"/>
      <c r="U35" s="13"/>
    </row>
    <row r="36" customFormat="1" spans="1:21">
      <c r="A36" s="13" t="s">
        <v>2001</v>
      </c>
      <c r="B36" s="224">
        <v>7.34</v>
      </c>
      <c r="C36" s="224">
        <v>29.42</v>
      </c>
      <c r="D36" s="224">
        <v>22.61</v>
      </c>
      <c r="E36" s="224">
        <v>8.96</v>
      </c>
      <c r="F36" s="224">
        <v>15.87</v>
      </c>
      <c r="G36" s="224">
        <v>39.01</v>
      </c>
      <c r="H36" s="224">
        <v>14.93</v>
      </c>
      <c r="I36" s="224">
        <v>0</v>
      </c>
      <c r="J36" s="224">
        <v>0.75</v>
      </c>
      <c r="K36" s="224">
        <v>216.44</v>
      </c>
      <c r="L36" s="224">
        <v>23.69</v>
      </c>
      <c r="M36" s="224">
        <v>69.96</v>
      </c>
      <c r="N36" s="224">
        <v>23.2</v>
      </c>
      <c r="O36" s="224">
        <v>0</v>
      </c>
      <c r="P36" s="224">
        <v>0.36</v>
      </c>
      <c r="Q36" s="224">
        <v>5</v>
      </c>
      <c r="R36" s="13"/>
      <c r="S36" s="13"/>
      <c r="T36" s="213"/>
      <c r="U36" s="13"/>
    </row>
    <row r="37" customFormat="1" spans="1:21">
      <c r="A37" s="13" t="s">
        <v>2002</v>
      </c>
      <c r="B37" s="224">
        <v>7.34</v>
      </c>
      <c r="C37" s="224">
        <v>29.86</v>
      </c>
      <c r="D37" s="224">
        <v>22.84</v>
      </c>
      <c r="E37" s="224">
        <v>8.33</v>
      </c>
      <c r="F37" s="224">
        <v>14.33</v>
      </c>
      <c r="G37" s="224">
        <v>38.22</v>
      </c>
      <c r="H37" s="224">
        <v>14.93</v>
      </c>
      <c r="I37" s="224">
        <v>0</v>
      </c>
      <c r="J37" s="224">
        <v>0.65</v>
      </c>
      <c r="K37" s="224">
        <v>224.75</v>
      </c>
      <c r="L37" s="224">
        <v>23.77</v>
      </c>
      <c r="M37" s="224">
        <v>71</v>
      </c>
      <c r="N37" s="224">
        <v>61.3</v>
      </c>
      <c r="O37" s="224">
        <v>0</v>
      </c>
      <c r="P37" s="224">
        <v>0.36</v>
      </c>
      <c r="Q37" s="224">
        <v>5</v>
      </c>
      <c r="R37" s="13"/>
      <c r="S37" s="13"/>
      <c r="T37" s="213"/>
      <c r="U37" s="13"/>
    </row>
    <row r="38" customFormat="1" spans="1:21">
      <c r="A38" s="13" t="s">
        <v>2003</v>
      </c>
      <c r="B38" s="224">
        <v>6.83</v>
      </c>
      <c r="C38" s="224">
        <v>27.87</v>
      </c>
      <c r="D38" s="224">
        <v>21.39</v>
      </c>
      <c r="E38" s="224">
        <v>8.32</v>
      </c>
      <c r="F38" s="224">
        <v>17.14</v>
      </c>
      <c r="G38" s="224">
        <v>38.22</v>
      </c>
      <c r="H38" s="224">
        <v>14.93</v>
      </c>
      <c r="I38" s="224">
        <v>0</v>
      </c>
      <c r="J38" s="224">
        <v>0.56</v>
      </c>
      <c r="K38" s="224">
        <v>225.16</v>
      </c>
      <c r="L38" s="224">
        <v>23.98</v>
      </c>
      <c r="M38" s="224">
        <v>70.78</v>
      </c>
      <c r="N38" s="224">
        <v>86.7</v>
      </c>
      <c r="O38" s="224">
        <v>0</v>
      </c>
      <c r="P38" s="224">
        <v>0.35</v>
      </c>
      <c r="Q38" s="224">
        <v>5</v>
      </c>
      <c r="R38" s="13"/>
      <c r="S38" s="13"/>
      <c r="T38" s="213"/>
      <c r="U38" s="13"/>
    </row>
    <row r="39" customFormat="1" spans="1:21">
      <c r="A39" s="13" t="s">
        <v>2004</v>
      </c>
      <c r="B39" s="224">
        <v>6.37</v>
      </c>
      <c r="C39" s="224">
        <v>26.14</v>
      </c>
      <c r="D39" s="224">
        <v>20.12</v>
      </c>
      <c r="E39" s="224">
        <v>8.59</v>
      </c>
      <c r="F39" s="224">
        <v>19.57</v>
      </c>
      <c r="G39" s="224">
        <v>38.22</v>
      </c>
      <c r="H39" s="224">
        <v>14.93</v>
      </c>
      <c r="I39" s="224">
        <v>0</v>
      </c>
      <c r="J39" s="224">
        <v>0.63</v>
      </c>
      <c r="K39" s="224">
        <v>224.6</v>
      </c>
      <c r="L39" s="224">
        <v>24.41</v>
      </c>
      <c r="M39" s="224">
        <v>68.76</v>
      </c>
      <c r="N39" s="224">
        <v>118.6</v>
      </c>
      <c r="O39" s="224">
        <v>0</v>
      </c>
      <c r="P39" s="224">
        <v>0.34</v>
      </c>
      <c r="Q39" s="224">
        <v>5</v>
      </c>
      <c r="R39" s="13"/>
      <c r="S39" s="13"/>
      <c r="T39" s="213"/>
      <c r="U39" s="13"/>
    </row>
    <row r="40" customFormat="1" spans="1:21">
      <c r="A40" s="13" t="s">
        <v>2005</v>
      </c>
      <c r="B40" s="224">
        <v>6.03</v>
      </c>
      <c r="C40" s="224">
        <v>24.83</v>
      </c>
      <c r="D40" s="224">
        <v>19.16</v>
      </c>
      <c r="E40" s="224">
        <v>8.2</v>
      </c>
      <c r="F40" s="224">
        <v>21.87</v>
      </c>
      <c r="G40" s="224">
        <v>31.82</v>
      </c>
      <c r="H40" s="224">
        <v>13.05</v>
      </c>
      <c r="I40" s="224">
        <v>0</v>
      </c>
      <c r="J40" s="224">
        <v>0.65</v>
      </c>
      <c r="K40" s="224">
        <v>235.65</v>
      </c>
      <c r="L40" s="224">
        <v>25.4</v>
      </c>
      <c r="M40" s="224">
        <v>65.05</v>
      </c>
      <c r="N40" s="224">
        <v>186.9</v>
      </c>
      <c r="O40" s="224">
        <v>0</v>
      </c>
      <c r="P40" s="224">
        <v>0.33</v>
      </c>
      <c r="Q40" s="224">
        <v>5</v>
      </c>
      <c r="R40" s="13"/>
      <c r="S40" s="13"/>
      <c r="T40" s="213"/>
      <c r="U40" s="13"/>
    </row>
    <row r="41" customFormat="1" spans="1:21">
      <c r="A41" s="13" t="s">
        <v>2006</v>
      </c>
      <c r="B41" s="224">
        <v>5.79</v>
      </c>
      <c r="C41" s="224">
        <v>23.85</v>
      </c>
      <c r="D41" s="224">
        <v>18.45</v>
      </c>
      <c r="E41" s="224">
        <v>8.6</v>
      </c>
      <c r="F41" s="224">
        <v>26.46</v>
      </c>
      <c r="G41" s="224">
        <v>31.53</v>
      </c>
      <c r="H41" s="224">
        <v>13.05</v>
      </c>
      <c r="I41" s="224">
        <v>0</v>
      </c>
      <c r="J41" s="224">
        <v>0.43</v>
      </c>
      <c r="K41" s="224">
        <v>240.88</v>
      </c>
      <c r="L41" s="224">
        <v>26.26</v>
      </c>
      <c r="M41" s="224">
        <v>62.5</v>
      </c>
      <c r="N41" s="224">
        <v>221</v>
      </c>
      <c r="O41" s="224">
        <v>0</v>
      </c>
      <c r="P41" s="224">
        <v>0.33</v>
      </c>
      <c r="Q41" s="224">
        <v>5</v>
      </c>
      <c r="R41" s="13"/>
      <c r="S41" s="13"/>
      <c r="T41" s="213"/>
      <c r="U41" s="13"/>
    </row>
    <row r="42" customFormat="1" spans="1:21">
      <c r="A42" s="13" t="s">
        <v>2007</v>
      </c>
      <c r="B42" s="224">
        <v>5.62</v>
      </c>
      <c r="C42" s="224">
        <v>24.02</v>
      </c>
      <c r="D42" s="224">
        <v>18.4</v>
      </c>
      <c r="E42" s="224">
        <v>9.03</v>
      </c>
      <c r="F42" s="224">
        <v>26.12</v>
      </c>
      <c r="G42" s="224">
        <v>31.53</v>
      </c>
      <c r="H42" s="224">
        <v>13.05</v>
      </c>
      <c r="I42" s="224">
        <v>0</v>
      </c>
      <c r="J42" s="224">
        <v>0.6</v>
      </c>
      <c r="K42" s="224">
        <v>237.18</v>
      </c>
      <c r="L42" s="224">
        <v>26.95</v>
      </c>
      <c r="M42" s="224">
        <v>58.83</v>
      </c>
      <c r="N42" s="224">
        <v>292.6</v>
      </c>
      <c r="O42" s="224">
        <v>0</v>
      </c>
      <c r="P42" s="224">
        <v>0.34</v>
      </c>
      <c r="Q42" s="224">
        <v>5</v>
      </c>
      <c r="R42" s="13"/>
      <c r="S42" s="13"/>
      <c r="T42" s="213"/>
      <c r="U42" s="13"/>
    </row>
    <row r="43" customFormat="1" spans="1:21">
      <c r="A43" s="13" t="s">
        <v>2008</v>
      </c>
      <c r="B43" s="224">
        <v>5.22</v>
      </c>
      <c r="C43" s="224">
        <v>22.87</v>
      </c>
      <c r="D43" s="224">
        <v>17.49</v>
      </c>
      <c r="E43" s="224">
        <v>8.92</v>
      </c>
      <c r="F43" s="224">
        <v>31.28</v>
      </c>
      <c r="G43" s="224">
        <v>31.53</v>
      </c>
      <c r="H43" s="224">
        <v>13.05</v>
      </c>
      <c r="I43" s="224">
        <v>0</v>
      </c>
      <c r="J43" s="224">
        <v>0.35</v>
      </c>
      <c r="K43" s="224">
        <v>230.49</v>
      </c>
      <c r="L43" s="224">
        <v>27.32</v>
      </c>
      <c r="M43" s="224">
        <v>56.82</v>
      </c>
      <c r="N43" s="224">
        <v>308</v>
      </c>
      <c r="O43" s="224">
        <v>0</v>
      </c>
      <c r="P43" s="224">
        <v>0.33</v>
      </c>
      <c r="Q43" s="224">
        <v>5</v>
      </c>
      <c r="R43" s="13"/>
      <c r="S43" s="13"/>
      <c r="T43" s="213"/>
      <c r="U43" s="13"/>
    </row>
    <row r="44" customFormat="1" spans="1:21">
      <c r="A44" s="13" t="s">
        <v>2009</v>
      </c>
      <c r="B44" s="224">
        <v>5.09</v>
      </c>
      <c r="C44" s="224">
        <v>25.45</v>
      </c>
      <c r="D44" s="224">
        <v>18.73</v>
      </c>
      <c r="E44" s="224">
        <v>10.04</v>
      </c>
      <c r="F44" s="224">
        <v>16.52</v>
      </c>
      <c r="G44" s="224">
        <v>27.31</v>
      </c>
      <c r="H44" s="224">
        <v>12.21</v>
      </c>
      <c r="I44" s="224">
        <v>0</v>
      </c>
      <c r="J44" s="224">
        <v>0.13</v>
      </c>
      <c r="K44" s="224">
        <v>234.84</v>
      </c>
      <c r="L44" s="224">
        <v>27.63</v>
      </c>
      <c r="M44" s="224">
        <v>54.99</v>
      </c>
      <c r="N44" s="224">
        <v>148.5</v>
      </c>
      <c r="O44" s="224">
        <v>0</v>
      </c>
      <c r="P44" s="224">
        <v>0.36</v>
      </c>
      <c r="Q44" s="224">
        <v>5</v>
      </c>
      <c r="R44" s="13"/>
      <c r="S44" s="13"/>
      <c r="T44" s="213"/>
      <c r="U44" s="13"/>
    </row>
    <row r="45" customFormat="1" spans="1:21">
      <c r="A45" s="13" t="s">
        <v>2010</v>
      </c>
      <c r="B45" s="224">
        <v>5.17</v>
      </c>
      <c r="C45" s="224">
        <v>30.16</v>
      </c>
      <c r="D45" s="224">
        <v>21.25</v>
      </c>
      <c r="E45" s="224">
        <v>11.06</v>
      </c>
      <c r="F45" s="224">
        <v>12.25</v>
      </c>
      <c r="G45" s="224">
        <v>27.11</v>
      </c>
      <c r="H45" s="224">
        <v>12.21</v>
      </c>
      <c r="I45" s="224">
        <v>0</v>
      </c>
      <c r="J45" s="224">
        <v>0.18</v>
      </c>
      <c r="K45" s="224">
        <v>60.42</v>
      </c>
      <c r="L45" s="224">
        <v>26.81</v>
      </c>
      <c r="M45" s="224">
        <v>56.56</v>
      </c>
      <c r="N45" s="224">
        <v>114.5</v>
      </c>
      <c r="O45" s="224">
        <v>0</v>
      </c>
      <c r="P45" s="224">
        <v>0.42</v>
      </c>
      <c r="Q45" s="224">
        <v>5</v>
      </c>
      <c r="R45" s="13"/>
      <c r="S45" s="13"/>
      <c r="T45" s="213"/>
      <c r="U45" s="13"/>
    </row>
    <row r="46" customFormat="1" spans="1:21">
      <c r="A46" s="13" t="s">
        <v>2011</v>
      </c>
      <c r="B46" s="224">
        <v>5.38</v>
      </c>
      <c r="C46" s="224">
        <v>32.7</v>
      </c>
      <c r="D46" s="224">
        <v>22.75</v>
      </c>
      <c r="E46" s="224">
        <v>11.08</v>
      </c>
      <c r="F46" s="224">
        <v>8.17</v>
      </c>
      <c r="G46" s="224">
        <v>27.11</v>
      </c>
      <c r="H46" s="224">
        <v>12.21</v>
      </c>
      <c r="I46" s="224">
        <v>0</v>
      </c>
      <c r="J46" s="224">
        <v>0.33</v>
      </c>
      <c r="K46" s="224">
        <v>97.48</v>
      </c>
      <c r="L46" s="224">
        <v>26.89</v>
      </c>
      <c r="M46" s="224">
        <v>55.24</v>
      </c>
      <c r="N46" s="224">
        <v>140.8</v>
      </c>
      <c r="O46" s="224">
        <v>0</v>
      </c>
      <c r="P46" s="224">
        <v>0.44</v>
      </c>
      <c r="Q46" s="224">
        <v>5</v>
      </c>
      <c r="R46" s="13"/>
      <c r="S46" s="13"/>
      <c r="T46" s="213"/>
      <c r="U46" s="13"/>
    </row>
    <row r="47" customFormat="1" spans="1:21">
      <c r="A47" s="13" t="s">
        <v>2012</v>
      </c>
      <c r="B47" s="224">
        <v>5.74</v>
      </c>
      <c r="C47" s="224">
        <v>36.35</v>
      </c>
      <c r="D47" s="224">
        <v>24.95</v>
      </c>
      <c r="E47" s="224">
        <v>10.71</v>
      </c>
      <c r="F47" s="224">
        <v>6.1</v>
      </c>
      <c r="G47" s="224">
        <v>27.11</v>
      </c>
      <c r="H47" s="224">
        <v>12.21</v>
      </c>
      <c r="I47" s="224">
        <v>0</v>
      </c>
      <c r="J47" s="224">
        <v>0.44</v>
      </c>
      <c r="K47" s="224">
        <v>70.31</v>
      </c>
      <c r="L47" s="224">
        <v>27.51</v>
      </c>
      <c r="M47" s="224">
        <v>52.37</v>
      </c>
      <c r="N47" s="224">
        <v>239.9</v>
      </c>
      <c r="O47" s="224">
        <v>0</v>
      </c>
      <c r="P47" s="224">
        <v>0.48</v>
      </c>
      <c r="Q47" s="224">
        <v>5</v>
      </c>
      <c r="R47" s="13"/>
      <c r="S47" s="13"/>
      <c r="T47" s="213"/>
      <c r="U47" s="13"/>
    </row>
    <row r="48" customFormat="1" spans="1:21">
      <c r="A48" s="13" t="s">
        <v>2013</v>
      </c>
      <c r="B48" s="224">
        <v>6.14</v>
      </c>
      <c r="C48" s="224">
        <v>38.94</v>
      </c>
      <c r="D48" s="224">
        <v>26.62</v>
      </c>
      <c r="E48" s="224">
        <v>10.42</v>
      </c>
      <c r="F48" s="224">
        <v>7.24</v>
      </c>
      <c r="G48" s="224">
        <v>22.77</v>
      </c>
      <c r="H48" s="224">
        <v>12.53</v>
      </c>
      <c r="I48" s="224">
        <v>0</v>
      </c>
      <c r="J48" s="224">
        <v>0.49</v>
      </c>
      <c r="K48" s="224">
        <v>119.13</v>
      </c>
      <c r="L48" s="224">
        <v>27.99</v>
      </c>
      <c r="M48" s="224">
        <v>49.75</v>
      </c>
      <c r="N48" s="224">
        <v>228.7</v>
      </c>
      <c r="O48" s="224">
        <v>0</v>
      </c>
      <c r="P48" s="224">
        <v>0.52</v>
      </c>
      <c r="Q48" s="224">
        <v>5</v>
      </c>
      <c r="R48" s="13"/>
      <c r="S48" s="13"/>
      <c r="T48" s="213"/>
      <c r="U48" s="13"/>
    </row>
    <row r="49" customFormat="1" spans="1:21">
      <c r="A49" s="13" t="s">
        <v>2014</v>
      </c>
      <c r="B49" s="224">
        <v>6.51</v>
      </c>
      <c r="C49" s="224">
        <v>40.5</v>
      </c>
      <c r="D49" s="224">
        <v>27.73</v>
      </c>
      <c r="E49" s="224">
        <v>8.25</v>
      </c>
      <c r="F49" s="224">
        <v>9.66</v>
      </c>
      <c r="G49" s="224">
        <v>22.56</v>
      </c>
      <c r="H49" s="224">
        <v>12.53</v>
      </c>
      <c r="I49" s="224">
        <v>0</v>
      </c>
      <c r="J49" s="224">
        <v>0.5</v>
      </c>
      <c r="K49" s="224">
        <v>93.51</v>
      </c>
      <c r="L49" s="224">
        <v>28.27</v>
      </c>
      <c r="M49" s="224">
        <v>48.4</v>
      </c>
      <c r="N49" s="224">
        <v>214.6</v>
      </c>
      <c r="O49" s="224">
        <v>0</v>
      </c>
      <c r="P49" s="224">
        <v>0.54</v>
      </c>
      <c r="Q49" s="224">
        <v>5</v>
      </c>
      <c r="R49" s="13"/>
      <c r="S49" s="13"/>
      <c r="T49" s="213"/>
      <c r="U49" s="13"/>
    </row>
    <row r="50" customFormat="1" spans="1:21">
      <c r="A50" s="13" t="s">
        <v>2015</v>
      </c>
      <c r="B50" s="224">
        <v>6.74</v>
      </c>
      <c r="C50" s="224">
        <v>41.75</v>
      </c>
      <c r="D50" s="224">
        <v>28.57</v>
      </c>
      <c r="E50" s="224">
        <v>7.91</v>
      </c>
      <c r="F50" s="224">
        <v>10.83</v>
      </c>
      <c r="G50" s="224">
        <v>22.56</v>
      </c>
      <c r="H50" s="224">
        <v>12.53</v>
      </c>
      <c r="I50" s="224">
        <v>0</v>
      </c>
      <c r="J50" s="224">
        <v>0.25</v>
      </c>
      <c r="K50" s="224">
        <v>145.91</v>
      </c>
      <c r="L50" s="224">
        <v>28.6</v>
      </c>
      <c r="M50" s="224">
        <v>47.33</v>
      </c>
      <c r="N50" s="224">
        <v>286.9</v>
      </c>
      <c r="O50" s="224">
        <v>0</v>
      </c>
      <c r="P50" s="224">
        <v>0.53</v>
      </c>
      <c r="Q50" s="224">
        <v>5</v>
      </c>
      <c r="R50" s="13"/>
      <c r="S50" s="13"/>
      <c r="T50" s="213"/>
      <c r="U50" s="13"/>
    </row>
    <row r="51" customFormat="1" spans="1:21">
      <c r="A51" s="13" t="s">
        <v>2016</v>
      </c>
      <c r="B51" s="224">
        <v>6.83</v>
      </c>
      <c r="C51" s="224">
        <v>43.66</v>
      </c>
      <c r="D51" s="224">
        <v>29.63</v>
      </c>
      <c r="E51" s="224">
        <v>7.88</v>
      </c>
      <c r="F51" s="224">
        <v>12.05</v>
      </c>
      <c r="G51" s="224">
        <v>22.56</v>
      </c>
      <c r="H51" s="224">
        <v>12.53</v>
      </c>
      <c r="I51" s="224">
        <v>0</v>
      </c>
      <c r="J51" s="224">
        <v>0.16</v>
      </c>
      <c r="K51" s="224">
        <v>137.75</v>
      </c>
      <c r="L51" s="224">
        <v>29.37</v>
      </c>
      <c r="M51" s="224">
        <v>46.41</v>
      </c>
      <c r="N51" s="224">
        <v>301.4</v>
      </c>
      <c r="O51" s="224">
        <v>0</v>
      </c>
      <c r="P51" s="224">
        <v>0.52</v>
      </c>
      <c r="Q51" s="224">
        <v>5</v>
      </c>
      <c r="R51" s="13"/>
      <c r="S51" s="13"/>
      <c r="T51" s="213"/>
      <c r="U51" s="13"/>
    </row>
    <row r="52" customFormat="1" spans="1:21">
      <c r="A52" s="13" t="s">
        <v>2017</v>
      </c>
      <c r="B52" s="224">
        <v>7.08</v>
      </c>
      <c r="C52" s="224">
        <v>44.7</v>
      </c>
      <c r="D52" s="224">
        <v>30.38</v>
      </c>
      <c r="E52" s="224">
        <v>7.49</v>
      </c>
      <c r="F52" s="224">
        <v>8.03</v>
      </c>
      <c r="G52" s="224">
        <v>24.49</v>
      </c>
      <c r="H52" s="224">
        <v>11.24</v>
      </c>
      <c r="I52" s="224">
        <v>0</v>
      </c>
      <c r="J52" s="224">
        <v>0.29</v>
      </c>
      <c r="K52" s="224">
        <v>104.65</v>
      </c>
      <c r="L52" s="224">
        <v>29.98</v>
      </c>
      <c r="M52" s="224">
        <v>44.08</v>
      </c>
      <c r="N52" s="224">
        <v>346.8</v>
      </c>
      <c r="O52" s="224">
        <v>0</v>
      </c>
      <c r="P52" s="224">
        <v>0.53</v>
      </c>
      <c r="Q52" s="224">
        <v>5</v>
      </c>
      <c r="R52" s="13"/>
      <c r="S52" s="13"/>
      <c r="T52" s="213"/>
      <c r="U52" s="13"/>
    </row>
    <row r="53" customFormat="1" spans="1:21">
      <c r="A53" s="13" t="s">
        <v>2018</v>
      </c>
      <c r="B53" s="224">
        <v>7.1</v>
      </c>
      <c r="C53" s="224">
        <v>46.4</v>
      </c>
      <c r="D53" s="224">
        <v>31.28</v>
      </c>
      <c r="E53" s="224">
        <v>7.36</v>
      </c>
      <c r="F53" s="224">
        <v>9.43</v>
      </c>
      <c r="G53" s="224">
        <v>24.58</v>
      </c>
      <c r="H53" s="224">
        <v>11.24</v>
      </c>
      <c r="I53" s="224">
        <v>0</v>
      </c>
      <c r="J53" s="224">
        <v>0.13</v>
      </c>
      <c r="K53" s="224">
        <v>160.04</v>
      </c>
      <c r="L53" s="224">
        <v>29.7</v>
      </c>
      <c r="M53" s="224">
        <v>43.19</v>
      </c>
      <c r="N53" s="224">
        <v>230.6</v>
      </c>
      <c r="O53" s="224">
        <v>0</v>
      </c>
      <c r="P53" s="224">
        <v>0.53</v>
      </c>
      <c r="Q53" s="224">
        <v>5</v>
      </c>
      <c r="R53" s="13"/>
      <c r="S53" s="13"/>
      <c r="T53" s="213"/>
      <c r="U53" s="13"/>
    </row>
    <row r="54" customFormat="1" spans="1:21">
      <c r="A54" s="13" t="s">
        <v>2019</v>
      </c>
      <c r="B54" s="224">
        <v>7.11</v>
      </c>
      <c r="C54" s="224">
        <v>48.55</v>
      </c>
      <c r="D54" s="224">
        <v>32.42</v>
      </c>
      <c r="E54" s="224">
        <v>6.93</v>
      </c>
      <c r="F54" s="224">
        <v>11.03</v>
      </c>
      <c r="G54" s="224">
        <v>24.58</v>
      </c>
      <c r="H54" s="224">
        <v>11.24</v>
      </c>
      <c r="I54" s="224">
        <v>0</v>
      </c>
      <c r="J54" s="224">
        <v>0.03</v>
      </c>
      <c r="K54" s="224">
        <v>177.32</v>
      </c>
      <c r="L54" s="224">
        <v>29.9</v>
      </c>
      <c r="M54" s="224">
        <v>42</v>
      </c>
      <c r="N54" s="224">
        <v>434.8</v>
      </c>
      <c r="O54" s="224">
        <v>0</v>
      </c>
      <c r="P54" s="224">
        <v>0.52</v>
      </c>
      <c r="Q54" s="224">
        <v>4.97</v>
      </c>
      <c r="R54" s="13"/>
      <c r="S54" s="13"/>
      <c r="T54" s="213"/>
      <c r="U54" s="13"/>
    </row>
    <row r="55" customFormat="1" spans="1:21">
      <c r="A55" s="13" t="s">
        <v>2020</v>
      </c>
      <c r="B55" s="224">
        <v>7.17</v>
      </c>
      <c r="C55" s="224">
        <v>49.08</v>
      </c>
      <c r="D55" s="224">
        <v>32.75</v>
      </c>
      <c r="E55" s="224">
        <v>7.3</v>
      </c>
      <c r="F55" s="224">
        <v>7.91</v>
      </c>
      <c r="G55" s="224">
        <v>24.58</v>
      </c>
      <c r="H55" s="224">
        <v>11.24</v>
      </c>
      <c r="I55" s="224">
        <v>0</v>
      </c>
      <c r="J55" s="224">
        <v>0.24</v>
      </c>
      <c r="K55" s="224">
        <v>146.41</v>
      </c>
      <c r="L55" s="224">
        <v>31.44</v>
      </c>
      <c r="M55" s="224">
        <v>38.44</v>
      </c>
      <c r="N55" s="224">
        <v>711.3</v>
      </c>
      <c r="O55" s="224">
        <v>0</v>
      </c>
      <c r="P55" s="224">
        <v>0.52</v>
      </c>
      <c r="Q55" s="224">
        <v>4.88</v>
      </c>
      <c r="R55" s="13"/>
      <c r="S55" s="13"/>
      <c r="T55" s="213"/>
      <c r="U55" s="13"/>
    </row>
    <row r="56" customFormat="1" spans="1:21">
      <c r="A56" s="13" t="s">
        <v>2021</v>
      </c>
      <c r="B56" s="224">
        <v>7.45</v>
      </c>
      <c r="C56" s="224">
        <v>47.91</v>
      </c>
      <c r="D56" s="224">
        <v>32.36</v>
      </c>
      <c r="E56" s="224">
        <v>7.31</v>
      </c>
      <c r="F56" s="224">
        <v>11.01</v>
      </c>
      <c r="G56" s="224">
        <v>17.28</v>
      </c>
      <c r="H56" s="224">
        <v>9.22</v>
      </c>
      <c r="I56" s="224">
        <v>0</v>
      </c>
      <c r="J56" s="224">
        <v>0.4</v>
      </c>
      <c r="K56" s="224">
        <v>149.31</v>
      </c>
      <c r="L56" s="224">
        <v>32.2</v>
      </c>
      <c r="M56" s="224">
        <v>37.15</v>
      </c>
      <c r="N56" s="224">
        <v>855.6</v>
      </c>
      <c r="O56" s="224">
        <v>0</v>
      </c>
      <c r="P56" s="224">
        <v>0.52</v>
      </c>
      <c r="Q56" s="224">
        <v>4.78</v>
      </c>
      <c r="R56" s="13"/>
      <c r="S56" s="13"/>
      <c r="T56" s="213"/>
      <c r="U56" s="13"/>
    </row>
    <row r="57" customFormat="1" spans="1:21">
      <c r="A57" s="13" t="s">
        <v>2022</v>
      </c>
      <c r="B57" s="224">
        <v>7.5</v>
      </c>
      <c r="C57" s="224">
        <v>50.49</v>
      </c>
      <c r="D57" s="224">
        <v>33.75</v>
      </c>
      <c r="E57" s="224">
        <v>7.4</v>
      </c>
      <c r="F57" s="224">
        <v>11.3</v>
      </c>
      <c r="G57" s="224">
        <v>16.94</v>
      </c>
      <c r="H57" s="224">
        <v>9.22</v>
      </c>
      <c r="I57" s="224">
        <v>0</v>
      </c>
      <c r="J57" s="224">
        <v>0.15</v>
      </c>
      <c r="K57" s="224">
        <v>179.68</v>
      </c>
      <c r="L57" s="224">
        <v>33.31</v>
      </c>
      <c r="M57" s="224">
        <v>34.09</v>
      </c>
      <c r="N57" s="224">
        <v>860.9</v>
      </c>
      <c r="O57" s="224">
        <v>0</v>
      </c>
      <c r="P57" s="224">
        <v>0.52</v>
      </c>
      <c r="Q57" s="224">
        <v>4.67</v>
      </c>
      <c r="R57" s="13"/>
      <c r="S57" s="13"/>
      <c r="T57" s="213"/>
      <c r="U57" s="13"/>
    </row>
    <row r="58" customFormat="1" spans="1:21">
      <c r="A58" s="13" t="s">
        <v>2023</v>
      </c>
      <c r="B58" s="224">
        <v>7.59</v>
      </c>
      <c r="C58" s="224">
        <v>50.51</v>
      </c>
      <c r="D58" s="224">
        <v>33.83</v>
      </c>
      <c r="E58" s="224">
        <v>7.22</v>
      </c>
      <c r="F58" s="224">
        <v>13.29</v>
      </c>
      <c r="G58" s="224">
        <v>16.94</v>
      </c>
      <c r="H58" s="224">
        <v>9.22</v>
      </c>
      <c r="I58" s="224">
        <v>0</v>
      </c>
      <c r="J58" s="224">
        <v>0.44</v>
      </c>
      <c r="K58" s="224">
        <v>286.59</v>
      </c>
      <c r="L58" s="224">
        <v>32.99</v>
      </c>
      <c r="M58" s="224">
        <v>33.13</v>
      </c>
      <c r="N58" s="224">
        <v>849.3</v>
      </c>
      <c r="O58" s="224">
        <v>0</v>
      </c>
      <c r="P58" s="224">
        <v>0.52</v>
      </c>
      <c r="Q58" s="224">
        <v>4.6</v>
      </c>
      <c r="R58" s="13"/>
      <c r="S58" s="13"/>
      <c r="T58" s="213"/>
      <c r="U58" s="13"/>
    </row>
    <row r="59" customFormat="1" spans="1:21">
      <c r="A59" s="13" t="s">
        <v>2024</v>
      </c>
      <c r="B59" s="224">
        <v>7.69</v>
      </c>
      <c r="C59" s="224">
        <v>53.43</v>
      </c>
      <c r="D59" s="224">
        <v>35.44</v>
      </c>
      <c r="E59" s="224">
        <v>7.2</v>
      </c>
      <c r="F59" s="224">
        <v>15.07</v>
      </c>
      <c r="G59" s="224">
        <v>16.94</v>
      </c>
      <c r="H59" s="224">
        <v>9.22</v>
      </c>
      <c r="I59" s="224">
        <v>0</v>
      </c>
      <c r="J59" s="224">
        <v>0.32</v>
      </c>
      <c r="K59" s="224">
        <v>335.9</v>
      </c>
      <c r="L59" s="224">
        <v>33.68</v>
      </c>
      <c r="M59" s="224">
        <v>31.79</v>
      </c>
      <c r="N59" s="224">
        <v>759.4</v>
      </c>
      <c r="O59" s="224">
        <v>0</v>
      </c>
      <c r="P59" s="224">
        <v>0.53</v>
      </c>
      <c r="Q59" s="224">
        <v>4.51</v>
      </c>
      <c r="R59" s="13"/>
      <c r="S59" s="13"/>
      <c r="T59" s="213"/>
      <c r="U59" s="13"/>
    </row>
    <row r="60" customFormat="1" spans="1:21">
      <c r="A60" s="13" t="s">
        <v>2025</v>
      </c>
      <c r="B60" s="224">
        <v>7.24</v>
      </c>
      <c r="C60" s="224">
        <v>51.4</v>
      </c>
      <c r="D60" s="224">
        <v>34.01</v>
      </c>
      <c r="E60" s="224">
        <v>7.69</v>
      </c>
      <c r="F60" s="224">
        <v>15.12</v>
      </c>
      <c r="G60" s="224">
        <v>19.18</v>
      </c>
      <c r="H60" s="224">
        <v>10.57</v>
      </c>
      <c r="I60" s="224">
        <v>0</v>
      </c>
      <c r="J60" s="224">
        <v>0.28</v>
      </c>
      <c r="K60" s="224">
        <v>210.33</v>
      </c>
      <c r="L60" s="224">
        <v>34.88</v>
      </c>
      <c r="M60" s="224">
        <v>29.3</v>
      </c>
      <c r="N60" s="224">
        <v>860.7</v>
      </c>
      <c r="O60" s="224">
        <v>0</v>
      </c>
      <c r="P60" s="224">
        <v>0.52</v>
      </c>
      <c r="Q60" s="224">
        <v>4.46</v>
      </c>
      <c r="R60" s="13"/>
      <c r="S60" s="13"/>
      <c r="T60" s="213"/>
      <c r="U60" s="13"/>
    </row>
    <row r="61" customFormat="1" spans="1:21">
      <c r="A61" s="13" t="s">
        <v>2026</v>
      </c>
      <c r="B61" s="224">
        <v>7.35</v>
      </c>
      <c r="C61" s="224">
        <v>55.66</v>
      </c>
      <c r="D61" s="224">
        <v>36.33</v>
      </c>
      <c r="E61" s="224">
        <v>7.51</v>
      </c>
      <c r="F61" s="224">
        <v>10.28</v>
      </c>
      <c r="G61" s="224">
        <v>19.28</v>
      </c>
      <c r="H61" s="224">
        <v>10.57</v>
      </c>
      <c r="I61" s="224">
        <v>0</v>
      </c>
      <c r="J61" s="224">
        <v>0.66</v>
      </c>
      <c r="K61" s="224">
        <v>228.93</v>
      </c>
      <c r="L61" s="224">
        <v>34.85</v>
      </c>
      <c r="M61" s="224">
        <v>28.58</v>
      </c>
      <c r="N61" s="224">
        <v>857.6</v>
      </c>
      <c r="O61" s="224">
        <v>0</v>
      </c>
      <c r="P61" s="224">
        <v>0.53</v>
      </c>
      <c r="Q61" s="224">
        <v>4.46</v>
      </c>
      <c r="R61" s="13"/>
      <c r="S61" s="13"/>
      <c r="T61" s="213"/>
      <c r="U61" s="13"/>
    </row>
    <row r="62" customFormat="1" spans="1:21">
      <c r="A62" s="13" t="s">
        <v>2027</v>
      </c>
      <c r="B62" s="224">
        <v>6.97</v>
      </c>
      <c r="C62" s="224">
        <v>56.05</v>
      </c>
      <c r="D62" s="224">
        <v>36.23</v>
      </c>
      <c r="E62" s="224">
        <v>7.44</v>
      </c>
      <c r="F62" s="224">
        <v>10.04</v>
      </c>
      <c r="G62" s="224">
        <v>19.28</v>
      </c>
      <c r="H62" s="224">
        <v>10.57</v>
      </c>
      <c r="I62" s="224">
        <v>0</v>
      </c>
      <c r="J62" s="224">
        <v>0.72</v>
      </c>
      <c r="K62" s="224">
        <v>258.2</v>
      </c>
      <c r="L62" s="224">
        <v>35.5</v>
      </c>
      <c r="M62" s="224">
        <v>26.48</v>
      </c>
      <c r="N62" s="224">
        <v>813.9</v>
      </c>
      <c r="O62" s="224">
        <v>0</v>
      </c>
      <c r="P62" s="224">
        <v>0.52</v>
      </c>
      <c r="Q62" s="224">
        <v>4.47</v>
      </c>
      <c r="R62" s="13"/>
      <c r="S62" s="13"/>
      <c r="T62" s="213"/>
      <c r="U62" s="13"/>
    </row>
    <row r="63" customFormat="1" spans="1:21">
      <c r="A63" s="13" t="s">
        <v>2028</v>
      </c>
      <c r="B63" s="224">
        <v>6.86</v>
      </c>
      <c r="C63" s="224">
        <v>56.88</v>
      </c>
      <c r="D63" s="224">
        <v>36.57</v>
      </c>
      <c r="E63" s="224">
        <v>7.54</v>
      </c>
      <c r="F63" s="224">
        <v>14.68</v>
      </c>
      <c r="G63" s="224">
        <v>19.28</v>
      </c>
      <c r="H63" s="224">
        <v>10.57</v>
      </c>
      <c r="I63" s="224">
        <v>0</v>
      </c>
      <c r="J63" s="224">
        <v>0.56</v>
      </c>
      <c r="K63" s="224">
        <v>269.68</v>
      </c>
      <c r="L63" s="224">
        <v>35.11</v>
      </c>
      <c r="M63" s="224">
        <v>26.59</v>
      </c>
      <c r="N63" s="224">
        <v>720.6</v>
      </c>
      <c r="O63" s="224">
        <v>0</v>
      </c>
      <c r="P63" s="224">
        <v>0.54</v>
      </c>
      <c r="Q63" s="224">
        <v>4.52</v>
      </c>
      <c r="R63" s="13"/>
      <c r="S63" s="13"/>
      <c r="T63" s="213"/>
      <c r="U63" s="13"/>
    </row>
    <row r="64" customFormat="1" spans="1:21">
      <c r="A64" s="13" t="s">
        <v>2029</v>
      </c>
      <c r="B64" s="224">
        <v>6.84</v>
      </c>
      <c r="C64" s="224">
        <v>59.01</v>
      </c>
      <c r="D64" s="224">
        <v>37.67</v>
      </c>
      <c r="E64" s="224">
        <v>7.43</v>
      </c>
      <c r="F64" s="224">
        <v>8.88</v>
      </c>
      <c r="G64" s="224">
        <v>16.63</v>
      </c>
      <c r="H64" s="224">
        <v>7.52</v>
      </c>
      <c r="I64" s="224">
        <v>0</v>
      </c>
      <c r="J64" s="224">
        <v>0.8</v>
      </c>
      <c r="K64" s="224">
        <v>268.17</v>
      </c>
      <c r="L64" s="224">
        <v>35.78</v>
      </c>
      <c r="M64" s="224">
        <v>25.69</v>
      </c>
      <c r="N64" s="224">
        <v>681.3</v>
      </c>
      <c r="O64" s="224">
        <v>0</v>
      </c>
      <c r="P64" s="224">
        <v>0.53</v>
      </c>
      <c r="Q64" s="224">
        <v>4.66</v>
      </c>
      <c r="R64" s="13"/>
      <c r="S64" s="13"/>
      <c r="T64" s="213"/>
      <c r="U64" s="13"/>
    </row>
    <row r="65" customFormat="1" spans="1:21">
      <c r="A65" s="13" t="s">
        <v>2030</v>
      </c>
      <c r="B65" s="224">
        <v>6.61</v>
      </c>
      <c r="C65" s="224">
        <v>58.64</v>
      </c>
      <c r="D65" s="224">
        <v>37.29</v>
      </c>
      <c r="E65" s="224">
        <v>7.39</v>
      </c>
      <c r="F65" s="224">
        <v>13.48</v>
      </c>
      <c r="G65" s="224">
        <v>16.5</v>
      </c>
      <c r="H65" s="224">
        <v>7.52</v>
      </c>
      <c r="I65" s="224">
        <v>0</v>
      </c>
      <c r="J65" s="224">
        <v>1</v>
      </c>
      <c r="K65" s="224">
        <v>307.47</v>
      </c>
      <c r="L65" s="224">
        <v>35.94</v>
      </c>
      <c r="M65" s="224">
        <v>25.02</v>
      </c>
      <c r="N65" s="224">
        <v>755.7</v>
      </c>
      <c r="O65" s="224">
        <v>0</v>
      </c>
      <c r="P65" s="224">
        <v>0.51</v>
      </c>
      <c r="Q65" s="224">
        <v>4.54</v>
      </c>
      <c r="R65" s="13"/>
      <c r="S65" s="13"/>
      <c r="T65" s="213"/>
      <c r="U65" s="13"/>
    </row>
    <row r="66" customFormat="1" spans="1:21">
      <c r="A66" s="13" t="s">
        <v>2031</v>
      </c>
      <c r="B66" s="224">
        <v>6.06</v>
      </c>
      <c r="C66" s="224">
        <v>52.93</v>
      </c>
      <c r="D66" s="224">
        <v>33.86</v>
      </c>
      <c r="E66" s="224">
        <v>7.48</v>
      </c>
      <c r="F66" s="224">
        <v>11.81</v>
      </c>
      <c r="G66" s="224">
        <v>16.5</v>
      </c>
      <c r="H66" s="224">
        <v>7.52</v>
      </c>
      <c r="I66" s="224">
        <v>0</v>
      </c>
      <c r="J66" s="224">
        <v>0.67</v>
      </c>
      <c r="K66" s="224">
        <v>283.69</v>
      </c>
      <c r="L66" s="224">
        <v>36.34</v>
      </c>
      <c r="M66" s="224">
        <v>23.48</v>
      </c>
      <c r="N66" s="224">
        <v>690.8</v>
      </c>
      <c r="O66" s="224">
        <v>0</v>
      </c>
      <c r="P66" s="224">
        <v>0.5</v>
      </c>
      <c r="Q66" s="224">
        <v>4.49</v>
      </c>
      <c r="R66" s="13"/>
      <c r="S66" s="13"/>
      <c r="T66" s="213"/>
      <c r="U66" s="13"/>
    </row>
    <row r="67" customFormat="1" spans="1:21">
      <c r="A67" s="13" t="s">
        <v>2032</v>
      </c>
      <c r="B67" s="224">
        <v>5.98</v>
      </c>
      <c r="C67" s="224">
        <v>53.98</v>
      </c>
      <c r="D67" s="224">
        <v>34.35</v>
      </c>
      <c r="E67" s="224">
        <v>8.05</v>
      </c>
      <c r="F67" s="224">
        <v>13.12</v>
      </c>
      <c r="G67" s="224">
        <v>16.5</v>
      </c>
      <c r="H67" s="224">
        <v>7.52</v>
      </c>
      <c r="I67" s="224">
        <v>0</v>
      </c>
      <c r="J67" s="224">
        <v>0.65</v>
      </c>
      <c r="K67" s="224">
        <v>266.18</v>
      </c>
      <c r="L67" s="224">
        <v>36.96</v>
      </c>
      <c r="M67" s="224">
        <v>21.58</v>
      </c>
      <c r="N67" s="224">
        <v>653.4</v>
      </c>
      <c r="O67" s="224">
        <v>0</v>
      </c>
      <c r="P67" s="224">
        <v>0.51</v>
      </c>
      <c r="Q67" s="224">
        <v>4.57</v>
      </c>
      <c r="R67" s="13"/>
      <c r="S67" s="13"/>
      <c r="T67" s="213"/>
      <c r="U67" s="13"/>
    </row>
    <row r="68" customFormat="1" spans="1:21">
      <c r="A68" s="13" t="s">
        <v>2033</v>
      </c>
      <c r="B68" s="224">
        <v>5.76</v>
      </c>
      <c r="C68" s="224">
        <v>53.26</v>
      </c>
      <c r="D68" s="224">
        <v>33.8</v>
      </c>
      <c r="E68" s="224">
        <v>8.7</v>
      </c>
      <c r="F68" s="224">
        <v>11.96</v>
      </c>
      <c r="G68" s="224">
        <v>19.03</v>
      </c>
      <c r="H68" s="224">
        <v>12.39</v>
      </c>
      <c r="I68" s="224">
        <v>0</v>
      </c>
      <c r="J68" s="224">
        <v>0.71</v>
      </c>
      <c r="K68" s="224">
        <v>225.87</v>
      </c>
      <c r="L68" s="224">
        <v>37.46</v>
      </c>
      <c r="M68" s="224">
        <v>20.42</v>
      </c>
      <c r="N68" s="224">
        <v>626.5</v>
      </c>
      <c r="O68" s="224">
        <v>0</v>
      </c>
      <c r="P68" s="224">
        <v>0.52</v>
      </c>
      <c r="Q68" s="224">
        <v>4.61</v>
      </c>
      <c r="R68" s="13"/>
      <c r="S68" s="13"/>
      <c r="T68" s="213"/>
      <c r="U68" s="13"/>
    </row>
    <row r="69" customFormat="1" spans="1:21">
      <c r="A69" s="13" t="s">
        <v>2034</v>
      </c>
      <c r="B69" s="224">
        <v>5.45</v>
      </c>
      <c r="C69" s="224">
        <v>52.98</v>
      </c>
      <c r="D69" s="224">
        <v>33.4</v>
      </c>
      <c r="E69" s="224">
        <v>8.9</v>
      </c>
      <c r="F69" s="224">
        <v>15.09</v>
      </c>
      <c r="G69" s="224">
        <v>19.14</v>
      </c>
      <c r="H69" s="224">
        <v>12.39</v>
      </c>
      <c r="I69" s="224">
        <v>0</v>
      </c>
      <c r="J69" s="224">
        <v>0.51</v>
      </c>
      <c r="K69" s="224">
        <v>251.92</v>
      </c>
      <c r="L69" s="224">
        <v>37.12</v>
      </c>
      <c r="M69" s="224">
        <v>21.01</v>
      </c>
      <c r="N69" s="224">
        <v>571.2</v>
      </c>
      <c r="O69" s="224">
        <v>0</v>
      </c>
      <c r="P69" s="224">
        <v>0.52</v>
      </c>
      <c r="Q69" s="224">
        <v>4.69</v>
      </c>
      <c r="R69" s="13"/>
      <c r="S69" s="13"/>
      <c r="T69" s="213"/>
      <c r="U69" s="13"/>
    </row>
    <row r="70" customFormat="1" spans="1:21">
      <c r="A70" s="13" t="s">
        <v>2035</v>
      </c>
      <c r="B70" s="224">
        <v>5.16</v>
      </c>
      <c r="C70" s="224">
        <v>51.29</v>
      </c>
      <c r="D70" s="224">
        <v>32.28</v>
      </c>
      <c r="E70" s="224">
        <v>9.36</v>
      </c>
      <c r="F70" s="224">
        <v>18.44</v>
      </c>
      <c r="G70" s="224">
        <v>19.14</v>
      </c>
      <c r="H70" s="224">
        <v>12.39</v>
      </c>
      <c r="I70" s="224">
        <v>0</v>
      </c>
      <c r="J70" s="224">
        <v>0.49</v>
      </c>
      <c r="K70" s="224">
        <v>252.08</v>
      </c>
      <c r="L70" s="224">
        <v>37.64</v>
      </c>
      <c r="M70" s="224">
        <v>20.02</v>
      </c>
      <c r="N70" s="224">
        <v>479.6</v>
      </c>
      <c r="O70" s="224">
        <v>0</v>
      </c>
      <c r="P70" s="224">
        <v>0.52</v>
      </c>
      <c r="Q70" s="224">
        <v>4.81</v>
      </c>
      <c r="R70" s="13"/>
      <c r="S70" s="13"/>
      <c r="T70" s="213"/>
      <c r="U70" s="13"/>
    </row>
    <row r="71" customFormat="1" spans="1:21">
      <c r="A71" s="13" t="s">
        <v>2036</v>
      </c>
      <c r="B71" s="224">
        <v>4.97</v>
      </c>
      <c r="C71" s="224">
        <v>49.13</v>
      </c>
      <c r="D71" s="224">
        <v>31.01</v>
      </c>
      <c r="E71" s="224">
        <v>9.83</v>
      </c>
      <c r="F71" s="224">
        <v>20.82</v>
      </c>
      <c r="G71" s="224">
        <v>19.14</v>
      </c>
      <c r="H71" s="224">
        <v>12.39</v>
      </c>
      <c r="I71" s="224">
        <v>0</v>
      </c>
      <c r="J71" s="224">
        <v>0.52</v>
      </c>
      <c r="K71" s="224">
        <v>237.07</v>
      </c>
      <c r="L71" s="224">
        <v>36.83</v>
      </c>
      <c r="M71" s="224">
        <v>21.86</v>
      </c>
      <c r="N71" s="224">
        <v>306.8</v>
      </c>
      <c r="O71" s="224">
        <v>0</v>
      </c>
      <c r="P71" s="224">
        <v>0.52</v>
      </c>
      <c r="Q71" s="224">
        <v>4.9</v>
      </c>
      <c r="R71" s="13"/>
      <c r="S71" s="13"/>
      <c r="T71" s="213"/>
      <c r="U71" s="13"/>
    </row>
    <row r="72" customFormat="1" spans="1:21">
      <c r="A72" s="13" t="s">
        <v>2037</v>
      </c>
      <c r="B72" s="224">
        <v>4.83</v>
      </c>
      <c r="C72" s="224">
        <v>46.06</v>
      </c>
      <c r="D72" s="224">
        <v>29.29</v>
      </c>
      <c r="E72" s="224">
        <v>11.89</v>
      </c>
      <c r="F72" s="224">
        <v>29.73</v>
      </c>
      <c r="G72" s="224">
        <v>22.44</v>
      </c>
      <c r="H72" s="224">
        <v>11.14</v>
      </c>
      <c r="I72" s="224">
        <v>0</v>
      </c>
      <c r="J72" s="224">
        <v>0.22</v>
      </c>
      <c r="K72" s="224">
        <v>297.57</v>
      </c>
      <c r="L72" s="224">
        <v>36.85</v>
      </c>
      <c r="M72" s="224">
        <v>21.54</v>
      </c>
      <c r="N72" s="224">
        <v>427.1</v>
      </c>
      <c r="O72" s="224">
        <v>0</v>
      </c>
      <c r="P72" s="224">
        <v>0.53</v>
      </c>
      <c r="Q72" s="224">
        <v>4.98</v>
      </c>
      <c r="R72" s="13"/>
      <c r="S72" s="13"/>
      <c r="T72" s="213"/>
      <c r="U72" s="13"/>
    </row>
    <row r="73" customFormat="1" spans="1:21">
      <c r="A73" s="13" t="s">
        <v>2038</v>
      </c>
      <c r="B73" s="224">
        <v>4.75</v>
      </c>
      <c r="C73" s="224">
        <v>43.69</v>
      </c>
      <c r="D73" s="224">
        <v>27.99</v>
      </c>
      <c r="E73" s="224">
        <v>12.87</v>
      </c>
      <c r="F73" s="224">
        <v>35.41</v>
      </c>
      <c r="G73" s="224">
        <v>22.59</v>
      </c>
      <c r="H73" s="224">
        <v>11.14</v>
      </c>
      <c r="I73" s="224">
        <v>0</v>
      </c>
      <c r="J73" s="224">
        <v>0.42</v>
      </c>
      <c r="K73" s="224">
        <v>244.34</v>
      </c>
      <c r="L73" s="224">
        <v>37.03</v>
      </c>
      <c r="M73" s="224">
        <v>21.58</v>
      </c>
      <c r="N73" s="224">
        <v>235.5</v>
      </c>
      <c r="O73" s="224">
        <v>0</v>
      </c>
      <c r="P73" s="224">
        <v>0.51</v>
      </c>
      <c r="Q73" s="224">
        <v>5</v>
      </c>
      <c r="R73" s="13"/>
      <c r="S73" s="13"/>
      <c r="T73" s="213"/>
      <c r="U73" s="13"/>
    </row>
    <row r="74" customFormat="1" spans="1:21">
      <c r="A74" s="13" t="s">
        <v>2039</v>
      </c>
      <c r="B74" s="224">
        <v>4.82</v>
      </c>
      <c r="C74" s="224">
        <v>43.55</v>
      </c>
      <c r="D74" s="224">
        <v>27.97</v>
      </c>
      <c r="E74" s="224">
        <v>15.53</v>
      </c>
      <c r="F74" s="224">
        <v>40.13</v>
      </c>
      <c r="G74" s="224">
        <v>22.59</v>
      </c>
      <c r="H74" s="224">
        <v>11.14</v>
      </c>
      <c r="I74" s="224">
        <v>0</v>
      </c>
      <c r="J74" s="224">
        <v>0.69</v>
      </c>
      <c r="K74" s="224">
        <v>286.44</v>
      </c>
      <c r="L74" s="224">
        <v>36.28</v>
      </c>
      <c r="M74" s="224">
        <v>21.93</v>
      </c>
      <c r="N74" s="224">
        <v>264.2</v>
      </c>
      <c r="O74" s="224">
        <v>0</v>
      </c>
      <c r="P74" s="224">
        <v>0.55</v>
      </c>
      <c r="Q74" s="224">
        <v>5</v>
      </c>
      <c r="R74" s="13"/>
      <c r="S74" s="13"/>
      <c r="T74" s="213"/>
      <c r="U74" s="13"/>
    </row>
    <row r="75" customFormat="1" spans="1:21">
      <c r="A75" s="13" t="s">
        <v>2040</v>
      </c>
      <c r="B75" s="224">
        <v>4.57</v>
      </c>
      <c r="C75" s="224">
        <v>41.32</v>
      </c>
      <c r="D75" s="224">
        <v>26.61</v>
      </c>
      <c r="E75" s="224">
        <v>16.1</v>
      </c>
      <c r="F75" s="224">
        <v>45.12</v>
      </c>
      <c r="G75" s="224">
        <v>22.59</v>
      </c>
      <c r="H75" s="224">
        <v>11.14</v>
      </c>
      <c r="I75" s="224">
        <v>0</v>
      </c>
      <c r="J75" s="224">
        <v>0.6</v>
      </c>
      <c r="K75" s="224">
        <v>256.61</v>
      </c>
      <c r="L75" s="224">
        <v>36.46</v>
      </c>
      <c r="M75" s="224">
        <v>22.3</v>
      </c>
      <c r="N75" s="224">
        <v>239</v>
      </c>
      <c r="O75" s="224">
        <v>0</v>
      </c>
      <c r="P75" s="224">
        <v>0.55</v>
      </c>
      <c r="Q75" s="224">
        <v>5</v>
      </c>
      <c r="R75" s="13"/>
      <c r="S75" s="13"/>
      <c r="T75" s="213"/>
      <c r="U75" s="13"/>
    </row>
    <row r="76" customFormat="1" spans="1:21">
      <c r="A76" s="13" t="s">
        <v>2041</v>
      </c>
      <c r="B76" s="224">
        <v>4.32</v>
      </c>
      <c r="C76" s="224">
        <v>37.89</v>
      </c>
      <c r="D76" s="224">
        <v>24.61</v>
      </c>
      <c r="E76" s="224">
        <v>18.1</v>
      </c>
      <c r="F76" s="224">
        <v>46.67</v>
      </c>
      <c r="G76" s="224">
        <v>30.18</v>
      </c>
      <c r="H76" s="224">
        <v>13.68</v>
      </c>
      <c r="I76" s="224">
        <v>0</v>
      </c>
      <c r="J76" s="224">
        <v>0.63</v>
      </c>
      <c r="K76" s="224">
        <v>243.71</v>
      </c>
      <c r="L76" s="224">
        <v>35.83</v>
      </c>
      <c r="M76" s="224">
        <v>23.26</v>
      </c>
      <c r="N76" s="224">
        <v>100.6</v>
      </c>
      <c r="O76" s="224">
        <v>0</v>
      </c>
      <c r="P76" s="224">
        <v>0.56</v>
      </c>
      <c r="Q76" s="224">
        <v>5</v>
      </c>
      <c r="R76" s="13"/>
      <c r="S76" s="13"/>
      <c r="T76" s="213"/>
      <c r="U76" s="13"/>
    </row>
    <row r="77" customFormat="1" spans="1:21">
      <c r="A77" s="13" t="s">
        <v>2042</v>
      </c>
      <c r="B77" s="224">
        <v>4.2</v>
      </c>
      <c r="C77" s="224">
        <v>35.25</v>
      </c>
      <c r="D77" s="224">
        <v>23.14</v>
      </c>
      <c r="E77" s="224">
        <v>18.51</v>
      </c>
      <c r="F77" s="224">
        <v>58.32</v>
      </c>
      <c r="G77" s="224">
        <v>30.54</v>
      </c>
      <c r="H77" s="224">
        <v>13.68</v>
      </c>
      <c r="I77" s="224">
        <v>0</v>
      </c>
      <c r="J77" s="224">
        <v>0.49</v>
      </c>
      <c r="K77" s="224">
        <v>240.34</v>
      </c>
      <c r="L77" s="224">
        <v>35.25</v>
      </c>
      <c r="M77" s="224">
        <v>24.19</v>
      </c>
      <c r="N77" s="224">
        <v>114.5</v>
      </c>
      <c r="O77" s="224">
        <v>0</v>
      </c>
      <c r="P77" s="224">
        <v>0.57</v>
      </c>
      <c r="Q77" s="224">
        <v>5</v>
      </c>
      <c r="R77" s="13"/>
      <c r="S77" s="13"/>
      <c r="T77" s="213"/>
      <c r="U77" s="13"/>
    </row>
    <row r="78" customFormat="1" spans="1:21">
      <c r="A78" s="13" t="s">
        <v>2043</v>
      </c>
      <c r="B78" s="224">
        <v>4.05</v>
      </c>
      <c r="C78" s="224">
        <v>33.56</v>
      </c>
      <c r="D78" s="224">
        <v>22.14</v>
      </c>
      <c r="E78" s="224">
        <v>19.71</v>
      </c>
      <c r="F78" s="224">
        <v>54.42</v>
      </c>
      <c r="G78" s="224">
        <v>30.54</v>
      </c>
      <c r="H78" s="224">
        <v>13.68</v>
      </c>
      <c r="I78" s="224">
        <v>0</v>
      </c>
      <c r="J78" s="224">
        <v>0.46</v>
      </c>
      <c r="K78" s="224">
        <v>239.97</v>
      </c>
      <c r="L78" s="224">
        <v>35.42</v>
      </c>
      <c r="M78" s="224">
        <v>23.52</v>
      </c>
      <c r="N78" s="224">
        <v>108.8</v>
      </c>
      <c r="O78" s="224">
        <v>0</v>
      </c>
      <c r="P78" s="224">
        <v>0.55</v>
      </c>
      <c r="Q78" s="224">
        <v>5</v>
      </c>
      <c r="R78" s="13"/>
      <c r="S78" s="13"/>
      <c r="T78" s="213"/>
      <c r="U78" s="13"/>
    </row>
    <row r="79" customFormat="1" spans="1:21">
      <c r="A79" s="13" t="s">
        <v>2044</v>
      </c>
      <c r="B79" s="224">
        <v>4.02</v>
      </c>
      <c r="C79" s="224">
        <v>32.15</v>
      </c>
      <c r="D79" s="224">
        <v>21.37</v>
      </c>
      <c r="E79" s="224">
        <v>20.97</v>
      </c>
      <c r="F79" s="224">
        <v>62.66</v>
      </c>
      <c r="G79" s="224">
        <v>30.54</v>
      </c>
      <c r="H79" s="224">
        <v>13.68</v>
      </c>
      <c r="I79" s="224">
        <v>0</v>
      </c>
      <c r="J79" s="224">
        <v>0.35</v>
      </c>
      <c r="K79" s="224">
        <v>209.56</v>
      </c>
      <c r="L79" s="224">
        <v>35.12</v>
      </c>
      <c r="M79" s="224">
        <v>24.28</v>
      </c>
      <c r="N79" s="224">
        <v>45.5</v>
      </c>
      <c r="O79" s="224">
        <v>0</v>
      </c>
      <c r="P79" s="224">
        <v>0.57</v>
      </c>
      <c r="Q79" s="224">
        <v>5</v>
      </c>
      <c r="R79" s="13"/>
      <c r="S79" s="13"/>
      <c r="T79" s="213"/>
      <c r="U79" s="13"/>
    </row>
    <row r="80" customFormat="1" spans="1:21">
      <c r="A80" s="13" t="s">
        <v>2045</v>
      </c>
      <c r="B80" s="224">
        <v>3.9</v>
      </c>
      <c r="C80" s="224">
        <v>29.26</v>
      </c>
      <c r="D80" s="224">
        <v>19.76</v>
      </c>
      <c r="E80" s="224">
        <v>21.53</v>
      </c>
      <c r="F80" s="224">
        <v>62.82</v>
      </c>
      <c r="G80" s="224">
        <v>34.24</v>
      </c>
      <c r="H80" s="224">
        <v>14.25</v>
      </c>
      <c r="I80" s="224">
        <v>0</v>
      </c>
      <c r="J80" s="224">
        <v>0.31</v>
      </c>
      <c r="K80" s="224">
        <v>192.66</v>
      </c>
      <c r="L80" s="224">
        <v>34.56</v>
      </c>
      <c r="M80" s="224">
        <v>27.1</v>
      </c>
      <c r="N80" s="224">
        <v>11.7</v>
      </c>
      <c r="O80" s="224">
        <v>0</v>
      </c>
      <c r="P80" s="224">
        <v>0.54</v>
      </c>
      <c r="Q80" s="224">
        <v>5</v>
      </c>
      <c r="R80" s="13"/>
      <c r="S80" s="13"/>
      <c r="T80" s="213"/>
      <c r="U80" s="13"/>
    </row>
    <row r="81" customFormat="1" spans="1:21">
      <c r="A81" s="13" t="s">
        <v>2046</v>
      </c>
      <c r="B81" s="224">
        <v>3.9</v>
      </c>
      <c r="C81" s="224">
        <v>26.62</v>
      </c>
      <c r="D81" s="224">
        <v>18.39</v>
      </c>
      <c r="E81" s="224">
        <v>9.69</v>
      </c>
      <c r="F81" s="224">
        <v>55.39</v>
      </c>
      <c r="G81" s="224">
        <v>34.41</v>
      </c>
      <c r="H81" s="224">
        <v>14.25</v>
      </c>
      <c r="I81" s="224">
        <v>0</v>
      </c>
      <c r="J81" s="224">
        <v>0.51</v>
      </c>
      <c r="K81" s="224">
        <v>221.31</v>
      </c>
      <c r="L81" s="224">
        <v>32.95</v>
      </c>
      <c r="M81" s="224">
        <v>36.67</v>
      </c>
      <c r="N81" s="224">
        <v>1.1</v>
      </c>
      <c r="O81" s="224">
        <v>0</v>
      </c>
      <c r="P81" s="224">
        <v>0.42</v>
      </c>
      <c r="Q81" s="224">
        <v>5</v>
      </c>
      <c r="R81" s="13"/>
      <c r="S81" s="13"/>
      <c r="T81" s="213"/>
      <c r="U81" s="13"/>
    </row>
    <row r="82" customFormat="1" spans="1:21">
      <c r="A82" s="13" t="s">
        <v>2047</v>
      </c>
      <c r="B82" s="224">
        <v>3.86</v>
      </c>
      <c r="C82" s="224">
        <v>22.39</v>
      </c>
      <c r="D82" s="224">
        <v>16.15</v>
      </c>
      <c r="E82" s="224">
        <v>9.12</v>
      </c>
      <c r="F82" s="224">
        <v>66.81</v>
      </c>
      <c r="G82" s="224">
        <v>34.41</v>
      </c>
      <c r="H82" s="224">
        <v>14.25</v>
      </c>
      <c r="I82" s="224">
        <v>0</v>
      </c>
      <c r="J82" s="224">
        <v>0.39</v>
      </c>
      <c r="K82" s="224">
        <v>218.71</v>
      </c>
      <c r="L82" s="224">
        <v>31.96</v>
      </c>
      <c r="M82" s="224">
        <v>37.7</v>
      </c>
      <c r="N82" s="224">
        <v>0</v>
      </c>
      <c r="O82" s="224">
        <v>0</v>
      </c>
      <c r="P82" s="224">
        <v>0.39</v>
      </c>
      <c r="Q82" s="224">
        <v>5</v>
      </c>
      <c r="R82" s="13"/>
      <c r="S82" s="13"/>
      <c r="T82" s="213"/>
      <c r="U82" s="13"/>
    </row>
    <row r="83" customFormat="1" spans="1:21">
      <c r="A83" s="13" t="s">
        <v>2048</v>
      </c>
      <c r="B83" s="224">
        <v>3.84</v>
      </c>
      <c r="C83" s="224">
        <v>21.34</v>
      </c>
      <c r="D83" s="224">
        <v>15.58</v>
      </c>
      <c r="E83" s="224">
        <v>8.81</v>
      </c>
      <c r="F83" s="224">
        <v>51.23</v>
      </c>
      <c r="G83" s="224">
        <v>34.41</v>
      </c>
      <c r="H83" s="224">
        <v>14.25</v>
      </c>
      <c r="I83" s="224">
        <v>0</v>
      </c>
      <c r="J83" s="224">
        <v>0.33</v>
      </c>
      <c r="K83" s="224">
        <v>225.15</v>
      </c>
      <c r="L83" s="224">
        <v>31.28</v>
      </c>
      <c r="M83" s="224">
        <v>39.3</v>
      </c>
      <c r="N83" s="224">
        <v>0</v>
      </c>
      <c r="O83" s="224">
        <v>0</v>
      </c>
      <c r="P83" s="224">
        <v>0.4</v>
      </c>
      <c r="Q83" s="224">
        <v>5</v>
      </c>
      <c r="R83" s="13"/>
      <c r="S83" s="13"/>
      <c r="T83" s="213"/>
      <c r="U83" s="13"/>
    </row>
    <row r="84" customFormat="1" spans="1:21">
      <c r="A84" s="13" t="s">
        <v>2049</v>
      </c>
      <c r="B84" s="224">
        <v>3.92</v>
      </c>
      <c r="C84" s="224">
        <v>24.56</v>
      </c>
      <c r="D84" s="224">
        <v>17.33</v>
      </c>
      <c r="E84" s="224">
        <v>9.26</v>
      </c>
      <c r="F84" s="224">
        <v>40.79</v>
      </c>
      <c r="G84" s="224">
        <v>30.51</v>
      </c>
      <c r="H84" s="224">
        <v>14.14</v>
      </c>
      <c r="I84" s="224">
        <v>0</v>
      </c>
      <c r="J84" s="224">
        <v>0.29</v>
      </c>
      <c r="K84" s="224">
        <v>214.82</v>
      </c>
      <c r="L84" s="224">
        <v>30.67</v>
      </c>
      <c r="M84" s="224">
        <v>41.09</v>
      </c>
      <c r="N84" s="224">
        <v>0</v>
      </c>
      <c r="O84" s="224">
        <v>0</v>
      </c>
      <c r="P84" s="224">
        <v>0.45</v>
      </c>
      <c r="Q84" s="224">
        <v>5</v>
      </c>
      <c r="R84" s="13"/>
      <c r="S84" s="13"/>
      <c r="T84" s="213"/>
      <c r="U84" s="13"/>
    </row>
    <row r="85" customFormat="1" spans="1:21">
      <c r="A85" s="13" t="s">
        <v>2050</v>
      </c>
      <c r="B85" s="224">
        <v>4.22</v>
      </c>
      <c r="C85" s="224">
        <v>28.25</v>
      </c>
      <c r="D85" s="224">
        <v>19.5</v>
      </c>
      <c r="E85" s="224">
        <v>8.65</v>
      </c>
      <c r="F85" s="224">
        <v>27.34</v>
      </c>
      <c r="G85" s="224">
        <v>30.33</v>
      </c>
      <c r="H85" s="224">
        <v>14.14</v>
      </c>
      <c r="I85" s="224">
        <v>0</v>
      </c>
      <c r="J85" s="224">
        <v>0.25</v>
      </c>
      <c r="K85" s="224">
        <v>202.81</v>
      </c>
      <c r="L85" s="224">
        <v>30.18</v>
      </c>
      <c r="M85" s="224">
        <v>42.44</v>
      </c>
      <c r="N85" s="224">
        <v>0</v>
      </c>
      <c r="O85" s="224">
        <v>0</v>
      </c>
      <c r="P85" s="224">
        <v>0.5</v>
      </c>
      <c r="Q85" s="224">
        <v>5</v>
      </c>
      <c r="R85" s="13"/>
      <c r="S85" s="13"/>
      <c r="T85" s="213"/>
      <c r="U85" s="13"/>
    </row>
    <row r="86" customFormat="1" spans="1:21">
      <c r="A86" s="13" t="s">
        <v>2051</v>
      </c>
      <c r="B86" s="224">
        <v>4.79</v>
      </c>
      <c r="C86" s="224">
        <v>33.32</v>
      </c>
      <c r="D86" s="224">
        <v>22.6</v>
      </c>
      <c r="E86" s="224">
        <v>8.73</v>
      </c>
      <c r="F86" s="224">
        <v>22.35</v>
      </c>
      <c r="G86" s="224">
        <v>30.33</v>
      </c>
      <c r="H86" s="224">
        <v>14.14</v>
      </c>
      <c r="I86" s="224">
        <v>0</v>
      </c>
      <c r="J86" s="224">
        <v>0.28</v>
      </c>
      <c r="K86" s="224">
        <v>222.06</v>
      </c>
      <c r="L86" s="224">
        <v>29.81</v>
      </c>
      <c r="M86" s="224">
        <v>43.07</v>
      </c>
      <c r="N86" s="224">
        <v>0</v>
      </c>
      <c r="O86" s="224">
        <v>0</v>
      </c>
      <c r="P86" s="224">
        <v>0.55</v>
      </c>
      <c r="Q86" s="224">
        <v>5</v>
      </c>
      <c r="R86" s="13"/>
      <c r="S86" s="13"/>
      <c r="T86" s="213"/>
      <c r="U86" s="13"/>
    </row>
    <row r="87" customFormat="1" spans="1:21">
      <c r="A87" s="13" t="s">
        <v>2052</v>
      </c>
      <c r="B87" s="224">
        <v>5.03</v>
      </c>
      <c r="C87" s="224">
        <v>32.08</v>
      </c>
      <c r="D87" s="224">
        <v>22.14</v>
      </c>
      <c r="E87" s="224">
        <v>7.89</v>
      </c>
      <c r="F87" s="224">
        <v>28.23</v>
      </c>
      <c r="G87" s="224">
        <v>30.33</v>
      </c>
      <c r="H87" s="224">
        <v>14.14</v>
      </c>
      <c r="I87" s="224">
        <v>0</v>
      </c>
      <c r="J87" s="224">
        <v>0.24</v>
      </c>
      <c r="K87" s="224">
        <v>210.8</v>
      </c>
      <c r="L87" s="224">
        <v>29.65</v>
      </c>
      <c r="M87" s="224">
        <v>42.69</v>
      </c>
      <c r="N87" s="224">
        <v>0</v>
      </c>
      <c r="O87" s="224">
        <v>0</v>
      </c>
      <c r="P87" s="224">
        <v>0.56</v>
      </c>
      <c r="Q87" s="224">
        <v>5</v>
      </c>
      <c r="R87" s="13"/>
      <c r="S87" s="13"/>
      <c r="T87" s="213"/>
      <c r="U87" s="13"/>
    </row>
    <row r="88" customFormat="1" spans="1:21">
      <c r="A88" s="13" t="s">
        <v>2053</v>
      </c>
      <c r="B88" s="224">
        <v>5.54</v>
      </c>
      <c r="C88" s="224">
        <v>34.02</v>
      </c>
      <c r="D88" s="224">
        <v>23.57</v>
      </c>
      <c r="E88" s="224">
        <v>7.45</v>
      </c>
      <c r="F88" s="224">
        <v>25.16</v>
      </c>
      <c r="G88" s="224">
        <v>27.61</v>
      </c>
      <c r="H88" s="224">
        <v>9.95</v>
      </c>
      <c r="I88" s="224">
        <v>0</v>
      </c>
      <c r="J88" s="224">
        <v>0.15</v>
      </c>
      <c r="K88" s="224">
        <v>202.82</v>
      </c>
      <c r="L88" s="224">
        <v>29.4</v>
      </c>
      <c r="M88" s="224">
        <v>42.91</v>
      </c>
      <c r="N88" s="224">
        <v>0</v>
      </c>
      <c r="O88" s="224">
        <v>0</v>
      </c>
      <c r="P88" s="224">
        <v>0.57</v>
      </c>
      <c r="Q88" s="224">
        <v>5</v>
      </c>
      <c r="R88" s="13"/>
      <c r="S88" s="13"/>
      <c r="T88" s="213"/>
      <c r="U88" s="13"/>
    </row>
    <row r="89" customFormat="1" spans="1:21">
      <c r="A89" s="13" t="s">
        <v>2054</v>
      </c>
      <c r="B89" s="224">
        <v>5.86</v>
      </c>
      <c r="C89" s="224">
        <v>36.64</v>
      </c>
      <c r="D89" s="224">
        <v>25.19</v>
      </c>
      <c r="E89" s="224">
        <v>7.44</v>
      </c>
      <c r="F89" s="224">
        <v>18.97</v>
      </c>
      <c r="G89" s="224">
        <v>27.48</v>
      </c>
      <c r="H89" s="224">
        <v>9.95</v>
      </c>
      <c r="I89" s="224">
        <v>0</v>
      </c>
      <c r="J89" s="224">
        <v>0.13</v>
      </c>
      <c r="K89" s="224">
        <v>203.61</v>
      </c>
      <c r="L89" s="224">
        <v>29.1</v>
      </c>
      <c r="M89" s="224">
        <v>43.82</v>
      </c>
      <c r="N89" s="224">
        <v>0</v>
      </c>
      <c r="O89" s="224">
        <v>0</v>
      </c>
      <c r="P89" s="224">
        <v>0.58</v>
      </c>
      <c r="Q89" s="224">
        <v>5</v>
      </c>
      <c r="R89" s="13"/>
      <c r="S89" s="13"/>
      <c r="T89" s="213"/>
      <c r="U89" s="13"/>
    </row>
    <row r="90" customFormat="1" spans="1:21">
      <c r="A90" s="13" t="s">
        <v>2055</v>
      </c>
      <c r="B90" s="224">
        <v>6.17</v>
      </c>
      <c r="C90" s="224">
        <v>40.23</v>
      </c>
      <c r="D90" s="224">
        <v>27.31</v>
      </c>
      <c r="E90" s="224">
        <v>7.19</v>
      </c>
      <c r="F90" s="224">
        <v>17.14</v>
      </c>
      <c r="G90" s="224">
        <v>27.48</v>
      </c>
      <c r="H90" s="224">
        <v>9.95</v>
      </c>
      <c r="I90" s="224">
        <v>0</v>
      </c>
      <c r="J90" s="224">
        <v>0.14</v>
      </c>
      <c r="K90" s="224">
        <v>199.98</v>
      </c>
      <c r="L90" s="224">
        <v>28.73</v>
      </c>
      <c r="M90" s="224">
        <v>45.03</v>
      </c>
      <c r="N90" s="224">
        <v>0</v>
      </c>
      <c r="O90" s="224">
        <v>0</v>
      </c>
      <c r="P90" s="224">
        <v>0.59</v>
      </c>
      <c r="Q90" s="224">
        <v>5</v>
      </c>
      <c r="R90" s="13"/>
      <c r="S90" s="13"/>
      <c r="T90" s="213"/>
      <c r="U90" s="13"/>
    </row>
    <row r="91" customFormat="1" spans="1:21">
      <c r="A91" s="13" t="s">
        <v>2056</v>
      </c>
      <c r="B91" s="224">
        <v>6.42</v>
      </c>
      <c r="C91" s="224">
        <v>39.33</v>
      </c>
      <c r="D91" s="224">
        <v>27.05</v>
      </c>
      <c r="E91" s="224">
        <v>7.33</v>
      </c>
      <c r="F91" s="224">
        <v>23.74</v>
      </c>
      <c r="G91" s="224">
        <v>27.48</v>
      </c>
      <c r="H91" s="224">
        <v>9.95</v>
      </c>
      <c r="I91" s="224">
        <v>0</v>
      </c>
      <c r="J91" s="224">
        <v>0.2</v>
      </c>
      <c r="K91" s="224">
        <v>205.24</v>
      </c>
      <c r="L91" s="224">
        <v>28.39</v>
      </c>
      <c r="M91" s="224">
        <v>45.97</v>
      </c>
      <c r="N91" s="224">
        <v>0</v>
      </c>
      <c r="O91" s="224">
        <v>0</v>
      </c>
      <c r="P91" s="224">
        <v>0.59</v>
      </c>
      <c r="Q91" s="224">
        <v>5</v>
      </c>
      <c r="R91" s="13"/>
      <c r="S91" s="13"/>
      <c r="T91" s="213"/>
      <c r="U91" s="13"/>
    </row>
    <row r="92" customFormat="1" spans="1:21">
      <c r="A92" s="13" t="s">
        <v>2057</v>
      </c>
      <c r="B92" s="224">
        <v>6.79</v>
      </c>
      <c r="C92" s="224">
        <v>42.15</v>
      </c>
      <c r="D92" s="224">
        <v>28.82</v>
      </c>
      <c r="E92" s="224">
        <v>7.17</v>
      </c>
      <c r="F92" s="224">
        <v>16.11</v>
      </c>
      <c r="G92" s="224">
        <v>26.11</v>
      </c>
      <c r="H92" s="224">
        <v>11.96</v>
      </c>
      <c r="I92" s="224">
        <v>0</v>
      </c>
      <c r="J92" s="224">
        <v>0.19</v>
      </c>
      <c r="K92" s="224">
        <v>195.85</v>
      </c>
      <c r="L92" s="224">
        <v>28.26</v>
      </c>
      <c r="M92" s="224">
        <v>46.33</v>
      </c>
      <c r="N92" s="224">
        <v>0</v>
      </c>
      <c r="O92" s="224">
        <v>0</v>
      </c>
      <c r="P92" s="224">
        <v>0.6</v>
      </c>
      <c r="Q92" s="224">
        <v>4.96</v>
      </c>
      <c r="R92" s="13"/>
      <c r="S92" s="13"/>
      <c r="T92" s="213"/>
      <c r="U92" s="13"/>
    </row>
    <row r="93" customFormat="1" spans="1:21">
      <c r="A93" s="13" t="s">
        <v>2058</v>
      </c>
      <c r="B93" s="224">
        <v>7.07</v>
      </c>
      <c r="C93" s="224">
        <v>42.65</v>
      </c>
      <c r="D93" s="224">
        <v>29.3</v>
      </c>
      <c r="E93" s="224">
        <v>7.15</v>
      </c>
      <c r="F93" s="224">
        <v>16.43</v>
      </c>
      <c r="G93" s="224">
        <v>26.04</v>
      </c>
      <c r="H93" s="224">
        <v>11.96</v>
      </c>
      <c r="I93" s="224">
        <v>0</v>
      </c>
      <c r="J93" s="224">
        <v>0.2</v>
      </c>
      <c r="K93" s="224">
        <v>208.84</v>
      </c>
      <c r="L93" s="224">
        <v>28.07</v>
      </c>
      <c r="M93" s="224">
        <v>46.73</v>
      </c>
      <c r="N93" s="224">
        <v>0</v>
      </c>
      <c r="O93" s="224">
        <v>0</v>
      </c>
      <c r="P93" s="224">
        <v>0.6</v>
      </c>
      <c r="Q93" s="224">
        <v>4.9</v>
      </c>
      <c r="R93" s="13"/>
      <c r="S93" s="13"/>
      <c r="T93" s="213"/>
      <c r="U93" s="13"/>
    </row>
    <row r="94" customFormat="1" spans="1:21">
      <c r="A94" s="13" t="s">
        <v>2059</v>
      </c>
      <c r="B94" s="224">
        <v>7.5</v>
      </c>
      <c r="C94" s="224">
        <v>44.05</v>
      </c>
      <c r="D94" s="224">
        <v>30.38</v>
      </c>
      <c r="E94" s="224">
        <v>7.17</v>
      </c>
      <c r="F94" s="224">
        <v>15.21</v>
      </c>
      <c r="G94" s="224">
        <v>26.04</v>
      </c>
      <c r="H94" s="224">
        <v>11.96</v>
      </c>
      <c r="I94" s="224">
        <v>0</v>
      </c>
      <c r="J94" s="224">
        <v>0.19</v>
      </c>
      <c r="K94" s="224">
        <v>192.63</v>
      </c>
      <c r="L94" s="224">
        <v>28.1</v>
      </c>
      <c r="M94" s="224">
        <v>46.33</v>
      </c>
      <c r="N94" s="224">
        <v>0</v>
      </c>
      <c r="O94" s="224">
        <v>0</v>
      </c>
      <c r="P94" s="224">
        <v>0.6</v>
      </c>
      <c r="Q94" s="224">
        <v>4.8</v>
      </c>
      <c r="R94" s="13"/>
      <c r="S94" s="13"/>
      <c r="T94" s="213"/>
      <c r="U94" s="13"/>
    </row>
    <row r="95" customFormat="1" spans="1:21">
      <c r="A95" s="13" t="s">
        <v>2060</v>
      </c>
      <c r="B95" s="224">
        <v>7.69</v>
      </c>
      <c r="C95" s="224">
        <v>45.96</v>
      </c>
      <c r="D95" s="224">
        <v>31.53</v>
      </c>
      <c r="E95" s="224">
        <v>6.95</v>
      </c>
      <c r="F95" s="224">
        <v>13.47</v>
      </c>
      <c r="G95" s="224">
        <v>26.04</v>
      </c>
      <c r="H95" s="224">
        <v>11.96</v>
      </c>
      <c r="I95" s="224">
        <v>0</v>
      </c>
      <c r="J95" s="224">
        <v>0.13</v>
      </c>
      <c r="K95" s="224">
        <v>191.56</v>
      </c>
      <c r="L95" s="224">
        <v>27.95</v>
      </c>
      <c r="M95" s="224">
        <v>46.67</v>
      </c>
      <c r="N95" s="224">
        <v>0</v>
      </c>
      <c r="O95" s="224">
        <v>0</v>
      </c>
      <c r="P95" s="224">
        <v>0.6</v>
      </c>
      <c r="Q95" s="224">
        <v>4.7</v>
      </c>
      <c r="R95" s="13"/>
      <c r="S95" s="13"/>
      <c r="T95" s="213"/>
      <c r="U95" s="13"/>
    </row>
    <row r="96" customFormat="1" spans="1:26">
      <c r="A96" s="13" t="s">
        <v>2061</v>
      </c>
      <c r="B96" s="224">
        <v>8.04</v>
      </c>
      <c r="C96" s="224">
        <v>47.43</v>
      </c>
      <c r="D96" s="224">
        <v>32.58</v>
      </c>
      <c r="E96" s="224">
        <v>7.28</v>
      </c>
      <c r="F96" s="224">
        <v>14.88</v>
      </c>
      <c r="G96" s="224">
        <v>27.26</v>
      </c>
      <c r="H96" s="224">
        <v>12.36</v>
      </c>
      <c r="I96" s="224">
        <v>0</v>
      </c>
      <c r="J96" s="224">
        <v>0.18</v>
      </c>
      <c r="K96" s="224">
        <v>194.39</v>
      </c>
      <c r="L96" s="224">
        <v>27.79</v>
      </c>
      <c r="M96" s="224">
        <v>47.01</v>
      </c>
      <c r="N96" s="224">
        <v>0</v>
      </c>
      <c r="O96" s="224">
        <v>0</v>
      </c>
      <c r="P96" s="224">
        <v>0.61</v>
      </c>
      <c r="Q96" s="224">
        <v>4.56</v>
      </c>
      <c r="R96" s="13"/>
      <c r="S96" s="13"/>
      <c r="T96" s="213"/>
      <c r="U96" s="13"/>
      <c r="Z96" s="222"/>
    </row>
    <row r="97" customFormat="1" spans="1:21">
      <c r="A97" s="13" t="s">
        <v>2062</v>
      </c>
      <c r="B97" s="224">
        <v>8.58</v>
      </c>
      <c r="C97" s="224">
        <v>50.14</v>
      </c>
      <c r="D97" s="224">
        <v>34.43</v>
      </c>
      <c r="E97" s="224">
        <v>7.06</v>
      </c>
      <c r="F97" s="224">
        <v>11.95</v>
      </c>
      <c r="G97" s="224">
        <v>27.32</v>
      </c>
      <c r="H97" s="224">
        <v>12.36</v>
      </c>
      <c r="I97" s="224">
        <v>0</v>
      </c>
      <c r="J97" s="224">
        <v>0.27</v>
      </c>
      <c r="K97" s="224">
        <v>205.52</v>
      </c>
      <c r="L97" s="224">
        <v>27.77</v>
      </c>
      <c r="M97" s="224">
        <v>46.95</v>
      </c>
      <c r="N97" s="224">
        <v>0</v>
      </c>
      <c r="O97" s="224">
        <v>0</v>
      </c>
      <c r="P97" s="224">
        <v>0.61</v>
      </c>
      <c r="Q97" s="224">
        <v>4.5</v>
      </c>
      <c r="R97" s="13"/>
      <c r="S97" s="13"/>
      <c r="T97" s="213"/>
      <c r="U97" s="13"/>
    </row>
    <row r="98" customFormat="1" spans="1:21">
      <c r="A98" s="13" t="s">
        <v>2063</v>
      </c>
      <c r="B98" s="224">
        <v>8.9</v>
      </c>
      <c r="C98" s="224">
        <v>51.1</v>
      </c>
      <c r="D98" s="224">
        <v>35.19</v>
      </c>
      <c r="E98" s="224">
        <v>6.95</v>
      </c>
      <c r="F98" s="224">
        <v>12.39</v>
      </c>
      <c r="G98" s="224">
        <v>27.32</v>
      </c>
      <c r="H98" s="224">
        <v>12.36</v>
      </c>
      <c r="I98" s="224">
        <v>0</v>
      </c>
      <c r="J98" s="224">
        <v>0.21</v>
      </c>
      <c r="K98" s="224">
        <v>198.88</v>
      </c>
      <c r="L98" s="224">
        <v>27.64</v>
      </c>
      <c r="M98" s="224">
        <v>47.81</v>
      </c>
      <c r="N98" s="224">
        <v>0</v>
      </c>
      <c r="O98" s="224">
        <v>0</v>
      </c>
      <c r="P98" s="224">
        <v>0.61</v>
      </c>
      <c r="Q98" s="224">
        <v>4.44</v>
      </c>
      <c r="R98" s="13"/>
      <c r="S98" s="13"/>
      <c r="T98" s="213"/>
      <c r="U98" s="13"/>
    </row>
    <row r="99" customFormat="1" spans="1:21">
      <c r="A99" s="13" t="s">
        <v>2064</v>
      </c>
      <c r="B99" s="224">
        <v>9.04</v>
      </c>
      <c r="C99" s="224">
        <v>50.64</v>
      </c>
      <c r="D99" s="224">
        <v>35.06</v>
      </c>
      <c r="E99" s="224">
        <v>6.83</v>
      </c>
      <c r="F99" s="224">
        <v>11.2</v>
      </c>
      <c r="G99" s="224">
        <v>27.32</v>
      </c>
      <c r="H99" s="224">
        <v>12.36</v>
      </c>
      <c r="I99" s="224">
        <v>0</v>
      </c>
      <c r="J99" s="224">
        <v>0.23</v>
      </c>
      <c r="K99" s="224">
        <v>184.96</v>
      </c>
      <c r="L99" s="224">
        <v>27.53</v>
      </c>
      <c r="M99" s="224">
        <v>48.54</v>
      </c>
      <c r="N99" s="224">
        <v>0</v>
      </c>
      <c r="O99" s="224">
        <v>0</v>
      </c>
      <c r="P99" s="224">
        <v>0.61</v>
      </c>
      <c r="Q99" s="224">
        <v>4.41</v>
      </c>
      <c r="R99" s="13"/>
      <c r="S99" s="13"/>
      <c r="T99" s="213"/>
      <c r="U99" s="13"/>
    </row>
    <row r="100" customFormat="1" spans="1:33">
      <c r="A100" s="13" t="s">
        <v>2065</v>
      </c>
      <c r="B100" s="224">
        <v>9.44</v>
      </c>
      <c r="C100" s="224">
        <v>52.17</v>
      </c>
      <c r="D100" s="224">
        <v>36.18</v>
      </c>
      <c r="E100" s="224">
        <v>7.24</v>
      </c>
      <c r="F100" s="224">
        <v>11.63</v>
      </c>
      <c r="G100" s="224">
        <v>25.08</v>
      </c>
      <c r="H100" s="224">
        <v>11.63</v>
      </c>
      <c r="I100" s="224">
        <v>0</v>
      </c>
      <c r="J100" s="224">
        <v>0.26</v>
      </c>
      <c r="K100" s="224">
        <v>194.7</v>
      </c>
      <c r="L100" s="224">
        <v>27.34</v>
      </c>
      <c r="M100" s="224">
        <v>49.42</v>
      </c>
      <c r="N100" s="224">
        <v>0</v>
      </c>
      <c r="O100" s="224">
        <v>0</v>
      </c>
      <c r="P100" s="224">
        <v>0.62</v>
      </c>
      <c r="Q100" s="224">
        <v>4.48</v>
      </c>
      <c r="R100" s="13"/>
      <c r="S100" s="13"/>
      <c r="T100" s="213"/>
      <c r="U100" s="13"/>
      <c r="AB100" s="223"/>
      <c r="AG100" s="222"/>
    </row>
    <row r="101" customFormat="1" spans="1:21">
      <c r="A101" s="13" t="s">
        <v>2066</v>
      </c>
      <c r="B101" s="224">
        <v>10.06</v>
      </c>
      <c r="C101" s="224">
        <v>54.78</v>
      </c>
      <c r="D101" s="224">
        <v>38.04</v>
      </c>
      <c r="E101" s="224">
        <v>7.34</v>
      </c>
      <c r="F101" s="224">
        <v>10.11</v>
      </c>
      <c r="G101" s="224">
        <v>24.97</v>
      </c>
      <c r="H101" s="224">
        <v>11.63</v>
      </c>
      <c r="I101" s="224">
        <v>0</v>
      </c>
      <c r="J101" s="224">
        <v>0.14</v>
      </c>
      <c r="K101" s="224">
        <v>245.01</v>
      </c>
      <c r="L101" s="224">
        <v>27.2</v>
      </c>
      <c r="M101" s="224">
        <v>50.22</v>
      </c>
      <c r="N101" s="224">
        <v>0</v>
      </c>
      <c r="O101" s="224">
        <v>0</v>
      </c>
      <c r="P101" s="224">
        <v>0.62</v>
      </c>
      <c r="Q101" s="224">
        <v>4.5</v>
      </c>
      <c r="R101" s="13"/>
      <c r="S101" s="13"/>
      <c r="T101" s="213"/>
      <c r="U101" s="13"/>
    </row>
    <row r="102" customFormat="1" spans="1:21">
      <c r="A102" s="13" t="s">
        <v>2067</v>
      </c>
      <c r="B102" s="224">
        <v>10.52</v>
      </c>
      <c r="C102" s="224">
        <v>55.58</v>
      </c>
      <c r="D102" s="224">
        <v>38.82</v>
      </c>
      <c r="E102" s="224">
        <v>6.78</v>
      </c>
      <c r="F102" s="224">
        <v>8.72</v>
      </c>
      <c r="G102" s="224">
        <v>24.97</v>
      </c>
      <c r="H102" s="224">
        <v>11.63</v>
      </c>
      <c r="I102" s="224">
        <v>0</v>
      </c>
      <c r="J102" s="224">
        <v>0.36</v>
      </c>
      <c r="K102" s="224">
        <v>263.28</v>
      </c>
      <c r="L102" s="224">
        <v>27.47</v>
      </c>
      <c r="M102" s="224">
        <v>49.08</v>
      </c>
      <c r="N102" s="224">
        <v>0</v>
      </c>
      <c r="O102" s="224">
        <v>0</v>
      </c>
      <c r="P102" s="224">
        <v>0.62</v>
      </c>
      <c r="Q102" s="224">
        <v>4.55</v>
      </c>
      <c r="R102" s="13"/>
      <c r="S102" s="13"/>
      <c r="T102" s="213"/>
      <c r="U102" s="13"/>
    </row>
    <row r="103" customFormat="1" spans="1:21">
      <c r="A103" s="13" t="s">
        <v>2068</v>
      </c>
      <c r="B103" s="224">
        <v>11.83</v>
      </c>
      <c r="C103" s="224">
        <v>57.09</v>
      </c>
      <c r="D103" s="224">
        <v>40.66</v>
      </c>
      <c r="E103" s="224">
        <v>7.11</v>
      </c>
      <c r="F103" s="224">
        <v>8.11</v>
      </c>
      <c r="G103" s="224">
        <v>24.97</v>
      </c>
      <c r="H103" s="224">
        <v>11.63</v>
      </c>
      <c r="I103" s="224">
        <v>0</v>
      </c>
      <c r="J103" s="224">
        <v>1.51</v>
      </c>
      <c r="K103" s="224">
        <v>313.54</v>
      </c>
      <c r="L103" s="224">
        <v>28.53</v>
      </c>
      <c r="M103" s="224">
        <v>43.58</v>
      </c>
      <c r="N103" s="224">
        <v>0</v>
      </c>
      <c r="O103" s="224">
        <v>0</v>
      </c>
      <c r="P103" s="224">
        <v>0.61</v>
      </c>
      <c r="Q103" s="224">
        <v>4.73</v>
      </c>
      <c r="R103" s="13"/>
      <c r="S103" s="13"/>
      <c r="T103" s="213"/>
      <c r="U103" s="13"/>
    </row>
    <row r="104" customFormat="1" spans="1:21">
      <c r="A104" s="13" t="s">
        <v>2069</v>
      </c>
      <c r="B104" s="224">
        <v>11.54</v>
      </c>
      <c r="C104" s="224">
        <v>46.04</v>
      </c>
      <c r="D104" s="224">
        <v>34.66</v>
      </c>
      <c r="E104" s="224">
        <v>7.13</v>
      </c>
      <c r="F104" s="224">
        <v>15.34</v>
      </c>
      <c r="G104" s="224">
        <v>29.23</v>
      </c>
      <c r="H104" s="224">
        <v>10.6</v>
      </c>
      <c r="I104" s="224">
        <v>0</v>
      </c>
      <c r="J104" s="224">
        <v>0.61</v>
      </c>
      <c r="K104" s="224">
        <v>356.43</v>
      </c>
      <c r="L104" s="224">
        <v>28.56</v>
      </c>
      <c r="M104" s="224">
        <v>41.67</v>
      </c>
      <c r="N104" s="224">
        <v>0</v>
      </c>
      <c r="O104" s="224">
        <v>0</v>
      </c>
      <c r="P104" s="224">
        <v>0.52</v>
      </c>
      <c r="Q104" s="224">
        <v>4.63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3.84</v>
      </c>
      <c r="C106" s="215">
        <f>MIN(C9:C104)</f>
        <v>21.34</v>
      </c>
      <c r="D106" s="215">
        <f t="shared" ref="D106:Q106" si="0">MIN(D9:D104)</f>
        <v>15.58</v>
      </c>
      <c r="E106" s="215">
        <f t="shared" si="0"/>
        <v>6.32</v>
      </c>
      <c r="F106" s="215">
        <f t="shared" si="0"/>
        <v>3.71</v>
      </c>
      <c r="G106" s="215">
        <f t="shared" si="0"/>
        <v>16.5</v>
      </c>
      <c r="H106" s="215">
        <f t="shared" si="0"/>
        <v>7.52</v>
      </c>
      <c r="I106" s="215">
        <f t="shared" si="0"/>
        <v>0</v>
      </c>
      <c r="J106" s="215">
        <f t="shared" si="0"/>
        <v>0.03</v>
      </c>
      <c r="K106" s="215">
        <f t="shared" si="0"/>
        <v>1.32</v>
      </c>
      <c r="L106" s="215">
        <f t="shared" si="0"/>
        <v>23.36</v>
      </c>
      <c r="M106" s="215">
        <f t="shared" si="0"/>
        <v>20.02</v>
      </c>
      <c r="N106" s="215">
        <f t="shared" si="0"/>
        <v>0</v>
      </c>
      <c r="O106" s="215">
        <f t="shared" si="0"/>
        <v>0</v>
      </c>
      <c r="P106" s="215">
        <f t="shared" si="0"/>
        <v>0.32</v>
      </c>
      <c r="Q106" s="215">
        <f t="shared" si="0"/>
        <v>4.41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15.1</v>
      </c>
      <c r="C107" s="216">
        <f t="shared" ref="C107:Q107" si="1">MAX(C9:C104)</f>
        <v>68.31</v>
      </c>
      <c r="D107" s="216">
        <f t="shared" si="1"/>
        <v>48.83</v>
      </c>
      <c r="E107" s="216">
        <f t="shared" si="1"/>
        <v>26.47</v>
      </c>
      <c r="F107" s="216">
        <f t="shared" si="1"/>
        <v>66.81</v>
      </c>
      <c r="G107" s="216">
        <f t="shared" si="1"/>
        <v>61.15</v>
      </c>
      <c r="H107" s="216">
        <f t="shared" si="1"/>
        <v>20.91</v>
      </c>
      <c r="I107" s="216">
        <f t="shared" si="1"/>
        <v>0</v>
      </c>
      <c r="J107" s="216">
        <f t="shared" si="1"/>
        <v>1.52</v>
      </c>
      <c r="K107" s="216">
        <f t="shared" si="1"/>
        <v>356.43</v>
      </c>
      <c r="L107" s="216">
        <f t="shared" si="1"/>
        <v>37.64</v>
      </c>
      <c r="M107" s="216">
        <f t="shared" si="1"/>
        <v>73.5</v>
      </c>
      <c r="N107" s="216">
        <f t="shared" si="1"/>
        <v>860.9</v>
      </c>
      <c r="O107" s="216">
        <f t="shared" si="1"/>
        <v>0</v>
      </c>
      <c r="P107" s="216">
        <f t="shared" si="1"/>
        <v>0.66</v>
      </c>
      <c r="Q107" s="216">
        <f t="shared" si="1"/>
        <v>5.19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7.3946875</v>
      </c>
      <c r="C108" s="215">
        <f t="shared" ref="C108:Q108" si="2">AVERAGE(C9:C104)</f>
        <v>43.5652083333333</v>
      </c>
      <c r="D108" s="215">
        <f t="shared" si="2"/>
        <v>30.0425</v>
      </c>
      <c r="E108" s="215">
        <f t="shared" si="2"/>
        <v>9.68395833333333</v>
      </c>
      <c r="F108" s="215">
        <f t="shared" si="2"/>
        <v>18.4416666666667</v>
      </c>
      <c r="G108" s="215">
        <f t="shared" si="2"/>
        <v>33.7046875</v>
      </c>
      <c r="H108" s="215">
        <f t="shared" si="2"/>
        <v>13.3910416666667</v>
      </c>
      <c r="I108" s="215">
        <f t="shared" si="2"/>
        <v>0</v>
      </c>
      <c r="J108" s="215">
        <f t="shared" si="2"/>
        <v>0.499791666666667</v>
      </c>
      <c r="K108" s="215">
        <f t="shared" si="2"/>
        <v>207.920520833333</v>
      </c>
      <c r="L108" s="215">
        <f t="shared" si="2"/>
        <v>29.1323958333333</v>
      </c>
      <c r="M108" s="215">
        <f t="shared" si="2"/>
        <v>46.79875</v>
      </c>
      <c r="N108" s="215">
        <f t="shared" si="2"/>
        <v>183.344791666667</v>
      </c>
      <c r="O108" s="215">
        <f t="shared" si="2"/>
        <v>0</v>
      </c>
      <c r="P108" s="215">
        <f t="shared" si="2"/>
        <v>0.512395833333333</v>
      </c>
      <c r="Q108" s="215">
        <f t="shared" si="2"/>
        <v>4.85125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2.56917678936269</v>
      </c>
      <c r="C109" s="215">
        <f t="shared" ref="C109:Q109" si="3">STDEV(C9:C104)</f>
        <v>11.9013334926599</v>
      </c>
      <c r="D109" s="215">
        <f t="shared" si="3"/>
        <v>7.6530713476768</v>
      </c>
      <c r="E109" s="215">
        <f t="shared" si="3"/>
        <v>3.86049450859306</v>
      </c>
      <c r="F109" s="215">
        <f t="shared" si="3"/>
        <v>14.5392269878253</v>
      </c>
      <c r="G109" s="215">
        <f t="shared" si="3"/>
        <v>13.7368939991332</v>
      </c>
      <c r="H109" s="215">
        <f t="shared" si="3"/>
        <v>3.14207691257891</v>
      </c>
      <c r="I109" s="215">
        <f t="shared" si="3"/>
        <v>0</v>
      </c>
      <c r="J109" s="215">
        <f t="shared" si="3"/>
        <v>0.339190923310369</v>
      </c>
      <c r="K109" s="215">
        <f t="shared" si="3"/>
        <v>77.8982419282705</v>
      </c>
      <c r="L109" s="215">
        <f t="shared" si="3"/>
        <v>4.40511443062831</v>
      </c>
      <c r="M109" s="215">
        <f t="shared" si="3"/>
        <v>15.5311033430543</v>
      </c>
      <c r="N109" s="215">
        <f t="shared" si="3"/>
        <v>273.941128469831</v>
      </c>
      <c r="O109" s="215">
        <f t="shared" si="3"/>
        <v>0</v>
      </c>
      <c r="P109" s="215">
        <f t="shared" si="3"/>
        <v>0.0918894621031924</v>
      </c>
      <c r="Q109" s="215">
        <f t="shared" si="3"/>
        <v>0.207436737344184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22/04/2023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3" t="s">
        <v>2070</v>
      </c>
      <c r="B9" s="224">
        <v>10.37</v>
      </c>
      <c r="C9" s="224">
        <v>39.43</v>
      </c>
      <c r="D9" s="224">
        <v>30.26</v>
      </c>
      <c r="E9" s="224">
        <v>16.3</v>
      </c>
      <c r="F9" s="224">
        <v>23.41</v>
      </c>
      <c r="G9" s="224">
        <v>29.42</v>
      </c>
      <c r="H9" s="224">
        <v>10.6</v>
      </c>
      <c r="I9" s="224">
        <v>0</v>
      </c>
      <c r="J9" s="224">
        <v>1.13</v>
      </c>
      <c r="K9" s="224">
        <v>37.39</v>
      </c>
      <c r="L9" s="224">
        <v>28.34</v>
      </c>
      <c r="M9" s="224">
        <v>40.05</v>
      </c>
      <c r="N9" s="224">
        <v>0</v>
      </c>
      <c r="O9" s="224">
        <v>0</v>
      </c>
      <c r="P9" s="224">
        <v>0.5</v>
      </c>
      <c r="Q9" s="224">
        <v>4.96</v>
      </c>
      <c r="R9" s="13"/>
      <c r="S9" s="13"/>
      <c r="T9" s="213"/>
      <c r="U9" s="13"/>
    </row>
    <row r="10" customFormat="1" spans="1:21">
      <c r="A10" s="13" t="s">
        <v>2071</v>
      </c>
      <c r="B10" s="224">
        <v>11.85</v>
      </c>
      <c r="C10" s="224">
        <v>40.07</v>
      </c>
      <c r="D10" s="224">
        <v>31.79</v>
      </c>
      <c r="E10" s="224">
        <v>36.3</v>
      </c>
      <c r="F10" s="224">
        <v>25.67</v>
      </c>
      <c r="G10" s="224">
        <v>29.42</v>
      </c>
      <c r="H10" s="224">
        <v>10.6</v>
      </c>
      <c r="I10" s="224">
        <v>0</v>
      </c>
      <c r="J10" s="224">
        <v>1</v>
      </c>
      <c r="K10" s="224">
        <v>39.92</v>
      </c>
      <c r="L10" s="224">
        <v>27.85</v>
      </c>
      <c r="M10" s="224">
        <v>40.2</v>
      </c>
      <c r="N10" s="224">
        <v>0</v>
      </c>
      <c r="O10" s="224">
        <v>0</v>
      </c>
      <c r="P10" s="224">
        <v>0.42</v>
      </c>
      <c r="Q10" s="224">
        <v>5</v>
      </c>
      <c r="R10" s="13"/>
      <c r="S10" s="13"/>
      <c r="T10" s="213"/>
      <c r="U10" s="13"/>
    </row>
    <row r="11" customFormat="1" spans="1:21">
      <c r="A11" s="13" t="s">
        <v>2072</v>
      </c>
      <c r="B11" s="224">
        <v>10.52</v>
      </c>
      <c r="C11" s="224">
        <v>36.93</v>
      </c>
      <c r="D11" s="224">
        <v>29.09</v>
      </c>
      <c r="E11" s="224">
        <v>46.16</v>
      </c>
      <c r="F11" s="224">
        <v>36.74</v>
      </c>
      <c r="G11" s="224">
        <v>29.42</v>
      </c>
      <c r="H11" s="224">
        <v>10.6</v>
      </c>
      <c r="I11" s="224">
        <v>0</v>
      </c>
      <c r="J11" s="224">
        <v>0.95</v>
      </c>
      <c r="K11" s="224">
        <v>49.12</v>
      </c>
      <c r="L11" s="224">
        <v>27.21</v>
      </c>
      <c r="M11" s="224">
        <v>41.02</v>
      </c>
      <c r="N11" s="224">
        <v>0</v>
      </c>
      <c r="O11" s="224">
        <v>0</v>
      </c>
      <c r="P11" s="224">
        <v>0.35</v>
      </c>
      <c r="Q11" s="224">
        <v>5</v>
      </c>
      <c r="R11" s="13"/>
      <c r="S11" s="13"/>
      <c r="T11" s="213"/>
      <c r="U11" s="13"/>
    </row>
    <row r="12" customFormat="1" spans="1:21">
      <c r="A12" s="13" t="s">
        <v>2073</v>
      </c>
      <c r="B12" s="224">
        <v>14.25</v>
      </c>
      <c r="C12" s="224">
        <v>39.15</v>
      </c>
      <c r="D12" s="224">
        <v>33.23</v>
      </c>
      <c r="E12" s="224">
        <v>44.98</v>
      </c>
      <c r="F12" s="224">
        <v>34.41</v>
      </c>
      <c r="G12" s="224">
        <v>42.67</v>
      </c>
      <c r="H12" s="224">
        <v>14.42</v>
      </c>
      <c r="I12" s="224">
        <v>0</v>
      </c>
      <c r="J12" s="224">
        <v>0.84</v>
      </c>
      <c r="K12" s="224">
        <v>52.95</v>
      </c>
      <c r="L12" s="224">
        <v>26.75</v>
      </c>
      <c r="M12" s="224">
        <v>41.7</v>
      </c>
      <c r="N12" s="224">
        <v>0</v>
      </c>
      <c r="O12" s="224">
        <v>0</v>
      </c>
      <c r="P12" s="224">
        <v>0.32</v>
      </c>
      <c r="Q12" s="224">
        <v>5</v>
      </c>
      <c r="R12" s="13"/>
      <c r="S12" s="13"/>
      <c r="T12" s="213"/>
      <c r="U12" s="13"/>
    </row>
    <row r="13" customFormat="1" spans="1:21">
      <c r="A13" s="13" t="s">
        <v>2074</v>
      </c>
      <c r="B13" s="224">
        <v>11.42</v>
      </c>
      <c r="C13" s="224">
        <v>39.13</v>
      </c>
      <c r="D13" s="224">
        <v>30.95</v>
      </c>
      <c r="E13" s="224">
        <v>20.24</v>
      </c>
      <c r="F13" s="224">
        <v>32.41</v>
      </c>
      <c r="G13" s="224">
        <v>43.29</v>
      </c>
      <c r="H13" s="224">
        <v>14.42</v>
      </c>
      <c r="I13" s="224">
        <v>0</v>
      </c>
      <c r="J13" s="224">
        <v>0.37</v>
      </c>
      <c r="K13" s="224">
        <v>83.45</v>
      </c>
      <c r="L13" s="224">
        <v>26.57</v>
      </c>
      <c r="M13" s="224">
        <v>42.31</v>
      </c>
      <c r="N13" s="224">
        <v>0</v>
      </c>
      <c r="O13" s="224">
        <v>0</v>
      </c>
      <c r="P13" s="224">
        <v>0.29</v>
      </c>
      <c r="Q13" s="224">
        <v>5</v>
      </c>
      <c r="R13" s="13"/>
      <c r="S13" s="13"/>
      <c r="T13" s="213"/>
      <c r="U13" s="13"/>
    </row>
    <row r="14" customFormat="1" spans="1:21">
      <c r="A14" s="13" t="s">
        <v>2075</v>
      </c>
      <c r="B14" s="224">
        <v>6.46</v>
      </c>
      <c r="C14" s="224">
        <v>31.88</v>
      </c>
      <c r="D14" s="224">
        <v>23.19</v>
      </c>
      <c r="E14" s="224">
        <v>12.39</v>
      </c>
      <c r="F14" s="224">
        <v>39.46</v>
      </c>
      <c r="G14" s="224">
        <v>43.29</v>
      </c>
      <c r="H14" s="224">
        <v>14.42</v>
      </c>
      <c r="I14" s="224">
        <v>0</v>
      </c>
      <c r="J14" s="224">
        <v>0.22</v>
      </c>
      <c r="K14" s="224">
        <v>191.53</v>
      </c>
      <c r="L14" s="224">
        <v>26.33</v>
      </c>
      <c r="M14" s="224">
        <v>44.15</v>
      </c>
      <c r="N14" s="224">
        <v>0</v>
      </c>
      <c r="O14" s="224">
        <v>0</v>
      </c>
      <c r="P14" s="224">
        <v>0.28</v>
      </c>
      <c r="Q14" s="224">
        <v>5</v>
      </c>
      <c r="R14" s="13"/>
      <c r="S14" s="13"/>
      <c r="T14" s="213"/>
      <c r="U14" s="13"/>
    </row>
    <row r="15" customFormat="1" spans="1:21">
      <c r="A15" s="13" t="s">
        <v>2076</v>
      </c>
      <c r="B15" s="224">
        <v>5.69</v>
      </c>
      <c r="C15" s="224">
        <v>28.4</v>
      </c>
      <c r="D15" s="224">
        <v>20.75</v>
      </c>
      <c r="E15" s="224">
        <v>10.03</v>
      </c>
      <c r="F15" s="224">
        <v>41.38</v>
      </c>
      <c r="G15" s="224">
        <v>43.29</v>
      </c>
      <c r="H15" s="224">
        <v>14.42</v>
      </c>
      <c r="I15" s="224">
        <v>0</v>
      </c>
      <c r="J15" s="224">
        <v>0.14</v>
      </c>
      <c r="K15" s="224">
        <v>139.87</v>
      </c>
      <c r="L15" s="224">
        <v>25.7</v>
      </c>
      <c r="M15" s="224">
        <v>45.92</v>
      </c>
      <c r="N15" s="224">
        <v>0</v>
      </c>
      <c r="O15" s="224">
        <v>0</v>
      </c>
      <c r="P15" s="224">
        <v>0.28</v>
      </c>
      <c r="Q15" s="224">
        <v>5</v>
      </c>
      <c r="R15" s="13"/>
      <c r="S15" s="13"/>
      <c r="T15" s="213"/>
      <c r="U15" s="13"/>
    </row>
    <row r="16" customFormat="1" spans="1:21">
      <c r="A16" s="13" t="s">
        <v>2077</v>
      </c>
      <c r="B16" s="224">
        <v>6.21</v>
      </c>
      <c r="C16" s="224">
        <v>31.48</v>
      </c>
      <c r="D16" s="224">
        <v>22.78</v>
      </c>
      <c r="E16" s="224">
        <v>9.96</v>
      </c>
      <c r="F16" s="224">
        <v>33.53</v>
      </c>
      <c r="G16" s="224">
        <v>39.27</v>
      </c>
      <c r="H16" s="224">
        <v>13.92</v>
      </c>
      <c r="I16" s="224">
        <v>0</v>
      </c>
      <c r="J16" s="224">
        <v>0.13</v>
      </c>
      <c r="K16" s="224">
        <v>172.61</v>
      </c>
      <c r="L16" s="224">
        <v>25.54</v>
      </c>
      <c r="M16" s="224">
        <v>46.5</v>
      </c>
      <c r="N16" s="224">
        <v>0</v>
      </c>
      <c r="O16" s="224">
        <v>0</v>
      </c>
      <c r="P16" s="224">
        <v>0.29</v>
      </c>
      <c r="Q16" s="224">
        <v>5</v>
      </c>
      <c r="R16" s="13"/>
      <c r="S16" s="13"/>
      <c r="T16" s="213"/>
      <c r="U16" s="13"/>
    </row>
    <row r="17" customFormat="1" spans="1:21">
      <c r="A17" s="13" t="s">
        <v>2078</v>
      </c>
      <c r="B17" s="224">
        <v>5.37</v>
      </c>
      <c r="C17" s="224">
        <v>30.02</v>
      </c>
      <c r="D17" s="224">
        <v>21.34</v>
      </c>
      <c r="E17" s="224">
        <v>11.43</v>
      </c>
      <c r="F17" s="224">
        <v>36.89</v>
      </c>
      <c r="G17" s="224">
        <v>39.08</v>
      </c>
      <c r="H17" s="224">
        <v>13.92</v>
      </c>
      <c r="I17" s="224">
        <v>0</v>
      </c>
      <c r="J17" s="224">
        <v>0.21</v>
      </c>
      <c r="K17" s="224">
        <v>202.3</v>
      </c>
      <c r="L17" s="224">
        <v>25.43</v>
      </c>
      <c r="M17" s="224">
        <v>47.16</v>
      </c>
      <c r="N17" s="224">
        <v>0</v>
      </c>
      <c r="O17" s="224">
        <v>0</v>
      </c>
      <c r="P17" s="224">
        <v>0.31</v>
      </c>
      <c r="Q17" s="224">
        <v>5</v>
      </c>
      <c r="R17" s="13"/>
      <c r="S17" s="13"/>
      <c r="T17" s="213"/>
      <c r="U17" s="13"/>
    </row>
    <row r="18" customFormat="1" spans="1:21">
      <c r="A18" s="13" t="s">
        <v>2079</v>
      </c>
      <c r="B18" s="224">
        <v>4.71</v>
      </c>
      <c r="C18" s="224">
        <v>26.27</v>
      </c>
      <c r="D18" s="224">
        <v>18.85</v>
      </c>
      <c r="E18" s="224">
        <v>12.92</v>
      </c>
      <c r="F18" s="224">
        <v>35.9</v>
      </c>
      <c r="G18" s="224">
        <v>39.08</v>
      </c>
      <c r="H18" s="224">
        <v>13.92</v>
      </c>
      <c r="I18" s="224">
        <v>0</v>
      </c>
      <c r="J18" s="224">
        <v>0.19</v>
      </c>
      <c r="K18" s="224">
        <v>221.77</v>
      </c>
      <c r="L18" s="224">
        <v>24.93</v>
      </c>
      <c r="M18" s="224">
        <v>49.18</v>
      </c>
      <c r="N18" s="224">
        <v>0</v>
      </c>
      <c r="O18" s="224">
        <v>0</v>
      </c>
      <c r="P18" s="224">
        <v>0.28</v>
      </c>
      <c r="Q18" s="224">
        <v>5</v>
      </c>
      <c r="R18" s="13"/>
      <c r="S18" s="13"/>
      <c r="T18" s="213"/>
      <c r="U18" s="13"/>
    </row>
    <row r="19" customFormat="1" spans="1:21">
      <c r="A19" s="13" t="s">
        <v>2080</v>
      </c>
      <c r="B19" s="224">
        <v>4.42</v>
      </c>
      <c r="C19" s="224">
        <v>24</v>
      </c>
      <c r="D19" s="224">
        <v>17.43</v>
      </c>
      <c r="E19" s="224">
        <v>11.23</v>
      </c>
      <c r="F19" s="224">
        <v>39.54</v>
      </c>
      <c r="G19" s="224">
        <v>39.08</v>
      </c>
      <c r="H19" s="224">
        <v>13.92</v>
      </c>
      <c r="I19" s="224">
        <v>0</v>
      </c>
      <c r="J19" s="224">
        <v>0.22</v>
      </c>
      <c r="K19" s="224">
        <v>222.29</v>
      </c>
      <c r="L19" s="224">
        <v>24.81</v>
      </c>
      <c r="M19" s="224">
        <v>49.53</v>
      </c>
      <c r="N19" s="224">
        <v>0</v>
      </c>
      <c r="O19" s="224">
        <v>0</v>
      </c>
      <c r="P19" s="224">
        <v>0.28</v>
      </c>
      <c r="Q19" s="224">
        <v>5</v>
      </c>
      <c r="R19" s="13"/>
      <c r="S19" s="13"/>
      <c r="T19" s="213"/>
      <c r="U19" s="13"/>
    </row>
    <row r="20" customFormat="1" spans="1:21">
      <c r="A20" s="13" t="s">
        <v>2081</v>
      </c>
      <c r="B20" s="224">
        <v>4.25</v>
      </c>
      <c r="C20" s="224">
        <v>22.53</v>
      </c>
      <c r="D20" s="224">
        <v>16.53</v>
      </c>
      <c r="E20" s="224">
        <v>9.56</v>
      </c>
      <c r="F20" s="224">
        <v>35.45</v>
      </c>
      <c r="G20" s="224">
        <v>44.43</v>
      </c>
      <c r="H20" s="224">
        <v>13.19</v>
      </c>
      <c r="I20" s="224">
        <v>0</v>
      </c>
      <c r="J20" s="224">
        <v>0.19</v>
      </c>
      <c r="K20" s="224">
        <v>122.43</v>
      </c>
      <c r="L20" s="224">
        <v>24.86</v>
      </c>
      <c r="M20" s="224">
        <v>49.71</v>
      </c>
      <c r="N20" s="224">
        <v>0</v>
      </c>
      <c r="O20" s="224">
        <v>0</v>
      </c>
      <c r="P20" s="224">
        <v>0.28</v>
      </c>
      <c r="Q20" s="224">
        <v>5</v>
      </c>
      <c r="R20" s="13"/>
      <c r="S20" s="13"/>
      <c r="T20" s="213"/>
      <c r="U20" s="13"/>
    </row>
    <row r="21" customFormat="1" spans="1:21">
      <c r="A21" s="13" t="s">
        <v>2082</v>
      </c>
      <c r="B21" s="224">
        <v>4.17</v>
      </c>
      <c r="C21" s="224">
        <v>22.12</v>
      </c>
      <c r="D21" s="224">
        <v>16.25</v>
      </c>
      <c r="E21" s="224">
        <v>8.24</v>
      </c>
      <c r="F21" s="224">
        <v>36.94</v>
      </c>
      <c r="G21" s="224">
        <v>44.67</v>
      </c>
      <c r="H21" s="224">
        <v>13.19</v>
      </c>
      <c r="I21" s="224">
        <v>0</v>
      </c>
      <c r="J21" s="224">
        <v>0.35</v>
      </c>
      <c r="K21" s="224">
        <v>85.61</v>
      </c>
      <c r="L21" s="224">
        <v>25.08</v>
      </c>
      <c r="M21" s="224">
        <v>48.24</v>
      </c>
      <c r="N21" s="224">
        <v>0</v>
      </c>
      <c r="O21" s="224">
        <v>0</v>
      </c>
      <c r="P21" s="224">
        <v>0.26</v>
      </c>
      <c r="Q21" s="224">
        <v>5</v>
      </c>
      <c r="R21" s="13"/>
      <c r="S21" s="13"/>
      <c r="T21" s="213"/>
      <c r="U21" s="13"/>
    </row>
    <row r="22" customFormat="1" spans="1:21">
      <c r="A22" s="13" t="s">
        <v>2083</v>
      </c>
      <c r="B22" s="224">
        <v>7.87</v>
      </c>
      <c r="C22" s="224">
        <v>28.47</v>
      </c>
      <c r="D22" s="224">
        <v>22.54</v>
      </c>
      <c r="E22" s="224">
        <v>8.76</v>
      </c>
      <c r="F22" s="224">
        <v>26.66</v>
      </c>
      <c r="G22" s="224">
        <v>44.67</v>
      </c>
      <c r="H22" s="224">
        <v>13.19</v>
      </c>
      <c r="I22" s="224">
        <v>0</v>
      </c>
      <c r="J22" s="224">
        <v>1.09</v>
      </c>
      <c r="K22" s="224">
        <v>42.44</v>
      </c>
      <c r="L22" s="224">
        <v>25.27</v>
      </c>
      <c r="M22" s="224">
        <v>46.59</v>
      </c>
      <c r="N22" s="224">
        <v>0</v>
      </c>
      <c r="O22" s="224">
        <v>0</v>
      </c>
      <c r="P22" s="224">
        <v>0.27</v>
      </c>
      <c r="Q22" s="224">
        <v>5</v>
      </c>
      <c r="R22" s="13"/>
      <c r="S22" s="13"/>
      <c r="T22" s="213"/>
      <c r="U22" s="13"/>
    </row>
    <row r="23" customFormat="1" spans="1:21">
      <c r="A23" s="13" t="s">
        <v>2084</v>
      </c>
      <c r="B23" s="224">
        <v>6.69</v>
      </c>
      <c r="C23" s="224">
        <v>27.79</v>
      </c>
      <c r="D23" s="224">
        <v>21.24</v>
      </c>
      <c r="E23" s="224">
        <v>9.39</v>
      </c>
      <c r="F23" s="224">
        <v>26.69</v>
      </c>
      <c r="G23" s="224">
        <v>44.67</v>
      </c>
      <c r="H23" s="224">
        <v>13.19</v>
      </c>
      <c r="I23" s="224">
        <v>0</v>
      </c>
      <c r="J23" s="224">
        <v>1.24</v>
      </c>
      <c r="K23" s="224">
        <v>34.57</v>
      </c>
      <c r="L23" s="224">
        <v>25.49</v>
      </c>
      <c r="M23" s="224">
        <v>46.32</v>
      </c>
      <c r="N23" s="224">
        <v>0</v>
      </c>
      <c r="O23" s="224">
        <v>0</v>
      </c>
      <c r="P23" s="224">
        <v>0.29</v>
      </c>
      <c r="Q23" s="224">
        <v>5</v>
      </c>
      <c r="R23" s="13"/>
      <c r="S23" s="13"/>
      <c r="T23" s="213"/>
      <c r="U23" s="13"/>
    </row>
    <row r="24" customFormat="1" spans="1:21">
      <c r="A24" s="13" t="s">
        <v>2085</v>
      </c>
      <c r="B24" s="224">
        <v>8.73</v>
      </c>
      <c r="C24" s="224">
        <v>29.03</v>
      </c>
      <c r="D24" s="224">
        <v>23.51</v>
      </c>
      <c r="E24" s="224">
        <v>9.63</v>
      </c>
      <c r="F24" s="224">
        <v>21.24</v>
      </c>
      <c r="G24" s="224">
        <v>41.46</v>
      </c>
      <c r="H24" s="224">
        <v>9.89</v>
      </c>
      <c r="I24" s="224">
        <v>0</v>
      </c>
      <c r="J24" s="224">
        <v>1.24</v>
      </c>
      <c r="K24" s="224">
        <v>45.01</v>
      </c>
      <c r="L24" s="224">
        <v>25.26</v>
      </c>
      <c r="M24" s="224">
        <v>47.21</v>
      </c>
      <c r="N24" s="224">
        <v>0</v>
      </c>
      <c r="O24" s="224">
        <v>0</v>
      </c>
      <c r="P24" s="224">
        <v>0.29</v>
      </c>
      <c r="Q24" s="224">
        <v>5</v>
      </c>
      <c r="R24" s="13"/>
      <c r="S24" s="13"/>
      <c r="T24" s="213"/>
      <c r="U24" s="13"/>
    </row>
    <row r="25" customFormat="1" spans="1:21">
      <c r="A25" s="13" t="s">
        <v>2086</v>
      </c>
      <c r="B25" s="224">
        <v>8.67</v>
      </c>
      <c r="C25" s="224">
        <v>32.38</v>
      </c>
      <c r="D25" s="224">
        <v>25.22</v>
      </c>
      <c r="E25" s="224">
        <v>10.56</v>
      </c>
      <c r="F25" s="224">
        <v>20.33</v>
      </c>
      <c r="G25" s="224">
        <v>41.31</v>
      </c>
      <c r="H25" s="224">
        <v>9.89</v>
      </c>
      <c r="I25" s="224">
        <v>0</v>
      </c>
      <c r="J25" s="224">
        <v>0.93</v>
      </c>
      <c r="K25" s="224">
        <v>46.35</v>
      </c>
      <c r="L25" s="224">
        <v>25.31</v>
      </c>
      <c r="M25" s="224">
        <v>46.78</v>
      </c>
      <c r="N25" s="224">
        <v>0</v>
      </c>
      <c r="O25" s="224">
        <v>0</v>
      </c>
      <c r="P25" s="224">
        <v>0.3</v>
      </c>
      <c r="Q25" s="224">
        <v>5</v>
      </c>
      <c r="R25" s="13"/>
      <c r="S25" s="13"/>
      <c r="T25" s="213"/>
      <c r="U25" s="13"/>
    </row>
    <row r="26" customFormat="1" spans="1:21">
      <c r="A26" s="13" t="s">
        <v>2087</v>
      </c>
      <c r="B26" s="224">
        <v>8.94</v>
      </c>
      <c r="C26" s="224">
        <v>33.58</v>
      </c>
      <c r="D26" s="224">
        <v>26.06</v>
      </c>
      <c r="E26" s="224">
        <v>11.87</v>
      </c>
      <c r="F26" s="224">
        <v>18.05</v>
      </c>
      <c r="G26" s="224">
        <v>41.31</v>
      </c>
      <c r="H26" s="224">
        <v>9.89</v>
      </c>
      <c r="I26" s="224">
        <v>0</v>
      </c>
      <c r="J26" s="224">
        <v>0.45</v>
      </c>
      <c r="K26" s="224">
        <v>68.94</v>
      </c>
      <c r="L26" s="224">
        <v>25.47</v>
      </c>
      <c r="M26" s="224">
        <v>46.12</v>
      </c>
      <c r="N26" s="224">
        <v>0</v>
      </c>
      <c r="O26" s="224">
        <v>0</v>
      </c>
      <c r="P26" s="224">
        <v>0.3</v>
      </c>
      <c r="Q26" s="224">
        <v>5</v>
      </c>
      <c r="R26" s="13"/>
      <c r="S26" s="13"/>
      <c r="T26" s="213"/>
      <c r="U26" s="13"/>
    </row>
    <row r="27" customFormat="1" spans="1:21">
      <c r="A27" s="13" t="s">
        <v>2088</v>
      </c>
      <c r="B27" s="224">
        <v>9.46</v>
      </c>
      <c r="C27" s="224">
        <v>35.99</v>
      </c>
      <c r="D27" s="224">
        <v>27.74</v>
      </c>
      <c r="E27" s="224">
        <v>13.04</v>
      </c>
      <c r="F27" s="224">
        <v>10.48</v>
      </c>
      <c r="G27" s="224">
        <v>41.31</v>
      </c>
      <c r="H27" s="224">
        <v>9.89</v>
      </c>
      <c r="I27" s="224">
        <v>0</v>
      </c>
      <c r="J27" s="224">
        <v>0.28</v>
      </c>
      <c r="K27" s="224">
        <v>77.01</v>
      </c>
      <c r="L27" s="224">
        <v>25.4</v>
      </c>
      <c r="M27" s="224">
        <v>46.79</v>
      </c>
      <c r="N27" s="224">
        <v>0</v>
      </c>
      <c r="O27" s="224">
        <v>0</v>
      </c>
      <c r="P27" s="224">
        <v>0.33</v>
      </c>
      <c r="Q27" s="224">
        <v>5</v>
      </c>
      <c r="R27" s="13"/>
      <c r="S27" s="13"/>
      <c r="T27" s="213"/>
      <c r="U27" s="13"/>
    </row>
    <row r="28" customFormat="1" spans="1:21">
      <c r="A28" s="13" t="s">
        <v>2089</v>
      </c>
      <c r="B28" s="224">
        <v>7.56</v>
      </c>
      <c r="C28" s="224">
        <v>37.06</v>
      </c>
      <c r="D28" s="224">
        <v>26.78</v>
      </c>
      <c r="E28" s="224">
        <v>11.53</v>
      </c>
      <c r="F28" s="224">
        <v>8.36</v>
      </c>
      <c r="G28" s="224">
        <v>38.99</v>
      </c>
      <c r="H28" s="224">
        <v>12.09</v>
      </c>
      <c r="I28" s="224">
        <v>0</v>
      </c>
      <c r="J28" s="224">
        <v>0.27</v>
      </c>
      <c r="K28" s="224">
        <v>205.83</v>
      </c>
      <c r="L28" s="224">
        <v>25.01</v>
      </c>
      <c r="M28" s="224">
        <v>49.29</v>
      </c>
      <c r="N28" s="224">
        <v>0</v>
      </c>
      <c r="O28" s="224">
        <v>0</v>
      </c>
      <c r="P28" s="224">
        <v>0.38</v>
      </c>
      <c r="Q28" s="224">
        <v>5</v>
      </c>
      <c r="R28" s="13"/>
      <c r="S28" s="13"/>
      <c r="T28" s="213"/>
      <c r="U28" s="13"/>
    </row>
    <row r="29" customFormat="1" spans="1:21">
      <c r="A29" s="13" t="s">
        <v>2090</v>
      </c>
      <c r="B29" s="224">
        <v>7.29</v>
      </c>
      <c r="C29" s="224">
        <v>38.75</v>
      </c>
      <c r="D29" s="224">
        <v>27.44</v>
      </c>
      <c r="E29" s="224">
        <v>8.87</v>
      </c>
      <c r="F29" s="224">
        <v>5.48</v>
      </c>
      <c r="G29" s="224">
        <v>38.88</v>
      </c>
      <c r="H29" s="224">
        <v>12.09</v>
      </c>
      <c r="I29" s="224">
        <v>0</v>
      </c>
      <c r="J29" s="224">
        <v>0.21</v>
      </c>
      <c r="K29" s="224">
        <v>218.43</v>
      </c>
      <c r="L29" s="224">
        <v>24.62</v>
      </c>
      <c r="M29" s="224">
        <v>50.45</v>
      </c>
      <c r="N29" s="224">
        <v>0</v>
      </c>
      <c r="O29" s="224">
        <v>0</v>
      </c>
      <c r="P29" s="224">
        <v>0.4</v>
      </c>
      <c r="Q29" s="224">
        <v>5</v>
      </c>
      <c r="R29" s="13"/>
      <c r="S29" s="13"/>
      <c r="T29" s="213"/>
      <c r="U29" s="13"/>
    </row>
    <row r="30" customFormat="1" spans="1:21">
      <c r="A30" s="13" t="s">
        <v>2091</v>
      </c>
      <c r="B30" s="224">
        <v>7.61</v>
      </c>
      <c r="C30" s="224">
        <v>40.45</v>
      </c>
      <c r="D30" s="224">
        <v>28.59</v>
      </c>
      <c r="E30" s="224">
        <v>8.19</v>
      </c>
      <c r="F30" s="224">
        <v>4.56</v>
      </c>
      <c r="G30" s="224">
        <v>38.88</v>
      </c>
      <c r="H30" s="224">
        <v>12.09</v>
      </c>
      <c r="I30" s="224">
        <v>0</v>
      </c>
      <c r="J30" s="224">
        <v>0.08</v>
      </c>
      <c r="K30" s="224">
        <v>226.14</v>
      </c>
      <c r="L30" s="224">
        <v>24.55</v>
      </c>
      <c r="M30" s="224">
        <v>50.88</v>
      </c>
      <c r="N30" s="224">
        <v>0</v>
      </c>
      <c r="O30" s="224">
        <v>0</v>
      </c>
      <c r="P30" s="224">
        <v>0.44</v>
      </c>
      <c r="Q30" s="224">
        <v>5</v>
      </c>
      <c r="R30" s="13"/>
      <c r="S30" s="13"/>
      <c r="T30" s="213"/>
      <c r="U30" s="13"/>
    </row>
    <row r="31" customFormat="1" spans="1:21">
      <c r="A31" s="13" t="s">
        <v>2092</v>
      </c>
      <c r="B31" s="224">
        <v>8.17</v>
      </c>
      <c r="C31" s="224">
        <v>42.48</v>
      </c>
      <c r="D31" s="224">
        <v>30.09</v>
      </c>
      <c r="E31" s="224">
        <v>7.92</v>
      </c>
      <c r="F31" s="224">
        <v>4.55</v>
      </c>
      <c r="G31" s="224">
        <v>38.88</v>
      </c>
      <c r="H31" s="224">
        <v>12.09</v>
      </c>
      <c r="I31" s="224">
        <v>0</v>
      </c>
      <c r="J31" s="224">
        <v>0.05</v>
      </c>
      <c r="K31" s="224">
        <v>173.98</v>
      </c>
      <c r="L31" s="224">
        <v>24.46</v>
      </c>
      <c r="M31" s="224">
        <v>51.61</v>
      </c>
      <c r="N31" s="224">
        <v>0.1</v>
      </c>
      <c r="O31" s="224">
        <v>0</v>
      </c>
      <c r="P31" s="224">
        <v>0.47</v>
      </c>
      <c r="Q31" s="224">
        <v>5</v>
      </c>
      <c r="R31" s="13"/>
      <c r="S31" s="13"/>
      <c r="T31" s="213"/>
      <c r="U31" s="13"/>
    </row>
    <row r="32" customFormat="1" spans="1:21">
      <c r="A32" s="13" t="s">
        <v>2093</v>
      </c>
      <c r="B32" s="224">
        <v>8.78</v>
      </c>
      <c r="C32" s="224">
        <v>43.76</v>
      </c>
      <c r="D32" s="224">
        <v>31.25</v>
      </c>
      <c r="E32" s="224">
        <v>7.76</v>
      </c>
      <c r="F32" s="224">
        <v>6.46</v>
      </c>
      <c r="G32" s="224">
        <v>36.91</v>
      </c>
      <c r="H32" s="224">
        <v>10.89</v>
      </c>
      <c r="I32" s="224">
        <v>0</v>
      </c>
      <c r="J32" s="224">
        <v>0.11</v>
      </c>
      <c r="K32" s="224">
        <v>260.41</v>
      </c>
      <c r="L32" s="224">
        <v>24.77</v>
      </c>
      <c r="M32" s="224">
        <v>50.52</v>
      </c>
      <c r="N32" s="224">
        <v>10.5</v>
      </c>
      <c r="O32" s="224">
        <v>0</v>
      </c>
      <c r="P32" s="224">
        <v>0.5</v>
      </c>
      <c r="Q32" s="224">
        <v>5</v>
      </c>
      <c r="R32" s="13"/>
      <c r="S32" s="13"/>
      <c r="T32" s="213"/>
      <c r="U32" s="13"/>
    </row>
    <row r="33" customFormat="1" spans="1:21">
      <c r="A33" s="13" t="s">
        <v>2094</v>
      </c>
      <c r="B33" s="224">
        <v>9.37</v>
      </c>
      <c r="C33" s="224">
        <v>44.95</v>
      </c>
      <c r="D33" s="224">
        <v>32.35</v>
      </c>
      <c r="E33" s="224">
        <v>7.45</v>
      </c>
      <c r="F33" s="224">
        <v>6.83</v>
      </c>
      <c r="G33" s="224">
        <v>36.82</v>
      </c>
      <c r="H33" s="224">
        <v>10.89</v>
      </c>
      <c r="I33" s="224">
        <v>0</v>
      </c>
      <c r="J33" s="224">
        <v>0.16</v>
      </c>
      <c r="K33" s="224">
        <v>218.69</v>
      </c>
      <c r="L33" s="224">
        <v>25.21</v>
      </c>
      <c r="M33" s="224">
        <v>49.19</v>
      </c>
      <c r="N33" s="224">
        <v>25.8</v>
      </c>
      <c r="O33" s="224">
        <v>0</v>
      </c>
      <c r="P33" s="224">
        <v>0.51</v>
      </c>
      <c r="Q33" s="224">
        <v>5</v>
      </c>
      <c r="R33" s="13"/>
      <c r="S33" s="13"/>
      <c r="T33" s="213"/>
      <c r="U33" s="13"/>
    </row>
    <row r="34" customFormat="1" spans="1:21">
      <c r="A34" s="13" t="s">
        <v>2095</v>
      </c>
      <c r="B34" s="224">
        <v>9.85</v>
      </c>
      <c r="C34" s="224">
        <v>47.08</v>
      </c>
      <c r="D34" s="224">
        <v>33.85</v>
      </c>
      <c r="E34" s="224">
        <v>6.59</v>
      </c>
      <c r="F34" s="224">
        <v>5.44</v>
      </c>
      <c r="G34" s="224">
        <v>36.82</v>
      </c>
      <c r="H34" s="224">
        <v>10.89</v>
      </c>
      <c r="I34" s="224">
        <v>0</v>
      </c>
      <c r="J34" s="224">
        <v>0.08</v>
      </c>
      <c r="K34" s="224">
        <v>205.91</v>
      </c>
      <c r="L34" s="224">
        <v>25.31</v>
      </c>
      <c r="M34" s="224">
        <v>50.27</v>
      </c>
      <c r="N34" s="224">
        <v>29.9</v>
      </c>
      <c r="O34" s="224">
        <v>0</v>
      </c>
      <c r="P34" s="224">
        <v>0.51</v>
      </c>
      <c r="Q34" s="224">
        <v>5</v>
      </c>
      <c r="R34" s="13"/>
      <c r="S34" s="13"/>
      <c r="T34" s="213"/>
      <c r="U34" s="13"/>
    </row>
    <row r="35" customFormat="1" spans="1:21">
      <c r="A35" s="13" t="s">
        <v>2096</v>
      </c>
      <c r="B35" s="224">
        <v>10.21</v>
      </c>
      <c r="C35" s="224">
        <v>48.73</v>
      </c>
      <c r="D35" s="224">
        <v>35</v>
      </c>
      <c r="E35" s="224">
        <v>6.68</v>
      </c>
      <c r="F35" s="224">
        <v>5.74</v>
      </c>
      <c r="G35" s="224">
        <v>36.82</v>
      </c>
      <c r="H35" s="224">
        <v>10.89</v>
      </c>
      <c r="I35" s="224">
        <v>0</v>
      </c>
      <c r="J35" s="224">
        <v>0.04</v>
      </c>
      <c r="K35" s="224">
        <v>188.01</v>
      </c>
      <c r="L35" s="224">
        <v>25.42</v>
      </c>
      <c r="M35" s="224">
        <v>50.81</v>
      </c>
      <c r="N35" s="224">
        <v>37.5</v>
      </c>
      <c r="O35" s="224">
        <v>0</v>
      </c>
      <c r="P35" s="224">
        <v>0.5</v>
      </c>
      <c r="Q35" s="224">
        <v>4.95</v>
      </c>
      <c r="R35" s="13"/>
      <c r="S35" s="13"/>
      <c r="T35" s="213"/>
      <c r="U35" s="13"/>
    </row>
    <row r="36" customFormat="1" spans="1:21">
      <c r="A36" s="13" t="s">
        <v>2097</v>
      </c>
      <c r="B36" s="224">
        <v>10.58</v>
      </c>
      <c r="C36" s="224">
        <v>48.9</v>
      </c>
      <c r="D36" s="224">
        <v>35.39</v>
      </c>
      <c r="E36" s="224">
        <v>7.06</v>
      </c>
      <c r="F36" s="224">
        <v>6.61</v>
      </c>
      <c r="G36" s="224">
        <v>35.71</v>
      </c>
      <c r="H36" s="224">
        <v>9.08</v>
      </c>
      <c r="I36" s="224">
        <v>0</v>
      </c>
      <c r="J36" s="224">
        <v>0.12</v>
      </c>
      <c r="K36" s="224">
        <v>159.13</v>
      </c>
      <c r="L36" s="224">
        <v>25.91</v>
      </c>
      <c r="M36" s="224">
        <v>50.1</v>
      </c>
      <c r="N36" s="224">
        <v>36.3</v>
      </c>
      <c r="O36" s="224">
        <v>0</v>
      </c>
      <c r="P36" s="224">
        <v>0.52</v>
      </c>
      <c r="Q36" s="224">
        <v>4.78</v>
      </c>
      <c r="R36" s="13"/>
      <c r="S36" s="13"/>
      <c r="T36" s="213"/>
      <c r="U36" s="13"/>
    </row>
    <row r="37" customFormat="1" spans="1:21">
      <c r="A37" s="13" t="s">
        <v>2098</v>
      </c>
      <c r="B37" s="224">
        <v>11.21</v>
      </c>
      <c r="C37" s="224">
        <v>51.2</v>
      </c>
      <c r="D37" s="224">
        <v>37.09</v>
      </c>
      <c r="E37" s="224">
        <v>6.79</v>
      </c>
      <c r="F37" s="224">
        <v>5.14</v>
      </c>
      <c r="G37" s="224">
        <v>35.65</v>
      </c>
      <c r="H37" s="224">
        <v>9.08</v>
      </c>
      <c r="I37" s="224">
        <v>0</v>
      </c>
      <c r="J37" s="224">
        <v>0.12</v>
      </c>
      <c r="K37" s="224">
        <v>187.66</v>
      </c>
      <c r="L37" s="224">
        <v>25.88</v>
      </c>
      <c r="M37" s="224">
        <v>52.87</v>
      </c>
      <c r="N37" s="224">
        <v>41</v>
      </c>
      <c r="O37" s="224">
        <v>0</v>
      </c>
      <c r="P37" s="224">
        <v>0.52</v>
      </c>
      <c r="Q37" s="224">
        <v>4.65</v>
      </c>
      <c r="R37" s="13"/>
      <c r="S37" s="13"/>
      <c r="T37" s="213"/>
      <c r="U37" s="13"/>
    </row>
    <row r="38" customFormat="1" spans="1:21">
      <c r="A38" s="13" t="s">
        <v>2099</v>
      </c>
      <c r="B38" s="224">
        <v>11.72</v>
      </c>
      <c r="C38" s="224">
        <v>52.76</v>
      </c>
      <c r="D38" s="224">
        <v>38.31</v>
      </c>
      <c r="E38" s="224">
        <v>6.85</v>
      </c>
      <c r="F38" s="224">
        <v>5.14</v>
      </c>
      <c r="G38" s="224">
        <v>35.65</v>
      </c>
      <c r="H38" s="224">
        <v>9.08</v>
      </c>
      <c r="I38" s="224">
        <v>0</v>
      </c>
      <c r="J38" s="224">
        <v>0.36</v>
      </c>
      <c r="K38" s="224">
        <v>70.31</v>
      </c>
      <c r="L38" s="224">
        <v>26.7</v>
      </c>
      <c r="M38" s="224">
        <v>49.09</v>
      </c>
      <c r="N38" s="224">
        <v>69.6</v>
      </c>
      <c r="O38" s="224">
        <v>0</v>
      </c>
      <c r="P38" s="224">
        <v>0.53</v>
      </c>
      <c r="Q38" s="224">
        <v>4.57</v>
      </c>
      <c r="R38" s="13"/>
      <c r="S38" s="13"/>
      <c r="T38" s="213"/>
      <c r="U38" s="13"/>
    </row>
    <row r="39" customFormat="1" spans="1:21">
      <c r="A39" s="13" t="s">
        <v>2100</v>
      </c>
      <c r="B39" s="224">
        <v>11.73</v>
      </c>
      <c r="C39" s="224">
        <v>52.12</v>
      </c>
      <c r="D39" s="224">
        <v>37.99</v>
      </c>
      <c r="E39" s="224">
        <v>7.07</v>
      </c>
      <c r="F39" s="224">
        <v>7.92</v>
      </c>
      <c r="G39" s="224">
        <v>35.65</v>
      </c>
      <c r="H39" s="224">
        <v>9.08</v>
      </c>
      <c r="I39" s="224">
        <v>0</v>
      </c>
      <c r="J39" s="224">
        <v>0.07</v>
      </c>
      <c r="K39" s="224">
        <v>87.53</v>
      </c>
      <c r="L39" s="224">
        <v>28.69</v>
      </c>
      <c r="M39" s="224">
        <v>43.65</v>
      </c>
      <c r="N39" s="224">
        <v>85.5</v>
      </c>
      <c r="O39" s="224">
        <v>0</v>
      </c>
      <c r="P39" s="224">
        <v>0.53</v>
      </c>
      <c r="Q39" s="224">
        <v>4.49</v>
      </c>
      <c r="R39" s="13"/>
      <c r="S39" s="13"/>
      <c r="T39" s="213"/>
      <c r="U39" s="13"/>
    </row>
    <row r="40" customFormat="1" spans="1:21">
      <c r="A40" s="13" t="s">
        <v>2101</v>
      </c>
      <c r="B40" s="224">
        <v>11.76</v>
      </c>
      <c r="C40" s="224">
        <v>52.46</v>
      </c>
      <c r="D40" s="224">
        <v>38.19</v>
      </c>
      <c r="E40" s="224">
        <v>6.92</v>
      </c>
      <c r="F40" s="224">
        <v>7.53</v>
      </c>
      <c r="G40" s="224">
        <v>34.72</v>
      </c>
      <c r="H40" s="224">
        <v>11.23</v>
      </c>
      <c r="I40" s="224">
        <v>0</v>
      </c>
      <c r="J40" s="224">
        <v>0.49</v>
      </c>
      <c r="K40" s="224">
        <v>234.34</v>
      </c>
      <c r="L40" s="224">
        <v>29.24</v>
      </c>
      <c r="M40" s="224">
        <v>42.95</v>
      </c>
      <c r="N40" s="224">
        <v>132.2</v>
      </c>
      <c r="O40" s="224">
        <v>0</v>
      </c>
      <c r="P40" s="224">
        <v>0.53</v>
      </c>
      <c r="Q40" s="224">
        <v>4.53</v>
      </c>
      <c r="R40" s="13"/>
      <c r="S40" s="13"/>
      <c r="T40" s="213"/>
      <c r="U40" s="13"/>
    </row>
    <row r="41" customFormat="1" spans="1:21">
      <c r="A41" s="13" t="s">
        <v>2102</v>
      </c>
      <c r="B41" s="224">
        <v>12.04</v>
      </c>
      <c r="C41" s="224">
        <v>54.9</v>
      </c>
      <c r="D41" s="224">
        <v>39.69</v>
      </c>
      <c r="E41" s="224">
        <v>6.99</v>
      </c>
      <c r="F41" s="224">
        <v>6.06</v>
      </c>
      <c r="G41" s="224">
        <v>34.68</v>
      </c>
      <c r="H41" s="224">
        <v>11.23</v>
      </c>
      <c r="I41" s="224">
        <v>0</v>
      </c>
      <c r="J41" s="224">
        <v>0.65</v>
      </c>
      <c r="K41" s="224">
        <v>223.23</v>
      </c>
      <c r="L41" s="224">
        <v>29.59</v>
      </c>
      <c r="M41" s="224">
        <v>40.64</v>
      </c>
      <c r="N41" s="224">
        <v>224.9</v>
      </c>
      <c r="O41" s="224">
        <v>0</v>
      </c>
      <c r="P41" s="224">
        <v>0.54</v>
      </c>
      <c r="Q41" s="224">
        <v>4.54</v>
      </c>
      <c r="R41" s="13"/>
      <c r="S41" s="13"/>
      <c r="T41" s="213"/>
      <c r="U41" s="13"/>
    </row>
    <row r="42" customFormat="1" spans="1:21">
      <c r="A42" s="13" t="s">
        <v>2103</v>
      </c>
      <c r="B42" s="224">
        <v>11.88</v>
      </c>
      <c r="C42" s="224">
        <v>57.07</v>
      </c>
      <c r="D42" s="224">
        <v>40.69</v>
      </c>
      <c r="E42" s="224">
        <v>6.86</v>
      </c>
      <c r="F42" s="224">
        <v>6.3</v>
      </c>
      <c r="G42" s="224">
        <v>34.68</v>
      </c>
      <c r="H42" s="224">
        <v>11.23</v>
      </c>
      <c r="I42" s="224">
        <v>0</v>
      </c>
      <c r="J42" s="224">
        <v>0.66</v>
      </c>
      <c r="K42" s="224">
        <v>232.33</v>
      </c>
      <c r="L42" s="224">
        <v>30.32</v>
      </c>
      <c r="M42" s="224">
        <v>38.05</v>
      </c>
      <c r="N42" s="224">
        <v>343.7</v>
      </c>
      <c r="O42" s="224">
        <v>0</v>
      </c>
      <c r="P42" s="224">
        <v>0.54</v>
      </c>
      <c r="Q42" s="224">
        <v>4.6</v>
      </c>
      <c r="R42" s="13"/>
      <c r="S42" s="13"/>
      <c r="T42" s="213"/>
      <c r="U42" s="13"/>
    </row>
    <row r="43" customFormat="1" spans="1:21">
      <c r="A43" s="13" t="s">
        <v>2104</v>
      </c>
      <c r="B43" s="224">
        <v>11.4</v>
      </c>
      <c r="C43" s="224">
        <v>57.98</v>
      </c>
      <c r="D43" s="224">
        <v>40.78</v>
      </c>
      <c r="E43" s="224">
        <v>6.87</v>
      </c>
      <c r="F43" s="224">
        <v>6.5</v>
      </c>
      <c r="G43" s="224">
        <v>34.68</v>
      </c>
      <c r="H43" s="224">
        <v>11.23</v>
      </c>
      <c r="I43" s="224">
        <v>0</v>
      </c>
      <c r="J43" s="224">
        <v>0.6</v>
      </c>
      <c r="K43" s="224">
        <v>229.58</v>
      </c>
      <c r="L43" s="224">
        <v>31.17</v>
      </c>
      <c r="M43" s="224">
        <v>35.58</v>
      </c>
      <c r="N43" s="224">
        <v>428.6</v>
      </c>
      <c r="O43" s="224">
        <v>0</v>
      </c>
      <c r="P43" s="224">
        <v>0.53</v>
      </c>
      <c r="Q43" s="224">
        <v>4.64</v>
      </c>
      <c r="R43" s="13"/>
      <c r="S43" s="13"/>
      <c r="T43" s="213"/>
      <c r="U43" s="13"/>
    </row>
    <row r="44" customFormat="1" spans="1:21">
      <c r="A44" s="13" t="s">
        <v>2105</v>
      </c>
      <c r="B44" s="224">
        <v>10.98</v>
      </c>
      <c r="C44" s="224">
        <v>58.62</v>
      </c>
      <c r="D44" s="224">
        <v>40.79</v>
      </c>
      <c r="E44" s="224">
        <v>7.21</v>
      </c>
      <c r="F44" s="224">
        <v>7.74</v>
      </c>
      <c r="G44" s="224">
        <v>33.23</v>
      </c>
      <c r="H44" s="224">
        <v>8.64</v>
      </c>
      <c r="I44" s="224">
        <v>0</v>
      </c>
      <c r="J44" s="224">
        <v>0.71</v>
      </c>
      <c r="K44" s="224">
        <v>244.62</v>
      </c>
      <c r="L44" s="224">
        <v>31.83</v>
      </c>
      <c r="M44" s="224">
        <v>34.19</v>
      </c>
      <c r="N44" s="224">
        <v>259.2</v>
      </c>
      <c r="O44" s="224">
        <v>0</v>
      </c>
      <c r="P44" s="224">
        <v>0.54</v>
      </c>
      <c r="Q44" s="224">
        <v>4.63</v>
      </c>
      <c r="R44" s="13"/>
      <c r="S44" s="13"/>
      <c r="T44" s="213"/>
      <c r="U44" s="13"/>
    </row>
    <row r="45" customFormat="1" spans="1:21">
      <c r="A45" s="13" t="s">
        <v>2106</v>
      </c>
      <c r="B45" s="224">
        <v>10.49</v>
      </c>
      <c r="C45" s="224">
        <v>58.25</v>
      </c>
      <c r="D45" s="224">
        <v>40.19</v>
      </c>
      <c r="E45" s="224">
        <v>6.68</v>
      </c>
      <c r="F45" s="224">
        <v>7.02</v>
      </c>
      <c r="G45" s="224">
        <v>33.16</v>
      </c>
      <c r="H45" s="224">
        <v>8.64</v>
      </c>
      <c r="I45" s="224">
        <v>0</v>
      </c>
      <c r="J45" s="224">
        <v>0.75</v>
      </c>
      <c r="K45" s="224">
        <v>237.4</v>
      </c>
      <c r="L45" s="224">
        <v>32.37</v>
      </c>
      <c r="M45" s="224">
        <v>32.51</v>
      </c>
      <c r="N45" s="224">
        <v>288.3</v>
      </c>
      <c r="O45" s="224">
        <v>0</v>
      </c>
      <c r="P45" s="224">
        <v>0.54</v>
      </c>
      <c r="Q45" s="224">
        <v>4.61</v>
      </c>
      <c r="R45" s="13"/>
      <c r="S45" s="13"/>
      <c r="T45" s="213"/>
      <c r="U45" s="13"/>
    </row>
    <row r="46" customFormat="1" spans="1:21">
      <c r="A46" s="13" t="s">
        <v>2107</v>
      </c>
      <c r="B46" s="224">
        <v>9.98</v>
      </c>
      <c r="C46" s="224">
        <v>61.82</v>
      </c>
      <c r="D46" s="224">
        <v>41.65</v>
      </c>
      <c r="E46" s="224">
        <v>6.58</v>
      </c>
      <c r="F46" s="224">
        <v>6.48</v>
      </c>
      <c r="G46" s="224">
        <v>33.16</v>
      </c>
      <c r="H46" s="224">
        <v>8.64</v>
      </c>
      <c r="I46" s="224">
        <v>0</v>
      </c>
      <c r="J46" s="224">
        <v>0.66</v>
      </c>
      <c r="K46" s="224">
        <v>227.66</v>
      </c>
      <c r="L46" s="224">
        <v>33.08</v>
      </c>
      <c r="M46" s="224">
        <v>30.92</v>
      </c>
      <c r="N46" s="224">
        <v>230.1</v>
      </c>
      <c r="O46" s="224">
        <v>0</v>
      </c>
      <c r="P46" s="224">
        <v>0.53</v>
      </c>
      <c r="Q46" s="224">
        <v>4.71</v>
      </c>
      <c r="R46" s="13"/>
      <c r="S46" s="13"/>
      <c r="T46" s="213"/>
      <c r="U46" s="13"/>
    </row>
    <row r="47" customFormat="1" spans="1:21">
      <c r="A47" s="13" t="s">
        <v>2108</v>
      </c>
      <c r="B47" s="224">
        <v>8.87</v>
      </c>
      <c r="C47" s="224">
        <v>55.71</v>
      </c>
      <c r="D47" s="224">
        <v>37.57</v>
      </c>
      <c r="E47" s="224">
        <v>5.81</v>
      </c>
      <c r="F47" s="224">
        <v>10.12</v>
      </c>
      <c r="G47" s="224">
        <v>33.16</v>
      </c>
      <c r="H47" s="224">
        <v>8.64</v>
      </c>
      <c r="I47" s="224">
        <v>0</v>
      </c>
      <c r="J47" s="224">
        <v>0.74</v>
      </c>
      <c r="K47" s="224">
        <v>236.41</v>
      </c>
      <c r="L47" s="224">
        <v>33.72</v>
      </c>
      <c r="M47" s="224">
        <v>29.86</v>
      </c>
      <c r="N47" s="224">
        <v>233.8</v>
      </c>
      <c r="O47" s="224">
        <v>0</v>
      </c>
      <c r="P47" s="224">
        <v>0.48</v>
      </c>
      <c r="Q47" s="224">
        <v>4.6</v>
      </c>
      <c r="R47" s="13"/>
      <c r="S47" s="13"/>
      <c r="T47" s="213"/>
      <c r="U47" s="13"/>
    </row>
    <row r="48" customFormat="1" spans="1:21">
      <c r="A48" s="13" t="s">
        <v>2109</v>
      </c>
      <c r="B48" s="224">
        <v>7.42</v>
      </c>
      <c r="C48" s="224">
        <v>51.7</v>
      </c>
      <c r="D48" s="224">
        <v>34.31</v>
      </c>
      <c r="E48" s="224">
        <v>5.62</v>
      </c>
      <c r="F48" s="224">
        <v>11.63</v>
      </c>
      <c r="G48" s="224">
        <v>31.4</v>
      </c>
      <c r="H48" s="224">
        <v>10.39</v>
      </c>
      <c r="I48" s="224">
        <v>0</v>
      </c>
      <c r="J48" s="224">
        <v>0.68</v>
      </c>
      <c r="K48" s="224">
        <v>238.53</v>
      </c>
      <c r="L48" s="224">
        <v>34.25</v>
      </c>
      <c r="M48" s="224">
        <v>28.58</v>
      </c>
      <c r="N48" s="224">
        <v>469.1</v>
      </c>
      <c r="O48" s="224">
        <v>0</v>
      </c>
      <c r="P48" s="224">
        <v>0.44</v>
      </c>
      <c r="Q48" s="224">
        <v>4.82</v>
      </c>
      <c r="R48" s="13"/>
      <c r="S48" s="13"/>
      <c r="T48" s="213"/>
      <c r="U48" s="13"/>
    </row>
    <row r="49" customFormat="1" spans="1:21">
      <c r="A49" s="13" t="s">
        <v>2110</v>
      </c>
      <c r="B49" s="224">
        <v>6.18</v>
      </c>
      <c r="C49" s="224">
        <v>47.72</v>
      </c>
      <c r="D49" s="224">
        <v>31.24</v>
      </c>
      <c r="E49" s="224">
        <v>5.9</v>
      </c>
      <c r="F49" s="224">
        <v>12.18</v>
      </c>
      <c r="G49" s="224">
        <v>31.32</v>
      </c>
      <c r="H49" s="224">
        <v>10.39</v>
      </c>
      <c r="I49" s="224">
        <v>0</v>
      </c>
      <c r="J49" s="224">
        <v>0.85</v>
      </c>
      <c r="K49" s="224">
        <v>245.79</v>
      </c>
      <c r="L49" s="224">
        <v>34.23</v>
      </c>
      <c r="M49" s="224">
        <v>27.22</v>
      </c>
      <c r="N49" s="224">
        <v>660.1</v>
      </c>
      <c r="O49" s="224">
        <v>0</v>
      </c>
      <c r="P49" s="224">
        <v>0.41</v>
      </c>
      <c r="Q49" s="224">
        <v>5</v>
      </c>
      <c r="R49" s="13"/>
      <c r="S49" s="13"/>
      <c r="T49" s="213"/>
      <c r="U49" s="13"/>
    </row>
    <row r="50" customFormat="1" spans="1:21">
      <c r="A50" s="13" t="s">
        <v>2111</v>
      </c>
      <c r="B50" s="224">
        <v>5.26</v>
      </c>
      <c r="C50" s="224">
        <v>43.02</v>
      </c>
      <c r="D50" s="224">
        <v>28.04</v>
      </c>
      <c r="E50" s="224">
        <v>6.74</v>
      </c>
      <c r="F50" s="224">
        <v>16.59</v>
      </c>
      <c r="G50" s="224">
        <v>31.32</v>
      </c>
      <c r="H50" s="224">
        <v>10.39</v>
      </c>
      <c r="I50" s="224">
        <v>0</v>
      </c>
      <c r="J50" s="224">
        <v>0.88</v>
      </c>
      <c r="K50" s="224">
        <v>238.59</v>
      </c>
      <c r="L50" s="224">
        <v>34.95</v>
      </c>
      <c r="M50" s="224">
        <v>26.23</v>
      </c>
      <c r="N50" s="224">
        <v>471.6</v>
      </c>
      <c r="O50" s="224">
        <v>0</v>
      </c>
      <c r="P50" s="224">
        <v>0.38</v>
      </c>
      <c r="Q50" s="224">
        <v>5</v>
      </c>
      <c r="R50" s="13"/>
      <c r="S50" s="13"/>
      <c r="T50" s="213"/>
      <c r="U50" s="13"/>
    </row>
    <row r="51" customFormat="1" spans="1:21">
      <c r="A51" s="13" t="s">
        <v>2112</v>
      </c>
      <c r="B51" s="224">
        <v>4.67</v>
      </c>
      <c r="C51" s="224">
        <v>41.5</v>
      </c>
      <c r="D51" s="224">
        <v>26.78</v>
      </c>
      <c r="E51" s="224">
        <v>6.51</v>
      </c>
      <c r="F51" s="224">
        <v>15.62</v>
      </c>
      <c r="G51" s="224">
        <v>31.32</v>
      </c>
      <c r="H51" s="224">
        <v>10.39</v>
      </c>
      <c r="I51" s="224">
        <v>0</v>
      </c>
      <c r="J51" s="224">
        <v>1.4</v>
      </c>
      <c r="K51" s="224">
        <v>262.03</v>
      </c>
      <c r="L51" s="224">
        <v>34.19</v>
      </c>
      <c r="M51" s="224">
        <v>27.06</v>
      </c>
      <c r="N51" s="224">
        <v>685.7</v>
      </c>
      <c r="O51" s="224">
        <v>0</v>
      </c>
      <c r="P51" s="224">
        <v>0.36</v>
      </c>
      <c r="Q51" s="224">
        <v>5</v>
      </c>
      <c r="R51" s="13"/>
      <c r="S51" s="13"/>
      <c r="T51" s="213"/>
      <c r="U51" s="13"/>
    </row>
    <row r="52" customFormat="1" spans="1:21">
      <c r="A52" s="13" t="s">
        <v>2113</v>
      </c>
      <c r="B52" s="224">
        <v>4.26</v>
      </c>
      <c r="C52" s="224">
        <v>36.63</v>
      </c>
      <c r="D52" s="224">
        <v>23.91</v>
      </c>
      <c r="E52" s="224">
        <v>7.12</v>
      </c>
      <c r="F52" s="224">
        <v>28.7</v>
      </c>
      <c r="G52" s="224">
        <v>28.73</v>
      </c>
      <c r="H52" s="224">
        <v>9.14</v>
      </c>
      <c r="I52" s="224">
        <v>0</v>
      </c>
      <c r="J52" s="224">
        <v>1.09</v>
      </c>
      <c r="K52" s="224">
        <v>255.42</v>
      </c>
      <c r="L52" s="224">
        <v>35.04</v>
      </c>
      <c r="M52" s="224">
        <v>26.76</v>
      </c>
      <c r="N52" s="224">
        <v>794.8</v>
      </c>
      <c r="O52" s="224">
        <v>0</v>
      </c>
      <c r="P52" s="224">
        <v>0.33</v>
      </c>
      <c r="Q52" s="224">
        <v>5</v>
      </c>
      <c r="R52" s="13"/>
      <c r="S52" s="13"/>
      <c r="T52" s="213"/>
      <c r="U52" s="13"/>
    </row>
    <row r="53" customFormat="1" spans="1:21">
      <c r="A53" s="13" t="s">
        <v>2114</v>
      </c>
      <c r="B53" s="224">
        <v>3.84</v>
      </c>
      <c r="C53" s="224">
        <v>32.82</v>
      </c>
      <c r="D53" s="224">
        <v>21.58</v>
      </c>
      <c r="E53" s="224">
        <v>7.05</v>
      </c>
      <c r="F53" s="224">
        <v>28.95</v>
      </c>
      <c r="G53" s="224">
        <v>28.61</v>
      </c>
      <c r="H53" s="224">
        <v>9.14</v>
      </c>
      <c r="I53" s="224">
        <v>0</v>
      </c>
      <c r="J53" s="224">
        <v>0.79</v>
      </c>
      <c r="K53" s="224">
        <v>211.25</v>
      </c>
      <c r="L53" s="224">
        <v>35.9</v>
      </c>
      <c r="M53" s="224">
        <v>25.51</v>
      </c>
      <c r="N53" s="224">
        <v>750.3</v>
      </c>
      <c r="O53" s="224">
        <v>0</v>
      </c>
      <c r="P53" s="224">
        <v>0.33</v>
      </c>
      <c r="Q53" s="224">
        <v>5</v>
      </c>
      <c r="R53" s="13"/>
      <c r="S53" s="13"/>
      <c r="T53" s="213"/>
      <c r="U53" s="13"/>
    </row>
    <row r="54" customFormat="1" spans="1:21">
      <c r="A54" s="13" t="s">
        <v>2115</v>
      </c>
      <c r="B54" s="224">
        <v>3.85</v>
      </c>
      <c r="C54" s="224">
        <v>32.42</v>
      </c>
      <c r="D54" s="224">
        <v>21.37</v>
      </c>
      <c r="E54" s="224">
        <v>7.3</v>
      </c>
      <c r="F54" s="224">
        <v>28.75</v>
      </c>
      <c r="G54" s="224">
        <v>28.61</v>
      </c>
      <c r="H54" s="224">
        <v>9.14</v>
      </c>
      <c r="I54" s="224">
        <v>0</v>
      </c>
      <c r="J54" s="224">
        <v>1.23</v>
      </c>
      <c r="K54" s="224">
        <v>271.66</v>
      </c>
      <c r="L54" s="224">
        <v>36.13</v>
      </c>
      <c r="M54" s="224">
        <v>23.89</v>
      </c>
      <c r="N54" s="224">
        <v>838.4</v>
      </c>
      <c r="O54" s="224">
        <v>0</v>
      </c>
      <c r="P54" s="224">
        <v>0.34</v>
      </c>
      <c r="Q54" s="224">
        <v>5</v>
      </c>
      <c r="R54" s="13"/>
      <c r="S54" s="13"/>
      <c r="T54" s="213"/>
      <c r="U54" s="13"/>
    </row>
    <row r="55" customFormat="1" spans="1:21">
      <c r="A55" s="13" t="s">
        <v>2116</v>
      </c>
      <c r="B55" s="224">
        <v>4.17</v>
      </c>
      <c r="C55" s="224">
        <v>31.56</v>
      </c>
      <c r="D55" s="224">
        <v>21.19</v>
      </c>
      <c r="E55" s="224">
        <v>8</v>
      </c>
      <c r="F55" s="224">
        <v>35.48</v>
      </c>
      <c r="G55" s="224">
        <v>28.61</v>
      </c>
      <c r="H55" s="224">
        <v>9.14</v>
      </c>
      <c r="I55" s="224">
        <v>0</v>
      </c>
      <c r="J55" s="224">
        <v>1.06</v>
      </c>
      <c r="K55" s="224">
        <v>268.17</v>
      </c>
      <c r="L55" s="224">
        <v>36.5</v>
      </c>
      <c r="M55" s="224">
        <v>22.94</v>
      </c>
      <c r="N55" s="224">
        <v>853.4</v>
      </c>
      <c r="O55" s="224">
        <v>0</v>
      </c>
      <c r="P55" s="224">
        <v>0.34</v>
      </c>
      <c r="Q55" s="224">
        <v>5</v>
      </c>
      <c r="R55" s="13"/>
      <c r="S55" s="13"/>
      <c r="T55" s="213"/>
      <c r="U55" s="13"/>
    </row>
    <row r="56" customFormat="1" spans="1:21">
      <c r="A56" s="13" t="s">
        <v>2117</v>
      </c>
      <c r="B56" s="224">
        <v>4.51</v>
      </c>
      <c r="C56" s="224">
        <v>25.23</v>
      </c>
      <c r="D56" s="224">
        <v>18.15</v>
      </c>
      <c r="E56" s="224">
        <v>10.27</v>
      </c>
      <c r="F56" s="224">
        <v>69.42</v>
      </c>
      <c r="G56" s="224">
        <v>25.47</v>
      </c>
      <c r="H56" s="224">
        <v>11.67</v>
      </c>
      <c r="I56" s="224">
        <v>0</v>
      </c>
      <c r="J56" s="224">
        <v>1.44</v>
      </c>
      <c r="K56" s="224">
        <v>269.15</v>
      </c>
      <c r="L56" s="224">
        <v>36.53</v>
      </c>
      <c r="M56" s="224">
        <v>22.57</v>
      </c>
      <c r="N56" s="224">
        <v>868.3</v>
      </c>
      <c r="O56" s="224">
        <v>0</v>
      </c>
      <c r="P56" s="224">
        <v>0.32</v>
      </c>
      <c r="Q56" s="224">
        <v>5</v>
      </c>
      <c r="R56" s="13"/>
      <c r="S56" s="13"/>
      <c r="T56" s="213"/>
      <c r="U56" s="13"/>
    </row>
    <row r="57" customFormat="1" spans="1:21">
      <c r="A57" s="13" t="s">
        <v>2118</v>
      </c>
      <c r="B57" s="224">
        <v>3.55</v>
      </c>
      <c r="C57" s="224">
        <v>20.35</v>
      </c>
      <c r="D57" s="224">
        <v>14.84</v>
      </c>
      <c r="E57" s="224">
        <v>11.14</v>
      </c>
      <c r="F57" s="224">
        <v>71.13</v>
      </c>
      <c r="G57" s="224">
        <v>25.33</v>
      </c>
      <c r="H57" s="224">
        <v>11.67</v>
      </c>
      <c r="I57" s="224">
        <v>0</v>
      </c>
      <c r="J57" s="224">
        <v>1.63</v>
      </c>
      <c r="K57" s="224">
        <v>266.46</v>
      </c>
      <c r="L57" s="224">
        <v>36.57</v>
      </c>
      <c r="M57" s="224">
        <v>22.89</v>
      </c>
      <c r="N57" s="224">
        <v>880.9</v>
      </c>
      <c r="O57" s="224">
        <v>0</v>
      </c>
      <c r="P57" s="224">
        <v>0.33</v>
      </c>
      <c r="Q57" s="224">
        <v>0</v>
      </c>
      <c r="R57" s="13"/>
      <c r="S57" s="13"/>
      <c r="T57" s="213"/>
      <c r="U57" s="13"/>
    </row>
    <row r="58" customFormat="1" spans="1:21">
      <c r="A58" s="13" t="s">
        <v>2119</v>
      </c>
      <c r="B58" s="224">
        <v>3.86</v>
      </c>
      <c r="C58" s="224">
        <v>28.37</v>
      </c>
      <c r="D58" s="224">
        <v>19.27</v>
      </c>
      <c r="E58" s="224">
        <v>10.36</v>
      </c>
      <c r="F58" s="224">
        <v>48.56</v>
      </c>
      <c r="G58" s="224">
        <v>25.33</v>
      </c>
      <c r="H58" s="224">
        <v>11.67</v>
      </c>
      <c r="I58" s="224">
        <v>0.03</v>
      </c>
      <c r="J58" s="224">
        <v>1.42</v>
      </c>
      <c r="K58" s="224">
        <v>268.43</v>
      </c>
      <c r="L58" s="224">
        <v>37.15</v>
      </c>
      <c r="M58" s="224">
        <v>22.42</v>
      </c>
      <c r="N58" s="224">
        <v>875.8</v>
      </c>
      <c r="O58" s="224">
        <v>0</v>
      </c>
      <c r="P58" s="224">
        <v>0.38</v>
      </c>
      <c r="Q58" s="224">
        <v>3.16</v>
      </c>
      <c r="R58" s="13"/>
      <c r="S58" s="13"/>
      <c r="T58" s="213"/>
      <c r="U58" s="13"/>
    </row>
    <row r="59" customFormat="1" spans="1:21">
      <c r="A59" s="13" t="s">
        <v>2120</v>
      </c>
      <c r="B59" s="224">
        <v>3.41</v>
      </c>
      <c r="C59" s="224">
        <v>37.3</v>
      </c>
      <c r="D59" s="224">
        <v>23.58</v>
      </c>
      <c r="E59" s="224">
        <v>10.53</v>
      </c>
      <c r="F59" s="224">
        <v>41.41</v>
      </c>
      <c r="G59" s="224">
        <v>25.33</v>
      </c>
      <c r="H59" s="224">
        <v>11.67</v>
      </c>
      <c r="I59" s="224">
        <v>2.96</v>
      </c>
      <c r="J59" s="224">
        <v>1.1</v>
      </c>
      <c r="K59" s="224">
        <v>230.83</v>
      </c>
      <c r="L59" s="224">
        <v>37.68</v>
      </c>
      <c r="M59" s="224">
        <v>22.2</v>
      </c>
      <c r="N59" s="224">
        <v>866.3</v>
      </c>
      <c r="O59" s="224">
        <v>0</v>
      </c>
      <c r="P59" s="224">
        <v>0.45</v>
      </c>
      <c r="Q59" s="224">
        <v>5.03</v>
      </c>
      <c r="R59" s="13"/>
      <c r="S59" s="13"/>
      <c r="T59" s="213"/>
      <c r="U59" s="13"/>
    </row>
    <row r="60" customFormat="1" spans="1:21">
      <c r="A60" s="13" t="s">
        <v>2121</v>
      </c>
      <c r="B60" s="224">
        <v>3.57</v>
      </c>
      <c r="C60" s="224">
        <v>34.18</v>
      </c>
      <c r="D60" s="224">
        <v>22.07</v>
      </c>
      <c r="E60" s="224">
        <v>10.78</v>
      </c>
      <c r="F60" s="224">
        <v>44.9</v>
      </c>
      <c r="G60" s="224">
        <v>30.11</v>
      </c>
      <c r="H60" s="224">
        <v>12.09</v>
      </c>
      <c r="I60" s="224">
        <v>2.97</v>
      </c>
      <c r="J60" s="224">
        <v>1.19</v>
      </c>
      <c r="K60" s="224">
        <v>275.86</v>
      </c>
      <c r="L60" s="224">
        <v>37.42</v>
      </c>
      <c r="M60" s="224">
        <v>22.46</v>
      </c>
      <c r="N60" s="224">
        <v>858.7</v>
      </c>
      <c r="O60" s="224">
        <v>0</v>
      </c>
      <c r="P60" s="224">
        <v>0.49</v>
      </c>
      <c r="Q60" s="224">
        <v>5.4</v>
      </c>
      <c r="R60" s="13"/>
      <c r="S60" s="13"/>
      <c r="T60" s="213"/>
      <c r="U60" s="13"/>
    </row>
    <row r="61" customFormat="1" spans="1:21">
      <c r="A61" s="13" t="s">
        <v>2122</v>
      </c>
      <c r="B61" s="224">
        <v>5.04</v>
      </c>
      <c r="C61" s="224">
        <v>30.94</v>
      </c>
      <c r="D61" s="224">
        <v>21.56</v>
      </c>
      <c r="E61" s="224">
        <v>11.59</v>
      </c>
      <c r="F61" s="224">
        <v>53.92</v>
      </c>
      <c r="G61" s="224">
        <v>30.33</v>
      </c>
      <c r="H61" s="224">
        <v>12.09</v>
      </c>
      <c r="I61" s="224">
        <v>2.93</v>
      </c>
      <c r="J61" s="224">
        <v>1.36</v>
      </c>
      <c r="K61" s="224">
        <v>265.83</v>
      </c>
      <c r="L61" s="224">
        <v>37.85</v>
      </c>
      <c r="M61" s="224">
        <v>21.88</v>
      </c>
      <c r="N61" s="224">
        <v>844.1</v>
      </c>
      <c r="O61" s="224">
        <v>0</v>
      </c>
      <c r="P61" s="224">
        <v>0.51</v>
      </c>
      <c r="Q61" s="224">
        <v>5.33</v>
      </c>
      <c r="R61" s="13"/>
      <c r="S61" s="13"/>
      <c r="T61" s="213"/>
      <c r="U61" s="13"/>
    </row>
    <row r="62" customFormat="1" spans="1:21">
      <c r="A62" s="13" t="s">
        <v>2123</v>
      </c>
      <c r="B62" s="224">
        <v>3.6</v>
      </c>
      <c r="C62" s="224">
        <v>24.4</v>
      </c>
      <c r="D62" s="224">
        <v>16.98</v>
      </c>
      <c r="E62" s="224">
        <v>11.02</v>
      </c>
      <c r="F62" s="224">
        <v>63.11</v>
      </c>
      <c r="G62" s="224">
        <v>30.33</v>
      </c>
      <c r="H62" s="224">
        <v>12.09</v>
      </c>
      <c r="I62" s="224">
        <v>2.61</v>
      </c>
      <c r="J62" s="224">
        <v>0.82</v>
      </c>
      <c r="K62" s="224">
        <v>249.51</v>
      </c>
      <c r="L62" s="224">
        <v>38.18</v>
      </c>
      <c r="M62" s="224">
        <v>21.92</v>
      </c>
      <c r="N62" s="224">
        <v>797.5</v>
      </c>
      <c r="O62" s="224">
        <v>0</v>
      </c>
      <c r="P62" s="224">
        <v>0.49</v>
      </c>
      <c r="Q62" s="224">
        <v>5.18</v>
      </c>
      <c r="R62" s="13"/>
      <c r="S62" s="13"/>
      <c r="T62" s="213"/>
      <c r="U62" s="13"/>
    </row>
    <row r="63" customFormat="1" spans="1:21">
      <c r="A63" s="13" t="s">
        <v>2124</v>
      </c>
      <c r="B63" s="224">
        <v>3.54</v>
      </c>
      <c r="C63" s="224">
        <v>23.47</v>
      </c>
      <c r="D63" s="224">
        <v>16.45</v>
      </c>
      <c r="E63" s="224">
        <v>10.63</v>
      </c>
      <c r="F63" s="224">
        <v>59.71</v>
      </c>
      <c r="G63" s="224">
        <v>30.33</v>
      </c>
      <c r="H63" s="224">
        <v>12.09</v>
      </c>
      <c r="I63" s="224">
        <v>2.47</v>
      </c>
      <c r="J63" s="224">
        <v>1.54</v>
      </c>
      <c r="K63" s="224">
        <v>276.54</v>
      </c>
      <c r="L63" s="224">
        <v>38.04</v>
      </c>
      <c r="M63" s="224">
        <v>22.67</v>
      </c>
      <c r="N63" s="224">
        <v>750.8</v>
      </c>
      <c r="O63" s="224">
        <v>0</v>
      </c>
      <c r="P63" s="224">
        <v>0.51</v>
      </c>
      <c r="Q63" s="224">
        <v>5.02</v>
      </c>
      <c r="R63" s="13"/>
      <c r="S63" s="13"/>
      <c r="T63" s="213"/>
      <c r="U63" s="13"/>
    </row>
    <row r="64" customFormat="1" spans="1:21">
      <c r="A64" s="13" t="s">
        <v>2125</v>
      </c>
      <c r="B64" s="224">
        <v>3.81</v>
      </c>
      <c r="C64" s="224">
        <v>26.1</v>
      </c>
      <c r="D64" s="224">
        <v>18.04</v>
      </c>
      <c r="E64" s="224">
        <v>11.25</v>
      </c>
      <c r="F64" s="224">
        <v>47.56</v>
      </c>
      <c r="G64" s="224">
        <v>31.27</v>
      </c>
      <c r="H64" s="224">
        <v>12.58</v>
      </c>
      <c r="I64" s="224">
        <v>2.26</v>
      </c>
      <c r="J64" s="224">
        <v>1.66</v>
      </c>
      <c r="K64" s="224">
        <v>277.8</v>
      </c>
      <c r="L64" s="224">
        <v>37.79</v>
      </c>
      <c r="M64" s="224">
        <v>23.27</v>
      </c>
      <c r="N64" s="224">
        <v>692.3</v>
      </c>
      <c r="O64" s="224">
        <v>0</v>
      </c>
      <c r="P64" s="224">
        <v>0.52</v>
      </c>
      <c r="Q64" s="224">
        <v>4.99</v>
      </c>
      <c r="R64" s="13"/>
      <c r="S64" s="13"/>
      <c r="T64" s="213"/>
      <c r="U64" s="13"/>
    </row>
    <row r="65" customFormat="1" spans="1:21">
      <c r="A65" s="13" t="s">
        <v>2126</v>
      </c>
      <c r="B65" s="224">
        <v>5.99</v>
      </c>
      <c r="C65" s="224">
        <v>26.47</v>
      </c>
      <c r="D65" s="224">
        <v>19.98</v>
      </c>
      <c r="E65" s="224">
        <v>11.61</v>
      </c>
      <c r="F65" s="224">
        <v>53.19</v>
      </c>
      <c r="G65" s="224">
        <v>31.31</v>
      </c>
      <c r="H65" s="224">
        <v>12.58</v>
      </c>
      <c r="I65" s="224">
        <v>2.37</v>
      </c>
      <c r="J65" s="224">
        <v>1.39</v>
      </c>
      <c r="K65" s="224">
        <v>265.41</v>
      </c>
      <c r="L65" s="224">
        <v>37.49</v>
      </c>
      <c r="M65" s="224">
        <v>24.2</v>
      </c>
      <c r="N65" s="224">
        <v>569.1</v>
      </c>
      <c r="O65" s="224">
        <v>0</v>
      </c>
      <c r="P65" s="224">
        <v>0.53</v>
      </c>
      <c r="Q65" s="224">
        <v>5.02</v>
      </c>
      <c r="R65" s="13"/>
      <c r="S65" s="13"/>
      <c r="T65" s="213"/>
      <c r="U65" s="13"/>
    </row>
    <row r="66" customFormat="1" spans="1:21">
      <c r="A66" s="13" t="s">
        <v>2127</v>
      </c>
      <c r="B66" s="224">
        <v>5.23</v>
      </c>
      <c r="C66" s="224">
        <v>25.96</v>
      </c>
      <c r="D66" s="224">
        <v>19.11</v>
      </c>
      <c r="E66" s="224">
        <v>12.22</v>
      </c>
      <c r="F66" s="224">
        <v>64.77</v>
      </c>
      <c r="G66" s="224">
        <v>31.31</v>
      </c>
      <c r="H66" s="224">
        <v>12.58</v>
      </c>
      <c r="I66" s="224">
        <v>2.6</v>
      </c>
      <c r="J66" s="224">
        <v>1.38</v>
      </c>
      <c r="K66" s="224">
        <v>264.83</v>
      </c>
      <c r="L66" s="224">
        <v>37.08</v>
      </c>
      <c r="M66" s="224">
        <v>25.72</v>
      </c>
      <c r="N66" s="224">
        <v>510.1</v>
      </c>
      <c r="O66" s="224">
        <v>0</v>
      </c>
      <c r="P66" s="224">
        <v>0.54</v>
      </c>
      <c r="Q66" s="224">
        <v>5.01</v>
      </c>
      <c r="R66" s="13"/>
      <c r="S66" s="13"/>
      <c r="T66" s="213"/>
      <c r="U66" s="13"/>
    </row>
    <row r="67" customFormat="1" spans="1:21">
      <c r="A67" s="13" t="s">
        <v>2128</v>
      </c>
      <c r="B67" s="224">
        <v>3.73</v>
      </c>
      <c r="C67" s="224">
        <v>20.89</v>
      </c>
      <c r="D67" s="224">
        <v>15.25</v>
      </c>
      <c r="E67" s="224">
        <v>12.26</v>
      </c>
      <c r="F67" s="224">
        <v>71.65</v>
      </c>
      <c r="G67" s="224">
        <v>31.31</v>
      </c>
      <c r="H67" s="224">
        <v>12.58</v>
      </c>
      <c r="I67" s="224">
        <v>2.59</v>
      </c>
      <c r="J67" s="224">
        <v>0.96</v>
      </c>
      <c r="K67" s="224">
        <v>246.79</v>
      </c>
      <c r="L67" s="224">
        <v>37.56</v>
      </c>
      <c r="M67" s="224">
        <v>25.65</v>
      </c>
      <c r="N67" s="224">
        <v>427</v>
      </c>
      <c r="O67" s="224">
        <v>0</v>
      </c>
      <c r="P67" s="224">
        <v>0.51</v>
      </c>
      <c r="Q67" s="224">
        <v>4.86</v>
      </c>
      <c r="R67" s="13"/>
      <c r="S67" s="13"/>
      <c r="T67" s="213"/>
      <c r="U67" s="13"/>
    </row>
    <row r="68" customFormat="1" spans="1:21">
      <c r="A68" s="13" t="s">
        <v>2129</v>
      </c>
      <c r="B68" s="224">
        <v>3.44</v>
      </c>
      <c r="C68" s="224">
        <v>19.45</v>
      </c>
      <c r="D68" s="224">
        <v>14.27</v>
      </c>
      <c r="E68" s="224">
        <v>12.64</v>
      </c>
      <c r="F68" s="224">
        <v>76.62</v>
      </c>
      <c r="G68" s="224">
        <v>31.82</v>
      </c>
      <c r="H68" s="224">
        <v>10.58</v>
      </c>
      <c r="I68" s="224">
        <v>2.38</v>
      </c>
      <c r="J68" s="224">
        <v>0.69</v>
      </c>
      <c r="K68" s="224">
        <v>239.74</v>
      </c>
      <c r="L68" s="224">
        <v>37.32</v>
      </c>
      <c r="M68" s="224">
        <v>25.31</v>
      </c>
      <c r="N68" s="224">
        <v>459.7</v>
      </c>
      <c r="O68" s="224">
        <v>0</v>
      </c>
      <c r="P68" s="224">
        <v>0.49</v>
      </c>
      <c r="Q68" s="224">
        <v>4.7</v>
      </c>
      <c r="R68" s="13"/>
      <c r="S68" s="13"/>
      <c r="T68" s="213"/>
      <c r="U68" s="13"/>
    </row>
    <row r="69" customFormat="1" spans="1:21">
      <c r="A69" s="13" t="s">
        <v>2130</v>
      </c>
      <c r="B69" s="224">
        <v>3.32</v>
      </c>
      <c r="C69" s="224">
        <v>17.19</v>
      </c>
      <c r="D69" s="224">
        <v>12.99</v>
      </c>
      <c r="E69" s="224">
        <v>11.42</v>
      </c>
      <c r="F69" s="224">
        <v>74.11</v>
      </c>
      <c r="G69" s="224">
        <v>31.84</v>
      </c>
      <c r="H69" s="224">
        <v>10.58</v>
      </c>
      <c r="I69" s="224">
        <v>2.07</v>
      </c>
      <c r="J69" s="224">
        <v>0.84</v>
      </c>
      <c r="K69" s="224">
        <v>238.77</v>
      </c>
      <c r="L69" s="224">
        <v>38.12</v>
      </c>
      <c r="M69" s="224">
        <v>24.1</v>
      </c>
      <c r="N69" s="224">
        <v>614.8</v>
      </c>
      <c r="O69" s="224">
        <v>0</v>
      </c>
      <c r="P69" s="224">
        <v>0.47</v>
      </c>
      <c r="Q69" s="224">
        <v>4.54</v>
      </c>
      <c r="R69" s="13"/>
      <c r="S69" s="13"/>
      <c r="T69" s="213"/>
      <c r="U69" s="13"/>
    </row>
    <row r="70" customFormat="1" spans="1:21">
      <c r="A70" s="13" t="s">
        <v>2131</v>
      </c>
      <c r="B70" s="224">
        <v>3.41</v>
      </c>
      <c r="C70" s="224">
        <v>21.87</v>
      </c>
      <c r="D70" s="224">
        <v>15.51</v>
      </c>
      <c r="E70" s="224">
        <v>9.99</v>
      </c>
      <c r="F70" s="224">
        <v>33.56</v>
      </c>
      <c r="G70" s="224">
        <v>31.84</v>
      </c>
      <c r="H70" s="224">
        <v>10.58</v>
      </c>
      <c r="I70" s="224">
        <v>1.94</v>
      </c>
      <c r="J70" s="224">
        <v>0.83</v>
      </c>
      <c r="K70" s="224">
        <v>240.62</v>
      </c>
      <c r="L70" s="224">
        <v>37.65</v>
      </c>
      <c r="M70" s="224">
        <v>23.57</v>
      </c>
      <c r="N70" s="224">
        <v>309.4</v>
      </c>
      <c r="O70" s="224">
        <v>0</v>
      </c>
      <c r="P70" s="224">
        <v>0.48</v>
      </c>
      <c r="Q70" s="224">
        <v>4.52</v>
      </c>
      <c r="R70" s="13"/>
      <c r="S70" s="13"/>
      <c r="T70" s="213"/>
      <c r="U70" s="13"/>
    </row>
    <row r="71" customFormat="1" spans="1:21">
      <c r="A71" s="13" t="s">
        <v>2132</v>
      </c>
      <c r="B71" s="224">
        <v>4.18</v>
      </c>
      <c r="C71" s="224">
        <v>28.01</v>
      </c>
      <c r="D71" s="224">
        <v>19.34</v>
      </c>
      <c r="E71" s="224">
        <v>9.24</v>
      </c>
      <c r="F71" s="224">
        <v>28.98</v>
      </c>
      <c r="G71" s="224">
        <v>31.84</v>
      </c>
      <c r="H71" s="224">
        <v>10.58</v>
      </c>
      <c r="I71" s="224">
        <v>1.99</v>
      </c>
      <c r="J71" s="224">
        <v>0.85</v>
      </c>
      <c r="K71" s="224">
        <v>21.68</v>
      </c>
      <c r="L71" s="224">
        <v>36.7</v>
      </c>
      <c r="M71" s="224">
        <v>22.92</v>
      </c>
      <c r="N71" s="224">
        <v>202.2</v>
      </c>
      <c r="O71" s="224">
        <v>0</v>
      </c>
      <c r="P71" s="224">
        <v>0.48</v>
      </c>
      <c r="Q71" s="224">
        <v>4.63</v>
      </c>
      <c r="R71" s="13"/>
      <c r="S71" s="13"/>
      <c r="T71" s="213"/>
      <c r="U71" s="13"/>
    </row>
    <row r="72" customFormat="1" spans="1:21">
      <c r="A72" s="13" t="s">
        <v>2133</v>
      </c>
      <c r="B72" s="224">
        <v>4.96</v>
      </c>
      <c r="C72" s="224">
        <v>32.03</v>
      </c>
      <c r="D72" s="224">
        <v>22.06</v>
      </c>
      <c r="E72" s="224">
        <v>11.69</v>
      </c>
      <c r="F72" s="224">
        <v>20.04</v>
      </c>
      <c r="G72" s="224">
        <v>30.72</v>
      </c>
      <c r="H72" s="224">
        <v>13.24</v>
      </c>
      <c r="I72" s="224">
        <v>1.97</v>
      </c>
      <c r="J72" s="224">
        <v>1.67</v>
      </c>
      <c r="K72" s="224">
        <v>33.08</v>
      </c>
      <c r="L72" s="224">
        <v>34.3</v>
      </c>
      <c r="M72" s="224">
        <v>27.66</v>
      </c>
      <c r="N72" s="224">
        <v>83.4</v>
      </c>
      <c r="O72" s="224">
        <v>0</v>
      </c>
      <c r="P72" s="224">
        <v>0.48</v>
      </c>
      <c r="Q72" s="224">
        <v>4.81</v>
      </c>
      <c r="R72" s="13"/>
      <c r="S72" s="13"/>
      <c r="T72" s="213"/>
      <c r="U72" s="13"/>
    </row>
    <row r="73" customFormat="1" spans="1:21">
      <c r="A73" s="13" t="s">
        <v>2134</v>
      </c>
      <c r="B73" s="224">
        <v>5.43</v>
      </c>
      <c r="C73" s="224">
        <v>36.2</v>
      </c>
      <c r="D73" s="224">
        <v>24.62</v>
      </c>
      <c r="E73" s="224">
        <v>17.79</v>
      </c>
      <c r="F73" s="224">
        <v>16.25</v>
      </c>
      <c r="G73" s="224">
        <v>30.67</v>
      </c>
      <c r="H73" s="224">
        <v>13.24</v>
      </c>
      <c r="I73" s="224">
        <v>2.04</v>
      </c>
      <c r="J73" s="224">
        <v>2.4</v>
      </c>
      <c r="K73" s="224">
        <v>34.08</v>
      </c>
      <c r="L73" s="224">
        <v>32.86</v>
      </c>
      <c r="M73" s="224">
        <v>32.8</v>
      </c>
      <c r="N73" s="224">
        <v>132.2</v>
      </c>
      <c r="O73" s="224">
        <v>0</v>
      </c>
      <c r="P73" s="224">
        <v>0.52</v>
      </c>
      <c r="Q73" s="224">
        <v>4.93</v>
      </c>
      <c r="R73" s="13"/>
      <c r="S73" s="13"/>
      <c r="T73" s="213"/>
      <c r="U73" s="13"/>
    </row>
    <row r="74" customFormat="1" spans="1:21">
      <c r="A74" s="13" t="s">
        <v>2135</v>
      </c>
      <c r="B74" s="224">
        <v>6.16</v>
      </c>
      <c r="C74" s="224">
        <v>38.4</v>
      </c>
      <c r="D74" s="224">
        <v>26.35</v>
      </c>
      <c r="E74" s="224">
        <v>15.76</v>
      </c>
      <c r="F74" s="224">
        <v>17.42</v>
      </c>
      <c r="G74" s="224">
        <v>30.67</v>
      </c>
      <c r="H74" s="224">
        <v>13.24</v>
      </c>
      <c r="I74" s="224">
        <v>2.24</v>
      </c>
      <c r="J74" s="224">
        <v>1.82</v>
      </c>
      <c r="K74" s="224">
        <v>33.68</v>
      </c>
      <c r="L74" s="224">
        <v>32.19</v>
      </c>
      <c r="M74" s="224">
        <v>34.46</v>
      </c>
      <c r="N74" s="224">
        <v>154</v>
      </c>
      <c r="O74" s="224">
        <v>0</v>
      </c>
      <c r="P74" s="224">
        <v>0.51</v>
      </c>
      <c r="Q74" s="224">
        <v>5.04</v>
      </c>
      <c r="R74" s="13"/>
      <c r="S74" s="13"/>
      <c r="T74" s="213"/>
      <c r="U74" s="13"/>
    </row>
    <row r="75" customFormat="1" spans="1:21">
      <c r="A75" s="13" t="s">
        <v>2136</v>
      </c>
      <c r="B75" s="224">
        <v>6.62</v>
      </c>
      <c r="C75" s="224">
        <v>40.15</v>
      </c>
      <c r="D75" s="224">
        <v>27.63</v>
      </c>
      <c r="E75" s="224">
        <v>13.76</v>
      </c>
      <c r="F75" s="224">
        <v>15.96</v>
      </c>
      <c r="G75" s="224">
        <v>30.67</v>
      </c>
      <c r="H75" s="224">
        <v>13.24</v>
      </c>
      <c r="I75" s="224">
        <v>2.6</v>
      </c>
      <c r="J75" s="224">
        <v>1.61</v>
      </c>
      <c r="K75" s="224">
        <v>41.51</v>
      </c>
      <c r="L75" s="224">
        <v>31.87</v>
      </c>
      <c r="M75" s="224">
        <v>35.54</v>
      </c>
      <c r="N75" s="224">
        <v>161.9</v>
      </c>
      <c r="O75" s="224">
        <v>0</v>
      </c>
      <c r="P75" s="224">
        <v>0.5</v>
      </c>
      <c r="Q75" s="224">
        <v>5.12</v>
      </c>
      <c r="R75" s="13"/>
      <c r="S75" s="13"/>
      <c r="T75" s="213"/>
      <c r="U75" s="13"/>
    </row>
    <row r="76" customFormat="1" spans="1:21">
      <c r="A76" s="13" t="s">
        <v>2137</v>
      </c>
      <c r="B76" s="224">
        <v>6.95</v>
      </c>
      <c r="C76" s="224">
        <v>48.87</v>
      </c>
      <c r="D76" s="224">
        <v>32.45</v>
      </c>
      <c r="E76" s="224">
        <v>11.64</v>
      </c>
      <c r="F76" s="224">
        <v>13.18</v>
      </c>
      <c r="G76" s="224">
        <v>51.19</v>
      </c>
      <c r="H76" s="224">
        <v>18.97</v>
      </c>
      <c r="I76" s="224">
        <v>3.18</v>
      </c>
      <c r="J76" s="224">
        <v>1.29</v>
      </c>
      <c r="K76" s="224">
        <v>55.08</v>
      </c>
      <c r="L76" s="224">
        <v>32.17</v>
      </c>
      <c r="M76" s="224">
        <v>34.47</v>
      </c>
      <c r="N76" s="224">
        <v>58.1</v>
      </c>
      <c r="O76" s="224">
        <v>0</v>
      </c>
      <c r="P76" s="224">
        <v>0.55</v>
      </c>
      <c r="Q76" s="224">
        <v>5.36</v>
      </c>
      <c r="R76" s="13"/>
      <c r="S76" s="13"/>
      <c r="T76" s="213"/>
      <c r="U76" s="13"/>
    </row>
    <row r="77" customFormat="1" spans="1:21">
      <c r="A77" s="13" t="s">
        <v>2138</v>
      </c>
      <c r="B77" s="224">
        <v>7.7</v>
      </c>
      <c r="C77" s="224">
        <v>54.87</v>
      </c>
      <c r="D77" s="224">
        <v>36.19</v>
      </c>
      <c r="E77" s="224">
        <v>9.9</v>
      </c>
      <c r="F77" s="224">
        <v>12.87</v>
      </c>
      <c r="G77" s="224">
        <v>52.15</v>
      </c>
      <c r="H77" s="224">
        <v>18.97</v>
      </c>
      <c r="I77" s="224">
        <v>3.23</v>
      </c>
      <c r="J77" s="224">
        <v>2.9</v>
      </c>
      <c r="K77" s="224">
        <v>39.79</v>
      </c>
      <c r="L77" s="224">
        <v>30.66</v>
      </c>
      <c r="M77" s="224">
        <v>40.02</v>
      </c>
      <c r="N77" s="224">
        <v>30.9</v>
      </c>
      <c r="O77" s="224">
        <v>0</v>
      </c>
      <c r="P77" s="224">
        <v>0.56</v>
      </c>
      <c r="Q77" s="224">
        <v>5.73</v>
      </c>
      <c r="R77" s="13"/>
      <c r="S77" s="13"/>
      <c r="T77" s="213"/>
      <c r="U77" s="13"/>
    </row>
    <row r="78" customFormat="1" spans="1:21">
      <c r="A78" s="13" t="s">
        <v>2139</v>
      </c>
      <c r="B78" s="224">
        <v>7.4</v>
      </c>
      <c r="C78" s="224">
        <v>51.96</v>
      </c>
      <c r="D78" s="224">
        <v>34.43</v>
      </c>
      <c r="E78" s="224">
        <v>9.57</v>
      </c>
      <c r="F78" s="224">
        <v>11.64</v>
      </c>
      <c r="G78" s="224">
        <v>52.15</v>
      </c>
      <c r="H78" s="224">
        <v>18.97</v>
      </c>
      <c r="I78" s="224">
        <v>3.1</v>
      </c>
      <c r="J78" s="224">
        <v>3.12</v>
      </c>
      <c r="K78" s="224">
        <v>48.42</v>
      </c>
      <c r="L78" s="224">
        <v>27.19</v>
      </c>
      <c r="M78" s="224">
        <v>50.24</v>
      </c>
      <c r="N78" s="224">
        <v>10.3</v>
      </c>
      <c r="O78" s="224">
        <v>0</v>
      </c>
      <c r="P78" s="224">
        <v>0.53</v>
      </c>
      <c r="Q78" s="224">
        <v>5.69</v>
      </c>
      <c r="R78" s="13"/>
      <c r="S78" s="13"/>
      <c r="T78" s="213"/>
      <c r="U78" s="13"/>
    </row>
    <row r="79" customFormat="1" spans="1:21">
      <c r="A79" s="13" t="s">
        <v>2140</v>
      </c>
      <c r="B79" s="224">
        <v>7.13</v>
      </c>
      <c r="C79" s="224">
        <v>57.11</v>
      </c>
      <c r="D79" s="224">
        <v>36.91</v>
      </c>
      <c r="E79" s="224">
        <v>9.32</v>
      </c>
      <c r="F79" s="224">
        <v>7.9</v>
      </c>
      <c r="G79" s="224">
        <v>52.15</v>
      </c>
      <c r="H79" s="224">
        <v>18.97</v>
      </c>
      <c r="I79" s="224">
        <v>3.18</v>
      </c>
      <c r="J79" s="224">
        <v>1.71</v>
      </c>
      <c r="K79" s="224">
        <v>22.59</v>
      </c>
      <c r="L79" s="224">
        <v>26.45</v>
      </c>
      <c r="M79" s="224">
        <v>48.44</v>
      </c>
      <c r="N79" s="224">
        <v>0.9</v>
      </c>
      <c r="O79" s="224">
        <v>0</v>
      </c>
      <c r="P79" s="224">
        <v>0.55</v>
      </c>
      <c r="Q79" s="224">
        <v>5.79</v>
      </c>
      <c r="R79" s="13"/>
      <c r="S79" s="13"/>
      <c r="T79" s="213"/>
      <c r="U79" s="13"/>
    </row>
    <row r="80" customFormat="1" spans="1:21">
      <c r="A80" s="13" t="s">
        <v>2141</v>
      </c>
      <c r="B80" s="224">
        <v>7.28</v>
      </c>
      <c r="C80" s="224">
        <v>56.52</v>
      </c>
      <c r="D80" s="224">
        <v>36.71</v>
      </c>
      <c r="E80" s="224">
        <v>9.21</v>
      </c>
      <c r="F80" s="224">
        <v>9.42</v>
      </c>
      <c r="G80" s="224">
        <v>64.73</v>
      </c>
      <c r="H80" s="224">
        <v>17.25</v>
      </c>
      <c r="I80" s="224">
        <v>3.28</v>
      </c>
      <c r="J80" s="224">
        <v>2.72</v>
      </c>
      <c r="K80" s="224">
        <v>359.41</v>
      </c>
      <c r="L80" s="224">
        <v>22.86</v>
      </c>
      <c r="M80" s="224">
        <v>79.08</v>
      </c>
      <c r="N80" s="224">
        <v>3.5</v>
      </c>
      <c r="O80" s="224">
        <v>0</v>
      </c>
      <c r="P80" s="224">
        <v>0.56</v>
      </c>
      <c r="Q80" s="224">
        <v>5.9</v>
      </c>
      <c r="R80" s="13"/>
      <c r="S80" s="13"/>
      <c r="T80" s="213"/>
      <c r="U80" s="13"/>
    </row>
    <row r="81" customFormat="1" spans="1:21">
      <c r="A81" s="13" t="s">
        <v>2142</v>
      </c>
      <c r="B81" s="224">
        <v>7.12</v>
      </c>
      <c r="C81" s="224">
        <v>53.38</v>
      </c>
      <c r="D81" s="224">
        <v>34.95</v>
      </c>
      <c r="E81" s="224">
        <v>5.69</v>
      </c>
      <c r="F81" s="224">
        <v>11.34</v>
      </c>
      <c r="G81" s="224">
        <v>65.32</v>
      </c>
      <c r="H81" s="224">
        <v>17.25</v>
      </c>
      <c r="I81" s="224">
        <v>3.27</v>
      </c>
      <c r="J81" s="224">
        <v>3.33</v>
      </c>
      <c r="K81" s="224">
        <v>37.3</v>
      </c>
      <c r="L81" s="224">
        <v>20.9</v>
      </c>
      <c r="M81" s="224">
        <v>94.13</v>
      </c>
      <c r="N81" s="224">
        <v>0</v>
      </c>
      <c r="O81" s="224">
        <v>0</v>
      </c>
      <c r="P81" s="224">
        <v>0.55</v>
      </c>
      <c r="Q81" s="224">
        <v>5.88</v>
      </c>
      <c r="R81" s="13"/>
      <c r="S81" s="13"/>
      <c r="T81" s="213"/>
      <c r="U81" s="13"/>
    </row>
    <row r="82" customFormat="1" spans="1:21">
      <c r="A82" s="13" t="s">
        <v>2143</v>
      </c>
      <c r="B82" s="224">
        <v>7.12</v>
      </c>
      <c r="C82" s="224">
        <v>56.23</v>
      </c>
      <c r="D82" s="224">
        <v>36.44</v>
      </c>
      <c r="E82" s="224">
        <v>5.7</v>
      </c>
      <c r="F82" s="224">
        <v>8.81</v>
      </c>
      <c r="G82" s="224">
        <v>65.32</v>
      </c>
      <c r="H82" s="224">
        <v>17.25</v>
      </c>
      <c r="I82" s="224">
        <v>3.21</v>
      </c>
      <c r="J82" s="224">
        <v>2.85</v>
      </c>
      <c r="K82" s="224">
        <v>33.79</v>
      </c>
      <c r="L82" s="224">
        <v>21.03</v>
      </c>
      <c r="M82" s="224">
        <v>88.72</v>
      </c>
      <c r="N82" s="224">
        <v>0</v>
      </c>
      <c r="O82" s="224">
        <v>0</v>
      </c>
      <c r="P82" s="224">
        <v>0.55</v>
      </c>
      <c r="Q82" s="224">
        <v>5.85</v>
      </c>
      <c r="R82" s="13"/>
      <c r="S82" s="13"/>
      <c r="T82" s="213"/>
      <c r="U82" s="13"/>
    </row>
    <row r="83" customFormat="1" spans="1:21">
      <c r="A83" s="13" t="s">
        <v>2144</v>
      </c>
      <c r="B83" s="224">
        <v>7.48</v>
      </c>
      <c r="C83" s="224">
        <v>55.7</v>
      </c>
      <c r="D83" s="224">
        <v>36.45</v>
      </c>
      <c r="E83" s="224">
        <v>5.33</v>
      </c>
      <c r="F83" s="224">
        <v>7.08</v>
      </c>
      <c r="G83" s="224">
        <v>65.32</v>
      </c>
      <c r="H83" s="224">
        <v>17.25</v>
      </c>
      <c r="I83" s="224">
        <v>3.18</v>
      </c>
      <c r="J83" s="224">
        <v>2.18</v>
      </c>
      <c r="K83" s="224">
        <v>41.64</v>
      </c>
      <c r="L83" s="224">
        <v>21.6</v>
      </c>
      <c r="M83" s="224">
        <v>84.12</v>
      </c>
      <c r="N83" s="224">
        <v>0</v>
      </c>
      <c r="O83" s="224">
        <v>0</v>
      </c>
      <c r="P83" s="224">
        <v>0.55</v>
      </c>
      <c r="Q83" s="224">
        <v>5.87</v>
      </c>
      <c r="R83" s="13"/>
      <c r="S83" s="13"/>
      <c r="T83" s="213"/>
      <c r="U83" s="13"/>
    </row>
    <row r="84" customFormat="1" spans="1:21">
      <c r="A84" s="13" t="s">
        <v>2145</v>
      </c>
      <c r="B84" s="224">
        <v>8.07</v>
      </c>
      <c r="C84" s="224">
        <v>58.71</v>
      </c>
      <c r="D84" s="224">
        <v>38.5</v>
      </c>
      <c r="E84" s="224">
        <v>5.25</v>
      </c>
      <c r="F84" s="224">
        <v>6.04</v>
      </c>
      <c r="G84" s="224">
        <v>81.02</v>
      </c>
      <c r="H84" s="224">
        <v>15.77</v>
      </c>
      <c r="I84" s="224">
        <v>3.14</v>
      </c>
      <c r="J84" s="224">
        <v>0.25</v>
      </c>
      <c r="K84" s="224">
        <v>28.42</v>
      </c>
      <c r="L84" s="224">
        <v>21.77</v>
      </c>
      <c r="M84" s="224">
        <v>86.49</v>
      </c>
      <c r="N84" s="224">
        <v>0</v>
      </c>
      <c r="O84" s="224">
        <v>0</v>
      </c>
      <c r="P84" s="224">
        <v>0.55</v>
      </c>
      <c r="Q84" s="224">
        <v>5.95</v>
      </c>
      <c r="R84" s="13"/>
      <c r="S84" s="13"/>
      <c r="T84" s="213"/>
      <c r="U84" s="13"/>
    </row>
    <row r="85" customFormat="1" spans="1:21">
      <c r="A85" s="13" t="s">
        <v>2146</v>
      </c>
      <c r="B85" s="224">
        <v>8.87</v>
      </c>
      <c r="C85" s="224">
        <v>65.9</v>
      </c>
      <c r="D85" s="224">
        <v>42.9</v>
      </c>
      <c r="E85" s="224">
        <v>5.21</v>
      </c>
      <c r="F85" s="224">
        <v>4.02</v>
      </c>
      <c r="G85" s="224">
        <v>81.75</v>
      </c>
      <c r="H85" s="224">
        <v>15.77</v>
      </c>
      <c r="I85" s="224">
        <v>3.15</v>
      </c>
      <c r="J85" s="224">
        <v>1.69</v>
      </c>
      <c r="K85" s="224">
        <v>41.25</v>
      </c>
      <c r="L85" s="224">
        <v>21.09</v>
      </c>
      <c r="M85" s="224">
        <v>91.29</v>
      </c>
      <c r="N85" s="224">
        <v>0</v>
      </c>
      <c r="O85" s="224">
        <v>0</v>
      </c>
      <c r="P85" s="224">
        <v>0.57</v>
      </c>
      <c r="Q85" s="224">
        <v>6.19</v>
      </c>
      <c r="R85" s="13"/>
      <c r="S85" s="13"/>
      <c r="T85" s="213"/>
      <c r="U85" s="13"/>
    </row>
    <row r="86" customFormat="1" spans="1:21">
      <c r="A86" s="13" t="s">
        <v>2147</v>
      </c>
      <c r="B86" s="224">
        <v>9.71</v>
      </c>
      <c r="C86" s="224">
        <v>70.19</v>
      </c>
      <c r="D86" s="224">
        <v>45.81</v>
      </c>
      <c r="E86" s="224">
        <v>5.48</v>
      </c>
      <c r="F86" s="224">
        <v>3.77</v>
      </c>
      <c r="G86" s="224">
        <v>81.75</v>
      </c>
      <c r="H86" s="224">
        <v>15.77</v>
      </c>
      <c r="I86" s="224">
        <v>3.25</v>
      </c>
      <c r="J86" s="224">
        <v>0.35</v>
      </c>
      <c r="K86" s="224">
        <v>178.09</v>
      </c>
      <c r="L86" s="224">
        <v>20.91</v>
      </c>
      <c r="M86" s="224">
        <v>95.1</v>
      </c>
      <c r="N86" s="224">
        <v>0</v>
      </c>
      <c r="O86" s="224">
        <v>0</v>
      </c>
      <c r="P86" s="224">
        <v>0.58</v>
      </c>
      <c r="Q86" s="224">
        <v>6.53</v>
      </c>
      <c r="R86" s="13"/>
      <c r="S86" s="13"/>
      <c r="T86" s="213"/>
      <c r="U86" s="13"/>
    </row>
    <row r="87" customFormat="1" spans="1:21">
      <c r="A87" s="13" t="s">
        <v>2148</v>
      </c>
      <c r="B87" s="224">
        <v>10.24</v>
      </c>
      <c r="C87" s="224">
        <v>69.67</v>
      </c>
      <c r="D87" s="224">
        <v>45.96</v>
      </c>
      <c r="E87" s="224">
        <v>5.09</v>
      </c>
      <c r="F87" s="224">
        <v>3.79</v>
      </c>
      <c r="G87" s="224">
        <v>81.75</v>
      </c>
      <c r="H87" s="224">
        <v>15.77</v>
      </c>
      <c r="I87" s="224">
        <v>3.32</v>
      </c>
      <c r="J87" s="224">
        <v>0.44</v>
      </c>
      <c r="K87" s="224">
        <v>102.12</v>
      </c>
      <c r="L87" s="224">
        <v>20.75</v>
      </c>
      <c r="M87" s="224">
        <v>96.37</v>
      </c>
      <c r="N87" s="224">
        <v>0</v>
      </c>
      <c r="O87" s="224">
        <v>0</v>
      </c>
      <c r="P87" s="224">
        <v>0.58</v>
      </c>
      <c r="Q87" s="224">
        <v>6.64</v>
      </c>
      <c r="R87" s="13"/>
      <c r="S87" s="13"/>
      <c r="T87" s="213"/>
      <c r="U87" s="13"/>
    </row>
    <row r="88" customFormat="1" spans="1:21">
      <c r="A88" s="13" t="s">
        <v>2149</v>
      </c>
      <c r="B88" s="224">
        <v>10.76</v>
      </c>
      <c r="C88" s="224">
        <v>68.95</v>
      </c>
      <c r="D88" s="224">
        <v>46</v>
      </c>
      <c r="E88" s="224">
        <v>5.1</v>
      </c>
      <c r="F88" s="224">
        <v>3.78</v>
      </c>
      <c r="G88" s="224">
        <v>51.54</v>
      </c>
      <c r="H88" s="224">
        <v>19.7</v>
      </c>
      <c r="I88" s="224">
        <v>3.34</v>
      </c>
      <c r="J88" s="224">
        <v>0.52</v>
      </c>
      <c r="K88" s="224">
        <v>85</v>
      </c>
      <c r="L88" s="224">
        <v>20.8</v>
      </c>
      <c r="M88" s="224">
        <v>95.22</v>
      </c>
      <c r="N88" s="224">
        <v>0</v>
      </c>
      <c r="O88" s="224">
        <v>0</v>
      </c>
      <c r="P88" s="224">
        <v>0.58</v>
      </c>
      <c r="Q88" s="224">
        <v>6.68</v>
      </c>
      <c r="R88" s="13"/>
      <c r="S88" s="13"/>
      <c r="T88" s="213"/>
      <c r="U88" s="13"/>
    </row>
    <row r="89" customFormat="1" spans="1:21">
      <c r="A89" s="13" t="s">
        <v>2150</v>
      </c>
      <c r="B89" s="224">
        <v>11.38</v>
      </c>
      <c r="C89" s="224">
        <v>68.9</v>
      </c>
      <c r="D89" s="224">
        <v>46.48</v>
      </c>
      <c r="E89" s="224">
        <v>4.81</v>
      </c>
      <c r="F89" s="224">
        <v>3.75</v>
      </c>
      <c r="G89" s="224">
        <v>50.14</v>
      </c>
      <c r="H89" s="224">
        <v>19.7</v>
      </c>
      <c r="I89" s="224">
        <v>3.34</v>
      </c>
      <c r="J89" s="224">
        <v>0.3</v>
      </c>
      <c r="K89" s="224">
        <v>129.79</v>
      </c>
      <c r="L89" s="224">
        <v>21.29</v>
      </c>
      <c r="M89" s="224">
        <v>95.02</v>
      </c>
      <c r="N89" s="224">
        <v>0</v>
      </c>
      <c r="O89" s="224">
        <v>0</v>
      </c>
      <c r="P89" s="224">
        <v>0.58</v>
      </c>
      <c r="Q89" s="224">
        <v>6.72</v>
      </c>
      <c r="R89" s="13"/>
      <c r="S89" s="13"/>
      <c r="T89" s="213"/>
      <c r="U89" s="13"/>
    </row>
    <row r="90" customFormat="1" spans="1:21">
      <c r="A90" s="13" t="s">
        <v>2151</v>
      </c>
      <c r="B90" s="224">
        <v>12.07</v>
      </c>
      <c r="C90" s="224">
        <v>67.95</v>
      </c>
      <c r="D90" s="224">
        <v>46.53</v>
      </c>
      <c r="E90" s="224">
        <v>4.74</v>
      </c>
      <c r="F90" s="224">
        <v>3.95</v>
      </c>
      <c r="G90" s="224">
        <v>50.14</v>
      </c>
      <c r="H90" s="224">
        <v>19.7</v>
      </c>
      <c r="I90" s="224">
        <v>3.37</v>
      </c>
      <c r="J90" s="224">
        <v>0.64</v>
      </c>
      <c r="K90" s="224">
        <v>79.9</v>
      </c>
      <c r="L90" s="224">
        <v>21.15</v>
      </c>
      <c r="M90" s="224">
        <v>94.93</v>
      </c>
      <c r="N90" s="224">
        <v>0</v>
      </c>
      <c r="O90" s="224">
        <v>0</v>
      </c>
      <c r="P90" s="224">
        <v>0.57</v>
      </c>
      <c r="Q90" s="224">
        <v>6.77</v>
      </c>
      <c r="R90" s="13"/>
      <c r="S90" s="13"/>
      <c r="T90" s="213"/>
      <c r="U90" s="13"/>
    </row>
    <row r="91" customFormat="1" spans="1:21">
      <c r="A91" s="13" t="s">
        <v>2152</v>
      </c>
      <c r="B91" s="224">
        <v>12.34</v>
      </c>
      <c r="C91" s="224">
        <v>67.95</v>
      </c>
      <c r="D91" s="224">
        <v>46.75</v>
      </c>
      <c r="E91" s="224">
        <v>5.09</v>
      </c>
      <c r="F91" s="224">
        <v>3.73</v>
      </c>
      <c r="G91" s="224">
        <v>50.14</v>
      </c>
      <c r="H91" s="224">
        <v>19.7</v>
      </c>
      <c r="I91" s="224">
        <v>3.42</v>
      </c>
      <c r="J91" s="224">
        <v>0.78</v>
      </c>
      <c r="K91" s="224">
        <v>91.89</v>
      </c>
      <c r="L91" s="224">
        <v>21.15</v>
      </c>
      <c r="M91" s="224">
        <v>94.57</v>
      </c>
      <c r="N91" s="224">
        <v>0</v>
      </c>
      <c r="O91" s="224">
        <v>0</v>
      </c>
      <c r="P91" s="224">
        <v>0.57</v>
      </c>
      <c r="Q91" s="224">
        <v>6.76</v>
      </c>
      <c r="R91" s="13"/>
      <c r="S91" s="13"/>
      <c r="T91" s="213"/>
      <c r="U91" s="13"/>
    </row>
    <row r="92" customFormat="1" spans="1:21">
      <c r="A92" s="13" t="s">
        <v>2153</v>
      </c>
      <c r="B92" s="224">
        <v>12.93</v>
      </c>
      <c r="C92" s="224">
        <v>69.02</v>
      </c>
      <c r="D92" s="224">
        <v>47.77</v>
      </c>
      <c r="E92" s="224">
        <v>4.57</v>
      </c>
      <c r="F92" s="224">
        <v>3.81</v>
      </c>
      <c r="G92" s="224">
        <v>36.73</v>
      </c>
      <c r="H92" s="224">
        <v>13.81</v>
      </c>
      <c r="I92" s="224">
        <v>3.47</v>
      </c>
      <c r="J92" s="224">
        <v>0.95</v>
      </c>
      <c r="K92" s="224">
        <v>47.87</v>
      </c>
      <c r="L92" s="224">
        <v>21.08</v>
      </c>
      <c r="M92" s="224">
        <v>92.63</v>
      </c>
      <c r="N92" s="224">
        <v>0</v>
      </c>
      <c r="O92" s="224">
        <v>0</v>
      </c>
      <c r="P92" s="224">
        <v>0.58</v>
      </c>
      <c r="Q92" s="224">
        <v>6.83</v>
      </c>
      <c r="R92" s="13"/>
      <c r="S92" s="13"/>
      <c r="T92" s="213"/>
      <c r="U92" s="13"/>
    </row>
    <row r="93" customFormat="1" spans="1:21">
      <c r="A93" s="13" t="s">
        <v>2154</v>
      </c>
      <c r="B93" s="224">
        <v>13.85</v>
      </c>
      <c r="C93" s="224">
        <v>69.17</v>
      </c>
      <c r="D93" s="224">
        <v>48.59</v>
      </c>
      <c r="E93" s="224">
        <v>4.31</v>
      </c>
      <c r="F93" s="224">
        <v>3.89</v>
      </c>
      <c r="G93" s="224">
        <v>36.1</v>
      </c>
      <c r="H93" s="224">
        <v>13.81</v>
      </c>
      <c r="I93" s="224">
        <v>3.48</v>
      </c>
      <c r="J93" s="224">
        <v>0.79</v>
      </c>
      <c r="K93" s="224">
        <v>64.17</v>
      </c>
      <c r="L93" s="224">
        <v>21.21</v>
      </c>
      <c r="M93" s="224">
        <v>89.88</v>
      </c>
      <c r="N93" s="224">
        <v>0</v>
      </c>
      <c r="O93" s="224">
        <v>0</v>
      </c>
      <c r="P93" s="224">
        <v>0.58</v>
      </c>
      <c r="Q93" s="224">
        <v>6.92</v>
      </c>
      <c r="R93" s="13"/>
      <c r="S93" s="13"/>
      <c r="T93" s="213"/>
      <c r="U93" s="13"/>
    </row>
    <row r="94" customFormat="1" spans="1:21">
      <c r="A94" s="13" t="s">
        <v>2155</v>
      </c>
      <c r="B94" s="224">
        <v>14.9</v>
      </c>
      <c r="C94" s="224">
        <v>69.1</v>
      </c>
      <c r="D94" s="224">
        <v>49.4</v>
      </c>
      <c r="E94" s="224">
        <v>4.64</v>
      </c>
      <c r="F94" s="224">
        <v>3.64</v>
      </c>
      <c r="G94" s="224">
        <v>36.1</v>
      </c>
      <c r="H94" s="224">
        <v>13.81</v>
      </c>
      <c r="I94" s="224">
        <v>3.52</v>
      </c>
      <c r="J94" s="224">
        <v>0.55</v>
      </c>
      <c r="K94" s="224">
        <v>79.67</v>
      </c>
      <c r="L94" s="224">
        <v>21.47</v>
      </c>
      <c r="M94" s="224">
        <v>90.15</v>
      </c>
      <c r="N94" s="224">
        <v>0</v>
      </c>
      <c r="O94" s="224">
        <v>0</v>
      </c>
      <c r="P94" s="224">
        <v>0.57</v>
      </c>
      <c r="Q94" s="224">
        <v>6.97</v>
      </c>
      <c r="R94" s="13"/>
      <c r="S94" s="13"/>
      <c r="T94" s="213"/>
      <c r="U94" s="13"/>
    </row>
    <row r="95" customFormat="1" spans="1:21">
      <c r="A95" s="13" t="s">
        <v>2156</v>
      </c>
      <c r="B95" s="224">
        <v>15.86</v>
      </c>
      <c r="C95" s="224">
        <v>68.95</v>
      </c>
      <c r="D95" s="224">
        <v>50.09</v>
      </c>
      <c r="E95" s="224">
        <v>4.88</v>
      </c>
      <c r="F95" s="224">
        <v>3.6</v>
      </c>
      <c r="G95" s="224">
        <v>36.1</v>
      </c>
      <c r="H95" s="224">
        <v>13.81</v>
      </c>
      <c r="I95" s="224">
        <v>3.53</v>
      </c>
      <c r="J95" s="224">
        <v>0.33</v>
      </c>
      <c r="K95" s="224">
        <v>135.88</v>
      </c>
      <c r="L95" s="224">
        <v>21.62</v>
      </c>
      <c r="M95" s="224">
        <v>91.51</v>
      </c>
      <c r="N95" s="224">
        <v>0</v>
      </c>
      <c r="O95" s="224">
        <v>0</v>
      </c>
      <c r="P95" s="224">
        <v>0.57</v>
      </c>
      <c r="Q95" s="224">
        <v>7.03</v>
      </c>
      <c r="R95" s="13"/>
      <c r="S95" s="13"/>
      <c r="T95" s="213"/>
      <c r="U95" s="13"/>
    </row>
    <row r="96" customFormat="1" spans="1:26">
      <c r="A96" s="13" t="s">
        <v>2157</v>
      </c>
      <c r="B96" s="224">
        <v>16.54</v>
      </c>
      <c r="C96" s="224">
        <v>69.21</v>
      </c>
      <c r="D96" s="224">
        <v>50.78</v>
      </c>
      <c r="E96" s="224">
        <v>4.6</v>
      </c>
      <c r="F96" s="224">
        <v>3.59</v>
      </c>
      <c r="G96" s="224">
        <v>24.24</v>
      </c>
      <c r="H96" s="224">
        <v>16.38</v>
      </c>
      <c r="I96" s="224">
        <v>3.57</v>
      </c>
      <c r="J96" s="224">
        <v>0.52</v>
      </c>
      <c r="K96" s="224">
        <v>135.33</v>
      </c>
      <c r="L96" s="224">
        <v>21.39</v>
      </c>
      <c r="M96" s="224">
        <v>91.34</v>
      </c>
      <c r="N96" s="224">
        <v>0</v>
      </c>
      <c r="O96" s="224">
        <v>0</v>
      </c>
      <c r="P96" s="224">
        <v>0.57</v>
      </c>
      <c r="Q96" s="224">
        <v>7.09</v>
      </c>
      <c r="R96" s="13"/>
      <c r="S96" s="13"/>
      <c r="T96" s="213"/>
      <c r="U96" s="13"/>
      <c r="Z96" s="222"/>
    </row>
    <row r="97" customFormat="1" spans="1:21">
      <c r="A97" s="13" t="s">
        <v>2158</v>
      </c>
      <c r="B97" s="224">
        <v>17.06</v>
      </c>
      <c r="C97" s="224">
        <v>68.78</v>
      </c>
      <c r="D97" s="224">
        <v>50.96</v>
      </c>
      <c r="E97" s="224">
        <v>4.38</v>
      </c>
      <c r="F97" s="224">
        <v>3.7</v>
      </c>
      <c r="G97" s="224">
        <v>23.69</v>
      </c>
      <c r="H97" s="224">
        <v>16.38</v>
      </c>
      <c r="I97" s="224">
        <v>3.57</v>
      </c>
      <c r="J97" s="224">
        <v>0.55</v>
      </c>
      <c r="K97" s="224">
        <v>126.11</v>
      </c>
      <c r="L97" s="224">
        <v>21.29</v>
      </c>
      <c r="M97" s="224">
        <v>90.24</v>
      </c>
      <c r="N97" s="224">
        <v>0</v>
      </c>
      <c r="O97" s="224">
        <v>0</v>
      </c>
      <c r="P97" s="224">
        <v>0.56</v>
      </c>
      <c r="Q97" s="224">
        <v>7.13</v>
      </c>
      <c r="R97" s="13"/>
      <c r="S97" s="13"/>
      <c r="T97" s="213"/>
      <c r="U97" s="13"/>
    </row>
    <row r="98" customFormat="1" spans="1:21">
      <c r="A98" s="13" t="s">
        <v>2159</v>
      </c>
      <c r="B98" s="224">
        <v>17.31</v>
      </c>
      <c r="C98" s="224">
        <v>68.12</v>
      </c>
      <c r="D98" s="224">
        <v>50.82</v>
      </c>
      <c r="E98" s="224">
        <v>4.71</v>
      </c>
      <c r="F98" s="224">
        <v>3.73</v>
      </c>
      <c r="G98" s="224">
        <v>23.69</v>
      </c>
      <c r="H98" s="224">
        <v>16.38</v>
      </c>
      <c r="I98" s="224">
        <v>3.58</v>
      </c>
      <c r="J98" s="224">
        <v>0.49</v>
      </c>
      <c r="K98" s="224">
        <v>214.82</v>
      </c>
      <c r="L98" s="224">
        <v>21.39</v>
      </c>
      <c r="M98" s="224">
        <v>89.91</v>
      </c>
      <c r="N98" s="224">
        <v>0</v>
      </c>
      <c r="O98" s="224">
        <v>0</v>
      </c>
      <c r="P98" s="224">
        <v>0.55</v>
      </c>
      <c r="Q98" s="224">
        <v>7.15</v>
      </c>
      <c r="R98" s="13"/>
      <c r="S98" s="13"/>
      <c r="T98" s="213"/>
      <c r="U98" s="13"/>
    </row>
    <row r="99" customFormat="1" spans="1:21">
      <c r="A99" s="13" t="s">
        <v>2160</v>
      </c>
      <c r="B99" s="224">
        <v>17.51</v>
      </c>
      <c r="C99" s="224">
        <v>67.41</v>
      </c>
      <c r="D99" s="224">
        <v>50.61</v>
      </c>
      <c r="E99" s="224">
        <v>4.29</v>
      </c>
      <c r="F99" s="224">
        <v>3.91</v>
      </c>
      <c r="G99" s="224">
        <v>23.69</v>
      </c>
      <c r="H99" s="224">
        <v>16.38</v>
      </c>
      <c r="I99" s="224">
        <v>3.61</v>
      </c>
      <c r="J99" s="224">
        <v>0.21</v>
      </c>
      <c r="K99" s="224">
        <v>209.38</v>
      </c>
      <c r="L99" s="224">
        <v>21.06</v>
      </c>
      <c r="M99" s="224">
        <v>92.51</v>
      </c>
      <c r="N99" s="224">
        <v>0</v>
      </c>
      <c r="O99" s="224">
        <v>0</v>
      </c>
      <c r="P99" s="224">
        <v>0.54</v>
      </c>
      <c r="Q99" s="224">
        <v>7.13</v>
      </c>
      <c r="R99" s="13"/>
      <c r="S99" s="13"/>
      <c r="T99" s="213"/>
      <c r="U99" s="13"/>
    </row>
    <row r="100" customFormat="1" spans="1:33">
      <c r="A100" s="13" t="s">
        <v>2161</v>
      </c>
      <c r="B100" s="224">
        <v>17.47</v>
      </c>
      <c r="C100" s="224">
        <v>67.98</v>
      </c>
      <c r="D100" s="224">
        <v>50.88</v>
      </c>
      <c r="E100" s="224">
        <v>4.85</v>
      </c>
      <c r="F100" s="224">
        <v>4.2</v>
      </c>
      <c r="G100" s="224">
        <v>20.67</v>
      </c>
      <c r="H100" s="224">
        <v>11.68</v>
      </c>
      <c r="I100" s="224">
        <v>3.62</v>
      </c>
      <c r="J100" s="224">
        <v>0.28</v>
      </c>
      <c r="K100" s="224">
        <v>145.82</v>
      </c>
      <c r="L100" s="224">
        <v>20.68</v>
      </c>
      <c r="M100" s="224">
        <v>94.69</v>
      </c>
      <c r="N100" s="224">
        <v>0</v>
      </c>
      <c r="O100" s="224">
        <v>0</v>
      </c>
      <c r="P100" s="224">
        <v>0.55</v>
      </c>
      <c r="Q100" s="224">
        <v>7.17</v>
      </c>
      <c r="R100" s="13"/>
      <c r="S100" s="13"/>
      <c r="T100" s="213"/>
      <c r="U100" s="13"/>
      <c r="AB100" s="223"/>
      <c r="AG100" s="222"/>
    </row>
    <row r="101" customFormat="1" spans="1:21">
      <c r="A101" s="13" t="s">
        <v>2162</v>
      </c>
      <c r="B101" s="224">
        <v>17.4</v>
      </c>
      <c r="C101" s="224">
        <v>68.13</v>
      </c>
      <c r="D101" s="224">
        <v>50.91</v>
      </c>
      <c r="E101" s="224">
        <v>4.31</v>
      </c>
      <c r="F101" s="224">
        <v>3.89</v>
      </c>
      <c r="G101" s="224">
        <v>20.53</v>
      </c>
      <c r="H101" s="224">
        <v>11.68</v>
      </c>
      <c r="I101" s="224">
        <v>3.57</v>
      </c>
      <c r="J101" s="224">
        <v>0.24</v>
      </c>
      <c r="K101" s="224">
        <v>245.67</v>
      </c>
      <c r="L101" s="224">
        <v>20.76</v>
      </c>
      <c r="M101" s="224">
        <v>94.32</v>
      </c>
      <c r="N101" s="224">
        <v>0</v>
      </c>
      <c r="O101" s="224">
        <v>0</v>
      </c>
      <c r="P101" s="224">
        <v>0.54</v>
      </c>
      <c r="Q101" s="224">
        <v>7.16</v>
      </c>
      <c r="R101" s="13"/>
      <c r="S101" s="13"/>
      <c r="T101" s="213"/>
      <c r="U101" s="13"/>
    </row>
    <row r="102" customFormat="1" spans="1:21">
      <c r="A102" s="13" t="s">
        <v>2163</v>
      </c>
      <c r="B102" s="224">
        <v>17.54</v>
      </c>
      <c r="C102" s="224">
        <v>68.09</v>
      </c>
      <c r="D102" s="224">
        <v>50.99</v>
      </c>
      <c r="E102" s="224">
        <v>4.11</v>
      </c>
      <c r="F102" s="224">
        <v>3.57</v>
      </c>
      <c r="G102" s="224">
        <v>20.53</v>
      </c>
      <c r="H102" s="224">
        <v>11.68</v>
      </c>
      <c r="I102" s="224">
        <v>3.48</v>
      </c>
      <c r="J102" s="224">
        <v>0.79</v>
      </c>
      <c r="K102" s="224">
        <v>240.6</v>
      </c>
      <c r="L102" s="224">
        <v>20.88</v>
      </c>
      <c r="M102" s="224">
        <v>93.08</v>
      </c>
      <c r="N102" s="224">
        <v>0</v>
      </c>
      <c r="O102" s="224">
        <v>0</v>
      </c>
      <c r="P102" s="224">
        <v>0.54</v>
      </c>
      <c r="Q102" s="224">
        <v>7.15</v>
      </c>
      <c r="R102" s="13"/>
      <c r="S102" s="13"/>
      <c r="T102" s="213"/>
      <c r="U102" s="13"/>
    </row>
    <row r="103" customFormat="1" spans="1:21">
      <c r="A103" s="13" t="s">
        <v>2164</v>
      </c>
      <c r="B103" s="224">
        <v>17.64</v>
      </c>
      <c r="C103" s="224">
        <v>65.48</v>
      </c>
      <c r="D103" s="224">
        <v>49.71</v>
      </c>
      <c r="E103" s="224">
        <v>4.41</v>
      </c>
      <c r="F103" s="224">
        <v>4.11</v>
      </c>
      <c r="G103" s="224">
        <v>20.53</v>
      </c>
      <c r="H103" s="224">
        <v>11.68</v>
      </c>
      <c r="I103" s="224">
        <v>3.39</v>
      </c>
      <c r="J103" s="224">
        <v>0.56</v>
      </c>
      <c r="K103" s="224">
        <v>232.28</v>
      </c>
      <c r="L103" s="224">
        <v>20.92</v>
      </c>
      <c r="M103" s="224">
        <v>91.6</v>
      </c>
      <c r="N103" s="224">
        <v>0</v>
      </c>
      <c r="O103" s="224">
        <v>0</v>
      </c>
      <c r="P103" s="224">
        <v>0.53</v>
      </c>
      <c r="Q103" s="224">
        <v>7.12</v>
      </c>
      <c r="R103" s="13"/>
      <c r="S103" s="13"/>
      <c r="T103" s="213"/>
      <c r="U103" s="13"/>
    </row>
    <row r="104" customFormat="1" spans="1:21">
      <c r="A104" s="13" t="s">
        <v>2165</v>
      </c>
      <c r="B104" s="224">
        <v>17.61</v>
      </c>
      <c r="C104" s="224">
        <v>65.69</v>
      </c>
      <c r="D104" s="224">
        <v>49.79</v>
      </c>
      <c r="E104" s="224">
        <v>4.02</v>
      </c>
      <c r="F104" s="224">
        <v>4.01</v>
      </c>
      <c r="G104" s="224">
        <v>17.88</v>
      </c>
      <c r="H104" s="224">
        <v>11.85</v>
      </c>
      <c r="I104" s="224">
        <v>3.37</v>
      </c>
      <c r="J104" s="224">
        <v>0.63</v>
      </c>
      <c r="K104" s="224">
        <v>71.94</v>
      </c>
      <c r="L104" s="224">
        <v>20.85</v>
      </c>
      <c r="M104" s="224">
        <v>91.67</v>
      </c>
      <c r="N104" s="224">
        <v>0</v>
      </c>
      <c r="O104" s="224">
        <v>0</v>
      </c>
      <c r="P104" s="224">
        <v>0.54</v>
      </c>
      <c r="Q104" s="224">
        <v>7.16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3.32</v>
      </c>
      <c r="C106" s="215">
        <f>MIN(C9:C104)</f>
        <v>17.19</v>
      </c>
      <c r="D106" s="215">
        <f t="shared" ref="D106:Q106" si="0">MIN(D9:D104)</f>
        <v>12.99</v>
      </c>
      <c r="E106" s="215">
        <f t="shared" si="0"/>
        <v>4.02</v>
      </c>
      <c r="F106" s="215">
        <f t="shared" si="0"/>
        <v>3.57</v>
      </c>
      <c r="G106" s="215">
        <f t="shared" si="0"/>
        <v>17.88</v>
      </c>
      <c r="H106" s="215">
        <f t="shared" si="0"/>
        <v>8.64</v>
      </c>
      <c r="I106" s="215">
        <f t="shared" si="0"/>
        <v>0</v>
      </c>
      <c r="J106" s="215">
        <f t="shared" si="0"/>
        <v>0.04</v>
      </c>
      <c r="K106" s="215">
        <f t="shared" si="0"/>
        <v>21.68</v>
      </c>
      <c r="L106" s="215">
        <f t="shared" si="0"/>
        <v>20.68</v>
      </c>
      <c r="M106" s="215">
        <f t="shared" si="0"/>
        <v>21.88</v>
      </c>
      <c r="N106" s="215">
        <f t="shared" si="0"/>
        <v>0</v>
      </c>
      <c r="O106" s="215">
        <f t="shared" si="0"/>
        <v>0</v>
      </c>
      <c r="P106" s="215">
        <f t="shared" si="0"/>
        <v>0.26</v>
      </c>
      <c r="Q106" s="215">
        <f t="shared" si="0"/>
        <v>0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17.64</v>
      </c>
      <c r="C107" s="216">
        <f t="shared" ref="C107:Q107" si="1">MAX(C9:C104)</f>
        <v>70.19</v>
      </c>
      <c r="D107" s="216">
        <f t="shared" si="1"/>
        <v>50.99</v>
      </c>
      <c r="E107" s="216">
        <f t="shared" si="1"/>
        <v>46.16</v>
      </c>
      <c r="F107" s="216">
        <f t="shared" si="1"/>
        <v>76.62</v>
      </c>
      <c r="G107" s="216">
        <f t="shared" si="1"/>
        <v>81.75</v>
      </c>
      <c r="H107" s="216">
        <f t="shared" si="1"/>
        <v>19.7</v>
      </c>
      <c r="I107" s="216">
        <f t="shared" si="1"/>
        <v>3.62</v>
      </c>
      <c r="J107" s="216">
        <f t="shared" si="1"/>
        <v>3.33</v>
      </c>
      <c r="K107" s="216">
        <f t="shared" si="1"/>
        <v>359.41</v>
      </c>
      <c r="L107" s="216">
        <f t="shared" si="1"/>
        <v>38.18</v>
      </c>
      <c r="M107" s="216">
        <f t="shared" si="1"/>
        <v>96.37</v>
      </c>
      <c r="N107" s="216">
        <f t="shared" si="1"/>
        <v>880.9</v>
      </c>
      <c r="O107" s="216">
        <f t="shared" si="1"/>
        <v>0</v>
      </c>
      <c r="P107" s="216">
        <f t="shared" si="1"/>
        <v>0.58</v>
      </c>
      <c r="Q107" s="216">
        <f t="shared" si="1"/>
        <v>7.17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8.68520833333334</v>
      </c>
      <c r="C108" s="215">
        <f t="shared" ref="C108:Q108" si="2">AVERAGE(C9:C104)</f>
        <v>45.166875</v>
      </c>
      <c r="D108" s="215">
        <f t="shared" si="2"/>
        <v>31.913125</v>
      </c>
      <c r="E108" s="215">
        <f t="shared" si="2"/>
        <v>9.53197916666667</v>
      </c>
      <c r="F108" s="215">
        <f t="shared" si="2"/>
        <v>21.0421875</v>
      </c>
      <c r="G108" s="215">
        <f t="shared" si="2"/>
        <v>38.0527083333333</v>
      </c>
      <c r="H108" s="215">
        <f t="shared" si="2"/>
        <v>12.8130208333333</v>
      </c>
      <c r="I108" s="215">
        <f t="shared" si="2"/>
        <v>1.44520833333333</v>
      </c>
      <c r="J108" s="215">
        <f t="shared" si="2"/>
        <v>0.881666666666666</v>
      </c>
      <c r="K108" s="215">
        <f t="shared" si="2"/>
        <v>159.991875</v>
      </c>
      <c r="L108" s="215">
        <f t="shared" si="2"/>
        <v>28.2016666666667</v>
      </c>
      <c r="M108" s="215">
        <f t="shared" si="2"/>
        <v>51.2817708333333</v>
      </c>
      <c r="N108" s="215">
        <f t="shared" si="2"/>
        <v>199.610416666667</v>
      </c>
      <c r="O108" s="215">
        <f t="shared" si="2"/>
        <v>0</v>
      </c>
      <c r="P108" s="215">
        <f t="shared" si="2"/>
        <v>0.464583333333333</v>
      </c>
      <c r="Q108" s="215">
        <f t="shared" si="2"/>
        <v>5.34052083333333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4.14735044885455</v>
      </c>
      <c r="C109" s="215">
        <f t="shared" ref="C109:Q109" si="3">STDEV(C9:C104)</f>
        <v>16.1347689502809</v>
      </c>
      <c r="D109" s="215">
        <f t="shared" si="3"/>
        <v>11.2808698164543</v>
      </c>
      <c r="E109" s="215">
        <f t="shared" si="3"/>
        <v>6.83185828458217</v>
      </c>
      <c r="F109" s="215">
        <f t="shared" si="3"/>
        <v>20.072022382732</v>
      </c>
      <c r="G109" s="215">
        <f t="shared" si="3"/>
        <v>13.3979330282631</v>
      </c>
      <c r="H109" s="215">
        <f t="shared" si="3"/>
        <v>2.97115930582896</v>
      </c>
      <c r="I109" s="215">
        <f t="shared" si="3"/>
        <v>1.5569044720495</v>
      </c>
      <c r="J109" s="215">
        <f t="shared" si="3"/>
        <v>0.719576873720232</v>
      </c>
      <c r="K109" s="215">
        <f t="shared" si="3"/>
        <v>90.8912491684141</v>
      </c>
      <c r="L109" s="215">
        <f t="shared" si="3"/>
        <v>6.01115378480383</v>
      </c>
      <c r="M109" s="215">
        <f t="shared" si="3"/>
        <v>25.8252740748606</v>
      </c>
      <c r="N109" s="215">
        <f t="shared" si="3"/>
        <v>299.870669132778</v>
      </c>
      <c r="O109" s="215">
        <f t="shared" si="3"/>
        <v>0</v>
      </c>
      <c r="P109" s="215">
        <f t="shared" si="3"/>
        <v>0.102689277528368</v>
      </c>
      <c r="Q109" s="215">
        <f t="shared" si="3"/>
        <v>1.02933639306483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23/04/2023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3" t="s">
        <v>2166</v>
      </c>
      <c r="B9" s="224">
        <v>17.18</v>
      </c>
      <c r="C9" s="224">
        <v>59.17</v>
      </c>
      <c r="D9" s="224">
        <v>46.04</v>
      </c>
      <c r="E9" s="224">
        <v>4.1</v>
      </c>
      <c r="F9" s="224">
        <v>4.7</v>
      </c>
      <c r="G9" s="224">
        <v>17.76</v>
      </c>
      <c r="H9" s="224">
        <v>11.85</v>
      </c>
      <c r="I9" s="224">
        <v>3.36</v>
      </c>
      <c r="J9" s="224">
        <v>0.67</v>
      </c>
      <c r="K9" s="224">
        <v>76.76</v>
      </c>
      <c r="L9" s="224">
        <v>20.88</v>
      </c>
      <c r="M9" s="224">
        <v>90.64</v>
      </c>
      <c r="N9" s="224">
        <v>0</v>
      </c>
      <c r="O9" s="224">
        <v>0</v>
      </c>
      <c r="P9" s="224">
        <v>0.51</v>
      </c>
      <c r="Q9" s="224">
        <v>7.01</v>
      </c>
      <c r="R9" s="13"/>
      <c r="S9" s="13"/>
      <c r="T9" s="213"/>
      <c r="U9" s="13"/>
    </row>
    <row r="10" customFormat="1" spans="1:21">
      <c r="A10" s="13" t="s">
        <v>2167</v>
      </c>
      <c r="B10" s="224">
        <v>17.42</v>
      </c>
      <c r="C10" s="224">
        <v>57.4</v>
      </c>
      <c r="D10" s="224">
        <v>45.31</v>
      </c>
      <c r="E10" s="224">
        <v>3.27</v>
      </c>
      <c r="F10" s="224">
        <v>4.37</v>
      </c>
      <c r="G10" s="224">
        <v>17.76</v>
      </c>
      <c r="H10" s="224">
        <v>11.85</v>
      </c>
      <c r="I10" s="224">
        <v>3.32</v>
      </c>
      <c r="J10" s="224">
        <v>0.19</v>
      </c>
      <c r="K10" s="224">
        <v>98.79</v>
      </c>
      <c r="L10" s="224">
        <v>21.05</v>
      </c>
      <c r="M10" s="224">
        <v>88.3</v>
      </c>
      <c r="N10" s="224">
        <v>0</v>
      </c>
      <c r="O10" s="224">
        <v>0</v>
      </c>
      <c r="P10" s="224">
        <v>0.49</v>
      </c>
      <c r="Q10" s="224">
        <v>6.66</v>
      </c>
      <c r="R10" s="13"/>
      <c r="S10" s="13"/>
      <c r="T10" s="213"/>
      <c r="U10" s="13"/>
    </row>
    <row r="11" customFormat="1" spans="1:21">
      <c r="A11" s="13" t="s">
        <v>2168</v>
      </c>
      <c r="B11" s="224">
        <v>17.5</v>
      </c>
      <c r="C11" s="224">
        <v>57.8</v>
      </c>
      <c r="D11" s="224">
        <v>45.58</v>
      </c>
      <c r="E11" s="224">
        <v>3.64</v>
      </c>
      <c r="F11" s="224">
        <v>3.96</v>
      </c>
      <c r="G11" s="224">
        <v>17.76</v>
      </c>
      <c r="H11" s="224">
        <v>11.85</v>
      </c>
      <c r="I11" s="224">
        <v>3.22</v>
      </c>
      <c r="J11" s="224">
        <v>0.17</v>
      </c>
      <c r="K11" s="224">
        <v>106.68</v>
      </c>
      <c r="L11" s="224">
        <v>21.1</v>
      </c>
      <c r="M11" s="224">
        <v>89.53</v>
      </c>
      <c r="N11" s="224">
        <v>0</v>
      </c>
      <c r="O11" s="224">
        <v>0</v>
      </c>
      <c r="P11" s="224">
        <v>0.48</v>
      </c>
      <c r="Q11" s="224">
        <v>6.57</v>
      </c>
      <c r="R11" s="13"/>
      <c r="S11" s="13"/>
      <c r="T11" s="213"/>
      <c r="U11" s="13"/>
    </row>
    <row r="12" customFormat="1" spans="1:21">
      <c r="A12" s="13" t="s">
        <v>2169</v>
      </c>
      <c r="B12" s="224">
        <v>17.93</v>
      </c>
      <c r="C12" s="224">
        <v>61.34</v>
      </c>
      <c r="D12" s="224">
        <v>47.78</v>
      </c>
      <c r="E12" s="224">
        <v>3.93</v>
      </c>
      <c r="F12" s="224">
        <v>3.43</v>
      </c>
      <c r="G12" s="224">
        <v>13.25</v>
      </c>
      <c r="H12" s="224">
        <v>9.37</v>
      </c>
      <c r="I12" s="224">
        <v>3.19</v>
      </c>
      <c r="J12" s="224">
        <v>0.25</v>
      </c>
      <c r="K12" s="224">
        <v>91.99</v>
      </c>
      <c r="L12" s="224">
        <v>21.08</v>
      </c>
      <c r="M12" s="224">
        <v>90.85</v>
      </c>
      <c r="N12" s="224">
        <v>0</v>
      </c>
      <c r="O12" s="224">
        <v>0</v>
      </c>
      <c r="P12" s="224">
        <v>0.49</v>
      </c>
      <c r="Q12" s="224">
        <v>6.68</v>
      </c>
      <c r="R12" s="13"/>
      <c r="S12" s="13"/>
      <c r="T12" s="213"/>
      <c r="U12" s="13"/>
    </row>
    <row r="13" customFormat="1" spans="1:21">
      <c r="A13" s="13" t="s">
        <v>2170</v>
      </c>
      <c r="B13" s="224">
        <v>18.4</v>
      </c>
      <c r="C13" s="224">
        <v>62.44</v>
      </c>
      <c r="D13" s="224">
        <v>48.72</v>
      </c>
      <c r="E13" s="224">
        <v>3.8</v>
      </c>
      <c r="F13" s="224">
        <v>3.54</v>
      </c>
      <c r="G13" s="224">
        <v>13.04</v>
      </c>
      <c r="H13" s="224">
        <v>9.37</v>
      </c>
      <c r="I13" s="224">
        <v>3.2</v>
      </c>
      <c r="J13" s="224">
        <v>0.17</v>
      </c>
      <c r="K13" s="224">
        <v>91.55</v>
      </c>
      <c r="L13" s="224">
        <v>21.02</v>
      </c>
      <c r="M13" s="224">
        <v>90.41</v>
      </c>
      <c r="N13" s="224">
        <v>0</v>
      </c>
      <c r="O13" s="224">
        <v>0</v>
      </c>
      <c r="P13" s="224">
        <v>0.48</v>
      </c>
      <c r="Q13" s="224">
        <v>6.79</v>
      </c>
      <c r="R13" s="13"/>
      <c r="S13" s="13"/>
      <c r="T13" s="213"/>
      <c r="U13" s="13"/>
    </row>
    <row r="14" customFormat="1" spans="1:21">
      <c r="A14" s="13" t="s">
        <v>2171</v>
      </c>
      <c r="B14" s="224">
        <v>18.82</v>
      </c>
      <c r="C14" s="224">
        <v>61.97</v>
      </c>
      <c r="D14" s="224">
        <v>48.83</v>
      </c>
      <c r="E14" s="224">
        <v>3.49</v>
      </c>
      <c r="F14" s="224">
        <v>3.73</v>
      </c>
      <c r="G14" s="224">
        <v>13.04</v>
      </c>
      <c r="H14" s="224">
        <v>9.37</v>
      </c>
      <c r="I14" s="224">
        <v>3.19</v>
      </c>
      <c r="J14" s="224">
        <v>0.41</v>
      </c>
      <c r="K14" s="224">
        <v>90.8</v>
      </c>
      <c r="L14" s="224">
        <v>21.01</v>
      </c>
      <c r="M14" s="224">
        <v>90</v>
      </c>
      <c r="N14" s="224">
        <v>0</v>
      </c>
      <c r="O14" s="224">
        <v>0</v>
      </c>
      <c r="P14" s="224">
        <v>0.48</v>
      </c>
      <c r="Q14" s="224">
        <v>6.82</v>
      </c>
      <c r="R14" s="13"/>
      <c r="S14" s="13"/>
      <c r="T14" s="213"/>
      <c r="U14" s="13"/>
    </row>
    <row r="15" customFormat="1" spans="1:21">
      <c r="A15" s="13" t="s">
        <v>2172</v>
      </c>
      <c r="B15" s="224">
        <v>19.04</v>
      </c>
      <c r="C15" s="224">
        <v>58.96</v>
      </c>
      <c r="D15" s="224">
        <v>47.42</v>
      </c>
      <c r="E15" s="224">
        <v>3.85</v>
      </c>
      <c r="F15" s="224">
        <v>4.09</v>
      </c>
      <c r="G15" s="224">
        <v>13.04</v>
      </c>
      <c r="H15" s="224">
        <v>9.37</v>
      </c>
      <c r="I15" s="224">
        <v>3.17</v>
      </c>
      <c r="J15" s="224">
        <v>0.12</v>
      </c>
      <c r="K15" s="224">
        <v>171.02</v>
      </c>
      <c r="L15" s="224">
        <v>20.89</v>
      </c>
      <c r="M15" s="224">
        <v>90.51</v>
      </c>
      <c r="N15" s="224">
        <v>0</v>
      </c>
      <c r="O15" s="224">
        <v>0</v>
      </c>
      <c r="P15" s="224">
        <v>0.47</v>
      </c>
      <c r="Q15" s="224">
        <v>6.69</v>
      </c>
      <c r="R15" s="13"/>
      <c r="S15" s="13"/>
      <c r="T15" s="213"/>
      <c r="U15" s="13"/>
    </row>
    <row r="16" customFormat="1" spans="1:21">
      <c r="A16" s="13" t="s">
        <v>2173</v>
      </c>
      <c r="B16" s="224">
        <v>19.36</v>
      </c>
      <c r="C16" s="224">
        <v>63.01</v>
      </c>
      <c r="D16" s="224">
        <v>49.8</v>
      </c>
      <c r="E16" s="224">
        <v>3.82</v>
      </c>
      <c r="F16" s="224">
        <v>3.47</v>
      </c>
      <c r="G16" s="224">
        <v>9.28</v>
      </c>
      <c r="H16" s="224">
        <v>7.06</v>
      </c>
      <c r="I16" s="224">
        <v>3.16</v>
      </c>
      <c r="J16" s="224">
        <v>0.34</v>
      </c>
      <c r="K16" s="224">
        <v>226.83</v>
      </c>
      <c r="L16" s="224">
        <v>20.85</v>
      </c>
      <c r="M16" s="224">
        <v>90.89</v>
      </c>
      <c r="N16" s="224">
        <v>0</v>
      </c>
      <c r="O16" s="224">
        <v>0</v>
      </c>
      <c r="P16" s="224">
        <v>0.48</v>
      </c>
      <c r="Q16" s="224">
        <v>6.82</v>
      </c>
      <c r="R16" s="13"/>
      <c r="S16" s="13"/>
      <c r="T16" s="213"/>
      <c r="U16" s="13"/>
    </row>
    <row r="17" customFormat="1" spans="1:21">
      <c r="A17" s="13" t="s">
        <v>2174</v>
      </c>
      <c r="B17" s="224">
        <v>19.83</v>
      </c>
      <c r="C17" s="224">
        <v>61.45</v>
      </c>
      <c r="D17" s="224">
        <v>49.36</v>
      </c>
      <c r="E17" s="224">
        <v>6.68</v>
      </c>
      <c r="F17" s="224">
        <v>3.65</v>
      </c>
      <c r="G17" s="224">
        <v>9.11</v>
      </c>
      <c r="H17" s="224">
        <v>7.06</v>
      </c>
      <c r="I17" s="224">
        <v>3.17</v>
      </c>
      <c r="J17" s="224">
        <v>0.76</v>
      </c>
      <c r="K17" s="224">
        <v>253.67</v>
      </c>
      <c r="L17" s="224">
        <v>20.95</v>
      </c>
      <c r="M17" s="224">
        <v>89.6</v>
      </c>
      <c r="N17" s="224">
        <v>0</v>
      </c>
      <c r="O17" s="224">
        <v>0</v>
      </c>
      <c r="P17" s="224">
        <v>0.48</v>
      </c>
      <c r="Q17" s="224">
        <v>6.82</v>
      </c>
      <c r="R17" s="13"/>
      <c r="S17" s="13"/>
      <c r="T17" s="213"/>
      <c r="U17" s="13"/>
    </row>
    <row r="18" customFormat="1" spans="1:21">
      <c r="A18" s="13" t="s">
        <v>2175</v>
      </c>
      <c r="B18" s="224">
        <v>20.25</v>
      </c>
      <c r="C18" s="224">
        <v>61.96</v>
      </c>
      <c r="D18" s="224">
        <v>49.96</v>
      </c>
      <c r="E18" s="224">
        <v>7.99</v>
      </c>
      <c r="F18" s="224">
        <v>3.74</v>
      </c>
      <c r="G18" s="224">
        <v>9.11</v>
      </c>
      <c r="H18" s="224">
        <v>7.06</v>
      </c>
      <c r="I18" s="224">
        <v>3.13</v>
      </c>
      <c r="J18" s="224">
        <v>0.61</v>
      </c>
      <c r="K18" s="224">
        <v>258.96</v>
      </c>
      <c r="L18" s="224">
        <v>21.05</v>
      </c>
      <c r="M18" s="224">
        <v>88.43</v>
      </c>
      <c r="N18" s="224">
        <v>0</v>
      </c>
      <c r="O18" s="224">
        <v>0</v>
      </c>
      <c r="P18" s="224">
        <v>0.48</v>
      </c>
      <c r="Q18" s="224">
        <v>6.86</v>
      </c>
      <c r="R18" s="13"/>
      <c r="S18" s="13"/>
      <c r="T18" s="213"/>
      <c r="U18" s="13"/>
    </row>
    <row r="19" customFormat="1" spans="1:21">
      <c r="A19" s="13" t="s">
        <v>2176</v>
      </c>
      <c r="B19" s="224">
        <v>20.64</v>
      </c>
      <c r="C19" s="224">
        <v>60.97</v>
      </c>
      <c r="D19" s="224">
        <v>49.76</v>
      </c>
      <c r="E19" s="224">
        <v>8.11</v>
      </c>
      <c r="F19" s="224">
        <v>3.85</v>
      </c>
      <c r="G19" s="224">
        <v>9.11</v>
      </c>
      <c r="H19" s="224">
        <v>7.06</v>
      </c>
      <c r="I19" s="224">
        <v>3.14</v>
      </c>
      <c r="J19" s="224">
        <v>0.47</v>
      </c>
      <c r="K19" s="224">
        <v>271.49</v>
      </c>
      <c r="L19" s="224">
        <v>21.11</v>
      </c>
      <c r="M19" s="224">
        <v>87.24</v>
      </c>
      <c r="N19" s="224">
        <v>0</v>
      </c>
      <c r="O19" s="224">
        <v>0</v>
      </c>
      <c r="P19" s="224">
        <v>0.47</v>
      </c>
      <c r="Q19" s="224">
        <v>6.86</v>
      </c>
      <c r="R19" s="13"/>
      <c r="S19" s="13"/>
      <c r="T19" s="213"/>
      <c r="U19" s="13"/>
    </row>
    <row r="20" customFormat="1" spans="1:21">
      <c r="A20" s="13" t="s">
        <v>2177</v>
      </c>
      <c r="B20" s="224">
        <v>20.98</v>
      </c>
      <c r="C20" s="224">
        <v>62.9</v>
      </c>
      <c r="D20" s="224">
        <v>51.04</v>
      </c>
      <c r="E20" s="224">
        <v>8.06</v>
      </c>
      <c r="F20" s="224">
        <v>3.41</v>
      </c>
      <c r="G20" s="224">
        <v>6.73</v>
      </c>
      <c r="H20" s="224">
        <v>6.33</v>
      </c>
      <c r="I20" s="224">
        <v>3.19</v>
      </c>
      <c r="J20" s="224">
        <v>0.32</v>
      </c>
      <c r="K20" s="224">
        <v>17.95</v>
      </c>
      <c r="L20" s="224">
        <v>21.21</v>
      </c>
      <c r="M20" s="224">
        <v>86.95</v>
      </c>
      <c r="N20" s="224">
        <v>0</v>
      </c>
      <c r="O20" s="224">
        <v>0</v>
      </c>
      <c r="P20" s="224">
        <v>0.48</v>
      </c>
      <c r="Q20" s="224">
        <v>6.92</v>
      </c>
      <c r="R20" s="13"/>
      <c r="S20" s="13"/>
      <c r="T20" s="213"/>
      <c r="U20" s="13"/>
    </row>
    <row r="21" customFormat="1" spans="1:21">
      <c r="A21" s="13" t="s">
        <v>2178</v>
      </c>
      <c r="B21" s="224">
        <v>21.8</v>
      </c>
      <c r="C21" s="224">
        <v>60.47</v>
      </c>
      <c r="D21" s="224">
        <v>50.43</v>
      </c>
      <c r="E21" s="224">
        <v>7.75</v>
      </c>
      <c r="F21" s="224">
        <v>3.95</v>
      </c>
      <c r="G21" s="224">
        <v>6.62</v>
      </c>
      <c r="H21" s="224">
        <v>6.33</v>
      </c>
      <c r="I21" s="224">
        <v>3.15</v>
      </c>
      <c r="J21" s="224">
        <v>0.99</v>
      </c>
      <c r="K21" s="224">
        <v>298.15</v>
      </c>
      <c r="L21" s="224">
        <v>21.27</v>
      </c>
      <c r="M21" s="224">
        <v>86.88</v>
      </c>
      <c r="N21" s="224">
        <v>0</v>
      </c>
      <c r="O21" s="224">
        <v>0</v>
      </c>
      <c r="P21" s="224">
        <v>0.47</v>
      </c>
      <c r="Q21" s="224">
        <v>6.91</v>
      </c>
      <c r="R21" s="13"/>
      <c r="S21" s="13"/>
      <c r="T21" s="213"/>
      <c r="U21" s="13"/>
    </row>
    <row r="22" customFormat="1" spans="1:21">
      <c r="A22" s="13" t="s">
        <v>2179</v>
      </c>
      <c r="B22" s="224">
        <v>22.21</v>
      </c>
      <c r="C22" s="224">
        <v>61.66</v>
      </c>
      <c r="D22" s="224">
        <v>51.37</v>
      </c>
      <c r="E22" s="224">
        <v>7.81</v>
      </c>
      <c r="F22" s="224">
        <v>3.89</v>
      </c>
      <c r="G22" s="224">
        <v>6.62</v>
      </c>
      <c r="H22" s="224">
        <v>6.33</v>
      </c>
      <c r="I22" s="224">
        <v>3.13</v>
      </c>
      <c r="J22" s="224">
        <v>1.04</v>
      </c>
      <c r="K22" s="224">
        <v>31.12</v>
      </c>
      <c r="L22" s="224">
        <v>21.14</v>
      </c>
      <c r="M22" s="224">
        <v>87.77</v>
      </c>
      <c r="N22" s="224">
        <v>0</v>
      </c>
      <c r="O22" s="224">
        <v>0</v>
      </c>
      <c r="P22" s="224">
        <v>0.48</v>
      </c>
      <c r="Q22" s="224">
        <v>7.01</v>
      </c>
      <c r="R22" s="13"/>
      <c r="S22" s="13"/>
      <c r="T22" s="213"/>
      <c r="U22" s="13"/>
    </row>
    <row r="23" customFormat="1" spans="1:21">
      <c r="A23" s="13" t="s">
        <v>2180</v>
      </c>
      <c r="B23" s="224">
        <v>22.69</v>
      </c>
      <c r="C23" s="224">
        <v>61.18</v>
      </c>
      <c r="D23" s="224">
        <v>51.51</v>
      </c>
      <c r="E23" s="224">
        <v>8.29</v>
      </c>
      <c r="F23" s="224">
        <v>4.05</v>
      </c>
      <c r="G23" s="224">
        <v>6.62</v>
      </c>
      <c r="H23" s="224">
        <v>6.33</v>
      </c>
      <c r="I23" s="224">
        <v>3.16</v>
      </c>
      <c r="J23" s="224">
        <v>0.69</v>
      </c>
      <c r="K23" s="224">
        <v>351.08</v>
      </c>
      <c r="L23" s="224">
        <v>20.95</v>
      </c>
      <c r="M23" s="224">
        <v>89.14</v>
      </c>
      <c r="N23" s="224">
        <v>0</v>
      </c>
      <c r="O23" s="224">
        <v>0</v>
      </c>
      <c r="P23" s="224">
        <v>0.49</v>
      </c>
      <c r="Q23" s="224">
        <v>6.99</v>
      </c>
      <c r="R23" s="13"/>
      <c r="S23" s="13"/>
      <c r="T23" s="213"/>
      <c r="U23" s="13"/>
    </row>
    <row r="24" customFormat="1" spans="1:21">
      <c r="A24" s="13" t="s">
        <v>2181</v>
      </c>
      <c r="B24" s="224">
        <v>23.42</v>
      </c>
      <c r="C24" s="224">
        <v>60.51</v>
      </c>
      <c r="D24" s="224">
        <v>51.75</v>
      </c>
      <c r="E24" s="224">
        <v>8.02</v>
      </c>
      <c r="F24" s="224">
        <v>4.23</v>
      </c>
      <c r="G24" s="224">
        <v>17.62</v>
      </c>
      <c r="H24" s="224">
        <v>11.38</v>
      </c>
      <c r="I24" s="224">
        <v>3.14</v>
      </c>
      <c r="J24" s="224">
        <v>1.09</v>
      </c>
      <c r="K24" s="224">
        <v>295.83</v>
      </c>
      <c r="L24" s="224">
        <v>20.87</v>
      </c>
      <c r="M24" s="224">
        <v>89.72</v>
      </c>
      <c r="N24" s="224">
        <v>0</v>
      </c>
      <c r="O24" s="224">
        <v>0</v>
      </c>
      <c r="P24" s="224">
        <v>0.49</v>
      </c>
      <c r="Q24" s="224">
        <v>7.02</v>
      </c>
      <c r="R24" s="13"/>
      <c r="S24" s="13"/>
      <c r="T24" s="213"/>
      <c r="U24" s="13"/>
    </row>
    <row r="25" customFormat="1" spans="1:21">
      <c r="A25" s="13" t="s">
        <v>2182</v>
      </c>
      <c r="B25" s="224">
        <v>24.12</v>
      </c>
      <c r="C25" s="224">
        <v>63.87</v>
      </c>
      <c r="D25" s="224">
        <v>54.06</v>
      </c>
      <c r="E25" s="224">
        <v>8.07</v>
      </c>
      <c r="F25" s="224">
        <v>3.48</v>
      </c>
      <c r="G25" s="224">
        <v>18.13</v>
      </c>
      <c r="H25" s="224">
        <v>11.38</v>
      </c>
      <c r="I25" s="224">
        <v>3.18</v>
      </c>
      <c r="J25" s="224">
        <v>0.42</v>
      </c>
      <c r="K25" s="224">
        <v>309.85</v>
      </c>
      <c r="L25" s="224">
        <v>20.94</v>
      </c>
      <c r="M25" s="224">
        <v>89.52</v>
      </c>
      <c r="N25" s="224">
        <v>0</v>
      </c>
      <c r="O25" s="224">
        <v>0</v>
      </c>
      <c r="P25" s="224">
        <v>0.51</v>
      </c>
      <c r="Q25" s="224">
        <v>7.17</v>
      </c>
      <c r="R25" s="13"/>
      <c r="S25" s="13"/>
      <c r="T25" s="213"/>
      <c r="U25" s="13"/>
    </row>
    <row r="26" customFormat="1" spans="1:21">
      <c r="A26" s="13" t="s">
        <v>2183</v>
      </c>
      <c r="B26" s="224">
        <v>25.16</v>
      </c>
      <c r="C26" s="224">
        <v>62.7</v>
      </c>
      <c r="D26" s="224">
        <v>54.29</v>
      </c>
      <c r="E26" s="224">
        <v>7.92</v>
      </c>
      <c r="F26" s="224">
        <v>3.56</v>
      </c>
      <c r="G26" s="224">
        <v>18.13</v>
      </c>
      <c r="H26" s="224">
        <v>11.38</v>
      </c>
      <c r="I26" s="224">
        <v>3.27</v>
      </c>
      <c r="J26" s="224">
        <v>0.22</v>
      </c>
      <c r="K26" s="224">
        <v>21.09</v>
      </c>
      <c r="L26" s="224">
        <v>21.04</v>
      </c>
      <c r="M26" s="224">
        <v>89.52</v>
      </c>
      <c r="N26" s="224">
        <v>0</v>
      </c>
      <c r="O26" s="224">
        <v>0</v>
      </c>
      <c r="P26" s="224">
        <v>0.52</v>
      </c>
      <c r="Q26" s="224">
        <v>7.19</v>
      </c>
      <c r="R26" s="13"/>
      <c r="S26" s="13"/>
      <c r="T26" s="213"/>
      <c r="U26" s="13"/>
    </row>
    <row r="27" customFormat="1" spans="1:21">
      <c r="A27" s="13" t="s">
        <v>2184</v>
      </c>
      <c r="B27" s="224">
        <v>26.45</v>
      </c>
      <c r="C27" s="224">
        <v>61.38</v>
      </c>
      <c r="D27" s="224">
        <v>54.64</v>
      </c>
      <c r="E27" s="224">
        <v>8.06</v>
      </c>
      <c r="F27" s="224">
        <v>3.74</v>
      </c>
      <c r="G27" s="224">
        <v>18.13</v>
      </c>
      <c r="H27" s="224">
        <v>11.38</v>
      </c>
      <c r="I27" s="224">
        <v>3.27</v>
      </c>
      <c r="J27" s="224">
        <v>0.26</v>
      </c>
      <c r="K27" s="224">
        <v>19.7</v>
      </c>
      <c r="L27" s="224">
        <v>21.03</v>
      </c>
      <c r="M27" s="224">
        <v>89.88</v>
      </c>
      <c r="N27" s="224">
        <v>0</v>
      </c>
      <c r="O27" s="224">
        <v>0</v>
      </c>
      <c r="P27" s="224">
        <v>0.51</v>
      </c>
      <c r="Q27" s="224">
        <v>7.24</v>
      </c>
      <c r="R27" s="13"/>
      <c r="S27" s="13"/>
      <c r="T27" s="213"/>
      <c r="U27" s="13"/>
    </row>
    <row r="28" customFormat="1" spans="1:21">
      <c r="A28" s="13" t="s">
        <v>2185</v>
      </c>
      <c r="B28" s="224">
        <v>27.61</v>
      </c>
      <c r="C28" s="224">
        <v>63.21</v>
      </c>
      <c r="D28" s="224">
        <v>56.51</v>
      </c>
      <c r="E28" s="224">
        <v>7.88</v>
      </c>
      <c r="F28" s="224">
        <v>3.49</v>
      </c>
      <c r="G28" s="224">
        <v>34.26</v>
      </c>
      <c r="H28" s="224">
        <v>12.46</v>
      </c>
      <c r="I28" s="224">
        <v>3.32</v>
      </c>
      <c r="J28" s="224">
        <v>0.06</v>
      </c>
      <c r="K28" s="224">
        <v>296.5</v>
      </c>
      <c r="L28" s="224">
        <v>21.02</v>
      </c>
      <c r="M28" s="224">
        <v>90.63</v>
      </c>
      <c r="N28" s="224">
        <v>0</v>
      </c>
      <c r="O28" s="224">
        <v>0</v>
      </c>
      <c r="P28" s="224">
        <v>0.53</v>
      </c>
      <c r="Q28" s="224">
        <v>7.31</v>
      </c>
      <c r="R28" s="13"/>
      <c r="S28" s="13"/>
      <c r="T28" s="213"/>
      <c r="U28" s="13"/>
    </row>
    <row r="29" customFormat="1" spans="1:21">
      <c r="A29" s="13" t="s">
        <v>2186</v>
      </c>
      <c r="B29" s="224">
        <v>28.96</v>
      </c>
      <c r="C29" s="224">
        <v>67.79</v>
      </c>
      <c r="D29" s="224">
        <v>60</v>
      </c>
      <c r="E29" s="224">
        <v>7.76</v>
      </c>
      <c r="F29" s="224">
        <v>3.07</v>
      </c>
      <c r="G29" s="224">
        <v>35.01</v>
      </c>
      <c r="H29" s="224">
        <v>12.46</v>
      </c>
      <c r="I29" s="224">
        <v>3.39</v>
      </c>
      <c r="J29" s="224">
        <v>0.06</v>
      </c>
      <c r="K29" s="224">
        <v>249.84</v>
      </c>
      <c r="L29" s="224">
        <v>21.06</v>
      </c>
      <c r="M29" s="224">
        <v>90.79</v>
      </c>
      <c r="N29" s="224">
        <v>0</v>
      </c>
      <c r="O29" s="224">
        <v>0</v>
      </c>
      <c r="P29" s="224">
        <v>0.56</v>
      </c>
      <c r="Q29" s="224">
        <v>7.72</v>
      </c>
      <c r="R29" s="13"/>
      <c r="S29" s="13"/>
      <c r="T29" s="213"/>
      <c r="U29" s="13"/>
    </row>
    <row r="30" customFormat="1" spans="1:21">
      <c r="A30" s="13" t="s">
        <v>2187</v>
      </c>
      <c r="B30" s="224">
        <v>30.2</v>
      </c>
      <c r="C30" s="224">
        <v>67.59</v>
      </c>
      <c r="D30" s="224">
        <v>60.88</v>
      </c>
      <c r="E30" s="224">
        <v>8.11</v>
      </c>
      <c r="F30" s="224">
        <v>3.34</v>
      </c>
      <c r="G30" s="224">
        <v>35.01</v>
      </c>
      <c r="H30" s="224">
        <v>12.46</v>
      </c>
      <c r="I30" s="224">
        <v>3.45</v>
      </c>
      <c r="J30" s="224">
        <v>0.2</v>
      </c>
      <c r="K30" s="224">
        <v>123.1</v>
      </c>
      <c r="L30" s="224">
        <v>21.43</v>
      </c>
      <c r="M30" s="224">
        <v>90.36</v>
      </c>
      <c r="N30" s="224">
        <v>0</v>
      </c>
      <c r="O30" s="224">
        <v>0</v>
      </c>
      <c r="P30" s="224">
        <v>0.57</v>
      </c>
      <c r="Q30" s="224">
        <v>7.89</v>
      </c>
      <c r="R30" s="13"/>
      <c r="S30" s="13"/>
      <c r="T30" s="213"/>
      <c r="U30" s="13"/>
    </row>
    <row r="31" customFormat="1" spans="1:21">
      <c r="A31" s="13" t="s">
        <v>2188</v>
      </c>
      <c r="B31" s="224">
        <v>30.98</v>
      </c>
      <c r="C31" s="224">
        <v>67.44</v>
      </c>
      <c r="D31" s="224">
        <v>61.43</v>
      </c>
      <c r="E31" s="224">
        <v>7.91</v>
      </c>
      <c r="F31" s="224">
        <v>3.51</v>
      </c>
      <c r="G31" s="224">
        <v>35.01</v>
      </c>
      <c r="H31" s="224">
        <v>12.46</v>
      </c>
      <c r="I31" s="224">
        <v>3.51</v>
      </c>
      <c r="J31" s="224">
        <v>0.15</v>
      </c>
      <c r="K31" s="224">
        <v>119.31</v>
      </c>
      <c r="L31" s="224">
        <v>21.31</v>
      </c>
      <c r="M31" s="224">
        <v>91.33</v>
      </c>
      <c r="N31" s="224">
        <v>0</v>
      </c>
      <c r="O31" s="224">
        <v>0</v>
      </c>
      <c r="P31" s="224">
        <v>0.58</v>
      </c>
      <c r="Q31" s="224">
        <v>8.01</v>
      </c>
      <c r="R31" s="13"/>
      <c r="S31" s="13"/>
      <c r="T31" s="213"/>
      <c r="U31" s="13"/>
    </row>
    <row r="32" customFormat="1" spans="1:21">
      <c r="A32" s="13" t="s">
        <v>2189</v>
      </c>
      <c r="B32" s="224">
        <v>31.64</v>
      </c>
      <c r="C32" s="224">
        <v>67.87</v>
      </c>
      <c r="D32" s="224">
        <v>62.18</v>
      </c>
      <c r="E32" s="224">
        <v>7.93</v>
      </c>
      <c r="F32" s="224">
        <v>3.56</v>
      </c>
      <c r="G32" s="224">
        <v>52.13</v>
      </c>
      <c r="H32" s="224">
        <v>17.26</v>
      </c>
      <c r="I32" s="224">
        <v>3.54</v>
      </c>
      <c r="J32" s="224">
        <v>0.15</v>
      </c>
      <c r="K32" s="224">
        <v>190.43</v>
      </c>
      <c r="L32" s="224">
        <v>21.26</v>
      </c>
      <c r="M32" s="224">
        <v>90.91</v>
      </c>
      <c r="N32" s="224">
        <v>11.3</v>
      </c>
      <c r="O32" s="224">
        <v>0</v>
      </c>
      <c r="P32" s="224">
        <v>0.58</v>
      </c>
      <c r="Q32" s="224">
        <v>8.12</v>
      </c>
      <c r="R32" s="13"/>
      <c r="S32" s="13"/>
      <c r="T32" s="213"/>
      <c r="U32" s="13"/>
    </row>
    <row r="33" customFormat="1" spans="1:21">
      <c r="A33" s="13" t="s">
        <v>2190</v>
      </c>
      <c r="B33" s="224">
        <v>32.39</v>
      </c>
      <c r="C33" s="224">
        <v>67.22</v>
      </c>
      <c r="D33" s="224">
        <v>62.44</v>
      </c>
      <c r="E33" s="224">
        <v>7.78</v>
      </c>
      <c r="F33" s="224">
        <v>3.31</v>
      </c>
      <c r="G33" s="224">
        <v>52.92</v>
      </c>
      <c r="H33" s="224">
        <v>17.26</v>
      </c>
      <c r="I33" s="224">
        <v>3.58</v>
      </c>
      <c r="J33" s="224">
        <v>0.42</v>
      </c>
      <c r="K33" s="224">
        <v>82.41</v>
      </c>
      <c r="L33" s="224">
        <v>21.25</v>
      </c>
      <c r="M33" s="224">
        <v>92.54</v>
      </c>
      <c r="N33" s="224">
        <v>31.5</v>
      </c>
      <c r="O33" s="224">
        <v>0</v>
      </c>
      <c r="P33" s="224">
        <v>0.59</v>
      </c>
      <c r="Q33" s="224">
        <v>8.21</v>
      </c>
      <c r="R33" s="13"/>
      <c r="S33" s="13"/>
      <c r="T33" s="213"/>
      <c r="U33" s="13"/>
    </row>
    <row r="34" customFormat="1" spans="1:21">
      <c r="A34" s="13" t="s">
        <v>2191</v>
      </c>
      <c r="B34" s="224">
        <v>33.19</v>
      </c>
      <c r="C34" s="224">
        <v>66.7</v>
      </c>
      <c r="D34" s="224">
        <v>62.82</v>
      </c>
      <c r="E34" s="224">
        <v>7.64</v>
      </c>
      <c r="F34" s="224">
        <v>3.55</v>
      </c>
      <c r="G34" s="224">
        <v>52.92</v>
      </c>
      <c r="H34" s="224">
        <v>17.26</v>
      </c>
      <c r="I34" s="224">
        <v>3.64</v>
      </c>
      <c r="J34" s="224">
        <v>0.29</v>
      </c>
      <c r="K34" s="224">
        <v>117.95</v>
      </c>
      <c r="L34" s="224">
        <v>21.51</v>
      </c>
      <c r="M34" s="224">
        <v>91.64</v>
      </c>
      <c r="N34" s="224">
        <v>39.5</v>
      </c>
      <c r="O34" s="224">
        <v>0</v>
      </c>
      <c r="P34" s="224">
        <v>0.59</v>
      </c>
      <c r="Q34" s="224">
        <v>8.28</v>
      </c>
      <c r="R34" s="13"/>
      <c r="S34" s="13"/>
      <c r="T34" s="213"/>
      <c r="U34" s="13"/>
    </row>
    <row r="35" customFormat="1" spans="1:21">
      <c r="A35" s="13" t="s">
        <v>2192</v>
      </c>
      <c r="B35" s="224">
        <v>33.86</v>
      </c>
      <c r="C35" s="224">
        <v>67.16</v>
      </c>
      <c r="D35" s="224">
        <v>63.59</v>
      </c>
      <c r="E35" s="224">
        <v>7.71</v>
      </c>
      <c r="F35" s="224">
        <v>3.56</v>
      </c>
      <c r="G35" s="224">
        <v>52.92</v>
      </c>
      <c r="H35" s="224">
        <v>17.26</v>
      </c>
      <c r="I35" s="224">
        <v>3.68</v>
      </c>
      <c r="J35" s="224">
        <v>0.17</v>
      </c>
      <c r="K35" s="224">
        <v>175.22</v>
      </c>
      <c r="L35" s="224">
        <v>21.95</v>
      </c>
      <c r="M35" s="224">
        <v>88.63</v>
      </c>
      <c r="N35" s="224">
        <v>69.5</v>
      </c>
      <c r="O35" s="224">
        <v>0</v>
      </c>
      <c r="P35" s="224">
        <v>0.6</v>
      </c>
      <c r="Q35" s="224">
        <v>8.39</v>
      </c>
      <c r="R35" s="13"/>
      <c r="S35" s="13"/>
      <c r="T35" s="213"/>
      <c r="U35" s="13"/>
    </row>
    <row r="36" customFormat="1" spans="1:21">
      <c r="A36" s="13" t="s">
        <v>2193</v>
      </c>
      <c r="B36" s="224">
        <v>34.41</v>
      </c>
      <c r="C36" s="224">
        <v>67.69</v>
      </c>
      <c r="D36" s="224">
        <v>64.31</v>
      </c>
      <c r="E36" s="224">
        <v>7.95</v>
      </c>
      <c r="F36" s="224">
        <v>3.48</v>
      </c>
      <c r="G36" s="224">
        <v>55.26</v>
      </c>
      <c r="H36" s="224">
        <v>19.2</v>
      </c>
      <c r="I36" s="224">
        <v>3.73</v>
      </c>
      <c r="J36" s="224">
        <v>0.35</v>
      </c>
      <c r="K36" s="224">
        <v>231.84</v>
      </c>
      <c r="L36" s="224">
        <v>22.19</v>
      </c>
      <c r="M36" s="224">
        <v>87.19</v>
      </c>
      <c r="N36" s="224">
        <v>68.5</v>
      </c>
      <c r="O36" s="224">
        <v>0</v>
      </c>
      <c r="P36" s="224">
        <v>0.62</v>
      </c>
      <c r="Q36" s="224">
        <v>8.48</v>
      </c>
      <c r="R36" s="13"/>
      <c r="S36" s="13"/>
      <c r="T36" s="213"/>
      <c r="U36" s="13"/>
    </row>
    <row r="37" customFormat="1" spans="1:21">
      <c r="A37" s="13" t="s">
        <v>2194</v>
      </c>
      <c r="B37" s="224">
        <v>34.86</v>
      </c>
      <c r="C37" s="224">
        <v>67.61</v>
      </c>
      <c r="D37" s="224">
        <v>64.63</v>
      </c>
      <c r="E37" s="224">
        <v>8.17</v>
      </c>
      <c r="F37" s="224">
        <v>3.58</v>
      </c>
      <c r="G37" s="224">
        <v>55.37</v>
      </c>
      <c r="H37" s="224">
        <v>19.2</v>
      </c>
      <c r="I37" s="224">
        <v>3.75</v>
      </c>
      <c r="J37" s="224">
        <v>0.28</v>
      </c>
      <c r="K37" s="224">
        <v>218.66</v>
      </c>
      <c r="L37" s="224">
        <v>22.5</v>
      </c>
      <c r="M37" s="224">
        <v>86.57</v>
      </c>
      <c r="N37" s="224">
        <v>91</v>
      </c>
      <c r="O37" s="224">
        <v>0</v>
      </c>
      <c r="P37" s="224">
        <v>0.61</v>
      </c>
      <c r="Q37" s="224">
        <v>8.56</v>
      </c>
      <c r="R37" s="13"/>
      <c r="S37" s="13"/>
      <c r="T37" s="213"/>
      <c r="U37" s="13"/>
    </row>
    <row r="38" customFormat="1" spans="1:21">
      <c r="A38" s="13" t="s">
        <v>2195</v>
      </c>
      <c r="B38" s="224">
        <v>34.96</v>
      </c>
      <c r="C38" s="224">
        <v>67.09</v>
      </c>
      <c r="D38" s="224">
        <v>64.44</v>
      </c>
      <c r="E38" s="224">
        <v>7.79</v>
      </c>
      <c r="F38" s="224">
        <v>3.68</v>
      </c>
      <c r="G38" s="224">
        <v>55.37</v>
      </c>
      <c r="H38" s="224">
        <v>19.2</v>
      </c>
      <c r="I38" s="224">
        <v>3.78</v>
      </c>
      <c r="J38" s="224">
        <v>0.33</v>
      </c>
      <c r="K38" s="224">
        <v>234.89</v>
      </c>
      <c r="L38" s="224">
        <v>22.86</v>
      </c>
      <c r="M38" s="224">
        <v>84.64</v>
      </c>
      <c r="N38" s="224">
        <v>96.6</v>
      </c>
      <c r="O38" s="224">
        <v>0</v>
      </c>
      <c r="P38" s="224">
        <v>0.62</v>
      </c>
      <c r="Q38" s="224">
        <v>8.53</v>
      </c>
      <c r="R38" s="13"/>
      <c r="S38" s="13"/>
      <c r="T38" s="213"/>
      <c r="U38" s="13"/>
    </row>
    <row r="39" customFormat="1" spans="1:21">
      <c r="A39" s="13" t="s">
        <v>2196</v>
      </c>
      <c r="B39" s="224">
        <v>34.9</v>
      </c>
      <c r="C39" s="224">
        <v>66.99</v>
      </c>
      <c r="D39" s="224">
        <v>64.34</v>
      </c>
      <c r="E39" s="224">
        <v>7.95</v>
      </c>
      <c r="F39" s="224">
        <v>3.54</v>
      </c>
      <c r="G39" s="224">
        <v>55.37</v>
      </c>
      <c r="H39" s="224">
        <v>19.2</v>
      </c>
      <c r="I39" s="224">
        <v>3.82</v>
      </c>
      <c r="J39" s="224">
        <v>0.44</v>
      </c>
      <c r="K39" s="224">
        <v>247.67</v>
      </c>
      <c r="L39" s="224">
        <v>22.88</v>
      </c>
      <c r="M39" s="224">
        <v>82.16</v>
      </c>
      <c r="N39" s="224">
        <v>82.8</v>
      </c>
      <c r="O39" s="224">
        <v>0</v>
      </c>
      <c r="P39" s="224">
        <v>0.62</v>
      </c>
      <c r="Q39" s="224">
        <v>8.55</v>
      </c>
      <c r="R39" s="13"/>
      <c r="S39" s="13"/>
      <c r="T39" s="213"/>
      <c r="U39" s="13"/>
    </row>
    <row r="40" customFormat="1" spans="1:21">
      <c r="A40" s="13" t="s">
        <v>2197</v>
      </c>
      <c r="B40" s="224">
        <v>34.55</v>
      </c>
      <c r="C40" s="224">
        <v>67.49</v>
      </c>
      <c r="D40" s="224">
        <v>64.32</v>
      </c>
      <c r="E40" s="224">
        <v>7.72</v>
      </c>
      <c r="F40" s="224">
        <v>3.58</v>
      </c>
      <c r="G40" s="224">
        <v>48.29</v>
      </c>
      <c r="H40" s="224">
        <v>19.15</v>
      </c>
      <c r="I40" s="224">
        <v>3.87</v>
      </c>
      <c r="J40" s="224">
        <v>0.53</v>
      </c>
      <c r="K40" s="224">
        <v>248.73</v>
      </c>
      <c r="L40" s="224">
        <v>23.17</v>
      </c>
      <c r="M40" s="224">
        <v>80.27</v>
      </c>
      <c r="N40" s="224">
        <v>133.5</v>
      </c>
      <c r="O40" s="224">
        <v>0</v>
      </c>
      <c r="P40" s="224">
        <v>0.62</v>
      </c>
      <c r="Q40" s="224">
        <v>8.57</v>
      </c>
      <c r="R40" s="13"/>
      <c r="S40" s="13"/>
      <c r="T40" s="213"/>
      <c r="U40" s="13"/>
    </row>
    <row r="41" customFormat="1" spans="1:21">
      <c r="A41" s="13" t="s">
        <v>2198</v>
      </c>
      <c r="B41" s="224">
        <v>33.95</v>
      </c>
      <c r="C41" s="224">
        <v>67.56</v>
      </c>
      <c r="D41" s="224">
        <v>63.87</v>
      </c>
      <c r="E41" s="224">
        <v>7.66</v>
      </c>
      <c r="F41" s="224">
        <v>3.57</v>
      </c>
      <c r="G41" s="224">
        <v>47.96</v>
      </c>
      <c r="H41" s="224">
        <v>19.15</v>
      </c>
      <c r="I41" s="224">
        <v>3.94</v>
      </c>
      <c r="J41" s="224">
        <v>0.47</v>
      </c>
      <c r="K41" s="224">
        <v>228.33</v>
      </c>
      <c r="L41" s="224">
        <v>23.6</v>
      </c>
      <c r="M41" s="224">
        <v>78.11</v>
      </c>
      <c r="N41" s="224">
        <v>106.5</v>
      </c>
      <c r="O41" s="224">
        <v>0</v>
      </c>
      <c r="P41" s="224">
        <v>0.62</v>
      </c>
      <c r="Q41" s="224">
        <v>8.54</v>
      </c>
      <c r="R41" s="13"/>
      <c r="S41" s="13"/>
      <c r="T41" s="213"/>
      <c r="U41" s="13"/>
    </row>
    <row r="42" customFormat="1" spans="1:21">
      <c r="A42" s="13" t="s">
        <v>2199</v>
      </c>
      <c r="B42" s="224">
        <v>33.29</v>
      </c>
      <c r="C42" s="224">
        <v>67.04</v>
      </c>
      <c r="D42" s="224">
        <v>63.07</v>
      </c>
      <c r="E42" s="224">
        <v>7.49</v>
      </c>
      <c r="F42" s="224">
        <v>3.53</v>
      </c>
      <c r="G42" s="224">
        <v>47.96</v>
      </c>
      <c r="H42" s="224">
        <v>19.15</v>
      </c>
      <c r="I42" s="224">
        <v>4.01</v>
      </c>
      <c r="J42" s="224">
        <v>0.62</v>
      </c>
      <c r="K42" s="224">
        <v>238.33</v>
      </c>
      <c r="L42" s="224">
        <v>23.35</v>
      </c>
      <c r="M42" s="224">
        <v>78.69</v>
      </c>
      <c r="N42" s="224">
        <v>73.4</v>
      </c>
      <c r="O42" s="224">
        <v>0</v>
      </c>
      <c r="P42" s="224">
        <v>0.62</v>
      </c>
      <c r="Q42" s="224">
        <v>8.47</v>
      </c>
      <c r="R42" s="13"/>
      <c r="S42" s="13"/>
      <c r="T42" s="213"/>
      <c r="U42" s="13"/>
    </row>
    <row r="43" customFormat="1" spans="1:21">
      <c r="A43" s="13" t="s">
        <v>2200</v>
      </c>
      <c r="B43" s="224">
        <v>32.46</v>
      </c>
      <c r="C43" s="224">
        <v>66.95</v>
      </c>
      <c r="D43" s="224">
        <v>62.36</v>
      </c>
      <c r="E43" s="224">
        <v>7.41</v>
      </c>
      <c r="F43" s="224">
        <v>3.67</v>
      </c>
      <c r="G43" s="224">
        <v>47.96</v>
      </c>
      <c r="H43" s="224">
        <v>19.15</v>
      </c>
      <c r="I43" s="224">
        <v>3.99</v>
      </c>
      <c r="J43" s="224">
        <v>0.24</v>
      </c>
      <c r="K43" s="224">
        <v>233.93</v>
      </c>
      <c r="L43" s="224">
        <v>23.39</v>
      </c>
      <c r="M43" s="224">
        <v>78.99</v>
      </c>
      <c r="N43" s="224">
        <v>129.9</v>
      </c>
      <c r="O43" s="224">
        <v>0</v>
      </c>
      <c r="P43" s="224">
        <v>0.61</v>
      </c>
      <c r="Q43" s="224">
        <v>8.4</v>
      </c>
      <c r="R43" s="13"/>
      <c r="S43" s="13"/>
      <c r="T43" s="213"/>
      <c r="U43" s="13"/>
    </row>
    <row r="44" customFormat="1" spans="1:21">
      <c r="A44" s="13" t="s">
        <v>2201</v>
      </c>
      <c r="B44" s="224">
        <v>31.88</v>
      </c>
      <c r="C44" s="224">
        <v>67.87</v>
      </c>
      <c r="D44" s="224">
        <v>62.38</v>
      </c>
      <c r="E44" s="224">
        <v>7.49</v>
      </c>
      <c r="F44" s="224">
        <v>3.6</v>
      </c>
      <c r="G44" s="224">
        <v>31.99</v>
      </c>
      <c r="H44" s="224">
        <v>14.71</v>
      </c>
      <c r="I44" s="224">
        <v>4</v>
      </c>
      <c r="J44" s="224">
        <v>0.61</v>
      </c>
      <c r="K44" s="224">
        <v>245.57</v>
      </c>
      <c r="L44" s="224">
        <v>24.15</v>
      </c>
      <c r="M44" s="224">
        <v>75.65</v>
      </c>
      <c r="N44" s="224">
        <v>274.5</v>
      </c>
      <c r="O44" s="224">
        <v>0</v>
      </c>
      <c r="P44" s="224">
        <v>0.61</v>
      </c>
      <c r="Q44" s="224">
        <v>8.44</v>
      </c>
      <c r="R44" s="13"/>
      <c r="S44" s="13"/>
      <c r="T44" s="213"/>
      <c r="U44" s="13"/>
    </row>
    <row r="45" customFormat="1" spans="1:21">
      <c r="A45" s="13" t="s">
        <v>2202</v>
      </c>
      <c r="B45" s="224">
        <v>31.24</v>
      </c>
      <c r="C45" s="224">
        <v>67.76</v>
      </c>
      <c r="D45" s="224">
        <v>61.81</v>
      </c>
      <c r="E45" s="224">
        <v>7.54</v>
      </c>
      <c r="F45" s="224">
        <v>3.51</v>
      </c>
      <c r="G45" s="224">
        <v>31.25</v>
      </c>
      <c r="H45" s="224">
        <v>14.71</v>
      </c>
      <c r="I45" s="224">
        <v>3.99</v>
      </c>
      <c r="J45" s="224">
        <v>0.78</v>
      </c>
      <c r="K45" s="224">
        <v>269.76</v>
      </c>
      <c r="L45" s="224">
        <v>24.68</v>
      </c>
      <c r="M45" s="224">
        <v>72.79</v>
      </c>
      <c r="N45" s="224">
        <v>332</v>
      </c>
      <c r="O45" s="224">
        <v>0</v>
      </c>
      <c r="P45" s="224">
        <v>0.6</v>
      </c>
      <c r="Q45" s="224">
        <v>8.38</v>
      </c>
      <c r="R45" s="13"/>
      <c r="S45" s="13"/>
      <c r="T45" s="213"/>
      <c r="U45" s="13"/>
    </row>
    <row r="46" customFormat="1" spans="1:21">
      <c r="A46" s="13" t="s">
        <v>2203</v>
      </c>
      <c r="B46" s="224">
        <v>30.42</v>
      </c>
      <c r="C46" s="224">
        <v>65.93</v>
      </c>
      <c r="D46" s="224">
        <v>60.19</v>
      </c>
      <c r="E46" s="224">
        <v>7.28</v>
      </c>
      <c r="F46" s="224">
        <v>3.81</v>
      </c>
      <c r="G46" s="224">
        <v>31.25</v>
      </c>
      <c r="H46" s="224">
        <v>14.71</v>
      </c>
      <c r="I46" s="224">
        <v>3.95</v>
      </c>
      <c r="J46" s="224">
        <v>0.49</v>
      </c>
      <c r="K46" s="224">
        <v>271.03</v>
      </c>
      <c r="L46" s="224">
        <v>25.39</v>
      </c>
      <c r="M46" s="224">
        <v>71</v>
      </c>
      <c r="N46" s="224">
        <v>258.4</v>
      </c>
      <c r="O46" s="224">
        <v>0</v>
      </c>
      <c r="P46" s="224">
        <v>0.6</v>
      </c>
      <c r="Q46" s="224">
        <v>8.28</v>
      </c>
      <c r="R46" s="13"/>
      <c r="S46" s="13"/>
      <c r="T46" s="213"/>
      <c r="U46" s="13"/>
    </row>
    <row r="47" customFormat="1" spans="1:21">
      <c r="A47" s="13" t="s">
        <v>2204</v>
      </c>
      <c r="B47" s="224">
        <v>29.35</v>
      </c>
      <c r="C47" s="224">
        <v>66.38</v>
      </c>
      <c r="D47" s="224">
        <v>59.57</v>
      </c>
      <c r="E47" s="224">
        <v>7.42</v>
      </c>
      <c r="F47" s="224">
        <v>3.79</v>
      </c>
      <c r="G47" s="224">
        <v>31.25</v>
      </c>
      <c r="H47" s="224">
        <v>14.71</v>
      </c>
      <c r="I47" s="224">
        <v>3.94</v>
      </c>
      <c r="J47" s="224">
        <v>0.88</v>
      </c>
      <c r="K47" s="224">
        <v>269.81</v>
      </c>
      <c r="L47" s="224">
        <v>26</v>
      </c>
      <c r="M47" s="224">
        <v>68.48</v>
      </c>
      <c r="N47" s="224">
        <v>284.2</v>
      </c>
      <c r="O47" s="224">
        <v>0</v>
      </c>
      <c r="P47" s="224">
        <v>0.6</v>
      </c>
      <c r="Q47" s="224">
        <v>8.23</v>
      </c>
      <c r="R47" s="13"/>
      <c r="S47" s="13"/>
      <c r="T47" s="213"/>
      <c r="U47" s="13"/>
    </row>
    <row r="48" customFormat="1" spans="1:21">
      <c r="A48" s="13" t="s">
        <v>2205</v>
      </c>
      <c r="B48" s="224">
        <v>28.47</v>
      </c>
      <c r="C48" s="224">
        <v>66.13</v>
      </c>
      <c r="D48" s="224">
        <v>58.74</v>
      </c>
      <c r="E48" s="224">
        <v>7.06</v>
      </c>
      <c r="F48" s="224">
        <v>3.92</v>
      </c>
      <c r="G48" s="224">
        <v>23.57</v>
      </c>
      <c r="H48" s="224">
        <v>14</v>
      </c>
      <c r="I48" s="224">
        <v>3.93</v>
      </c>
      <c r="J48" s="224">
        <v>1.16</v>
      </c>
      <c r="K48" s="224">
        <v>283.88</v>
      </c>
      <c r="L48" s="224">
        <v>26.16</v>
      </c>
      <c r="M48" s="224">
        <v>68.29</v>
      </c>
      <c r="N48" s="224">
        <v>549.7</v>
      </c>
      <c r="O48" s="224">
        <v>0</v>
      </c>
      <c r="P48" s="224">
        <v>0.61</v>
      </c>
      <c r="Q48" s="224">
        <v>8.07</v>
      </c>
      <c r="R48" s="13"/>
      <c r="S48" s="13"/>
      <c r="T48" s="213"/>
      <c r="U48" s="13"/>
    </row>
    <row r="49" customFormat="1" spans="1:21">
      <c r="A49" s="13" t="s">
        <v>2206</v>
      </c>
      <c r="B49" s="224">
        <v>28.27</v>
      </c>
      <c r="C49" s="224">
        <v>60.82</v>
      </c>
      <c r="D49" s="224">
        <v>55.8</v>
      </c>
      <c r="E49" s="224">
        <v>6.06</v>
      </c>
      <c r="F49" s="224">
        <v>4.31</v>
      </c>
      <c r="G49" s="224">
        <v>23.21</v>
      </c>
      <c r="H49" s="224">
        <v>14</v>
      </c>
      <c r="I49" s="224">
        <v>3.9</v>
      </c>
      <c r="J49" s="224">
        <v>0.64</v>
      </c>
      <c r="K49" s="224">
        <v>251.32</v>
      </c>
      <c r="L49" s="224">
        <v>26.82</v>
      </c>
      <c r="M49" s="224">
        <v>66.31</v>
      </c>
      <c r="N49" s="224">
        <v>429</v>
      </c>
      <c r="O49" s="224">
        <v>0</v>
      </c>
      <c r="P49" s="224">
        <v>0.59</v>
      </c>
      <c r="Q49" s="224">
        <v>7.77</v>
      </c>
      <c r="R49" s="13"/>
      <c r="S49" s="13"/>
      <c r="T49" s="213"/>
      <c r="U49" s="13"/>
    </row>
    <row r="50" customFormat="1" spans="1:21">
      <c r="A50" s="13" t="s">
        <v>2207</v>
      </c>
      <c r="B50" s="224">
        <v>27.63</v>
      </c>
      <c r="C50" s="224">
        <v>55.93</v>
      </c>
      <c r="D50" s="224">
        <v>52.73</v>
      </c>
      <c r="E50" s="224">
        <v>6.35</v>
      </c>
      <c r="F50" s="224">
        <v>4.6</v>
      </c>
      <c r="G50" s="224">
        <v>23.21</v>
      </c>
      <c r="H50" s="224">
        <v>14</v>
      </c>
      <c r="I50" s="224">
        <v>3.9</v>
      </c>
      <c r="J50" s="224">
        <v>0.22</v>
      </c>
      <c r="K50" s="224">
        <v>223.94</v>
      </c>
      <c r="L50" s="224">
        <v>26.75</v>
      </c>
      <c r="M50" s="224">
        <v>66.18</v>
      </c>
      <c r="N50" s="224">
        <v>177.9</v>
      </c>
      <c r="O50" s="224">
        <v>0</v>
      </c>
      <c r="P50" s="224">
        <v>0.55</v>
      </c>
      <c r="Q50" s="224">
        <v>7.44</v>
      </c>
      <c r="R50" s="13"/>
      <c r="S50" s="13"/>
      <c r="T50" s="213"/>
      <c r="U50" s="13"/>
    </row>
    <row r="51" customFormat="1" spans="1:21">
      <c r="A51" s="13" t="s">
        <v>2208</v>
      </c>
      <c r="B51" s="224">
        <v>26.74</v>
      </c>
      <c r="C51" s="224">
        <v>56.45</v>
      </c>
      <c r="D51" s="224">
        <v>52.29</v>
      </c>
      <c r="E51" s="224">
        <v>6.15</v>
      </c>
      <c r="F51" s="224">
        <v>3.98</v>
      </c>
      <c r="G51" s="224">
        <v>23.21</v>
      </c>
      <c r="H51" s="224">
        <v>14</v>
      </c>
      <c r="I51" s="224">
        <v>3.92</v>
      </c>
      <c r="J51" s="224">
        <v>0.14</v>
      </c>
      <c r="K51" s="224">
        <v>179.24</v>
      </c>
      <c r="L51" s="224">
        <v>26.93</v>
      </c>
      <c r="M51" s="224">
        <v>62.97</v>
      </c>
      <c r="N51" s="224">
        <v>319.7</v>
      </c>
      <c r="O51" s="224">
        <v>0</v>
      </c>
      <c r="P51" s="224">
        <v>0.56</v>
      </c>
      <c r="Q51" s="224">
        <v>7.29</v>
      </c>
      <c r="R51" s="13"/>
      <c r="S51" s="13"/>
      <c r="T51" s="213"/>
      <c r="U51" s="13"/>
    </row>
    <row r="52" customFormat="1" spans="1:21">
      <c r="A52" s="13" t="s">
        <v>2209</v>
      </c>
      <c r="B52" s="224">
        <v>25.86</v>
      </c>
      <c r="C52" s="224">
        <v>60.14</v>
      </c>
      <c r="D52" s="224">
        <v>53.51</v>
      </c>
      <c r="E52" s="224">
        <v>6.63</v>
      </c>
      <c r="F52" s="224">
        <v>4.37</v>
      </c>
      <c r="G52" s="224">
        <v>20.05</v>
      </c>
      <c r="H52" s="224">
        <v>12.1</v>
      </c>
      <c r="I52" s="224">
        <v>3.89</v>
      </c>
      <c r="J52" s="224">
        <v>0.27</v>
      </c>
      <c r="K52" s="224">
        <v>206.25</v>
      </c>
      <c r="L52" s="224">
        <v>28.01</v>
      </c>
      <c r="M52" s="224">
        <v>59.12</v>
      </c>
      <c r="N52" s="224">
        <v>608.7</v>
      </c>
      <c r="O52" s="224">
        <v>0</v>
      </c>
      <c r="P52" s="224">
        <v>0.57</v>
      </c>
      <c r="Q52" s="224">
        <v>7.52</v>
      </c>
      <c r="R52" s="13"/>
      <c r="S52" s="13"/>
      <c r="T52" s="213"/>
      <c r="U52" s="13"/>
    </row>
    <row r="53" customFormat="1" spans="1:21">
      <c r="A53" s="13" t="s">
        <v>2210</v>
      </c>
      <c r="B53" s="224">
        <v>24.4</v>
      </c>
      <c r="C53" s="224">
        <v>53.3</v>
      </c>
      <c r="D53" s="224">
        <v>48.77</v>
      </c>
      <c r="E53" s="224">
        <v>6.39</v>
      </c>
      <c r="F53" s="224">
        <v>7.8</v>
      </c>
      <c r="G53" s="224">
        <v>19.91</v>
      </c>
      <c r="H53" s="224">
        <v>12.1</v>
      </c>
      <c r="I53" s="224">
        <v>3.93</v>
      </c>
      <c r="J53" s="224">
        <v>0.22</v>
      </c>
      <c r="K53" s="224">
        <v>146.68</v>
      </c>
      <c r="L53" s="224">
        <v>30.19</v>
      </c>
      <c r="M53" s="224">
        <v>52.24</v>
      </c>
      <c r="N53" s="224">
        <v>787.6</v>
      </c>
      <c r="O53" s="224">
        <v>0</v>
      </c>
      <c r="P53" s="224">
        <v>0.55</v>
      </c>
      <c r="Q53" s="224">
        <v>7.32</v>
      </c>
      <c r="R53" s="13"/>
      <c r="S53" s="13"/>
      <c r="T53" s="213"/>
      <c r="U53" s="13"/>
    </row>
    <row r="54" customFormat="1" spans="1:21">
      <c r="A54" s="13" t="s">
        <v>2211</v>
      </c>
      <c r="B54" s="224">
        <v>23.14</v>
      </c>
      <c r="C54" s="224">
        <v>56.65</v>
      </c>
      <c r="D54" s="224">
        <v>49.5</v>
      </c>
      <c r="E54" s="224">
        <v>6.44</v>
      </c>
      <c r="F54" s="224">
        <v>6.07</v>
      </c>
      <c r="G54" s="224">
        <v>19.91</v>
      </c>
      <c r="H54" s="224">
        <v>12.1</v>
      </c>
      <c r="I54" s="224">
        <v>3.91</v>
      </c>
      <c r="J54" s="224">
        <v>0.28</v>
      </c>
      <c r="K54" s="224">
        <v>202</v>
      </c>
      <c r="L54" s="224">
        <v>30.99</v>
      </c>
      <c r="M54" s="224">
        <v>48.39</v>
      </c>
      <c r="N54" s="224">
        <v>894.3</v>
      </c>
      <c r="O54" s="224">
        <v>0</v>
      </c>
      <c r="P54" s="224">
        <v>0.56</v>
      </c>
      <c r="Q54" s="224">
        <v>7.22</v>
      </c>
      <c r="R54" s="13"/>
      <c r="S54" s="13"/>
      <c r="T54" s="213"/>
      <c r="U54" s="13"/>
    </row>
    <row r="55" customFormat="1" spans="1:21">
      <c r="A55" s="13" t="s">
        <v>2212</v>
      </c>
      <c r="B55" s="224">
        <v>22.32</v>
      </c>
      <c r="C55" s="224">
        <v>57.84</v>
      </c>
      <c r="D55" s="224">
        <v>49.47</v>
      </c>
      <c r="E55" s="224">
        <v>7.07</v>
      </c>
      <c r="F55" s="224">
        <v>8.43</v>
      </c>
      <c r="G55" s="224">
        <v>19.91</v>
      </c>
      <c r="H55" s="224">
        <v>12.1</v>
      </c>
      <c r="I55" s="224">
        <v>3.83</v>
      </c>
      <c r="J55" s="224">
        <v>0.35</v>
      </c>
      <c r="K55" s="224">
        <v>215.41</v>
      </c>
      <c r="L55" s="224">
        <v>31.31</v>
      </c>
      <c r="M55" s="224">
        <v>49.37</v>
      </c>
      <c r="N55" s="224">
        <v>898.2</v>
      </c>
      <c r="O55" s="224">
        <v>0</v>
      </c>
      <c r="P55" s="224">
        <v>0.56</v>
      </c>
      <c r="Q55" s="224">
        <v>7.34</v>
      </c>
      <c r="R55" s="13"/>
      <c r="S55" s="13"/>
      <c r="T55" s="213"/>
      <c r="U55" s="13"/>
    </row>
    <row r="56" customFormat="1" spans="1:21">
      <c r="A56" s="13" t="s">
        <v>2213</v>
      </c>
      <c r="B56" s="224">
        <v>20.45</v>
      </c>
      <c r="C56" s="224">
        <v>50.9</v>
      </c>
      <c r="D56" s="224">
        <v>44.34</v>
      </c>
      <c r="E56" s="224">
        <v>6.78</v>
      </c>
      <c r="F56" s="224">
        <v>10.11</v>
      </c>
      <c r="G56" s="224">
        <v>22.34</v>
      </c>
      <c r="H56" s="224">
        <v>13.08</v>
      </c>
      <c r="I56" s="224">
        <v>3.88</v>
      </c>
      <c r="J56" s="224">
        <v>0.4</v>
      </c>
      <c r="K56" s="224">
        <v>224.12</v>
      </c>
      <c r="L56" s="224">
        <v>31.4</v>
      </c>
      <c r="M56" s="224">
        <v>47.08</v>
      </c>
      <c r="N56" s="224">
        <v>904</v>
      </c>
      <c r="O56" s="224">
        <v>0</v>
      </c>
      <c r="P56" s="224">
        <v>0.53</v>
      </c>
      <c r="Q56" s="224">
        <v>7.11</v>
      </c>
      <c r="R56" s="13"/>
      <c r="S56" s="13"/>
      <c r="T56" s="213"/>
      <c r="U56" s="13"/>
    </row>
    <row r="57" customFormat="1" spans="1:21">
      <c r="A57" s="13" t="s">
        <v>2214</v>
      </c>
      <c r="B57" s="224">
        <v>20.43</v>
      </c>
      <c r="C57" s="224">
        <v>57.3</v>
      </c>
      <c r="D57" s="224">
        <v>47.67</v>
      </c>
      <c r="E57" s="224">
        <v>6.49</v>
      </c>
      <c r="F57" s="224">
        <v>6.81</v>
      </c>
      <c r="G57" s="224">
        <v>22.45</v>
      </c>
      <c r="H57" s="224">
        <v>13.08</v>
      </c>
      <c r="I57" s="224">
        <v>3.88</v>
      </c>
      <c r="J57" s="224">
        <v>0.15</v>
      </c>
      <c r="K57" s="224">
        <v>191.23</v>
      </c>
      <c r="L57" s="224">
        <v>31.91</v>
      </c>
      <c r="M57" s="224">
        <v>46.78</v>
      </c>
      <c r="N57" s="224">
        <v>920.8</v>
      </c>
      <c r="O57" s="224">
        <v>0</v>
      </c>
      <c r="P57" s="224">
        <v>0.55</v>
      </c>
      <c r="Q57" s="224">
        <v>7.03</v>
      </c>
      <c r="R57" s="13"/>
      <c r="S57" s="13"/>
      <c r="T57" s="213"/>
      <c r="U57" s="13"/>
    </row>
    <row r="58" customFormat="1" spans="1:21">
      <c r="A58" s="13" t="s">
        <v>2215</v>
      </c>
      <c r="B58" s="224">
        <v>18.61</v>
      </c>
      <c r="C58" s="224">
        <v>54.18</v>
      </c>
      <c r="D58" s="224">
        <v>44.58</v>
      </c>
      <c r="E58" s="224">
        <v>6.38</v>
      </c>
      <c r="F58" s="224">
        <v>10.48</v>
      </c>
      <c r="G58" s="224">
        <v>22.45</v>
      </c>
      <c r="H58" s="224">
        <v>13.08</v>
      </c>
      <c r="I58" s="224">
        <v>3.85</v>
      </c>
      <c r="J58" s="224">
        <v>0.2</v>
      </c>
      <c r="K58" s="224">
        <v>146.24</v>
      </c>
      <c r="L58" s="224">
        <v>32.71</v>
      </c>
      <c r="M58" s="224">
        <v>40.15</v>
      </c>
      <c r="N58" s="224">
        <v>925.7</v>
      </c>
      <c r="O58" s="224">
        <v>0</v>
      </c>
      <c r="P58" s="224">
        <v>0.54</v>
      </c>
      <c r="Q58" s="224">
        <v>7.03</v>
      </c>
      <c r="R58" s="13"/>
      <c r="S58" s="13"/>
      <c r="T58" s="213"/>
      <c r="U58" s="13"/>
    </row>
    <row r="59" customFormat="1" spans="1:21">
      <c r="A59" s="13" t="s">
        <v>2216</v>
      </c>
      <c r="B59" s="224">
        <v>17.59</v>
      </c>
      <c r="C59" s="224">
        <v>50.98</v>
      </c>
      <c r="D59" s="224">
        <v>42.1</v>
      </c>
      <c r="E59" s="224">
        <v>6.52</v>
      </c>
      <c r="F59" s="224">
        <v>12.05</v>
      </c>
      <c r="G59" s="224">
        <v>22.45</v>
      </c>
      <c r="H59" s="224">
        <v>13.08</v>
      </c>
      <c r="I59" s="224">
        <v>3.91</v>
      </c>
      <c r="J59" s="224">
        <v>0.29</v>
      </c>
      <c r="K59" s="224">
        <v>228.92</v>
      </c>
      <c r="L59" s="224">
        <v>33.11</v>
      </c>
      <c r="M59" s="224">
        <v>37.99</v>
      </c>
      <c r="N59" s="224">
        <v>918.3</v>
      </c>
      <c r="O59" s="224">
        <v>0</v>
      </c>
      <c r="P59" s="224">
        <v>0.53</v>
      </c>
      <c r="Q59" s="224">
        <v>6.83</v>
      </c>
      <c r="R59" s="13"/>
      <c r="S59" s="13"/>
      <c r="T59" s="213"/>
      <c r="U59" s="13"/>
    </row>
    <row r="60" customFormat="1" spans="1:21">
      <c r="A60" s="13" t="s">
        <v>2217</v>
      </c>
      <c r="B60" s="224">
        <v>16.78</v>
      </c>
      <c r="C60" s="224">
        <v>54.35</v>
      </c>
      <c r="D60" s="224">
        <v>43.2</v>
      </c>
      <c r="E60" s="224">
        <v>6.38</v>
      </c>
      <c r="F60" s="224">
        <v>7.48</v>
      </c>
      <c r="G60" s="224">
        <v>17.29</v>
      </c>
      <c r="H60" s="224">
        <v>11.94</v>
      </c>
      <c r="I60" s="224">
        <v>3.92</v>
      </c>
      <c r="J60" s="224">
        <v>0.73</v>
      </c>
      <c r="K60" s="224">
        <v>251.16</v>
      </c>
      <c r="L60" s="224">
        <v>32.52</v>
      </c>
      <c r="M60" s="224">
        <v>39.7</v>
      </c>
      <c r="N60" s="224">
        <v>912.3</v>
      </c>
      <c r="O60" s="224">
        <v>0</v>
      </c>
      <c r="P60" s="224">
        <v>0.53</v>
      </c>
      <c r="Q60" s="224">
        <v>6.8</v>
      </c>
      <c r="R60" s="13"/>
      <c r="S60" s="13"/>
      <c r="T60" s="213"/>
      <c r="U60" s="13"/>
    </row>
    <row r="61" customFormat="1" spans="1:21">
      <c r="A61" s="13" t="s">
        <v>2218</v>
      </c>
      <c r="B61" s="224">
        <v>16.35</v>
      </c>
      <c r="C61" s="224">
        <v>56.87</v>
      </c>
      <c r="D61" s="224">
        <v>44.17</v>
      </c>
      <c r="E61" s="224">
        <v>6.79</v>
      </c>
      <c r="F61" s="224">
        <v>11.04</v>
      </c>
      <c r="G61" s="224">
        <v>17.05</v>
      </c>
      <c r="H61" s="224">
        <v>11.94</v>
      </c>
      <c r="I61" s="224">
        <v>3.89</v>
      </c>
      <c r="J61" s="224">
        <v>0.37</v>
      </c>
      <c r="K61" s="224">
        <v>164.02</v>
      </c>
      <c r="L61" s="224">
        <v>33.82</v>
      </c>
      <c r="M61" s="224">
        <v>36.45</v>
      </c>
      <c r="N61" s="224">
        <v>889.2</v>
      </c>
      <c r="O61" s="224">
        <v>0</v>
      </c>
      <c r="P61" s="224">
        <v>0.53</v>
      </c>
      <c r="Q61" s="224">
        <v>6.99</v>
      </c>
      <c r="R61" s="13"/>
      <c r="S61" s="13"/>
      <c r="T61" s="213"/>
      <c r="U61" s="13"/>
    </row>
    <row r="62" customFormat="1" spans="1:21">
      <c r="A62" s="13" t="s">
        <v>2219</v>
      </c>
      <c r="B62" s="224">
        <v>15.54</v>
      </c>
      <c r="C62" s="224">
        <v>52.09</v>
      </c>
      <c r="D62" s="224">
        <v>41.03</v>
      </c>
      <c r="E62" s="224">
        <v>6.33</v>
      </c>
      <c r="F62" s="224">
        <v>12.15</v>
      </c>
      <c r="G62" s="224">
        <v>17.05</v>
      </c>
      <c r="H62" s="224">
        <v>11.94</v>
      </c>
      <c r="I62" s="224">
        <v>4.03</v>
      </c>
      <c r="J62" s="224">
        <v>0.31</v>
      </c>
      <c r="K62" s="224">
        <v>217.07</v>
      </c>
      <c r="L62" s="224">
        <v>33.77</v>
      </c>
      <c r="M62" s="224">
        <v>35.15</v>
      </c>
      <c r="N62" s="224">
        <v>756.6</v>
      </c>
      <c r="O62" s="224">
        <v>0</v>
      </c>
      <c r="P62" s="224">
        <v>0.51</v>
      </c>
      <c r="Q62" s="224">
        <v>6.79</v>
      </c>
      <c r="R62" s="13"/>
      <c r="S62" s="13"/>
      <c r="T62" s="213"/>
      <c r="U62" s="13"/>
    </row>
    <row r="63" customFormat="1" spans="1:21">
      <c r="A63" s="13" t="s">
        <v>2220</v>
      </c>
      <c r="B63" s="224">
        <v>14.36</v>
      </c>
      <c r="C63" s="224">
        <v>49.87</v>
      </c>
      <c r="D63" s="224">
        <v>38.92</v>
      </c>
      <c r="E63" s="224">
        <v>6.03</v>
      </c>
      <c r="F63" s="224">
        <v>11.19</v>
      </c>
      <c r="G63" s="224">
        <v>17.05</v>
      </c>
      <c r="H63" s="224">
        <v>11.94</v>
      </c>
      <c r="I63" s="224">
        <v>4.01</v>
      </c>
      <c r="J63" s="224">
        <v>0.13</v>
      </c>
      <c r="K63" s="224">
        <v>196.08</v>
      </c>
      <c r="L63" s="224">
        <v>34.17</v>
      </c>
      <c r="M63" s="224">
        <v>33.86</v>
      </c>
      <c r="N63" s="224">
        <v>774.5</v>
      </c>
      <c r="O63" s="224">
        <v>0</v>
      </c>
      <c r="P63" s="224">
        <v>0.51</v>
      </c>
      <c r="Q63" s="224">
        <v>6.55</v>
      </c>
      <c r="R63" s="13"/>
      <c r="S63" s="13"/>
      <c r="T63" s="213"/>
      <c r="U63" s="13"/>
    </row>
    <row r="64" customFormat="1" spans="1:21">
      <c r="A64" s="13" t="s">
        <v>2221</v>
      </c>
      <c r="B64" s="224">
        <v>13.87</v>
      </c>
      <c r="C64" s="224">
        <v>53.3</v>
      </c>
      <c r="D64" s="224">
        <v>40.32</v>
      </c>
      <c r="E64" s="224">
        <v>6.36</v>
      </c>
      <c r="F64" s="224">
        <v>8.81</v>
      </c>
      <c r="G64" s="224">
        <v>14.3</v>
      </c>
      <c r="H64" s="224">
        <v>8.75</v>
      </c>
      <c r="I64" s="224">
        <v>3.91</v>
      </c>
      <c r="J64" s="224">
        <v>0.03</v>
      </c>
      <c r="K64" s="224">
        <v>271.74</v>
      </c>
      <c r="L64" s="224">
        <v>33.92</v>
      </c>
      <c r="M64" s="224">
        <v>33.77</v>
      </c>
      <c r="N64" s="224">
        <v>794.6</v>
      </c>
      <c r="O64" s="224">
        <v>0</v>
      </c>
      <c r="P64" s="224">
        <v>0.51</v>
      </c>
      <c r="Q64" s="224">
        <v>6.54</v>
      </c>
      <c r="R64" s="13"/>
      <c r="S64" s="13"/>
      <c r="T64" s="213"/>
      <c r="U64" s="13"/>
    </row>
    <row r="65" customFormat="1" spans="1:21">
      <c r="A65" s="13" t="s">
        <v>2222</v>
      </c>
      <c r="B65" s="224">
        <v>13.23</v>
      </c>
      <c r="C65" s="224">
        <v>55.99</v>
      </c>
      <c r="D65" s="224">
        <v>41.21</v>
      </c>
      <c r="E65" s="224">
        <v>6.78</v>
      </c>
      <c r="F65" s="224">
        <v>13.79</v>
      </c>
      <c r="G65" s="224">
        <v>14.17</v>
      </c>
      <c r="H65" s="224">
        <v>8.75</v>
      </c>
      <c r="I65" s="224">
        <v>3.96</v>
      </c>
      <c r="J65" s="224">
        <v>0.14</v>
      </c>
      <c r="K65" s="224">
        <v>153.41</v>
      </c>
      <c r="L65" s="224">
        <v>34.83</v>
      </c>
      <c r="M65" s="224">
        <v>29.97</v>
      </c>
      <c r="N65" s="224">
        <v>799.5</v>
      </c>
      <c r="O65" s="224">
        <v>0</v>
      </c>
      <c r="P65" s="224">
        <v>0.43</v>
      </c>
      <c r="Q65" s="224">
        <v>6.75</v>
      </c>
      <c r="R65" s="13"/>
      <c r="S65" s="13"/>
      <c r="T65" s="213"/>
      <c r="U65" s="13"/>
    </row>
    <row r="66" customFormat="1" spans="1:21">
      <c r="A66" s="13" t="s">
        <v>2223</v>
      </c>
      <c r="B66" s="224">
        <v>12.5</v>
      </c>
      <c r="C66" s="224">
        <v>52.37</v>
      </c>
      <c r="D66" s="224">
        <v>38.73</v>
      </c>
      <c r="E66" s="224">
        <v>6.52</v>
      </c>
      <c r="F66" s="224">
        <v>12.31</v>
      </c>
      <c r="G66" s="224">
        <v>14.17</v>
      </c>
      <c r="H66" s="224">
        <v>8.75</v>
      </c>
      <c r="I66" s="224">
        <v>3.99</v>
      </c>
      <c r="J66" s="224">
        <v>0.36</v>
      </c>
      <c r="K66" s="224">
        <v>212.09</v>
      </c>
      <c r="L66" s="224">
        <v>34.8</v>
      </c>
      <c r="M66" s="224">
        <v>29.28</v>
      </c>
      <c r="N66" s="224">
        <v>739.8</v>
      </c>
      <c r="O66" s="224">
        <v>0</v>
      </c>
      <c r="P66" s="224">
        <v>0.44</v>
      </c>
      <c r="Q66" s="224">
        <v>6.66</v>
      </c>
      <c r="R66" s="13"/>
      <c r="S66" s="13"/>
      <c r="T66" s="213"/>
      <c r="U66" s="13"/>
    </row>
    <row r="67" customFormat="1" spans="1:21">
      <c r="A67" s="13" t="s">
        <v>2224</v>
      </c>
      <c r="B67" s="224">
        <v>12.5</v>
      </c>
      <c r="C67" s="224">
        <v>52.32</v>
      </c>
      <c r="D67" s="224">
        <v>38.71</v>
      </c>
      <c r="E67" s="224">
        <v>6.13</v>
      </c>
      <c r="F67" s="224">
        <v>9.99</v>
      </c>
      <c r="G67" s="224">
        <v>14.17</v>
      </c>
      <c r="H67" s="224">
        <v>8.75</v>
      </c>
      <c r="I67" s="224">
        <v>3.97</v>
      </c>
      <c r="J67" s="224">
        <v>0.2</v>
      </c>
      <c r="K67" s="224">
        <v>134.39</v>
      </c>
      <c r="L67" s="224">
        <v>35.65</v>
      </c>
      <c r="M67" s="224">
        <v>27.37</v>
      </c>
      <c r="N67" s="224">
        <v>687.4</v>
      </c>
      <c r="O67" s="224">
        <v>0</v>
      </c>
      <c r="P67" s="224">
        <v>0.44</v>
      </c>
      <c r="Q67" s="224">
        <v>6.51</v>
      </c>
      <c r="R67" s="13"/>
      <c r="S67" s="13"/>
      <c r="T67" s="213"/>
      <c r="U67" s="13"/>
    </row>
    <row r="68" customFormat="1" spans="1:21">
      <c r="A68" s="13" t="s">
        <v>2225</v>
      </c>
      <c r="B68" s="224">
        <v>12.71</v>
      </c>
      <c r="C68" s="224">
        <v>55.27</v>
      </c>
      <c r="D68" s="224">
        <v>40.42</v>
      </c>
      <c r="E68" s="224">
        <v>5.85</v>
      </c>
      <c r="F68" s="224">
        <v>7.65</v>
      </c>
      <c r="G68" s="224">
        <v>14.2</v>
      </c>
      <c r="H68" s="224">
        <v>6.64</v>
      </c>
      <c r="I68" s="224">
        <v>3.95</v>
      </c>
      <c r="J68" s="224">
        <v>0.46</v>
      </c>
      <c r="K68" s="224">
        <v>236.79</v>
      </c>
      <c r="L68" s="224">
        <v>35.38</v>
      </c>
      <c r="M68" s="224">
        <v>24.6</v>
      </c>
      <c r="N68" s="224">
        <v>693.7</v>
      </c>
      <c r="O68" s="224">
        <v>0</v>
      </c>
      <c r="P68" s="224">
        <v>0.45</v>
      </c>
      <c r="Q68" s="224">
        <v>6.59</v>
      </c>
      <c r="R68" s="13"/>
      <c r="S68" s="13"/>
      <c r="T68" s="213"/>
      <c r="U68" s="13"/>
    </row>
    <row r="69" customFormat="1" spans="1:21">
      <c r="A69" s="13" t="s">
        <v>2226</v>
      </c>
      <c r="B69" s="224">
        <v>12.39</v>
      </c>
      <c r="C69" s="224">
        <v>58.79</v>
      </c>
      <c r="D69" s="224">
        <v>42.01</v>
      </c>
      <c r="E69" s="224">
        <v>5.95</v>
      </c>
      <c r="F69" s="224">
        <v>7.34</v>
      </c>
      <c r="G69" s="224">
        <v>14.2</v>
      </c>
      <c r="H69" s="224">
        <v>6.64</v>
      </c>
      <c r="I69" s="224">
        <v>4.02</v>
      </c>
      <c r="J69" s="224">
        <v>0.17</v>
      </c>
      <c r="K69" s="224">
        <v>147.54</v>
      </c>
      <c r="L69" s="224">
        <v>35.89</v>
      </c>
      <c r="M69" s="224">
        <v>25.32</v>
      </c>
      <c r="N69" s="224">
        <v>635</v>
      </c>
      <c r="O69" s="224">
        <v>0</v>
      </c>
      <c r="P69" s="224">
        <v>0.45</v>
      </c>
      <c r="Q69" s="224">
        <v>6.72</v>
      </c>
      <c r="R69" s="13"/>
      <c r="S69" s="13"/>
      <c r="T69" s="213"/>
      <c r="U69" s="13"/>
    </row>
    <row r="70" customFormat="1" spans="1:21">
      <c r="A70" s="13" t="s">
        <v>2227</v>
      </c>
      <c r="B70" s="224">
        <v>11.99</v>
      </c>
      <c r="C70" s="224">
        <v>59.18</v>
      </c>
      <c r="D70" s="224">
        <v>41.89</v>
      </c>
      <c r="E70" s="224">
        <v>5.5</v>
      </c>
      <c r="F70" s="224">
        <v>6.71</v>
      </c>
      <c r="G70" s="224">
        <v>14.2</v>
      </c>
      <c r="H70" s="224">
        <v>6.64</v>
      </c>
      <c r="I70" s="224">
        <v>4.1</v>
      </c>
      <c r="J70" s="224">
        <v>0.14</v>
      </c>
      <c r="K70" s="224">
        <v>253.51</v>
      </c>
      <c r="L70" s="224">
        <v>35.81</v>
      </c>
      <c r="M70" s="224">
        <v>24.14</v>
      </c>
      <c r="N70" s="224">
        <v>570.2</v>
      </c>
      <c r="O70" s="224">
        <v>0</v>
      </c>
      <c r="P70" s="224">
        <v>0.45</v>
      </c>
      <c r="Q70" s="224">
        <v>6.8</v>
      </c>
      <c r="R70" s="13"/>
      <c r="S70" s="13"/>
      <c r="T70" s="213"/>
      <c r="U70" s="13"/>
    </row>
    <row r="71" customFormat="1" spans="1:21">
      <c r="A71" s="13" t="s">
        <v>2228</v>
      </c>
      <c r="B71" s="224">
        <v>11.32</v>
      </c>
      <c r="C71" s="224">
        <v>58.17</v>
      </c>
      <c r="D71" s="224">
        <v>40.82</v>
      </c>
      <c r="E71" s="224">
        <v>5.68</v>
      </c>
      <c r="F71" s="224">
        <v>9.12</v>
      </c>
      <c r="G71" s="224">
        <v>14.2</v>
      </c>
      <c r="H71" s="224">
        <v>6.64</v>
      </c>
      <c r="I71" s="224">
        <v>4.06</v>
      </c>
      <c r="J71" s="224">
        <v>0.15</v>
      </c>
      <c r="K71" s="224">
        <v>225.75</v>
      </c>
      <c r="L71" s="224">
        <v>35.66</v>
      </c>
      <c r="M71" s="224">
        <v>24.98</v>
      </c>
      <c r="N71" s="224">
        <v>546.6</v>
      </c>
      <c r="O71" s="224">
        <v>0</v>
      </c>
      <c r="P71" s="224">
        <v>0.44</v>
      </c>
      <c r="Q71" s="224">
        <v>6.77</v>
      </c>
      <c r="R71" s="13"/>
      <c r="S71" s="13"/>
      <c r="T71" s="213"/>
      <c r="U71" s="13"/>
    </row>
    <row r="72" customFormat="1" spans="1:21">
      <c r="A72" s="13" t="s">
        <v>2229</v>
      </c>
      <c r="B72" s="224">
        <v>10.55</v>
      </c>
      <c r="C72" s="224">
        <v>58.44</v>
      </c>
      <c r="D72" s="224">
        <v>40.35</v>
      </c>
      <c r="E72" s="224">
        <v>5.57</v>
      </c>
      <c r="F72" s="224">
        <v>8.37</v>
      </c>
      <c r="G72" s="224">
        <v>13.63</v>
      </c>
      <c r="H72" s="224">
        <v>7.84</v>
      </c>
      <c r="I72" s="224">
        <v>3.98</v>
      </c>
      <c r="J72" s="224">
        <v>0.43</v>
      </c>
      <c r="K72" s="224">
        <v>221.67</v>
      </c>
      <c r="L72" s="224">
        <v>35.63</v>
      </c>
      <c r="M72" s="224">
        <v>26.4</v>
      </c>
      <c r="N72" s="224">
        <v>469.7</v>
      </c>
      <c r="O72" s="224">
        <v>0</v>
      </c>
      <c r="P72" s="224">
        <v>0.43</v>
      </c>
      <c r="Q72" s="224">
        <v>6.82</v>
      </c>
      <c r="R72" s="13"/>
      <c r="S72" s="13"/>
      <c r="T72" s="213"/>
      <c r="U72" s="13"/>
    </row>
    <row r="73" customFormat="1" spans="1:21">
      <c r="A73" s="13" t="s">
        <v>2230</v>
      </c>
      <c r="B73" s="224">
        <v>9.84</v>
      </c>
      <c r="C73" s="224">
        <v>54.34</v>
      </c>
      <c r="D73" s="224">
        <v>37.63</v>
      </c>
      <c r="E73" s="224">
        <v>5.47</v>
      </c>
      <c r="F73" s="224">
        <v>12.2</v>
      </c>
      <c r="G73" s="224">
        <v>13.6</v>
      </c>
      <c r="H73" s="224">
        <v>7.84</v>
      </c>
      <c r="I73" s="224">
        <v>3.91</v>
      </c>
      <c r="J73" s="224">
        <v>0.23</v>
      </c>
      <c r="K73" s="224">
        <v>187.85</v>
      </c>
      <c r="L73" s="224">
        <v>35.54</v>
      </c>
      <c r="M73" s="224">
        <v>24.87</v>
      </c>
      <c r="N73" s="224">
        <v>423.5</v>
      </c>
      <c r="O73" s="224">
        <v>0</v>
      </c>
      <c r="P73" s="224">
        <v>0.42</v>
      </c>
      <c r="Q73" s="224">
        <v>6.73</v>
      </c>
      <c r="R73" s="13"/>
      <c r="S73" s="13"/>
      <c r="T73" s="213"/>
      <c r="U73" s="13"/>
    </row>
    <row r="74" customFormat="1" spans="1:21">
      <c r="A74" s="13" t="s">
        <v>2231</v>
      </c>
      <c r="B74" s="224">
        <v>9.95</v>
      </c>
      <c r="C74" s="224">
        <v>60.94</v>
      </c>
      <c r="D74" s="224">
        <v>41.17</v>
      </c>
      <c r="E74" s="224">
        <v>5.57</v>
      </c>
      <c r="F74" s="224">
        <v>8.76</v>
      </c>
      <c r="G74" s="224">
        <v>13.6</v>
      </c>
      <c r="H74" s="224">
        <v>7.84</v>
      </c>
      <c r="I74" s="224">
        <v>3.86</v>
      </c>
      <c r="J74" s="224">
        <v>0.21</v>
      </c>
      <c r="K74" s="224">
        <v>118.44</v>
      </c>
      <c r="L74" s="224">
        <v>35.77</v>
      </c>
      <c r="M74" s="224">
        <v>25.1</v>
      </c>
      <c r="N74" s="224">
        <v>372.9</v>
      </c>
      <c r="O74" s="224">
        <v>0</v>
      </c>
      <c r="P74" s="224">
        <v>0.43</v>
      </c>
      <c r="Q74" s="224">
        <v>6.75</v>
      </c>
      <c r="R74" s="13"/>
      <c r="S74" s="13"/>
      <c r="T74" s="213"/>
      <c r="U74" s="13"/>
    </row>
    <row r="75" customFormat="1" spans="1:21">
      <c r="A75" s="13" t="s">
        <v>2232</v>
      </c>
      <c r="B75" s="224">
        <v>9.97</v>
      </c>
      <c r="C75" s="224">
        <v>58.33</v>
      </c>
      <c r="D75" s="224">
        <v>39.82</v>
      </c>
      <c r="E75" s="224">
        <v>5.43</v>
      </c>
      <c r="F75" s="224">
        <v>8.56</v>
      </c>
      <c r="G75" s="224">
        <v>13.6</v>
      </c>
      <c r="H75" s="224">
        <v>7.84</v>
      </c>
      <c r="I75" s="224">
        <v>3.76</v>
      </c>
      <c r="J75" s="224">
        <v>0.52</v>
      </c>
      <c r="K75" s="224">
        <v>236</v>
      </c>
      <c r="L75" s="224">
        <v>34.91</v>
      </c>
      <c r="M75" s="224">
        <v>25.47</v>
      </c>
      <c r="N75" s="224">
        <v>316.6</v>
      </c>
      <c r="O75" s="224">
        <v>0</v>
      </c>
      <c r="P75" s="224">
        <v>0.43</v>
      </c>
      <c r="Q75" s="224">
        <v>6.7</v>
      </c>
      <c r="R75" s="13"/>
      <c r="S75" s="13"/>
      <c r="T75" s="213"/>
      <c r="U75" s="13"/>
    </row>
    <row r="76" customFormat="1" spans="1:21">
      <c r="A76" s="13" t="s">
        <v>2233</v>
      </c>
      <c r="B76" s="224">
        <v>9.84</v>
      </c>
      <c r="C76" s="224">
        <v>60.39</v>
      </c>
      <c r="D76" s="224">
        <v>40.79</v>
      </c>
      <c r="E76" s="224">
        <v>5.31</v>
      </c>
      <c r="F76" s="224">
        <v>10.67</v>
      </c>
      <c r="G76" s="224">
        <v>13.71</v>
      </c>
      <c r="H76" s="224">
        <v>7.38</v>
      </c>
      <c r="I76" s="224">
        <v>3.69</v>
      </c>
      <c r="J76" s="224">
        <v>0.29</v>
      </c>
      <c r="K76" s="224">
        <v>198.65</v>
      </c>
      <c r="L76" s="224">
        <v>34.71</v>
      </c>
      <c r="M76" s="224">
        <v>27.02</v>
      </c>
      <c r="N76" s="224">
        <v>249.4</v>
      </c>
      <c r="O76" s="224">
        <v>0</v>
      </c>
      <c r="P76" s="224">
        <v>0.42</v>
      </c>
      <c r="Q76" s="224">
        <v>6.78</v>
      </c>
      <c r="R76" s="13"/>
      <c r="S76" s="13"/>
      <c r="T76" s="213"/>
      <c r="U76" s="13"/>
    </row>
    <row r="77" customFormat="1" spans="1:21">
      <c r="A77" s="13" t="s">
        <v>2234</v>
      </c>
      <c r="B77" s="224">
        <v>9.69</v>
      </c>
      <c r="C77" s="224">
        <v>58.66</v>
      </c>
      <c r="D77" s="224">
        <v>39.77</v>
      </c>
      <c r="E77" s="224">
        <v>5.33</v>
      </c>
      <c r="F77" s="224">
        <v>10.37</v>
      </c>
      <c r="G77" s="224">
        <v>13.72</v>
      </c>
      <c r="H77" s="224">
        <v>7.38</v>
      </c>
      <c r="I77" s="224">
        <v>3.73</v>
      </c>
      <c r="J77" s="224">
        <v>0.23</v>
      </c>
      <c r="K77" s="224">
        <v>191.51</v>
      </c>
      <c r="L77" s="224">
        <v>34.55</v>
      </c>
      <c r="M77" s="224">
        <v>27.39</v>
      </c>
      <c r="N77" s="224">
        <v>191</v>
      </c>
      <c r="O77" s="224">
        <v>0</v>
      </c>
      <c r="P77" s="224">
        <v>0.42</v>
      </c>
      <c r="Q77" s="224">
        <v>6.76</v>
      </c>
      <c r="R77" s="13"/>
      <c r="S77" s="13"/>
      <c r="T77" s="213"/>
      <c r="U77" s="13"/>
    </row>
    <row r="78" customFormat="1" spans="1:21">
      <c r="A78" s="13" t="s">
        <v>2235</v>
      </c>
      <c r="B78" s="224">
        <v>9.75</v>
      </c>
      <c r="C78" s="224">
        <v>59.68</v>
      </c>
      <c r="D78" s="224">
        <v>40.35</v>
      </c>
      <c r="E78" s="224">
        <v>5.4</v>
      </c>
      <c r="F78" s="224">
        <v>10.45</v>
      </c>
      <c r="G78" s="224">
        <v>13.72</v>
      </c>
      <c r="H78" s="224">
        <v>7.38</v>
      </c>
      <c r="I78" s="224">
        <v>3.62</v>
      </c>
      <c r="J78" s="224">
        <v>0.14</v>
      </c>
      <c r="K78" s="224">
        <v>171.21</v>
      </c>
      <c r="L78" s="224">
        <v>34.17</v>
      </c>
      <c r="M78" s="224">
        <v>28.79</v>
      </c>
      <c r="N78" s="224">
        <v>133.7</v>
      </c>
      <c r="O78" s="224">
        <v>0</v>
      </c>
      <c r="P78" s="224">
        <v>0.42</v>
      </c>
      <c r="Q78" s="224">
        <v>6.78</v>
      </c>
      <c r="R78" s="13"/>
      <c r="S78" s="13"/>
      <c r="T78" s="213"/>
      <c r="U78" s="13"/>
    </row>
    <row r="79" customFormat="1" spans="1:21">
      <c r="A79" s="13" t="s">
        <v>2236</v>
      </c>
      <c r="B79" s="224">
        <v>9.33</v>
      </c>
      <c r="C79" s="224">
        <v>56.88</v>
      </c>
      <c r="D79" s="224">
        <v>38.56</v>
      </c>
      <c r="E79" s="224">
        <v>5.48</v>
      </c>
      <c r="F79" s="224">
        <v>15.2</v>
      </c>
      <c r="G79" s="224">
        <v>13.72</v>
      </c>
      <c r="H79" s="224">
        <v>7.38</v>
      </c>
      <c r="I79" s="224">
        <v>3.6</v>
      </c>
      <c r="J79" s="224">
        <v>0.18</v>
      </c>
      <c r="K79" s="224">
        <v>165.12</v>
      </c>
      <c r="L79" s="224">
        <v>33.6</v>
      </c>
      <c r="M79" s="224">
        <v>30.57</v>
      </c>
      <c r="N79" s="224">
        <v>68.1</v>
      </c>
      <c r="O79" s="224">
        <v>0</v>
      </c>
      <c r="P79" s="224">
        <v>0.41</v>
      </c>
      <c r="Q79" s="224">
        <v>6.74</v>
      </c>
      <c r="R79" s="13"/>
      <c r="S79" s="13"/>
      <c r="T79" s="213"/>
      <c r="U79" s="13"/>
    </row>
    <row r="80" customFormat="1" spans="1:21">
      <c r="A80" s="13" t="s">
        <v>2237</v>
      </c>
      <c r="B80" s="224">
        <v>9.62</v>
      </c>
      <c r="C80" s="224">
        <v>59.37</v>
      </c>
      <c r="D80" s="224">
        <v>40.09</v>
      </c>
      <c r="E80" s="224">
        <v>5.58</v>
      </c>
      <c r="F80" s="224">
        <v>11.05</v>
      </c>
      <c r="G80" s="224">
        <v>12.87</v>
      </c>
      <c r="H80" s="224">
        <v>8.16</v>
      </c>
      <c r="I80" s="224">
        <v>3.57</v>
      </c>
      <c r="J80" s="224">
        <v>0.12</v>
      </c>
      <c r="K80" s="224">
        <v>172.39</v>
      </c>
      <c r="L80" s="224">
        <v>32.59</v>
      </c>
      <c r="M80" s="224">
        <v>31.75</v>
      </c>
      <c r="N80" s="224">
        <v>23.2</v>
      </c>
      <c r="O80" s="224">
        <v>0</v>
      </c>
      <c r="P80" s="224">
        <v>0.41</v>
      </c>
      <c r="Q80" s="224">
        <v>6.75</v>
      </c>
      <c r="R80" s="13"/>
      <c r="S80" s="13"/>
      <c r="T80" s="213"/>
      <c r="U80" s="13"/>
    </row>
    <row r="81" customFormat="1" spans="1:21">
      <c r="A81" s="13" t="s">
        <v>2238</v>
      </c>
      <c r="B81" s="224">
        <v>10.22</v>
      </c>
      <c r="C81" s="224">
        <v>61.47</v>
      </c>
      <c r="D81" s="224">
        <v>41.66</v>
      </c>
      <c r="E81" s="224">
        <v>5.55</v>
      </c>
      <c r="F81" s="224">
        <v>9.51</v>
      </c>
      <c r="G81" s="224">
        <v>12.83</v>
      </c>
      <c r="H81" s="224">
        <v>8.16</v>
      </c>
      <c r="I81" s="224">
        <v>3.45</v>
      </c>
      <c r="J81" s="224">
        <v>0.15</v>
      </c>
      <c r="K81" s="224">
        <v>207.14</v>
      </c>
      <c r="L81" s="224">
        <v>31.23</v>
      </c>
      <c r="M81" s="224">
        <v>33.45</v>
      </c>
      <c r="N81" s="224">
        <v>2.3</v>
      </c>
      <c r="O81" s="224">
        <v>0</v>
      </c>
      <c r="P81" s="224">
        <v>0.42</v>
      </c>
      <c r="Q81" s="224">
        <v>6.69</v>
      </c>
      <c r="R81" s="13"/>
      <c r="S81" s="13"/>
      <c r="T81" s="213"/>
      <c r="U81" s="13"/>
    </row>
    <row r="82" customFormat="1" spans="1:21">
      <c r="A82" s="13" t="s">
        <v>2239</v>
      </c>
      <c r="B82" s="224">
        <v>10.54</v>
      </c>
      <c r="C82" s="224">
        <v>62.85</v>
      </c>
      <c r="D82" s="224">
        <v>42.64</v>
      </c>
      <c r="E82" s="224">
        <v>6.23</v>
      </c>
      <c r="F82" s="224">
        <v>7.2</v>
      </c>
      <c r="G82" s="224">
        <v>12.83</v>
      </c>
      <c r="H82" s="224">
        <v>8.16</v>
      </c>
      <c r="I82" s="224">
        <v>3.42</v>
      </c>
      <c r="J82" s="224">
        <v>0.11</v>
      </c>
      <c r="K82" s="224">
        <v>186.94</v>
      </c>
      <c r="L82" s="224">
        <v>30.2</v>
      </c>
      <c r="M82" s="224">
        <v>36.48</v>
      </c>
      <c r="N82" s="224">
        <v>0</v>
      </c>
      <c r="O82" s="224">
        <v>0</v>
      </c>
      <c r="P82" s="224">
        <v>0.43</v>
      </c>
      <c r="Q82" s="224">
        <v>6.73</v>
      </c>
      <c r="R82" s="13"/>
      <c r="S82" s="13"/>
      <c r="T82" s="213"/>
      <c r="U82" s="13"/>
    </row>
    <row r="83" customFormat="1" spans="1:21">
      <c r="A83" s="13" t="s">
        <v>2240</v>
      </c>
      <c r="B83" s="224">
        <v>10.97</v>
      </c>
      <c r="C83" s="224">
        <v>63.26</v>
      </c>
      <c r="D83" s="224">
        <v>43.2</v>
      </c>
      <c r="E83" s="224">
        <v>6.39</v>
      </c>
      <c r="F83" s="224">
        <v>6.65</v>
      </c>
      <c r="G83" s="224">
        <v>12.83</v>
      </c>
      <c r="H83" s="224">
        <v>8.16</v>
      </c>
      <c r="I83" s="224">
        <v>3.51</v>
      </c>
      <c r="J83" s="224">
        <v>0.12</v>
      </c>
      <c r="K83" s="224">
        <v>115.96</v>
      </c>
      <c r="L83" s="224">
        <v>29.46</v>
      </c>
      <c r="M83" s="224">
        <v>38.86</v>
      </c>
      <c r="N83" s="224">
        <v>0</v>
      </c>
      <c r="O83" s="224">
        <v>0</v>
      </c>
      <c r="P83" s="224">
        <v>0.42</v>
      </c>
      <c r="Q83" s="224">
        <v>6.79</v>
      </c>
      <c r="R83" s="13"/>
      <c r="S83" s="13"/>
      <c r="T83" s="213"/>
      <c r="U83" s="13"/>
    </row>
    <row r="84" customFormat="1" spans="1:21">
      <c r="A84" s="13" t="s">
        <v>2241</v>
      </c>
      <c r="B84" s="224">
        <v>11.22</v>
      </c>
      <c r="C84" s="224">
        <v>62.65</v>
      </c>
      <c r="D84" s="224">
        <v>43.09</v>
      </c>
      <c r="E84" s="224">
        <v>6.96</v>
      </c>
      <c r="F84" s="224">
        <v>7.72</v>
      </c>
      <c r="G84" s="224">
        <v>13.63</v>
      </c>
      <c r="H84" s="224">
        <v>9.65</v>
      </c>
      <c r="I84" s="224">
        <v>3.51</v>
      </c>
      <c r="J84" s="224">
        <v>0.09</v>
      </c>
      <c r="K84" s="224">
        <v>142.7</v>
      </c>
      <c r="L84" s="224">
        <v>28.67</v>
      </c>
      <c r="M84" s="224">
        <v>43.2</v>
      </c>
      <c r="N84" s="224">
        <v>0</v>
      </c>
      <c r="O84" s="224">
        <v>0</v>
      </c>
      <c r="P84" s="224">
        <v>0.43</v>
      </c>
      <c r="Q84" s="224">
        <v>6.88</v>
      </c>
      <c r="R84" s="13"/>
      <c r="S84" s="13"/>
      <c r="T84" s="213"/>
      <c r="U84" s="13"/>
    </row>
    <row r="85" customFormat="1" spans="1:21">
      <c r="A85" s="13" t="s">
        <v>2242</v>
      </c>
      <c r="B85" s="224">
        <v>12.26</v>
      </c>
      <c r="C85" s="224">
        <v>65.16</v>
      </c>
      <c r="D85" s="224">
        <v>45.23</v>
      </c>
      <c r="E85" s="224">
        <v>6.8</v>
      </c>
      <c r="F85" s="224">
        <v>4.68</v>
      </c>
      <c r="G85" s="224">
        <v>13.67</v>
      </c>
      <c r="H85" s="224">
        <v>9.65</v>
      </c>
      <c r="I85" s="224">
        <v>3.4</v>
      </c>
      <c r="J85" s="224">
        <v>0.14</v>
      </c>
      <c r="K85" s="224">
        <v>156.07</v>
      </c>
      <c r="L85" s="224">
        <v>28.38</v>
      </c>
      <c r="M85" s="224">
        <v>43.3</v>
      </c>
      <c r="N85" s="224">
        <v>0</v>
      </c>
      <c r="O85" s="224">
        <v>0</v>
      </c>
      <c r="P85" s="224">
        <v>0.43</v>
      </c>
      <c r="Q85" s="224">
        <v>6.94</v>
      </c>
      <c r="R85" s="13"/>
      <c r="S85" s="13"/>
      <c r="T85" s="213"/>
      <c r="U85" s="13"/>
    </row>
    <row r="86" customFormat="1" spans="1:21">
      <c r="A86" s="13" t="s">
        <v>2243</v>
      </c>
      <c r="B86" s="224">
        <v>12.95</v>
      </c>
      <c r="C86" s="224">
        <v>65.5</v>
      </c>
      <c r="D86" s="224">
        <v>45.96</v>
      </c>
      <c r="E86" s="224">
        <v>6.63</v>
      </c>
      <c r="F86" s="224">
        <v>5.34</v>
      </c>
      <c r="G86" s="224">
        <v>13.67</v>
      </c>
      <c r="H86" s="224">
        <v>9.65</v>
      </c>
      <c r="I86" s="224">
        <v>3.46</v>
      </c>
      <c r="J86" s="224">
        <v>0.22</v>
      </c>
      <c r="K86" s="224">
        <v>162.14</v>
      </c>
      <c r="L86" s="224">
        <v>28.19</v>
      </c>
      <c r="M86" s="224">
        <v>46.78</v>
      </c>
      <c r="N86" s="224">
        <v>0</v>
      </c>
      <c r="O86" s="224">
        <v>0</v>
      </c>
      <c r="P86" s="224">
        <v>0.43</v>
      </c>
      <c r="Q86" s="224">
        <v>7.01</v>
      </c>
      <c r="R86" s="13"/>
      <c r="S86" s="13"/>
      <c r="T86" s="213"/>
      <c r="U86" s="13"/>
    </row>
    <row r="87" customFormat="1" spans="1:21">
      <c r="A87" s="13" t="s">
        <v>2244</v>
      </c>
      <c r="B87" s="224">
        <v>13.7</v>
      </c>
      <c r="C87" s="224">
        <v>67.72</v>
      </c>
      <c r="D87" s="224">
        <v>47.72</v>
      </c>
      <c r="E87" s="224">
        <v>6.41</v>
      </c>
      <c r="F87" s="224">
        <v>4.82</v>
      </c>
      <c r="G87" s="224">
        <v>13.67</v>
      </c>
      <c r="H87" s="224">
        <v>9.65</v>
      </c>
      <c r="I87" s="224">
        <v>3.53</v>
      </c>
      <c r="J87" s="224">
        <v>0.19</v>
      </c>
      <c r="K87" s="224">
        <v>177.25</v>
      </c>
      <c r="L87" s="224">
        <v>27.44</v>
      </c>
      <c r="M87" s="224">
        <v>56.86</v>
      </c>
      <c r="N87" s="224">
        <v>0</v>
      </c>
      <c r="O87" s="224">
        <v>0</v>
      </c>
      <c r="P87" s="224">
        <v>0.44</v>
      </c>
      <c r="Q87" s="224">
        <v>7.09</v>
      </c>
      <c r="R87" s="13"/>
      <c r="S87" s="13"/>
      <c r="T87" s="213"/>
      <c r="U87" s="13"/>
    </row>
    <row r="88" customFormat="1" spans="1:21">
      <c r="A88" s="13" t="s">
        <v>2245</v>
      </c>
      <c r="B88" s="224">
        <v>14.21</v>
      </c>
      <c r="C88" s="224">
        <v>62.14</v>
      </c>
      <c r="D88" s="224">
        <v>45.21</v>
      </c>
      <c r="E88" s="224">
        <v>6.21</v>
      </c>
      <c r="F88" s="224">
        <v>6.83</v>
      </c>
      <c r="G88" s="224">
        <v>12.69</v>
      </c>
      <c r="H88" s="224">
        <v>8.19</v>
      </c>
      <c r="I88" s="224">
        <v>3.54</v>
      </c>
      <c r="J88" s="224">
        <v>0.2</v>
      </c>
      <c r="K88" s="224">
        <v>162.66</v>
      </c>
      <c r="L88" s="224">
        <v>27.15</v>
      </c>
      <c r="M88" s="224">
        <v>54.43</v>
      </c>
      <c r="N88" s="224">
        <v>0</v>
      </c>
      <c r="O88" s="224">
        <v>0</v>
      </c>
      <c r="P88" s="224">
        <v>0.44</v>
      </c>
      <c r="Q88" s="224">
        <v>7.02</v>
      </c>
      <c r="R88" s="13"/>
      <c r="S88" s="13"/>
      <c r="T88" s="213"/>
      <c r="U88" s="13"/>
    </row>
    <row r="89" customFormat="1" spans="1:21">
      <c r="A89" s="13" t="s">
        <v>2246</v>
      </c>
      <c r="B89" s="224">
        <v>14.7</v>
      </c>
      <c r="C89" s="224">
        <v>54.22</v>
      </c>
      <c r="D89" s="224">
        <v>41.46</v>
      </c>
      <c r="E89" s="224">
        <v>5.98</v>
      </c>
      <c r="F89" s="224">
        <v>7.01</v>
      </c>
      <c r="G89" s="224">
        <v>12.65</v>
      </c>
      <c r="H89" s="224">
        <v>8.19</v>
      </c>
      <c r="I89" s="224">
        <v>3.84</v>
      </c>
      <c r="J89" s="224">
        <v>0.19</v>
      </c>
      <c r="K89" s="224">
        <v>142.59</v>
      </c>
      <c r="L89" s="224">
        <v>26.82</v>
      </c>
      <c r="M89" s="224">
        <v>55.04</v>
      </c>
      <c r="N89" s="224">
        <v>0</v>
      </c>
      <c r="O89" s="224">
        <v>0</v>
      </c>
      <c r="P89" s="224">
        <v>0.42</v>
      </c>
      <c r="Q89" s="224">
        <v>6.74</v>
      </c>
      <c r="R89" s="13"/>
      <c r="S89" s="13"/>
      <c r="T89" s="213"/>
      <c r="U89" s="13"/>
    </row>
    <row r="90" customFormat="1" spans="1:21">
      <c r="A90" s="13" t="s">
        <v>2247</v>
      </c>
      <c r="B90" s="224">
        <v>17.76</v>
      </c>
      <c r="C90" s="224">
        <v>67.77</v>
      </c>
      <c r="D90" s="224">
        <v>51</v>
      </c>
      <c r="E90" s="224">
        <v>6.71</v>
      </c>
      <c r="F90" s="224">
        <v>3.64</v>
      </c>
      <c r="G90" s="224">
        <v>12.65</v>
      </c>
      <c r="H90" s="224">
        <v>8.19</v>
      </c>
      <c r="I90" s="224">
        <v>4.25</v>
      </c>
      <c r="J90" s="224">
        <v>0.18</v>
      </c>
      <c r="K90" s="224">
        <v>123.78</v>
      </c>
      <c r="L90" s="224">
        <v>26.96</v>
      </c>
      <c r="M90" s="224">
        <v>53.61</v>
      </c>
      <c r="N90" s="224">
        <v>0</v>
      </c>
      <c r="O90" s="224">
        <v>0</v>
      </c>
      <c r="P90" s="224">
        <v>0.46</v>
      </c>
      <c r="Q90" s="224">
        <v>6.95</v>
      </c>
      <c r="R90" s="13"/>
      <c r="S90" s="13"/>
      <c r="T90" s="213"/>
      <c r="U90" s="13"/>
    </row>
    <row r="91" customFormat="1" spans="1:21">
      <c r="A91" s="13" t="s">
        <v>2248</v>
      </c>
      <c r="B91" s="224">
        <v>18.56</v>
      </c>
      <c r="C91" s="224">
        <v>64.06</v>
      </c>
      <c r="D91" s="224">
        <v>49.7</v>
      </c>
      <c r="E91" s="224">
        <v>6.8</v>
      </c>
      <c r="F91" s="224">
        <v>4.84</v>
      </c>
      <c r="G91" s="224">
        <v>12.65</v>
      </c>
      <c r="H91" s="224">
        <v>8.19</v>
      </c>
      <c r="I91" s="224">
        <v>4.4</v>
      </c>
      <c r="J91" s="224">
        <v>0.2</v>
      </c>
      <c r="K91" s="224">
        <v>174.82</v>
      </c>
      <c r="L91" s="224">
        <v>26.84</v>
      </c>
      <c r="M91" s="224">
        <v>55.83</v>
      </c>
      <c r="N91" s="224">
        <v>0</v>
      </c>
      <c r="O91" s="224">
        <v>0</v>
      </c>
      <c r="P91" s="224">
        <v>0.48</v>
      </c>
      <c r="Q91" s="224">
        <v>7.12</v>
      </c>
      <c r="R91" s="13"/>
      <c r="S91" s="13"/>
      <c r="T91" s="213"/>
      <c r="U91" s="13"/>
    </row>
    <row r="92" customFormat="1" spans="1:21">
      <c r="A92" s="13" t="s">
        <v>2249</v>
      </c>
      <c r="B92" s="224">
        <v>19.57</v>
      </c>
      <c r="C92" s="224">
        <v>66.07</v>
      </c>
      <c r="D92" s="224">
        <v>51.57</v>
      </c>
      <c r="E92" s="224">
        <v>6.98</v>
      </c>
      <c r="F92" s="224">
        <v>4.58</v>
      </c>
      <c r="G92" s="224">
        <v>34.49</v>
      </c>
      <c r="H92" s="224">
        <v>12.06</v>
      </c>
      <c r="I92" s="224">
        <v>4.7</v>
      </c>
      <c r="J92" s="224">
        <v>0.16</v>
      </c>
      <c r="K92" s="224">
        <v>169.85</v>
      </c>
      <c r="L92" s="224">
        <v>26.49</v>
      </c>
      <c r="M92" s="224">
        <v>57.4</v>
      </c>
      <c r="N92" s="224">
        <v>0</v>
      </c>
      <c r="O92" s="224">
        <v>0</v>
      </c>
      <c r="P92" s="224">
        <v>0.49</v>
      </c>
      <c r="Q92" s="224">
        <v>7.27</v>
      </c>
      <c r="R92" s="13"/>
      <c r="S92" s="13"/>
      <c r="T92" s="213"/>
      <c r="U92" s="13"/>
    </row>
    <row r="93" customFormat="1" spans="1:21">
      <c r="A93" s="13" t="s">
        <v>2250</v>
      </c>
      <c r="B93" s="224">
        <v>20.78</v>
      </c>
      <c r="C93" s="224">
        <v>64.84</v>
      </c>
      <c r="D93" s="224">
        <v>51.89</v>
      </c>
      <c r="E93" s="224">
        <v>7.02</v>
      </c>
      <c r="F93" s="224">
        <v>4.61</v>
      </c>
      <c r="G93" s="224">
        <v>35.51</v>
      </c>
      <c r="H93" s="224">
        <v>12.06</v>
      </c>
      <c r="I93" s="224">
        <v>5.71</v>
      </c>
      <c r="J93" s="224">
        <v>0.19</v>
      </c>
      <c r="K93" s="224">
        <v>159.29</v>
      </c>
      <c r="L93" s="224">
        <v>26.31</v>
      </c>
      <c r="M93" s="224">
        <v>57.76</v>
      </c>
      <c r="N93" s="224">
        <v>0</v>
      </c>
      <c r="O93" s="224">
        <v>0</v>
      </c>
      <c r="P93" s="224">
        <v>0.48</v>
      </c>
      <c r="Q93" s="224">
        <v>7.35</v>
      </c>
      <c r="R93" s="13"/>
      <c r="S93" s="13"/>
      <c r="T93" s="213"/>
      <c r="U93" s="13"/>
    </row>
    <row r="94" customFormat="1" spans="1:21">
      <c r="A94" s="13" t="s">
        <v>2251</v>
      </c>
      <c r="B94" s="224">
        <v>21.63</v>
      </c>
      <c r="C94" s="224">
        <v>67.08</v>
      </c>
      <c r="D94" s="224">
        <v>53.74</v>
      </c>
      <c r="E94" s="224">
        <v>7.23</v>
      </c>
      <c r="F94" s="224">
        <v>4.43</v>
      </c>
      <c r="G94" s="224">
        <v>35.51</v>
      </c>
      <c r="H94" s="224">
        <v>12.06</v>
      </c>
      <c r="I94" s="224">
        <v>5.8</v>
      </c>
      <c r="J94" s="224">
        <v>0.15</v>
      </c>
      <c r="K94" s="224">
        <v>157.6</v>
      </c>
      <c r="L94" s="224">
        <v>26.37</v>
      </c>
      <c r="M94" s="224">
        <v>55.99</v>
      </c>
      <c r="N94" s="224">
        <v>0</v>
      </c>
      <c r="O94" s="224">
        <v>0</v>
      </c>
      <c r="P94" s="224">
        <v>0.5</v>
      </c>
      <c r="Q94" s="224">
        <v>7.46</v>
      </c>
      <c r="R94" s="13"/>
      <c r="S94" s="13"/>
      <c r="T94" s="213"/>
      <c r="U94" s="13"/>
    </row>
    <row r="95" customFormat="1" spans="1:21">
      <c r="A95" s="13" t="s">
        <v>2252</v>
      </c>
      <c r="B95" s="224">
        <v>20.79</v>
      </c>
      <c r="C95" s="224">
        <v>59.36</v>
      </c>
      <c r="D95" s="224">
        <v>49.03</v>
      </c>
      <c r="E95" s="224">
        <v>6.88</v>
      </c>
      <c r="F95" s="224">
        <v>8.75</v>
      </c>
      <c r="G95" s="224">
        <v>35.51</v>
      </c>
      <c r="H95" s="224">
        <v>12.06</v>
      </c>
      <c r="I95" s="224">
        <v>5.52</v>
      </c>
      <c r="J95" s="224">
        <v>0.47</v>
      </c>
      <c r="K95" s="224">
        <v>41.16</v>
      </c>
      <c r="L95" s="224">
        <v>26.81</v>
      </c>
      <c r="M95" s="224">
        <v>51.73</v>
      </c>
      <c r="N95" s="224">
        <v>0</v>
      </c>
      <c r="O95" s="224">
        <v>0</v>
      </c>
      <c r="P95" s="224">
        <v>0.49</v>
      </c>
      <c r="Q95" s="224">
        <v>7.42</v>
      </c>
      <c r="R95" s="13"/>
      <c r="S95" s="13"/>
      <c r="T95" s="213"/>
      <c r="U95" s="13"/>
    </row>
    <row r="96" customFormat="1" spans="1:26">
      <c r="A96" s="13" t="s">
        <v>2253</v>
      </c>
      <c r="B96" s="224">
        <v>23.55</v>
      </c>
      <c r="C96" s="224">
        <v>68.84</v>
      </c>
      <c r="D96" s="224">
        <v>56.2</v>
      </c>
      <c r="E96" s="224">
        <v>6.94</v>
      </c>
      <c r="F96" s="224">
        <v>4.64</v>
      </c>
      <c r="G96" s="224">
        <v>36.37</v>
      </c>
      <c r="H96" s="224">
        <v>13.29</v>
      </c>
      <c r="I96" s="224">
        <v>5.49</v>
      </c>
      <c r="J96" s="224">
        <v>0.56</v>
      </c>
      <c r="K96" s="224">
        <v>65.61</v>
      </c>
      <c r="L96" s="224">
        <v>26.95</v>
      </c>
      <c r="M96" s="224">
        <v>54.91</v>
      </c>
      <c r="N96" s="224">
        <v>0</v>
      </c>
      <c r="O96" s="224">
        <v>0</v>
      </c>
      <c r="P96" s="224">
        <v>0.51</v>
      </c>
      <c r="Q96" s="224">
        <v>7.6</v>
      </c>
      <c r="R96" s="13"/>
      <c r="S96" s="13"/>
      <c r="T96" s="213"/>
      <c r="U96" s="13"/>
      <c r="Z96" s="222"/>
    </row>
    <row r="97" customFormat="1" spans="1:21">
      <c r="A97" s="13" t="s">
        <v>2254</v>
      </c>
      <c r="B97" s="224">
        <v>24.22</v>
      </c>
      <c r="C97" s="224">
        <v>63.22</v>
      </c>
      <c r="D97" s="224">
        <v>53.8</v>
      </c>
      <c r="E97" s="224">
        <v>7.33</v>
      </c>
      <c r="F97" s="224">
        <v>5.34</v>
      </c>
      <c r="G97" s="224">
        <v>36.41</v>
      </c>
      <c r="H97" s="224">
        <v>13.29</v>
      </c>
      <c r="I97" s="224">
        <v>5.58</v>
      </c>
      <c r="J97" s="224">
        <v>0.23</v>
      </c>
      <c r="K97" s="224">
        <v>118.32</v>
      </c>
      <c r="L97" s="224">
        <v>26.78</v>
      </c>
      <c r="M97" s="224">
        <v>55.95</v>
      </c>
      <c r="N97" s="224">
        <v>0</v>
      </c>
      <c r="O97" s="224">
        <v>0</v>
      </c>
      <c r="P97" s="224">
        <v>0.5</v>
      </c>
      <c r="Q97" s="224">
        <v>7.64</v>
      </c>
      <c r="R97" s="13"/>
      <c r="S97" s="13"/>
      <c r="T97" s="213"/>
      <c r="U97" s="13"/>
    </row>
    <row r="98" customFormat="1" spans="1:21">
      <c r="A98" s="13" t="s">
        <v>2255</v>
      </c>
      <c r="B98" s="224">
        <v>25.08</v>
      </c>
      <c r="C98" s="224">
        <v>65.73</v>
      </c>
      <c r="D98" s="224">
        <v>55.81</v>
      </c>
      <c r="E98" s="224">
        <v>6.86</v>
      </c>
      <c r="F98" s="224">
        <v>4.65</v>
      </c>
      <c r="G98" s="224">
        <v>36.41</v>
      </c>
      <c r="H98" s="224">
        <v>13.29</v>
      </c>
      <c r="I98" s="224">
        <v>5.87</v>
      </c>
      <c r="J98" s="224">
        <v>0.14</v>
      </c>
      <c r="K98" s="224">
        <v>152.53</v>
      </c>
      <c r="L98" s="224">
        <v>26.62</v>
      </c>
      <c r="M98" s="224">
        <v>57.27</v>
      </c>
      <c r="N98" s="224">
        <v>0</v>
      </c>
      <c r="O98" s="224">
        <v>0</v>
      </c>
      <c r="P98" s="224">
        <v>0.52</v>
      </c>
      <c r="Q98" s="224">
        <v>7.63</v>
      </c>
      <c r="R98" s="13"/>
      <c r="S98" s="13"/>
      <c r="T98" s="213"/>
      <c r="U98" s="13"/>
    </row>
    <row r="99" customFormat="1" spans="1:21">
      <c r="A99" s="13" t="s">
        <v>2256</v>
      </c>
      <c r="B99" s="224">
        <v>26.13</v>
      </c>
      <c r="C99" s="224">
        <v>66.25</v>
      </c>
      <c r="D99" s="224">
        <v>56.92</v>
      </c>
      <c r="E99" s="224">
        <v>7.3</v>
      </c>
      <c r="F99" s="224">
        <v>4.24</v>
      </c>
      <c r="G99" s="224">
        <v>36.41</v>
      </c>
      <c r="H99" s="224">
        <v>13.29</v>
      </c>
      <c r="I99" s="224">
        <v>6.04</v>
      </c>
      <c r="J99" s="224">
        <v>0.24</v>
      </c>
      <c r="K99" s="224">
        <v>169.97</v>
      </c>
      <c r="L99" s="224">
        <v>26.01</v>
      </c>
      <c r="M99" s="224">
        <v>60.3</v>
      </c>
      <c r="N99" s="224">
        <v>0</v>
      </c>
      <c r="O99" s="224">
        <v>0</v>
      </c>
      <c r="P99" s="224">
        <v>0.51</v>
      </c>
      <c r="Q99" s="224">
        <v>7.69</v>
      </c>
      <c r="R99" s="13"/>
      <c r="S99" s="13"/>
      <c r="T99" s="213"/>
      <c r="U99" s="13"/>
    </row>
    <row r="100" customFormat="1" spans="1:33">
      <c r="A100" s="13" t="s">
        <v>2257</v>
      </c>
      <c r="B100" s="224">
        <v>26.72</v>
      </c>
      <c r="C100" s="224">
        <v>67.73</v>
      </c>
      <c r="D100" s="224">
        <v>58.17</v>
      </c>
      <c r="E100" s="224">
        <v>7.61</v>
      </c>
      <c r="F100" s="224">
        <v>3.81</v>
      </c>
      <c r="G100" s="224">
        <v>36.72</v>
      </c>
      <c r="H100" s="224">
        <v>11.94</v>
      </c>
      <c r="I100" s="224">
        <v>6.19</v>
      </c>
      <c r="J100" s="224">
        <v>0.28</v>
      </c>
      <c r="K100" s="224">
        <v>108.98</v>
      </c>
      <c r="L100" s="224">
        <v>25.85</v>
      </c>
      <c r="M100" s="224">
        <v>60.78</v>
      </c>
      <c r="N100" s="224">
        <v>0</v>
      </c>
      <c r="O100" s="224">
        <v>0</v>
      </c>
      <c r="P100" s="224">
        <v>0.52</v>
      </c>
      <c r="Q100" s="224">
        <v>7.74</v>
      </c>
      <c r="R100" s="13"/>
      <c r="S100" s="13"/>
      <c r="T100" s="213"/>
      <c r="U100" s="13"/>
      <c r="AB100" s="223"/>
      <c r="AG100" s="222"/>
    </row>
    <row r="101" customFormat="1" spans="1:21">
      <c r="A101" s="13" t="s">
        <v>2258</v>
      </c>
      <c r="B101" s="224">
        <v>27.04</v>
      </c>
      <c r="C101" s="224">
        <v>67.44</v>
      </c>
      <c r="D101" s="224">
        <v>58.27</v>
      </c>
      <c r="E101" s="224">
        <v>7.16</v>
      </c>
      <c r="F101" s="224">
        <v>4.12</v>
      </c>
      <c r="G101" s="224">
        <v>36.73</v>
      </c>
      <c r="H101" s="224">
        <v>11.94</v>
      </c>
      <c r="I101" s="224">
        <v>6.32</v>
      </c>
      <c r="J101" s="224">
        <v>0.34</v>
      </c>
      <c r="K101" s="224">
        <v>89.01</v>
      </c>
      <c r="L101" s="224">
        <v>25.91</v>
      </c>
      <c r="M101" s="224">
        <v>60.11</v>
      </c>
      <c r="N101" s="224">
        <v>0</v>
      </c>
      <c r="O101" s="224">
        <v>0</v>
      </c>
      <c r="P101" s="224">
        <v>0.52</v>
      </c>
      <c r="Q101" s="224">
        <v>7.82</v>
      </c>
      <c r="R101" s="13"/>
      <c r="S101" s="13"/>
      <c r="T101" s="213"/>
      <c r="U101" s="13"/>
    </row>
    <row r="102" customFormat="1" spans="1:21">
      <c r="A102" s="13" t="s">
        <v>2259</v>
      </c>
      <c r="B102" s="224">
        <v>27.19</v>
      </c>
      <c r="C102" s="224">
        <v>68.12</v>
      </c>
      <c r="D102" s="224">
        <v>58.75</v>
      </c>
      <c r="E102" s="224">
        <v>7.14</v>
      </c>
      <c r="F102" s="224">
        <v>4.24</v>
      </c>
      <c r="G102" s="224">
        <v>36.73</v>
      </c>
      <c r="H102" s="224">
        <v>11.94</v>
      </c>
      <c r="I102" s="224">
        <v>6.45</v>
      </c>
      <c r="J102" s="224">
        <v>0.65</v>
      </c>
      <c r="K102" s="224">
        <v>316.52</v>
      </c>
      <c r="L102" s="224">
        <v>26.38</v>
      </c>
      <c r="M102" s="224">
        <v>57.29</v>
      </c>
      <c r="N102" s="224">
        <v>0</v>
      </c>
      <c r="O102" s="224">
        <v>0</v>
      </c>
      <c r="P102" s="224">
        <v>0.53</v>
      </c>
      <c r="Q102" s="224">
        <v>7.9</v>
      </c>
      <c r="R102" s="13"/>
      <c r="S102" s="13"/>
      <c r="T102" s="213"/>
      <c r="U102" s="13"/>
    </row>
    <row r="103" customFormat="1" spans="1:21">
      <c r="A103" s="13" t="s">
        <v>2260</v>
      </c>
      <c r="B103" s="224">
        <v>27.86</v>
      </c>
      <c r="C103" s="224">
        <v>65.34</v>
      </c>
      <c r="D103" s="224">
        <v>57.83</v>
      </c>
      <c r="E103" s="224">
        <v>7.34</v>
      </c>
      <c r="F103" s="224">
        <v>4.69</v>
      </c>
      <c r="G103" s="224">
        <v>36.73</v>
      </c>
      <c r="H103" s="224">
        <v>11.94</v>
      </c>
      <c r="I103" s="224">
        <v>6.47</v>
      </c>
      <c r="J103" s="224">
        <v>1.16</v>
      </c>
      <c r="K103" s="224">
        <v>302.89</v>
      </c>
      <c r="L103" s="224">
        <v>26.82</v>
      </c>
      <c r="M103" s="224">
        <v>53.49</v>
      </c>
      <c r="N103" s="224">
        <v>0</v>
      </c>
      <c r="O103" s="224">
        <v>0</v>
      </c>
      <c r="P103" s="224">
        <v>0.54</v>
      </c>
      <c r="Q103" s="224">
        <v>7.82</v>
      </c>
      <c r="R103" s="13"/>
      <c r="S103" s="13"/>
      <c r="T103" s="213"/>
      <c r="U103" s="13"/>
    </row>
    <row r="104" customFormat="1" spans="1:21">
      <c r="A104" s="13" t="s">
        <v>2261</v>
      </c>
      <c r="B104" s="224">
        <v>24.77</v>
      </c>
      <c r="C104" s="224">
        <v>63.58</v>
      </c>
      <c r="D104" s="224">
        <v>54.44</v>
      </c>
      <c r="E104" s="224">
        <v>8.3</v>
      </c>
      <c r="F104" s="224">
        <v>9.35</v>
      </c>
      <c r="G104" s="224">
        <v>38.77</v>
      </c>
      <c r="H104" s="224">
        <v>13.36</v>
      </c>
      <c r="I104" s="224">
        <v>6.4</v>
      </c>
      <c r="J104" s="224">
        <v>2.19</v>
      </c>
      <c r="K104" s="224">
        <v>24.43</v>
      </c>
      <c r="L104" s="224">
        <v>22.76</v>
      </c>
      <c r="M104" s="224">
        <v>78.37</v>
      </c>
      <c r="N104" s="224">
        <v>2.1</v>
      </c>
      <c r="O104" s="224">
        <v>0</v>
      </c>
      <c r="P104" s="224">
        <v>0.54</v>
      </c>
      <c r="Q104" s="224">
        <v>7.97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9.33</v>
      </c>
      <c r="C106" s="215">
        <f>MIN(C9:C104)</f>
        <v>49.87</v>
      </c>
      <c r="D106" s="215">
        <f t="shared" ref="D106:Q106" si="0">MIN(D9:D104)</f>
        <v>37.63</v>
      </c>
      <c r="E106" s="215">
        <f t="shared" si="0"/>
        <v>3.27</v>
      </c>
      <c r="F106" s="215">
        <f t="shared" si="0"/>
        <v>3.07</v>
      </c>
      <c r="G106" s="215">
        <f t="shared" si="0"/>
        <v>6.62</v>
      </c>
      <c r="H106" s="215">
        <f t="shared" si="0"/>
        <v>6.33</v>
      </c>
      <c r="I106" s="215">
        <f t="shared" si="0"/>
        <v>3.13</v>
      </c>
      <c r="J106" s="215">
        <f t="shared" si="0"/>
        <v>0.03</v>
      </c>
      <c r="K106" s="215">
        <f t="shared" si="0"/>
        <v>17.95</v>
      </c>
      <c r="L106" s="215">
        <f t="shared" si="0"/>
        <v>20.85</v>
      </c>
      <c r="M106" s="215">
        <f t="shared" si="0"/>
        <v>24.14</v>
      </c>
      <c r="N106" s="215">
        <f t="shared" si="0"/>
        <v>0</v>
      </c>
      <c r="O106" s="215">
        <f t="shared" si="0"/>
        <v>0</v>
      </c>
      <c r="P106" s="215">
        <f t="shared" si="0"/>
        <v>0.41</v>
      </c>
      <c r="Q106" s="215">
        <f t="shared" si="0"/>
        <v>6.51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34.96</v>
      </c>
      <c r="C107" s="216">
        <f t="shared" ref="C107:Q107" si="1">MAX(C9:C104)</f>
        <v>68.84</v>
      </c>
      <c r="D107" s="216">
        <f t="shared" si="1"/>
        <v>64.63</v>
      </c>
      <c r="E107" s="216">
        <f t="shared" si="1"/>
        <v>8.3</v>
      </c>
      <c r="F107" s="216">
        <f t="shared" si="1"/>
        <v>15.2</v>
      </c>
      <c r="G107" s="216">
        <f t="shared" si="1"/>
        <v>55.37</v>
      </c>
      <c r="H107" s="216">
        <f t="shared" si="1"/>
        <v>19.2</v>
      </c>
      <c r="I107" s="216">
        <f t="shared" si="1"/>
        <v>6.47</v>
      </c>
      <c r="J107" s="216">
        <f t="shared" si="1"/>
        <v>2.19</v>
      </c>
      <c r="K107" s="216">
        <f t="shared" si="1"/>
        <v>351.08</v>
      </c>
      <c r="L107" s="216">
        <f t="shared" si="1"/>
        <v>35.89</v>
      </c>
      <c r="M107" s="216">
        <f t="shared" si="1"/>
        <v>92.54</v>
      </c>
      <c r="N107" s="216">
        <f t="shared" si="1"/>
        <v>925.7</v>
      </c>
      <c r="O107" s="216">
        <f t="shared" si="1"/>
        <v>0</v>
      </c>
      <c r="P107" s="216">
        <f t="shared" si="1"/>
        <v>0.62</v>
      </c>
      <c r="Q107" s="216">
        <f t="shared" si="1"/>
        <v>8.57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21.2157291666667</v>
      </c>
      <c r="C108" s="215">
        <f t="shared" ref="C108:Q108" si="2">AVERAGE(C9:C104)</f>
        <v>61.6572916666667</v>
      </c>
      <c r="D108" s="215">
        <f t="shared" si="2"/>
        <v>50.5785416666667</v>
      </c>
      <c r="E108" s="215">
        <f t="shared" si="2"/>
        <v>6.6434375</v>
      </c>
      <c r="F108" s="215">
        <f t="shared" si="2"/>
        <v>5.99375</v>
      </c>
      <c r="G108" s="215">
        <f t="shared" si="2"/>
        <v>24.0966666666667</v>
      </c>
      <c r="H108" s="215">
        <f t="shared" si="2"/>
        <v>11.4236458333333</v>
      </c>
      <c r="I108" s="215">
        <f t="shared" si="2"/>
        <v>3.9659375</v>
      </c>
      <c r="J108" s="215">
        <f t="shared" si="2"/>
        <v>0.365833333333333</v>
      </c>
      <c r="K108" s="215">
        <f t="shared" si="2"/>
        <v>183.650520833333</v>
      </c>
      <c r="L108" s="215">
        <f t="shared" si="2"/>
        <v>26.9767708333333</v>
      </c>
      <c r="M108" s="215">
        <f t="shared" si="2"/>
        <v>61.49125</v>
      </c>
      <c r="N108" s="215">
        <f t="shared" si="2"/>
        <v>223.634375</v>
      </c>
      <c r="O108" s="215">
        <f t="shared" si="2"/>
        <v>0</v>
      </c>
      <c r="P108" s="215">
        <f t="shared" si="2"/>
        <v>0.50875</v>
      </c>
      <c r="Q108" s="215">
        <f t="shared" si="2"/>
        <v>7.30114583333334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7.78640606844514</v>
      </c>
      <c r="C109" s="215">
        <f t="shared" ref="C109:Q109" si="3">STDEV(C9:C104)</f>
        <v>5.00905800140141</v>
      </c>
      <c r="D109" s="215">
        <f t="shared" si="3"/>
        <v>8.09046104719257</v>
      </c>
      <c r="E109" s="215">
        <f t="shared" si="3"/>
        <v>1.20715657914744</v>
      </c>
      <c r="F109" s="215">
        <f t="shared" si="3"/>
        <v>2.98741368516578</v>
      </c>
      <c r="G109" s="215">
        <f t="shared" si="3"/>
        <v>13.9073519872852</v>
      </c>
      <c r="H109" s="215">
        <f t="shared" si="3"/>
        <v>3.63679474835557</v>
      </c>
      <c r="I109" s="215">
        <f t="shared" si="3"/>
        <v>0.841229148486403</v>
      </c>
      <c r="J109" s="215">
        <f t="shared" si="3"/>
        <v>0.315400052286705</v>
      </c>
      <c r="K109" s="215">
        <f t="shared" si="3"/>
        <v>74.1014492701486</v>
      </c>
      <c r="L109" s="215">
        <f t="shared" si="3"/>
        <v>5.18745358782873</v>
      </c>
      <c r="M109" s="215">
        <f t="shared" si="3"/>
        <v>23.7247938374937</v>
      </c>
      <c r="N109" s="215">
        <f t="shared" si="3"/>
        <v>317.187733162995</v>
      </c>
      <c r="O109" s="215">
        <f t="shared" si="3"/>
        <v>0</v>
      </c>
      <c r="P109" s="215">
        <f t="shared" si="3"/>
        <v>0.0635320060243157</v>
      </c>
      <c r="Q109" s="215">
        <f t="shared" si="3"/>
        <v>0.622962142622127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24/04/2023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3" t="s">
        <v>2262</v>
      </c>
      <c r="B9" s="224">
        <v>25.13</v>
      </c>
      <c r="C9" s="224">
        <v>67.83</v>
      </c>
      <c r="D9" s="224">
        <v>56.94</v>
      </c>
      <c r="E9" s="224">
        <v>7.64</v>
      </c>
      <c r="F9" s="224">
        <v>5.56</v>
      </c>
      <c r="G9" s="224">
        <v>38.87</v>
      </c>
      <c r="H9" s="224">
        <v>13.36</v>
      </c>
      <c r="I9" s="224">
        <v>6.35</v>
      </c>
      <c r="J9" s="224">
        <v>2.03</v>
      </c>
      <c r="K9" s="224">
        <v>66.53</v>
      </c>
      <c r="L9" s="224">
        <v>21.16</v>
      </c>
      <c r="M9" s="224">
        <v>81.61</v>
      </c>
      <c r="N9" s="224">
        <v>0</v>
      </c>
      <c r="O9" s="224">
        <v>0</v>
      </c>
      <c r="P9" s="224">
        <v>0.55</v>
      </c>
      <c r="Q9" s="224">
        <v>7.82</v>
      </c>
      <c r="R9" s="13"/>
      <c r="S9" s="13"/>
      <c r="T9" s="213"/>
      <c r="U9" s="13"/>
    </row>
    <row r="10" customFormat="1" spans="1:21">
      <c r="A10" s="13" t="s">
        <v>2263</v>
      </c>
      <c r="B10" s="224">
        <v>23.78</v>
      </c>
      <c r="C10" s="224">
        <v>62.81</v>
      </c>
      <c r="D10" s="224">
        <v>53.23</v>
      </c>
      <c r="E10" s="224">
        <v>7.43</v>
      </c>
      <c r="F10" s="224">
        <v>4.84</v>
      </c>
      <c r="G10" s="224">
        <v>38.87</v>
      </c>
      <c r="H10" s="224">
        <v>13.36</v>
      </c>
      <c r="I10" s="224">
        <v>6.22</v>
      </c>
      <c r="J10" s="224">
        <v>0.54</v>
      </c>
      <c r="K10" s="224">
        <v>79.67</v>
      </c>
      <c r="L10" s="224">
        <v>21.34</v>
      </c>
      <c r="M10" s="224">
        <v>80.89</v>
      </c>
      <c r="N10" s="224">
        <v>0</v>
      </c>
      <c r="O10" s="224">
        <v>0</v>
      </c>
      <c r="P10" s="224">
        <v>0.53</v>
      </c>
      <c r="Q10" s="224">
        <v>7.62</v>
      </c>
      <c r="R10" s="13"/>
      <c r="S10" s="13"/>
      <c r="T10" s="213"/>
      <c r="U10" s="13"/>
    </row>
    <row r="11" customFormat="1" spans="1:21">
      <c r="A11" s="13" t="s">
        <v>2264</v>
      </c>
      <c r="B11" s="224">
        <v>22.9</v>
      </c>
      <c r="C11" s="224">
        <v>70.52</v>
      </c>
      <c r="D11" s="224">
        <v>56.56</v>
      </c>
      <c r="E11" s="224">
        <v>7.17</v>
      </c>
      <c r="F11" s="224">
        <v>3.53</v>
      </c>
      <c r="G11" s="224">
        <v>38.87</v>
      </c>
      <c r="H11" s="224">
        <v>13.36</v>
      </c>
      <c r="I11" s="224">
        <v>5.99</v>
      </c>
      <c r="J11" s="224">
        <v>0.48</v>
      </c>
      <c r="K11" s="224">
        <v>96.56</v>
      </c>
      <c r="L11" s="224">
        <v>21.52</v>
      </c>
      <c r="M11" s="224">
        <v>83.59</v>
      </c>
      <c r="N11" s="224">
        <v>0</v>
      </c>
      <c r="O11" s="224">
        <v>0</v>
      </c>
      <c r="P11" s="224">
        <v>0.54</v>
      </c>
      <c r="Q11" s="224">
        <v>7.86</v>
      </c>
      <c r="R11" s="13"/>
      <c r="S11" s="13"/>
      <c r="T11" s="213"/>
      <c r="U11" s="13"/>
    </row>
    <row r="12" customFormat="1" spans="1:21">
      <c r="A12" s="13" t="s">
        <v>2265</v>
      </c>
      <c r="B12" s="224">
        <v>22.15</v>
      </c>
      <c r="C12" s="224">
        <v>70.75</v>
      </c>
      <c r="D12" s="224">
        <v>56.08</v>
      </c>
      <c r="E12" s="224">
        <v>7.04</v>
      </c>
      <c r="F12" s="224">
        <v>3.63</v>
      </c>
      <c r="G12" s="224">
        <v>34.26</v>
      </c>
      <c r="H12" s="224">
        <v>12.86</v>
      </c>
      <c r="I12" s="224">
        <v>5.85</v>
      </c>
      <c r="J12" s="224">
        <v>0.56</v>
      </c>
      <c r="K12" s="224">
        <v>85.17</v>
      </c>
      <c r="L12" s="224">
        <v>21.89</v>
      </c>
      <c r="M12" s="224">
        <v>84.24</v>
      </c>
      <c r="N12" s="224">
        <v>0</v>
      </c>
      <c r="O12" s="224">
        <v>0</v>
      </c>
      <c r="P12" s="224">
        <v>0.54</v>
      </c>
      <c r="Q12" s="224">
        <v>7.94</v>
      </c>
      <c r="R12" s="13"/>
      <c r="S12" s="13"/>
      <c r="T12" s="213"/>
      <c r="U12" s="13"/>
    </row>
    <row r="13" customFormat="1" spans="1:21">
      <c r="A13" s="13" t="s">
        <v>2266</v>
      </c>
      <c r="B13" s="224">
        <v>21.41</v>
      </c>
      <c r="C13" s="224">
        <v>69.29</v>
      </c>
      <c r="D13" s="224">
        <v>54.73</v>
      </c>
      <c r="E13" s="224">
        <v>7.08</v>
      </c>
      <c r="F13" s="224">
        <v>3.77</v>
      </c>
      <c r="G13" s="224">
        <v>34.04</v>
      </c>
      <c r="H13" s="224">
        <v>12.86</v>
      </c>
      <c r="I13" s="224">
        <v>5.71</v>
      </c>
      <c r="J13" s="224">
        <v>0.45</v>
      </c>
      <c r="K13" s="224">
        <v>91.05</v>
      </c>
      <c r="L13" s="224">
        <v>21.97</v>
      </c>
      <c r="M13" s="224">
        <v>84.57</v>
      </c>
      <c r="N13" s="224">
        <v>0</v>
      </c>
      <c r="O13" s="224">
        <v>0</v>
      </c>
      <c r="P13" s="224">
        <v>0.53</v>
      </c>
      <c r="Q13" s="224">
        <v>7.9</v>
      </c>
      <c r="R13" s="13"/>
      <c r="S13" s="13"/>
      <c r="T13" s="213"/>
      <c r="U13" s="13"/>
    </row>
    <row r="14" customFormat="1" spans="1:21">
      <c r="A14" s="13" t="s">
        <v>2267</v>
      </c>
      <c r="B14" s="224">
        <v>21.1</v>
      </c>
      <c r="C14" s="224">
        <v>70.14</v>
      </c>
      <c r="D14" s="224">
        <v>54.91</v>
      </c>
      <c r="E14" s="224">
        <v>6.99</v>
      </c>
      <c r="F14" s="224">
        <v>3.83</v>
      </c>
      <c r="G14" s="224">
        <v>34.04</v>
      </c>
      <c r="H14" s="224">
        <v>12.86</v>
      </c>
      <c r="I14" s="224">
        <v>5.59</v>
      </c>
      <c r="J14" s="224">
        <v>0.38</v>
      </c>
      <c r="K14" s="224">
        <v>97.88</v>
      </c>
      <c r="L14" s="224">
        <v>21.99</v>
      </c>
      <c r="M14" s="224">
        <v>85.06</v>
      </c>
      <c r="N14" s="224">
        <v>0</v>
      </c>
      <c r="O14" s="224">
        <v>0</v>
      </c>
      <c r="P14" s="224">
        <v>0.52</v>
      </c>
      <c r="Q14" s="224">
        <v>7.81</v>
      </c>
      <c r="R14" s="13"/>
      <c r="S14" s="13"/>
      <c r="T14" s="213"/>
      <c r="U14" s="13"/>
    </row>
    <row r="15" customFormat="1" spans="1:21">
      <c r="A15" s="13" t="s">
        <v>2268</v>
      </c>
      <c r="B15" s="224">
        <v>20.91</v>
      </c>
      <c r="C15" s="224">
        <v>69.79</v>
      </c>
      <c r="D15" s="224">
        <v>54.58</v>
      </c>
      <c r="E15" s="224">
        <v>6.64</v>
      </c>
      <c r="F15" s="224">
        <v>3.8</v>
      </c>
      <c r="G15" s="224">
        <v>34.04</v>
      </c>
      <c r="H15" s="224">
        <v>12.86</v>
      </c>
      <c r="I15" s="224">
        <v>5.47</v>
      </c>
      <c r="J15" s="224">
        <v>0.57</v>
      </c>
      <c r="K15" s="224">
        <v>85.26</v>
      </c>
      <c r="L15" s="224">
        <v>21.85</v>
      </c>
      <c r="M15" s="224">
        <v>86.4</v>
      </c>
      <c r="N15" s="224">
        <v>0</v>
      </c>
      <c r="O15" s="224">
        <v>0</v>
      </c>
      <c r="P15" s="224">
        <v>0.51</v>
      </c>
      <c r="Q15" s="224">
        <v>7.74</v>
      </c>
      <c r="R15" s="13"/>
      <c r="S15" s="13"/>
      <c r="T15" s="213"/>
      <c r="U15" s="13"/>
    </row>
    <row r="16" customFormat="1" spans="1:21">
      <c r="A16" s="13" t="s">
        <v>2269</v>
      </c>
      <c r="B16" s="224">
        <v>20.62</v>
      </c>
      <c r="C16" s="224">
        <v>70.25</v>
      </c>
      <c r="D16" s="224">
        <v>54.59</v>
      </c>
      <c r="E16" s="224">
        <v>6.62</v>
      </c>
      <c r="F16" s="224">
        <v>3.9</v>
      </c>
      <c r="G16" s="224">
        <v>22.98</v>
      </c>
      <c r="H16" s="224">
        <v>9.16</v>
      </c>
      <c r="I16" s="224">
        <v>5.35</v>
      </c>
      <c r="J16" s="224">
        <v>0.35</v>
      </c>
      <c r="K16" s="224">
        <v>100.68</v>
      </c>
      <c r="L16" s="224">
        <v>21.69</v>
      </c>
      <c r="M16" s="224">
        <v>87.55</v>
      </c>
      <c r="N16" s="224">
        <v>0</v>
      </c>
      <c r="O16" s="224">
        <v>0</v>
      </c>
      <c r="P16" s="224">
        <v>0.51</v>
      </c>
      <c r="Q16" s="224">
        <v>7.76</v>
      </c>
      <c r="R16" s="13"/>
      <c r="S16" s="13"/>
      <c r="T16" s="213"/>
      <c r="U16" s="13"/>
    </row>
    <row r="17" customFormat="1" spans="1:21">
      <c r="A17" s="13" t="s">
        <v>2270</v>
      </c>
      <c r="B17" s="224">
        <v>20.41</v>
      </c>
      <c r="C17" s="224">
        <v>69.71</v>
      </c>
      <c r="D17" s="224">
        <v>54.14</v>
      </c>
      <c r="E17" s="224">
        <v>5.57</v>
      </c>
      <c r="F17" s="224">
        <v>3.92</v>
      </c>
      <c r="G17" s="224">
        <v>22.47</v>
      </c>
      <c r="H17" s="224">
        <v>9.16</v>
      </c>
      <c r="I17" s="224">
        <v>5.2</v>
      </c>
      <c r="J17" s="224">
        <v>0.36</v>
      </c>
      <c r="K17" s="224">
        <v>90.88</v>
      </c>
      <c r="L17" s="224">
        <v>21.9</v>
      </c>
      <c r="M17" s="224">
        <v>86.46</v>
      </c>
      <c r="N17" s="224">
        <v>0</v>
      </c>
      <c r="O17" s="224">
        <v>0</v>
      </c>
      <c r="P17" s="224">
        <v>0.5</v>
      </c>
      <c r="Q17" s="224">
        <v>7.73</v>
      </c>
      <c r="R17" s="13"/>
      <c r="S17" s="13"/>
      <c r="T17" s="213"/>
      <c r="U17" s="13"/>
    </row>
    <row r="18" customFormat="1" spans="1:21">
      <c r="A18" s="13" t="s">
        <v>2271</v>
      </c>
      <c r="B18" s="224">
        <v>20.47</v>
      </c>
      <c r="C18" s="224">
        <v>69.31</v>
      </c>
      <c r="D18" s="224">
        <v>53.98</v>
      </c>
      <c r="E18" s="224">
        <v>6.03</v>
      </c>
      <c r="F18" s="224">
        <v>3.8</v>
      </c>
      <c r="G18" s="224">
        <v>22.47</v>
      </c>
      <c r="H18" s="224">
        <v>9.16</v>
      </c>
      <c r="I18" s="224">
        <v>5.09</v>
      </c>
      <c r="J18" s="224">
        <v>0.45</v>
      </c>
      <c r="K18" s="224">
        <v>84.68</v>
      </c>
      <c r="L18" s="224">
        <v>21.91</v>
      </c>
      <c r="M18" s="224">
        <v>85.54</v>
      </c>
      <c r="N18" s="224">
        <v>0</v>
      </c>
      <c r="O18" s="224">
        <v>0</v>
      </c>
      <c r="P18" s="224">
        <v>0.5</v>
      </c>
      <c r="Q18" s="224">
        <v>7.73</v>
      </c>
      <c r="R18" s="13"/>
      <c r="S18" s="13"/>
      <c r="T18" s="213"/>
      <c r="U18" s="13"/>
    </row>
    <row r="19" customFormat="1" spans="1:21">
      <c r="A19" s="13" t="s">
        <v>2272</v>
      </c>
      <c r="B19" s="224">
        <v>20.52</v>
      </c>
      <c r="C19" s="224">
        <v>68.97</v>
      </c>
      <c r="D19" s="224">
        <v>53.84</v>
      </c>
      <c r="E19" s="224">
        <v>5.95</v>
      </c>
      <c r="F19" s="224">
        <v>3.79</v>
      </c>
      <c r="G19" s="224">
        <v>22.47</v>
      </c>
      <c r="H19" s="224">
        <v>9.16</v>
      </c>
      <c r="I19" s="224">
        <v>4.99</v>
      </c>
      <c r="J19" s="224">
        <v>0.36</v>
      </c>
      <c r="K19" s="224">
        <v>97.67</v>
      </c>
      <c r="L19" s="224">
        <v>22.04</v>
      </c>
      <c r="M19" s="224">
        <v>84.34</v>
      </c>
      <c r="N19" s="224">
        <v>0</v>
      </c>
      <c r="O19" s="224">
        <v>0</v>
      </c>
      <c r="P19" s="224">
        <v>0.49</v>
      </c>
      <c r="Q19" s="224">
        <v>7.69</v>
      </c>
      <c r="R19" s="13"/>
      <c r="S19" s="13"/>
      <c r="T19" s="213"/>
      <c r="U19" s="13"/>
    </row>
    <row r="20" customFormat="1" spans="1:21">
      <c r="A20" s="13" t="s">
        <v>2273</v>
      </c>
      <c r="B20" s="224">
        <v>20.63</v>
      </c>
      <c r="C20" s="224">
        <v>68.89</v>
      </c>
      <c r="D20" s="224">
        <v>53.88</v>
      </c>
      <c r="E20" s="224">
        <v>6.03</v>
      </c>
      <c r="F20" s="224">
        <v>3.82</v>
      </c>
      <c r="G20" s="224">
        <v>18.06</v>
      </c>
      <c r="H20" s="224">
        <v>10.02</v>
      </c>
      <c r="I20" s="224">
        <v>4.92</v>
      </c>
      <c r="J20" s="224">
        <v>0.63</v>
      </c>
      <c r="K20" s="224">
        <v>79.86</v>
      </c>
      <c r="L20" s="224">
        <v>22.07</v>
      </c>
      <c r="M20" s="224">
        <v>82.86</v>
      </c>
      <c r="N20" s="224">
        <v>0</v>
      </c>
      <c r="O20" s="224">
        <v>0</v>
      </c>
      <c r="P20" s="224">
        <v>0.48</v>
      </c>
      <c r="Q20" s="224">
        <v>7.72</v>
      </c>
      <c r="R20" s="13"/>
      <c r="S20" s="13"/>
      <c r="T20" s="213"/>
      <c r="U20" s="13"/>
    </row>
    <row r="21" customFormat="1" spans="1:21">
      <c r="A21" s="13" t="s">
        <v>2274</v>
      </c>
      <c r="B21" s="224">
        <v>20.27</v>
      </c>
      <c r="C21" s="224">
        <v>68.75</v>
      </c>
      <c r="D21" s="224">
        <v>53.52</v>
      </c>
      <c r="E21" s="224">
        <v>5.39</v>
      </c>
      <c r="F21" s="224">
        <v>3.93</v>
      </c>
      <c r="G21" s="224">
        <v>17.85</v>
      </c>
      <c r="H21" s="224">
        <v>10.02</v>
      </c>
      <c r="I21" s="224">
        <v>4.82</v>
      </c>
      <c r="J21" s="224">
        <v>0.15</v>
      </c>
      <c r="K21" s="224">
        <v>212.9</v>
      </c>
      <c r="L21" s="224">
        <v>22.05</v>
      </c>
      <c r="M21" s="224">
        <v>80.99</v>
      </c>
      <c r="N21" s="224">
        <v>0</v>
      </c>
      <c r="O21" s="224">
        <v>0</v>
      </c>
      <c r="P21" s="224">
        <v>0.48</v>
      </c>
      <c r="Q21" s="224">
        <v>7.74</v>
      </c>
      <c r="R21" s="13"/>
      <c r="S21" s="13"/>
      <c r="T21" s="213"/>
      <c r="U21" s="13"/>
    </row>
    <row r="22" customFormat="1" spans="1:21">
      <c r="A22" s="13" t="s">
        <v>2275</v>
      </c>
      <c r="B22" s="224">
        <v>20.12</v>
      </c>
      <c r="C22" s="224">
        <v>68.74</v>
      </c>
      <c r="D22" s="224">
        <v>53.4</v>
      </c>
      <c r="E22" s="224">
        <v>5.74</v>
      </c>
      <c r="F22" s="224">
        <v>3.77</v>
      </c>
      <c r="G22" s="224">
        <v>17.85</v>
      </c>
      <c r="H22" s="224">
        <v>10.02</v>
      </c>
      <c r="I22" s="224">
        <v>4.67</v>
      </c>
      <c r="J22" s="224">
        <v>0.08</v>
      </c>
      <c r="K22" s="224">
        <v>205.7</v>
      </c>
      <c r="L22" s="224">
        <v>21.9</v>
      </c>
      <c r="M22" s="224">
        <v>82.42</v>
      </c>
      <c r="N22" s="224">
        <v>0</v>
      </c>
      <c r="O22" s="224">
        <v>0</v>
      </c>
      <c r="P22" s="224">
        <v>0.48</v>
      </c>
      <c r="Q22" s="224">
        <v>7.69</v>
      </c>
      <c r="R22" s="13"/>
      <c r="S22" s="13"/>
      <c r="T22" s="213"/>
      <c r="U22" s="13"/>
    </row>
    <row r="23" customFormat="1" spans="1:21">
      <c r="A23" s="13" t="s">
        <v>2276</v>
      </c>
      <c r="B23" s="224">
        <v>20.24</v>
      </c>
      <c r="C23" s="224">
        <v>68.86</v>
      </c>
      <c r="D23" s="224">
        <v>53.56</v>
      </c>
      <c r="E23" s="224">
        <v>5.6</v>
      </c>
      <c r="F23" s="224">
        <v>3.54</v>
      </c>
      <c r="G23" s="224">
        <v>17.85</v>
      </c>
      <c r="H23" s="224">
        <v>10.02</v>
      </c>
      <c r="I23" s="224">
        <v>4.55</v>
      </c>
      <c r="J23" s="224">
        <v>0.19</v>
      </c>
      <c r="K23" s="224">
        <v>121.74</v>
      </c>
      <c r="L23" s="224">
        <v>21.8</v>
      </c>
      <c r="M23" s="224">
        <v>83.32</v>
      </c>
      <c r="N23" s="224">
        <v>0</v>
      </c>
      <c r="O23" s="224">
        <v>0</v>
      </c>
      <c r="P23" s="224">
        <v>0.47</v>
      </c>
      <c r="Q23" s="224">
        <v>7.71</v>
      </c>
      <c r="R23" s="13"/>
      <c r="S23" s="13"/>
      <c r="T23" s="213"/>
      <c r="U23" s="13"/>
    </row>
    <row r="24" customFormat="1" spans="1:21">
      <c r="A24" s="13" t="s">
        <v>2277</v>
      </c>
      <c r="B24" s="224">
        <v>20.41</v>
      </c>
      <c r="C24" s="224">
        <v>68.94</v>
      </c>
      <c r="D24" s="224">
        <v>53.74</v>
      </c>
      <c r="E24" s="224">
        <v>5.86</v>
      </c>
      <c r="F24" s="224">
        <v>3.73</v>
      </c>
      <c r="G24" s="224">
        <v>14.56</v>
      </c>
      <c r="H24" s="224">
        <v>7.38</v>
      </c>
      <c r="I24" s="224">
        <v>4.5</v>
      </c>
      <c r="J24" s="224">
        <v>0.2</v>
      </c>
      <c r="K24" s="224">
        <v>207.39</v>
      </c>
      <c r="L24" s="224">
        <v>21.37</v>
      </c>
      <c r="M24" s="224">
        <v>85.15</v>
      </c>
      <c r="N24" s="224">
        <v>0</v>
      </c>
      <c r="O24" s="224">
        <v>0</v>
      </c>
      <c r="P24" s="224">
        <v>0.46</v>
      </c>
      <c r="Q24" s="224">
        <v>7.75</v>
      </c>
      <c r="R24" s="13"/>
      <c r="S24" s="13"/>
      <c r="T24" s="213"/>
      <c r="U24" s="13"/>
    </row>
    <row r="25" customFormat="1" spans="1:21">
      <c r="A25" s="13" t="s">
        <v>2278</v>
      </c>
      <c r="B25" s="224">
        <v>20.51</v>
      </c>
      <c r="C25" s="224">
        <v>68.62</v>
      </c>
      <c r="D25" s="224">
        <v>53.65</v>
      </c>
      <c r="E25" s="224">
        <v>6.13</v>
      </c>
      <c r="F25" s="224">
        <v>3.69</v>
      </c>
      <c r="G25" s="224">
        <v>14.41</v>
      </c>
      <c r="H25" s="224">
        <v>7.38</v>
      </c>
      <c r="I25" s="224">
        <v>4.42</v>
      </c>
      <c r="J25" s="224">
        <v>0.24</v>
      </c>
      <c r="K25" s="224">
        <v>207.79</v>
      </c>
      <c r="L25" s="224">
        <v>21.29</v>
      </c>
      <c r="M25" s="224">
        <v>85.54</v>
      </c>
      <c r="N25" s="224">
        <v>0</v>
      </c>
      <c r="O25" s="224">
        <v>0</v>
      </c>
      <c r="P25" s="224">
        <v>0.46</v>
      </c>
      <c r="Q25" s="224">
        <v>7.74</v>
      </c>
      <c r="R25" s="13"/>
      <c r="S25" s="13"/>
      <c r="T25" s="213"/>
      <c r="U25" s="13"/>
    </row>
    <row r="26" customFormat="1" spans="1:21">
      <c r="A26" s="13" t="s">
        <v>2279</v>
      </c>
      <c r="B26" s="224">
        <v>20.74</v>
      </c>
      <c r="C26" s="224">
        <v>68.07</v>
      </c>
      <c r="D26" s="224">
        <v>53.54</v>
      </c>
      <c r="E26" s="224">
        <v>5.82</v>
      </c>
      <c r="F26" s="224">
        <v>3.57</v>
      </c>
      <c r="G26" s="224">
        <v>14.41</v>
      </c>
      <c r="H26" s="224">
        <v>7.38</v>
      </c>
      <c r="I26" s="224">
        <v>4.32</v>
      </c>
      <c r="J26" s="224">
        <v>0.12</v>
      </c>
      <c r="K26" s="224">
        <v>189.11</v>
      </c>
      <c r="L26" s="224">
        <v>21.14</v>
      </c>
      <c r="M26" s="224">
        <v>86.59</v>
      </c>
      <c r="N26" s="224">
        <v>0</v>
      </c>
      <c r="O26" s="224">
        <v>0</v>
      </c>
      <c r="P26" s="224">
        <v>0.45</v>
      </c>
      <c r="Q26" s="224">
        <v>7.7</v>
      </c>
      <c r="R26" s="13"/>
      <c r="S26" s="13"/>
      <c r="T26" s="213"/>
      <c r="U26" s="13"/>
    </row>
    <row r="27" customFormat="1" spans="1:21">
      <c r="A27" s="13" t="s">
        <v>2280</v>
      </c>
      <c r="B27" s="224">
        <v>21.18</v>
      </c>
      <c r="C27" s="224">
        <v>67.43</v>
      </c>
      <c r="D27" s="224">
        <v>53.57</v>
      </c>
      <c r="E27" s="224">
        <v>6.18</v>
      </c>
      <c r="F27" s="224">
        <v>3.54</v>
      </c>
      <c r="G27" s="224">
        <v>14.41</v>
      </c>
      <c r="H27" s="224">
        <v>7.38</v>
      </c>
      <c r="I27" s="224">
        <v>4.22</v>
      </c>
      <c r="J27" s="224">
        <v>0.07</v>
      </c>
      <c r="K27" s="224">
        <v>139.7</v>
      </c>
      <c r="L27" s="224">
        <v>21.04</v>
      </c>
      <c r="M27" s="224">
        <v>87.11</v>
      </c>
      <c r="N27" s="224">
        <v>0</v>
      </c>
      <c r="O27" s="224">
        <v>0</v>
      </c>
      <c r="P27" s="224">
        <v>0.45</v>
      </c>
      <c r="Q27" s="224">
        <v>7.7</v>
      </c>
      <c r="R27" s="13"/>
      <c r="S27" s="13"/>
      <c r="T27" s="213"/>
      <c r="U27" s="13"/>
    </row>
    <row r="28" customFormat="1" spans="1:21">
      <c r="A28" s="13" t="s">
        <v>2281</v>
      </c>
      <c r="B28" s="224">
        <v>21.64</v>
      </c>
      <c r="C28" s="224">
        <v>67.86</v>
      </c>
      <c r="D28" s="224">
        <v>54.16</v>
      </c>
      <c r="E28" s="224">
        <v>6.05</v>
      </c>
      <c r="F28" s="224">
        <v>3.62</v>
      </c>
      <c r="G28" s="224">
        <v>11.4</v>
      </c>
      <c r="H28" s="224">
        <v>5.36</v>
      </c>
      <c r="I28" s="224">
        <v>4.1</v>
      </c>
      <c r="J28" s="224">
        <v>0.11</v>
      </c>
      <c r="K28" s="224">
        <v>87.14</v>
      </c>
      <c r="L28" s="224">
        <v>21.03</v>
      </c>
      <c r="M28" s="224">
        <v>87.04</v>
      </c>
      <c r="N28" s="224">
        <v>0</v>
      </c>
      <c r="O28" s="224">
        <v>0</v>
      </c>
      <c r="P28" s="224">
        <v>0.45</v>
      </c>
      <c r="Q28" s="224">
        <v>7.76</v>
      </c>
      <c r="R28" s="13"/>
      <c r="S28" s="13"/>
      <c r="T28" s="213"/>
      <c r="U28" s="13"/>
    </row>
    <row r="29" customFormat="1" spans="1:21">
      <c r="A29" s="13" t="s">
        <v>2282</v>
      </c>
      <c r="B29" s="224">
        <v>22.24</v>
      </c>
      <c r="C29" s="224">
        <v>67.95</v>
      </c>
      <c r="D29" s="224">
        <v>54.69</v>
      </c>
      <c r="E29" s="224">
        <v>5.85</v>
      </c>
      <c r="F29" s="224">
        <v>3.62</v>
      </c>
      <c r="G29" s="224">
        <v>11.26</v>
      </c>
      <c r="H29" s="224">
        <v>5.36</v>
      </c>
      <c r="I29" s="224">
        <v>4.04</v>
      </c>
      <c r="J29" s="224">
        <v>0.29</v>
      </c>
      <c r="K29" s="224">
        <v>74.48</v>
      </c>
      <c r="L29" s="224">
        <v>21.25</v>
      </c>
      <c r="M29" s="224">
        <v>86.24</v>
      </c>
      <c r="N29" s="224">
        <v>0</v>
      </c>
      <c r="O29" s="224">
        <v>0</v>
      </c>
      <c r="P29" s="224">
        <v>0.43</v>
      </c>
      <c r="Q29" s="224">
        <v>7.81</v>
      </c>
      <c r="R29" s="13"/>
      <c r="S29" s="13"/>
      <c r="T29" s="213"/>
      <c r="U29" s="13"/>
    </row>
    <row r="30" customFormat="1" spans="1:21">
      <c r="A30" s="13" t="s">
        <v>2283</v>
      </c>
      <c r="B30" s="224">
        <v>23.6</v>
      </c>
      <c r="C30" s="224">
        <v>66.51</v>
      </c>
      <c r="D30" s="224">
        <v>55.03</v>
      </c>
      <c r="E30" s="224">
        <v>5.92</v>
      </c>
      <c r="F30" s="224">
        <v>3.65</v>
      </c>
      <c r="G30" s="224">
        <v>11.26</v>
      </c>
      <c r="H30" s="224">
        <v>5.36</v>
      </c>
      <c r="I30" s="224">
        <v>4</v>
      </c>
      <c r="J30" s="224">
        <v>0.4</v>
      </c>
      <c r="K30" s="224">
        <v>66.28</v>
      </c>
      <c r="L30" s="224">
        <v>21.28</v>
      </c>
      <c r="M30" s="224">
        <v>86.56</v>
      </c>
      <c r="N30" s="224">
        <v>0</v>
      </c>
      <c r="O30" s="224">
        <v>0</v>
      </c>
      <c r="P30" s="224">
        <v>0.43</v>
      </c>
      <c r="Q30" s="224">
        <v>7.82</v>
      </c>
      <c r="R30" s="13"/>
      <c r="S30" s="13"/>
      <c r="T30" s="213"/>
      <c r="U30" s="13"/>
    </row>
    <row r="31" customFormat="1" spans="1:21">
      <c r="A31" s="13" t="s">
        <v>2284</v>
      </c>
      <c r="B31" s="224">
        <v>25.61</v>
      </c>
      <c r="C31" s="224">
        <v>58.55</v>
      </c>
      <c r="D31" s="224">
        <v>52.48</v>
      </c>
      <c r="E31" s="224">
        <v>5.38</v>
      </c>
      <c r="F31" s="224">
        <v>4.2</v>
      </c>
      <c r="G31" s="224">
        <v>11.26</v>
      </c>
      <c r="H31" s="224">
        <v>5.36</v>
      </c>
      <c r="I31" s="224">
        <v>3.96</v>
      </c>
      <c r="J31" s="224">
        <v>0.43</v>
      </c>
      <c r="K31" s="224">
        <v>66.52</v>
      </c>
      <c r="L31" s="224">
        <v>21.25</v>
      </c>
      <c r="M31" s="224">
        <v>86.82</v>
      </c>
      <c r="N31" s="224">
        <v>1.5</v>
      </c>
      <c r="O31" s="224">
        <v>0</v>
      </c>
      <c r="P31" s="224">
        <v>0.41</v>
      </c>
      <c r="Q31" s="224">
        <v>7.51</v>
      </c>
      <c r="R31" s="13"/>
      <c r="S31" s="13"/>
      <c r="T31" s="213"/>
      <c r="U31" s="13"/>
    </row>
    <row r="32" customFormat="1" spans="1:21">
      <c r="A32" s="13" t="s">
        <v>2285</v>
      </c>
      <c r="B32" s="224">
        <v>27.02</v>
      </c>
      <c r="C32" s="224">
        <v>60</v>
      </c>
      <c r="D32" s="224">
        <v>54.37</v>
      </c>
      <c r="E32" s="224">
        <v>5.42</v>
      </c>
      <c r="F32" s="224">
        <v>3.85</v>
      </c>
      <c r="G32" s="224">
        <v>16.13</v>
      </c>
      <c r="H32" s="224">
        <v>5.81</v>
      </c>
      <c r="I32" s="224">
        <v>3.91</v>
      </c>
      <c r="J32" s="224">
        <v>0.65</v>
      </c>
      <c r="K32" s="224">
        <v>64.54</v>
      </c>
      <c r="L32" s="224">
        <v>21.41</v>
      </c>
      <c r="M32" s="224">
        <v>86.26</v>
      </c>
      <c r="N32" s="224">
        <v>12</v>
      </c>
      <c r="O32" s="224">
        <v>0</v>
      </c>
      <c r="P32" s="224">
        <v>0.41</v>
      </c>
      <c r="Q32" s="224">
        <v>7.53</v>
      </c>
      <c r="R32" s="13"/>
      <c r="S32" s="13"/>
      <c r="T32" s="213"/>
      <c r="U32" s="13"/>
    </row>
    <row r="33" customFormat="1" spans="1:21">
      <c r="A33" s="13" t="s">
        <v>2286</v>
      </c>
      <c r="B33" s="224">
        <v>28.34</v>
      </c>
      <c r="C33" s="224">
        <v>61.45</v>
      </c>
      <c r="D33" s="224">
        <v>56.18</v>
      </c>
      <c r="E33" s="224">
        <v>5.54</v>
      </c>
      <c r="F33" s="224">
        <v>3.43</v>
      </c>
      <c r="G33" s="224">
        <v>16.36</v>
      </c>
      <c r="H33" s="224">
        <v>5.81</v>
      </c>
      <c r="I33" s="224">
        <v>3.87</v>
      </c>
      <c r="J33" s="224">
        <v>0.16</v>
      </c>
      <c r="K33" s="224">
        <v>121.57</v>
      </c>
      <c r="L33" s="224">
        <v>21.65</v>
      </c>
      <c r="M33" s="224">
        <v>86.18</v>
      </c>
      <c r="N33" s="224">
        <v>21.7</v>
      </c>
      <c r="O33" s="224">
        <v>0</v>
      </c>
      <c r="P33" s="224">
        <v>0.42</v>
      </c>
      <c r="Q33" s="224">
        <v>7.66</v>
      </c>
      <c r="R33" s="13"/>
      <c r="S33" s="13"/>
      <c r="T33" s="213"/>
      <c r="U33" s="13"/>
    </row>
    <row r="34" customFormat="1" spans="1:21">
      <c r="A34" s="13" t="s">
        <v>2287</v>
      </c>
      <c r="B34" s="224">
        <v>29.42</v>
      </c>
      <c r="C34" s="224">
        <v>61.37</v>
      </c>
      <c r="D34" s="224">
        <v>57.01</v>
      </c>
      <c r="E34" s="224">
        <v>5.52</v>
      </c>
      <c r="F34" s="224">
        <v>3.48</v>
      </c>
      <c r="G34" s="224">
        <v>16.36</v>
      </c>
      <c r="H34" s="224">
        <v>5.81</v>
      </c>
      <c r="I34" s="224">
        <v>3.88</v>
      </c>
      <c r="J34" s="224">
        <v>0.09</v>
      </c>
      <c r="K34" s="224">
        <v>187.43</v>
      </c>
      <c r="L34" s="224">
        <v>21.94</v>
      </c>
      <c r="M34" s="224">
        <v>85.53</v>
      </c>
      <c r="N34" s="224">
        <v>34.7</v>
      </c>
      <c r="O34" s="224">
        <v>0</v>
      </c>
      <c r="P34" s="224">
        <v>0.42</v>
      </c>
      <c r="Q34" s="224">
        <v>7.68</v>
      </c>
      <c r="R34" s="13"/>
      <c r="S34" s="13"/>
      <c r="T34" s="213"/>
      <c r="U34" s="13"/>
    </row>
    <row r="35" customFormat="1" spans="1:21">
      <c r="A35" s="13" t="s">
        <v>2288</v>
      </c>
      <c r="B35" s="224">
        <v>30.01</v>
      </c>
      <c r="C35" s="224">
        <v>60.22</v>
      </c>
      <c r="D35" s="224">
        <v>56.88</v>
      </c>
      <c r="E35" s="224">
        <v>5.6</v>
      </c>
      <c r="F35" s="224">
        <v>3.65</v>
      </c>
      <c r="G35" s="224">
        <v>16.36</v>
      </c>
      <c r="H35" s="224">
        <v>5.81</v>
      </c>
      <c r="I35" s="224">
        <v>3.87</v>
      </c>
      <c r="J35" s="224">
        <v>0.11</v>
      </c>
      <c r="K35" s="224">
        <v>171.75</v>
      </c>
      <c r="L35" s="224">
        <v>22.41</v>
      </c>
      <c r="M35" s="224">
        <v>81.59</v>
      </c>
      <c r="N35" s="224">
        <v>47.6</v>
      </c>
      <c r="O35" s="224">
        <v>0</v>
      </c>
      <c r="P35" s="224">
        <v>0.41</v>
      </c>
      <c r="Q35" s="224">
        <v>7.72</v>
      </c>
      <c r="R35" s="13"/>
      <c r="S35" s="13"/>
      <c r="T35" s="213"/>
      <c r="U35" s="13"/>
    </row>
    <row r="36" customFormat="1" spans="1:21">
      <c r="A36" s="13" t="s">
        <v>2289</v>
      </c>
      <c r="B36" s="224">
        <v>30.36</v>
      </c>
      <c r="C36" s="224">
        <v>62.85</v>
      </c>
      <c r="D36" s="224">
        <v>58.54</v>
      </c>
      <c r="E36" s="224">
        <v>6.02</v>
      </c>
      <c r="F36" s="224">
        <v>3.5</v>
      </c>
      <c r="G36" s="224">
        <v>18.79</v>
      </c>
      <c r="H36" s="224">
        <v>4.55</v>
      </c>
      <c r="I36" s="224">
        <v>3.88</v>
      </c>
      <c r="J36" s="224">
        <v>0.05</v>
      </c>
      <c r="K36" s="224">
        <v>253.93</v>
      </c>
      <c r="L36" s="224">
        <v>22.86</v>
      </c>
      <c r="M36" s="224">
        <v>79.18</v>
      </c>
      <c r="N36" s="224">
        <v>56.9</v>
      </c>
      <c r="O36" s="224">
        <v>0</v>
      </c>
      <c r="P36" s="224">
        <v>0.42</v>
      </c>
      <c r="Q36" s="224">
        <v>7.83</v>
      </c>
      <c r="R36" s="13"/>
      <c r="S36" s="13"/>
      <c r="T36" s="213"/>
      <c r="U36" s="13"/>
    </row>
    <row r="37" customFormat="1" spans="1:21">
      <c r="A37" s="13" t="s">
        <v>2290</v>
      </c>
      <c r="B37" s="224">
        <v>30.9</v>
      </c>
      <c r="C37" s="224">
        <v>64.11</v>
      </c>
      <c r="D37" s="224">
        <v>59.63</v>
      </c>
      <c r="E37" s="224">
        <v>5.91</v>
      </c>
      <c r="F37" s="224">
        <v>3.29</v>
      </c>
      <c r="G37" s="224">
        <v>18.91</v>
      </c>
      <c r="H37" s="224">
        <v>4.55</v>
      </c>
      <c r="I37" s="224">
        <v>3.95</v>
      </c>
      <c r="J37" s="224">
        <v>0.06</v>
      </c>
      <c r="K37" s="224">
        <v>284.71</v>
      </c>
      <c r="L37" s="224">
        <v>23.55</v>
      </c>
      <c r="M37" s="224">
        <v>73.79</v>
      </c>
      <c r="N37" s="224">
        <v>80</v>
      </c>
      <c r="O37" s="224">
        <v>0</v>
      </c>
      <c r="P37" s="224">
        <v>0.43</v>
      </c>
      <c r="Q37" s="224">
        <v>7.91</v>
      </c>
      <c r="R37" s="13"/>
      <c r="S37" s="13"/>
      <c r="T37" s="213"/>
      <c r="U37" s="13"/>
    </row>
    <row r="38" customFormat="1" spans="1:21">
      <c r="A38" s="13" t="s">
        <v>2291</v>
      </c>
      <c r="B38" s="224">
        <v>31.22</v>
      </c>
      <c r="C38" s="224">
        <v>63.31</v>
      </c>
      <c r="D38" s="224">
        <v>59.46</v>
      </c>
      <c r="E38" s="224">
        <v>5.95</v>
      </c>
      <c r="F38" s="224">
        <v>3.69</v>
      </c>
      <c r="G38" s="224">
        <v>18.91</v>
      </c>
      <c r="H38" s="224">
        <v>4.55</v>
      </c>
      <c r="I38" s="224">
        <v>3.97</v>
      </c>
      <c r="J38" s="224">
        <v>0.43</v>
      </c>
      <c r="K38" s="224">
        <v>267.47</v>
      </c>
      <c r="L38" s="224">
        <v>24.27</v>
      </c>
      <c r="M38" s="224">
        <v>69.73</v>
      </c>
      <c r="N38" s="224">
        <v>98.3</v>
      </c>
      <c r="O38" s="224">
        <v>0</v>
      </c>
      <c r="P38" s="224">
        <v>0.42</v>
      </c>
      <c r="Q38" s="224">
        <v>7.92</v>
      </c>
      <c r="R38" s="13"/>
      <c r="S38" s="13"/>
      <c r="T38" s="213"/>
      <c r="U38" s="13"/>
    </row>
    <row r="39" customFormat="1" spans="1:21">
      <c r="A39" s="13" t="s">
        <v>2292</v>
      </c>
      <c r="B39" s="224">
        <v>31.42</v>
      </c>
      <c r="C39" s="224">
        <v>60.81</v>
      </c>
      <c r="D39" s="224">
        <v>58.32</v>
      </c>
      <c r="E39" s="224">
        <v>5.43</v>
      </c>
      <c r="F39" s="224">
        <v>3.89</v>
      </c>
      <c r="G39" s="224">
        <v>18.91</v>
      </c>
      <c r="H39" s="224">
        <v>4.55</v>
      </c>
      <c r="I39" s="224">
        <v>3.92</v>
      </c>
      <c r="J39" s="224">
        <v>0.24</v>
      </c>
      <c r="K39" s="224">
        <v>251.18</v>
      </c>
      <c r="L39" s="224">
        <v>25.56</v>
      </c>
      <c r="M39" s="224">
        <v>64.22</v>
      </c>
      <c r="N39" s="224">
        <v>109.5</v>
      </c>
      <c r="O39" s="224">
        <v>0</v>
      </c>
      <c r="P39" s="224">
        <v>0.42</v>
      </c>
      <c r="Q39" s="224">
        <v>7.82</v>
      </c>
      <c r="R39" s="13"/>
      <c r="S39" s="13"/>
      <c r="T39" s="213"/>
      <c r="U39" s="13"/>
    </row>
    <row r="40" customFormat="1" spans="1:21">
      <c r="A40" s="13" t="s">
        <v>2293</v>
      </c>
      <c r="B40" s="224">
        <v>31.2</v>
      </c>
      <c r="C40" s="224">
        <v>64.71</v>
      </c>
      <c r="D40" s="224">
        <v>60.18</v>
      </c>
      <c r="E40" s="224">
        <v>5.75</v>
      </c>
      <c r="F40" s="224">
        <v>3.66</v>
      </c>
      <c r="G40" s="224">
        <v>13.94</v>
      </c>
      <c r="H40" s="224">
        <v>3.65</v>
      </c>
      <c r="I40" s="224">
        <v>3.93</v>
      </c>
      <c r="J40" s="224">
        <v>0.25</v>
      </c>
      <c r="K40" s="224">
        <v>230.97</v>
      </c>
      <c r="L40" s="224">
        <v>26.08</v>
      </c>
      <c r="M40" s="224">
        <v>61.89</v>
      </c>
      <c r="N40" s="224">
        <v>110.4</v>
      </c>
      <c r="O40" s="224">
        <v>0</v>
      </c>
      <c r="P40" s="224">
        <v>0.43</v>
      </c>
      <c r="Q40" s="224">
        <v>7.94</v>
      </c>
      <c r="R40" s="13"/>
      <c r="S40" s="13"/>
      <c r="T40" s="213"/>
      <c r="U40" s="13"/>
    </row>
    <row r="41" customFormat="1" spans="1:21">
      <c r="A41" s="13" t="s">
        <v>2294</v>
      </c>
      <c r="B41" s="224">
        <v>30.89</v>
      </c>
      <c r="C41" s="224">
        <v>64.91</v>
      </c>
      <c r="D41" s="224">
        <v>60.04</v>
      </c>
      <c r="E41" s="224">
        <v>5.77</v>
      </c>
      <c r="F41" s="224">
        <v>3.81</v>
      </c>
      <c r="G41" s="224">
        <v>13.71</v>
      </c>
      <c r="H41" s="224">
        <v>3.65</v>
      </c>
      <c r="I41" s="224">
        <v>3.98</v>
      </c>
      <c r="J41" s="224">
        <v>0.5</v>
      </c>
      <c r="K41" s="224">
        <v>247.17</v>
      </c>
      <c r="L41" s="224">
        <v>26.66</v>
      </c>
      <c r="M41" s="224">
        <v>59.68</v>
      </c>
      <c r="N41" s="224">
        <v>183.2</v>
      </c>
      <c r="O41" s="224">
        <v>0</v>
      </c>
      <c r="P41" s="224">
        <v>0.44</v>
      </c>
      <c r="Q41" s="224">
        <v>7.95</v>
      </c>
      <c r="R41" s="13"/>
      <c r="S41" s="13"/>
      <c r="T41" s="213"/>
      <c r="U41" s="13"/>
    </row>
    <row r="42" customFormat="1" spans="1:21">
      <c r="A42" s="13" t="s">
        <v>2295</v>
      </c>
      <c r="B42" s="224">
        <v>30.53</v>
      </c>
      <c r="C42" s="224">
        <v>61.32</v>
      </c>
      <c r="D42" s="224">
        <v>57.87</v>
      </c>
      <c r="E42" s="224">
        <v>5.56</v>
      </c>
      <c r="F42" s="224">
        <v>4.27</v>
      </c>
      <c r="G42" s="224">
        <v>13.71</v>
      </c>
      <c r="H42" s="224">
        <v>3.65</v>
      </c>
      <c r="I42" s="224">
        <v>3.97</v>
      </c>
      <c r="J42" s="224">
        <v>0.62</v>
      </c>
      <c r="K42" s="224">
        <v>254.75</v>
      </c>
      <c r="L42" s="224">
        <v>27.44</v>
      </c>
      <c r="M42" s="224">
        <v>57.21</v>
      </c>
      <c r="N42" s="224">
        <v>299.8</v>
      </c>
      <c r="O42" s="224">
        <v>0</v>
      </c>
      <c r="P42" s="224">
        <v>0.42</v>
      </c>
      <c r="Q42" s="224">
        <v>7.83</v>
      </c>
      <c r="R42" s="13"/>
      <c r="S42" s="13"/>
      <c r="T42" s="213"/>
      <c r="U42" s="13"/>
    </row>
    <row r="43" customFormat="1" spans="1:21">
      <c r="A43" s="13" t="s">
        <v>2296</v>
      </c>
      <c r="B43" s="224">
        <v>29.4</v>
      </c>
      <c r="C43" s="224">
        <v>64.55</v>
      </c>
      <c r="D43" s="224">
        <v>58.65</v>
      </c>
      <c r="E43" s="224">
        <v>6</v>
      </c>
      <c r="F43" s="224">
        <v>3.86</v>
      </c>
      <c r="G43" s="224">
        <v>13.71</v>
      </c>
      <c r="H43" s="224">
        <v>3.65</v>
      </c>
      <c r="I43" s="224">
        <v>3.95</v>
      </c>
      <c r="J43" s="224">
        <v>0.37</v>
      </c>
      <c r="K43" s="224">
        <v>240.3</v>
      </c>
      <c r="L43" s="224">
        <v>28.1</v>
      </c>
      <c r="M43" s="224">
        <v>54.64</v>
      </c>
      <c r="N43" s="224">
        <v>420.8</v>
      </c>
      <c r="O43" s="224">
        <v>0</v>
      </c>
      <c r="P43" s="224">
        <v>0.44</v>
      </c>
      <c r="Q43" s="224">
        <v>7.85</v>
      </c>
      <c r="R43" s="13"/>
      <c r="S43" s="13"/>
      <c r="T43" s="213"/>
      <c r="U43" s="13"/>
    </row>
    <row r="44" customFormat="1" spans="1:21">
      <c r="A44" s="13" t="s">
        <v>2297</v>
      </c>
      <c r="B44" s="224">
        <v>28.49</v>
      </c>
      <c r="C44" s="224">
        <v>61.18</v>
      </c>
      <c r="D44" s="224">
        <v>56.16</v>
      </c>
      <c r="E44" s="224">
        <v>6.05</v>
      </c>
      <c r="F44" s="224">
        <v>4.44</v>
      </c>
      <c r="G44" s="224">
        <v>10.04</v>
      </c>
      <c r="H44" s="224">
        <v>2.61</v>
      </c>
      <c r="I44" s="224">
        <v>3.93</v>
      </c>
      <c r="J44" s="224">
        <v>0.54</v>
      </c>
      <c r="K44" s="224">
        <v>243.14</v>
      </c>
      <c r="L44" s="224">
        <v>28.15</v>
      </c>
      <c r="M44" s="224">
        <v>53.48</v>
      </c>
      <c r="N44" s="224">
        <v>337.5</v>
      </c>
      <c r="O44" s="224">
        <v>0</v>
      </c>
      <c r="P44" s="224">
        <v>0.42</v>
      </c>
      <c r="Q44" s="224">
        <v>7.74</v>
      </c>
      <c r="R44" s="13"/>
      <c r="S44" s="13"/>
      <c r="T44" s="213"/>
      <c r="U44" s="13"/>
    </row>
    <row r="45" customFormat="1" spans="1:21">
      <c r="A45" s="13" t="s">
        <v>2298</v>
      </c>
      <c r="B45" s="224">
        <v>27.67</v>
      </c>
      <c r="C45" s="224">
        <v>64.51</v>
      </c>
      <c r="D45" s="224">
        <v>57.25</v>
      </c>
      <c r="E45" s="224">
        <v>5.79</v>
      </c>
      <c r="F45" s="224">
        <v>3.93</v>
      </c>
      <c r="G45" s="224">
        <v>9.87</v>
      </c>
      <c r="H45" s="224">
        <v>2.61</v>
      </c>
      <c r="I45" s="224">
        <v>3.9</v>
      </c>
      <c r="J45" s="224">
        <v>0.54</v>
      </c>
      <c r="K45" s="224">
        <v>244.09</v>
      </c>
      <c r="L45" s="224">
        <v>28.67</v>
      </c>
      <c r="M45" s="224">
        <v>52.48</v>
      </c>
      <c r="N45" s="224">
        <v>286.1</v>
      </c>
      <c r="O45" s="224">
        <v>0</v>
      </c>
      <c r="P45" s="224">
        <v>0.44</v>
      </c>
      <c r="Q45" s="224">
        <v>7.74</v>
      </c>
      <c r="R45" s="13"/>
      <c r="S45" s="13"/>
      <c r="T45" s="213"/>
      <c r="U45" s="13"/>
    </row>
    <row r="46" customFormat="1" spans="1:21">
      <c r="A46" s="13" t="s">
        <v>2299</v>
      </c>
      <c r="B46" s="224">
        <v>26.81</v>
      </c>
      <c r="C46" s="224">
        <v>61.57</v>
      </c>
      <c r="D46" s="224">
        <v>55.02</v>
      </c>
      <c r="E46" s="224">
        <v>5.84</v>
      </c>
      <c r="F46" s="224">
        <v>4.72</v>
      </c>
      <c r="G46" s="224">
        <v>9.87</v>
      </c>
      <c r="H46" s="224">
        <v>2.61</v>
      </c>
      <c r="I46" s="224">
        <v>3.89</v>
      </c>
      <c r="J46" s="224">
        <v>0.46</v>
      </c>
      <c r="K46" s="224">
        <v>236.08</v>
      </c>
      <c r="L46" s="224">
        <v>29.36</v>
      </c>
      <c r="M46" s="224">
        <v>50.8</v>
      </c>
      <c r="N46" s="224">
        <v>248.2</v>
      </c>
      <c r="O46" s="224">
        <v>0</v>
      </c>
      <c r="P46" s="224">
        <v>0.43</v>
      </c>
      <c r="Q46" s="224">
        <v>7.69</v>
      </c>
      <c r="R46" s="13"/>
      <c r="S46" s="13"/>
      <c r="T46" s="213"/>
      <c r="U46" s="13"/>
    </row>
    <row r="47" customFormat="1" spans="1:21">
      <c r="A47" s="13" t="s">
        <v>2300</v>
      </c>
      <c r="B47" s="224">
        <v>25.58</v>
      </c>
      <c r="C47" s="224">
        <v>58.3</v>
      </c>
      <c r="D47" s="224">
        <v>52.32</v>
      </c>
      <c r="E47" s="224">
        <v>5.93</v>
      </c>
      <c r="F47" s="224">
        <v>5.61</v>
      </c>
      <c r="G47" s="224">
        <v>9.87</v>
      </c>
      <c r="H47" s="224">
        <v>2.61</v>
      </c>
      <c r="I47" s="224">
        <v>3.91</v>
      </c>
      <c r="J47" s="224">
        <v>0.22</v>
      </c>
      <c r="K47" s="224">
        <v>259.97</v>
      </c>
      <c r="L47" s="224">
        <v>29.72</v>
      </c>
      <c r="M47" s="224">
        <v>49.99</v>
      </c>
      <c r="N47" s="224">
        <v>169.5</v>
      </c>
      <c r="O47" s="224">
        <v>0</v>
      </c>
      <c r="P47" s="224">
        <v>0.43</v>
      </c>
      <c r="Q47" s="224">
        <v>7.49</v>
      </c>
      <c r="R47" s="13"/>
      <c r="S47" s="13"/>
      <c r="T47" s="213"/>
      <c r="U47" s="13"/>
    </row>
    <row r="48" customFormat="1" spans="1:21">
      <c r="A48" s="13" t="s">
        <v>2301</v>
      </c>
      <c r="B48" s="224">
        <v>24.85</v>
      </c>
      <c r="C48" s="224">
        <v>64.05</v>
      </c>
      <c r="D48" s="224">
        <v>54.74</v>
      </c>
      <c r="E48" s="224">
        <v>5.94</v>
      </c>
      <c r="F48" s="224">
        <v>5.21</v>
      </c>
      <c r="G48" s="224">
        <v>15.22</v>
      </c>
      <c r="H48" s="224">
        <v>2.05</v>
      </c>
      <c r="I48" s="224">
        <v>3.89</v>
      </c>
      <c r="J48" s="224">
        <v>0.36</v>
      </c>
      <c r="K48" s="224">
        <v>249.25</v>
      </c>
      <c r="L48" s="224">
        <v>30.59</v>
      </c>
      <c r="M48" s="224">
        <v>47.82</v>
      </c>
      <c r="N48" s="224">
        <v>468.4</v>
      </c>
      <c r="O48" s="224">
        <v>0</v>
      </c>
      <c r="P48" s="224">
        <v>0.45</v>
      </c>
      <c r="Q48" s="224">
        <v>7.63</v>
      </c>
      <c r="R48" s="13"/>
      <c r="S48" s="13"/>
      <c r="T48" s="213"/>
      <c r="U48" s="13"/>
    </row>
    <row r="49" customFormat="1" spans="1:21">
      <c r="A49" s="13" t="s">
        <v>2302</v>
      </c>
      <c r="B49" s="224">
        <v>23.94</v>
      </c>
      <c r="C49" s="224">
        <v>59.28</v>
      </c>
      <c r="D49" s="224">
        <v>51.52</v>
      </c>
      <c r="E49" s="224">
        <v>6.16</v>
      </c>
      <c r="F49" s="224">
        <v>5.41</v>
      </c>
      <c r="G49" s="224">
        <v>15.47</v>
      </c>
      <c r="H49" s="224">
        <v>2.05</v>
      </c>
      <c r="I49" s="224">
        <v>3.88</v>
      </c>
      <c r="J49" s="224">
        <v>0.42</v>
      </c>
      <c r="K49" s="224">
        <v>262.34</v>
      </c>
      <c r="L49" s="224">
        <v>30.93</v>
      </c>
      <c r="M49" s="224">
        <v>46.8</v>
      </c>
      <c r="N49" s="224">
        <v>655.5</v>
      </c>
      <c r="O49" s="224">
        <v>0</v>
      </c>
      <c r="P49" s="224">
        <v>0.43</v>
      </c>
      <c r="Q49" s="224">
        <v>7.4</v>
      </c>
      <c r="R49" s="13"/>
      <c r="S49" s="13"/>
      <c r="T49" s="213"/>
      <c r="U49" s="13"/>
    </row>
    <row r="50" customFormat="1" spans="1:21">
      <c r="A50" s="13" t="s">
        <v>2303</v>
      </c>
      <c r="B50" s="224">
        <v>23.03</v>
      </c>
      <c r="C50" s="224">
        <v>57.11</v>
      </c>
      <c r="D50" s="224">
        <v>49.65</v>
      </c>
      <c r="E50" s="224">
        <v>7.01</v>
      </c>
      <c r="F50" s="224">
        <v>5.15</v>
      </c>
      <c r="G50" s="224">
        <v>15.47</v>
      </c>
      <c r="H50" s="224">
        <v>2.05</v>
      </c>
      <c r="I50" s="224">
        <v>3.91</v>
      </c>
      <c r="J50" s="224">
        <v>0.45</v>
      </c>
      <c r="K50" s="224">
        <v>229.83</v>
      </c>
      <c r="L50" s="224">
        <v>31.29</v>
      </c>
      <c r="M50" s="224">
        <v>45.27</v>
      </c>
      <c r="N50" s="224">
        <v>474.1</v>
      </c>
      <c r="O50" s="224">
        <v>0</v>
      </c>
      <c r="P50" s="224">
        <v>0.43</v>
      </c>
      <c r="Q50" s="224">
        <v>7.27</v>
      </c>
      <c r="R50" s="13"/>
      <c r="S50" s="13"/>
      <c r="T50" s="213"/>
      <c r="U50" s="13"/>
    </row>
    <row r="51" customFormat="1" spans="1:21">
      <c r="A51" s="13" t="s">
        <v>2304</v>
      </c>
      <c r="B51" s="224">
        <v>21.79</v>
      </c>
      <c r="C51" s="224">
        <v>57.92</v>
      </c>
      <c r="D51" s="224">
        <v>49.09</v>
      </c>
      <c r="E51" s="224">
        <v>6.65</v>
      </c>
      <c r="F51" s="224">
        <v>5.7</v>
      </c>
      <c r="G51" s="224">
        <v>15.47</v>
      </c>
      <c r="H51" s="224">
        <v>2.05</v>
      </c>
      <c r="I51" s="224">
        <v>3.91</v>
      </c>
      <c r="J51" s="224">
        <v>0.69</v>
      </c>
      <c r="K51" s="224">
        <v>268.76</v>
      </c>
      <c r="L51" s="224">
        <v>31.36</v>
      </c>
      <c r="M51" s="224">
        <v>44.66</v>
      </c>
      <c r="N51" s="224">
        <v>753.4</v>
      </c>
      <c r="O51" s="224">
        <v>0</v>
      </c>
      <c r="P51" s="224">
        <v>0.45</v>
      </c>
      <c r="Q51" s="224">
        <v>7.29</v>
      </c>
      <c r="R51" s="13"/>
      <c r="S51" s="13"/>
      <c r="T51" s="213"/>
      <c r="U51" s="13"/>
    </row>
    <row r="52" customFormat="1" spans="1:21">
      <c r="A52" s="13" t="s">
        <v>2305</v>
      </c>
      <c r="B52" s="224">
        <v>20.34</v>
      </c>
      <c r="C52" s="224">
        <v>59.55</v>
      </c>
      <c r="D52" s="224">
        <v>48.77</v>
      </c>
      <c r="E52" s="224">
        <v>6.19</v>
      </c>
      <c r="F52" s="224">
        <v>5.36</v>
      </c>
      <c r="G52" s="224">
        <v>14.94</v>
      </c>
      <c r="H52" s="224">
        <v>5.53</v>
      </c>
      <c r="I52" s="224">
        <v>3.88</v>
      </c>
      <c r="J52" s="224">
        <v>0.66</v>
      </c>
      <c r="K52" s="224">
        <v>228.58</v>
      </c>
      <c r="L52" s="224">
        <v>31.96</v>
      </c>
      <c r="M52" s="224">
        <v>44.01</v>
      </c>
      <c r="N52" s="224">
        <v>807.6</v>
      </c>
      <c r="O52" s="224">
        <v>0</v>
      </c>
      <c r="P52" s="224">
        <v>0.45</v>
      </c>
      <c r="Q52" s="224">
        <v>7.29</v>
      </c>
      <c r="R52" s="13"/>
      <c r="S52" s="13"/>
      <c r="T52" s="213"/>
      <c r="U52" s="13"/>
    </row>
    <row r="53" customFormat="1" spans="1:21">
      <c r="A53" s="13" t="s">
        <v>2306</v>
      </c>
      <c r="B53" s="224">
        <v>19.01</v>
      </c>
      <c r="C53" s="224">
        <v>58.97</v>
      </c>
      <c r="D53" s="224">
        <v>47.41</v>
      </c>
      <c r="E53" s="224">
        <v>6.64</v>
      </c>
      <c r="F53" s="224">
        <v>5.25</v>
      </c>
      <c r="G53" s="224">
        <v>14.91</v>
      </c>
      <c r="H53" s="224">
        <v>5.53</v>
      </c>
      <c r="I53" s="224">
        <v>3.87</v>
      </c>
      <c r="J53" s="224">
        <v>0.83</v>
      </c>
      <c r="K53" s="224">
        <v>243.26</v>
      </c>
      <c r="L53" s="224">
        <v>32.38</v>
      </c>
      <c r="M53" s="224">
        <v>43.55</v>
      </c>
      <c r="N53" s="224">
        <v>766.7</v>
      </c>
      <c r="O53" s="224">
        <v>0</v>
      </c>
      <c r="P53" s="224">
        <v>0.45</v>
      </c>
      <c r="Q53" s="224">
        <v>7.29</v>
      </c>
      <c r="R53" s="13"/>
      <c r="S53" s="13"/>
      <c r="T53" s="213"/>
      <c r="U53" s="13"/>
    </row>
    <row r="54" customFormat="1" spans="1:21">
      <c r="A54" s="13" t="s">
        <v>2307</v>
      </c>
      <c r="B54" s="224">
        <v>17.3</v>
      </c>
      <c r="C54" s="224">
        <v>55.12</v>
      </c>
      <c r="D54" s="224">
        <v>44.02</v>
      </c>
      <c r="E54" s="224">
        <v>6.11</v>
      </c>
      <c r="F54" s="224">
        <v>7.03</v>
      </c>
      <c r="G54" s="224">
        <v>14.91</v>
      </c>
      <c r="H54" s="224">
        <v>5.53</v>
      </c>
      <c r="I54" s="224">
        <v>3.87</v>
      </c>
      <c r="J54" s="224">
        <v>0.52</v>
      </c>
      <c r="K54" s="224">
        <v>232.96</v>
      </c>
      <c r="L54" s="224">
        <v>32.23</v>
      </c>
      <c r="M54" s="224">
        <v>44.24</v>
      </c>
      <c r="N54" s="224">
        <v>842.8</v>
      </c>
      <c r="O54" s="224">
        <v>0</v>
      </c>
      <c r="P54" s="224">
        <v>0.46</v>
      </c>
      <c r="Q54" s="224">
        <v>7.2</v>
      </c>
      <c r="R54" s="13"/>
      <c r="S54" s="13"/>
      <c r="T54" s="213"/>
      <c r="U54" s="13"/>
    </row>
    <row r="55" customFormat="1" spans="1:21">
      <c r="A55" s="13" t="s">
        <v>2308</v>
      </c>
      <c r="B55" s="224">
        <v>15.67</v>
      </c>
      <c r="C55" s="224">
        <v>57.33</v>
      </c>
      <c r="D55" s="224">
        <v>43.87</v>
      </c>
      <c r="E55" s="224">
        <v>5.92</v>
      </c>
      <c r="F55" s="224">
        <v>9.3</v>
      </c>
      <c r="G55" s="224">
        <v>14.91</v>
      </c>
      <c r="H55" s="224">
        <v>5.53</v>
      </c>
      <c r="I55" s="224">
        <v>3.8</v>
      </c>
      <c r="J55" s="224">
        <v>0.47</v>
      </c>
      <c r="K55" s="224">
        <v>241.82</v>
      </c>
      <c r="L55" s="224">
        <v>32.8</v>
      </c>
      <c r="M55" s="224">
        <v>43.32</v>
      </c>
      <c r="N55" s="224">
        <v>859.7</v>
      </c>
      <c r="O55" s="224">
        <v>0</v>
      </c>
      <c r="P55" s="224">
        <v>0.45</v>
      </c>
      <c r="Q55" s="224">
        <v>7.14</v>
      </c>
      <c r="R55" s="13"/>
      <c r="S55" s="13"/>
      <c r="T55" s="213"/>
      <c r="U55" s="13"/>
    </row>
    <row r="56" customFormat="1" spans="1:21">
      <c r="A56" s="13" t="s">
        <v>2309</v>
      </c>
      <c r="B56" s="224">
        <v>14.69</v>
      </c>
      <c r="C56" s="224">
        <v>59.79</v>
      </c>
      <c r="D56" s="224">
        <v>44.37</v>
      </c>
      <c r="E56" s="224">
        <v>5.73</v>
      </c>
      <c r="F56" s="224">
        <v>6.71</v>
      </c>
      <c r="G56" s="224">
        <v>12.74</v>
      </c>
      <c r="H56" s="224">
        <v>6.49</v>
      </c>
      <c r="I56" s="224">
        <v>3.75</v>
      </c>
      <c r="J56" s="224">
        <v>0.51</v>
      </c>
      <c r="K56" s="224">
        <v>246.52</v>
      </c>
      <c r="L56" s="224">
        <v>32.79</v>
      </c>
      <c r="M56" s="224">
        <v>43.1</v>
      </c>
      <c r="N56" s="224">
        <v>862.1</v>
      </c>
      <c r="O56" s="224">
        <v>0</v>
      </c>
      <c r="P56" s="224">
        <v>0.47</v>
      </c>
      <c r="Q56" s="224">
        <v>7.07</v>
      </c>
      <c r="R56" s="13"/>
      <c r="S56" s="13"/>
      <c r="T56" s="213"/>
      <c r="U56" s="13"/>
    </row>
    <row r="57" customFormat="1" spans="1:21">
      <c r="A57" s="13" t="s">
        <v>2310</v>
      </c>
      <c r="B57" s="224">
        <v>14.31</v>
      </c>
      <c r="C57" s="224">
        <v>60.14</v>
      </c>
      <c r="D57" s="224">
        <v>44.25</v>
      </c>
      <c r="E57" s="224">
        <v>5.74</v>
      </c>
      <c r="F57" s="224">
        <v>5.64</v>
      </c>
      <c r="G57" s="224">
        <v>12.64</v>
      </c>
      <c r="H57" s="224">
        <v>6.49</v>
      </c>
      <c r="I57" s="224">
        <v>3.72</v>
      </c>
      <c r="J57" s="224">
        <v>0.15</v>
      </c>
      <c r="K57" s="224">
        <v>149.26</v>
      </c>
      <c r="L57" s="224">
        <v>33.89</v>
      </c>
      <c r="M57" s="224">
        <v>41.34</v>
      </c>
      <c r="N57" s="224">
        <v>861</v>
      </c>
      <c r="O57" s="224">
        <v>0</v>
      </c>
      <c r="P57" s="224">
        <v>0.45</v>
      </c>
      <c r="Q57" s="224">
        <v>7</v>
      </c>
      <c r="R57" s="13"/>
      <c r="S57" s="13"/>
      <c r="T57" s="213"/>
      <c r="U57" s="13"/>
    </row>
    <row r="58" customFormat="1" spans="1:21">
      <c r="A58" s="13" t="s">
        <v>2311</v>
      </c>
      <c r="B58" s="224">
        <v>12.95</v>
      </c>
      <c r="C58" s="224">
        <v>55.38</v>
      </c>
      <c r="D58" s="224">
        <v>40.67</v>
      </c>
      <c r="E58" s="224">
        <v>5.47</v>
      </c>
      <c r="F58" s="224">
        <v>7.45</v>
      </c>
      <c r="G58" s="224">
        <v>12.64</v>
      </c>
      <c r="H58" s="224">
        <v>6.49</v>
      </c>
      <c r="I58" s="224">
        <v>3.75</v>
      </c>
      <c r="J58" s="224">
        <v>0.12</v>
      </c>
      <c r="K58" s="224">
        <v>241.56</v>
      </c>
      <c r="L58" s="224">
        <v>33.61</v>
      </c>
      <c r="M58" s="224">
        <v>41.46</v>
      </c>
      <c r="N58" s="224">
        <v>870</v>
      </c>
      <c r="O58" s="224">
        <v>0</v>
      </c>
      <c r="P58" s="224">
        <v>0.44</v>
      </c>
      <c r="Q58" s="224">
        <v>6.85</v>
      </c>
      <c r="R58" s="13"/>
      <c r="S58" s="13"/>
      <c r="T58" s="213"/>
      <c r="U58" s="13"/>
    </row>
    <row r="59" customFormat="1" spans="1:21">
      <c r="A59" s="13" t="s">
        <v>2312</v>
      </c>
      <c r="B59" s="224">
        <v>12.21</v>
      </c>
      <c r="C59" s="224">
        <v>62.45</v>
      </c>
      <c r="D59" s="224">
        <v>43.77</v>
      </c>
      <c r="E59" s="224">
        <v>6.11</v>
      </c>
      <c r="F59" s="224">
        <v>9.8</v>
      </c>
      <c r="G59" s="224">
        <v>12.64</v>
      </c>
      <c r="H59" s="224">
        <v>6.49</v>
      </c>
      <c r="I59" s="224">
        <v>3.74</v>
      </c>
      <c r="J59" s="224">
        <v>0.43</v>
      </c>
      <c r="K59" s="224">
        <v>244.68</v>
      </c>
      <c r="L59" s="224">
        <v>33.96</v>
      </c>
      <c r="M59" s="224">
        <v>40.48</v>
      </c>
      <c r="N59" s="224">
        <v>867.2</v>
      </c>
      <c r="O59" s="224">
        <v>0</v>
      </c>
      <c r="P59" s="224">
        <v>0.46</v>
      </c>
      <c r="Q59" s="224">
        <v>7.02</v>
      </c>
      <c r="R59" s="13"/>
      <c r="S59" s="13"/>
      <c r="T59" s="213"/>
      <c r="U59" s="13"/>
    </row>
    <row r="60" customFormat="1" spans="1:21">
      <c r="A60" s="13" t="s">
        <v>2313</v>
      </c>
      <c r="B60" s="224">
        <v>11.41</v>
      </c>
      <c r="C60" s="224">
        <v>53.7</v>
      </c>
      <c r="D60" s="224">
        <v>38.56</v>
      </c>
      <c r="E60" s="224">
        <v>5.65</v>
      </c>
      <c r="F60" s="224">
        <v>9.91</v>
      </c>
      <c r="G60" s="224">
        <v>18.25</v>
      </c>
      <c r="H60" s="224">
        <v>8.15</v>
      </c>
      <c r="I60" s="224">
        <v>3.73</v>
      </c>
      <c r="J60" s="224">
        <v>0.44</v>
      </c>
      <c r="K60" s="224">
        <v>242.55</v>
      </c>
      <c r="L60" s="224">
        <v>34.26</v>
      </c>
      <c r="M60" s="224">
        <v>39.86</v>
      </c>
      <c r="N60" s="224">
        <v>859.2</v>
      </c>
      <c r="O60" s="224">
        <v>0</v>
      </c>
      <c r="P60" s="224">
        <v>0.45</v>
      </c>
      <c r="Q60" s="224">
        <v>6.94</v>
      </c>
      <c r="R60" s="13"/>
      <c r="S60" s="13"/>
      <c r="T60" s="213"/>
      <c r="U60" s="13"/>
    </row>
    <row r="61" customFormat="1" spans="1:21">
      <c r="A61" s="13" t="s">
        <v>2314</v>
      </c>
      <c r="B61" s="224">
        <v>11.02</v>
      </c>
      <c r="C61" s="224">
        <v>59.73</v>
      </c>
      <c r="D61" s="224">
        <v>41.39</v>
      </c>
      <c r="E61" s="224">
        <v>5.54</v>
      </c>
      <c r="F61" s="224">
        <v>5.98</v>
      </c>
      <c r="G61" s="224">
        <v>18.52</v>
      </c>
      <c r="H61" s="224">
        <v>8.15</v>
      </c>
      <c r="I61" s="224">
        <v>3.68</v>
      </c>
      <c r="J61" s="224">
        <v>0.42</v>
      </c>
      <c r="K61" s="224">
        <v>80.81</v>
      </c>
      <c r="L61" s="224">
        <v>34.73</v>
      </c>
      <c r="M61" s="224">
        <v>38.72</v>
      </c>
      <c r="N61" s="224">
        <v>771.1</v>
      </c>
      <c r="O61" s="224">
        <v>0</v>
      </c>
      <c r="P61" s="224">
        <v>0.45</v>
      </c>
      <c r="Q61" s="224">
        <v>6.87</v>
      </c>
      <c r="R61" s="13"/>
      <c r="S61" s="13"/>
      <c r="T61" s="213"/>
      <c r="U61" s="13"/>
    </row>
    <row r="62" customFormat="1" spans="1:21">
      <c r="A62" s="13" t="s">
        <v>2315</v>
      </c>
      <c r="B62" s="224">
        <v>10.89</v>
      </c>
      <c r="C62" s="224">
        <v>62.12</v>
      </c>
      <c r="D62" s="224">
        <v>42.54</v>
      </c>
      <c r="E62" s="224">
        <v>5.83</v>
      </c>
      <c r="F62" s="224">
        <v>7.55</v>
      </c>
      <c r="G62" s="224">
        <v>18.52</v>
      </c>
      <c r="H62" s="224">
        <v>8.15</v>
      </c>
      <c r="I62" s="224">
        <v>3.64</v>
      </c>
      <c r="J62" s="224">
        <v>0.18</v>
      </c>
      <c r="K62" s="224">
        <v>178.28</v>
      </c>
      <c r="L62" s="224">
        <v>35.35</v>
      </c>
      <c r="M62" s="224">
        <v>37.47</v>
      </c>
      <c r="N62" s="224">
        <v>781.8</v>
      </c>
      <c r="O62" s="224">
        <v>0</v>
      </c>
      <c r="P62" s="224">
        <v>0.46</v>
      </c>
      <c r="Q62" s="224">
        <v>6.94</v>
      </c>
      <c r="R62" s="13"/>
      <c r="S62" s="13"/>
      <c r="T62" s="213"/>
      <c r="U62" s="13"/>
    </row>
    <row r="63" customFormat="1" spans="1:21">
      <c r="A63" s="13" t="s">
        <v>2316</v>
      </c>
      <c r="B63" s="224">
        <v>9.76</v>
      </c>
      <c r="C63" s="224">
        <v>55.12</v>
      </c>
      <c r="D63" s="224">
        <v>37.97</v>
      </c>
      <c r="E63" s="224">
        <v>5.72</v>
      </c>
      <c r="F63" s="224">
        <v>9.24</v>
      </c>
      <c r="G63" s="224">
        <v>18.52</v>
      </c>
      <c r="H63" s="224">
        <v>8.15</v>
      </c>
      <c r="I63" s="224">
        <v>3.75</v>
      </c>
      <c r="J63" s="224">
        <v>0.45</v>
      </c>
      <c r="K63" s="224">
        <v>257.24</v>
      </c>
      <c r="L63" s="224">
        <v>33.8</v>
      </c>
      <c r="M63" s="224">
        <v>40.2</v>
      </c>
      <c r="N63" s="224">
        <v>299.7</v>
      </c>
      <c r="O63" s="224">
        <v>0</v>
      </c>
      <c r="P63" s="224">
        <v>0.44</v>
      </c>
      <c r="Q63" s="224">
        <v>6.8</v>
      </c>
      <c r="R63" s="13"/>
      <c r="S63" s="13"/>
      <c r="T63" s="213"/>
      <c r="U63" s="13"/>
    </row>
    <row r="64" customFormat="1" spans="1:21">
      <c r="A64" s="13" t="s">
        <v>2317</v>
      </c>
      <c r="B64" s="224">
        <v>9.64</v>
      </c>
      <c r="C64" s="224">
        <v>52.87</v>
      </c>
      <c r="D64" s="224">
        <v>36.7</v>
      </c>
      <c r="E64" s="224">
        <v>5.46</v>
      </c>
      <c r="F64" s="224">
        <v>8.56</v>
      </c>
      <c r="G64" s="224">
        <v>16.68</v>
      </c>
      <c r="H64" s="224">
        <v>7.76</v>
      </c>
      <c r="I64" s="224">
        <v>3.8</v>
      </c>
      <c r="J64" s="224">
        <v>0.42</v>
      </c>
      <c r="K64" s="224">
        <v>210.96</v>
      </c>
      <c r="L64" s="224">
        <v>34.07</v>
      </c>
      <c r="M64" s="224">
        <v>39.95</v>
      </c>
      <c r="N64" s="224">
        <v>474.9</v>
      </c>
      <c r="O64" s="224">
        <v>0</v>
      </c>
      <c r="P64" s="224">
        <v>0.44</v>
      </c>
      <c r="Q64" s="224">
        <v>6.61</v>
      </c>
      <c r="R64" s="13"/>
      <c r="S64" s="13"/>
      <c r="T64" s="213"/>
      <c r="U64" s="13"/>
    </row>
    <row r="65" customFormat="1" spans="1:21">
      <c r="A65" s="13" t="s">
        <v>2318</v>
      </c>
      <c r="B65" s="224">
        <v>9.4</v>
      </c>
      <c r="C65" s="224">
        <v>49.96</v>
      </c>
      <c r="D65" s="224">
        <v>35</v>
      </c>
      <c r="E65" s="224">
        <v>5.51</v>
      </c>
      <c r="F65" s="224">
        <v>8.95</v>
      </c>
      <c r="G65" s="224">
        <v>16.59</v>
      </c>
      <c r="H65" s="224">
        <v>7.76</v>
      </c>
      <c r="I65" s="224">
        <v>3.71</v>
      </c>
      <c r="J65" s="224">
        <v>0.34</v>
      </c>
      <c r="K65" s="224">
        <v>140.76</v>
      </c>
      <c r="L65" s="224">
        <v>35.27</v>
      </c>
      <c r="M65" s="224">
        <v>37.38</v>
      </c>
      <c r="N65" s="224">
        <v>755.7</v>
      </c>
      <c r="O65" s="224">
        <v>0</v>
      </c>
      <c r="P65" s="224">
        <v>0.42</v>
      </c>
      <c r="Q65" s="224">
        <v>6.42</v>
      </c>
      <c r="R65" s="13"/>
      <c r="S65" s="13"/>
      <c r="T65" s="213"/>
      <c r="U65" s="13"/>
    </row>
    <row r="66" customFormat="1" spans="1:21">
      <c r="A66" s="13" t="s">
        <v>2319</v>
      </c>
      <c r="B66" s="224">
        <v>9.54</v>
      </c>
      <c r="C66" s="224">
        <v>63.01</v>
      </c>
      <c r="D66" s="224">
        <v>41.93</v>
      </c>
      <c r="E66" s="224">
        <v>6</v>
      </c>
      <c r="F66" s="224">
        <v>6.06</v>
      </c>
      <c r="G66" s="224">
        <v>16.59</v>
      </c>
      <c r="H66" s="224">
        <v>7.76</v>
      </c>
      <c r="I66" s="224">
        <v>3.65</v>
      </c>
      <c r="J66" s="224">
        <v>0.54</v>
      </c>
      <c r="K66" s="224">
        <v>226.6</v>
      </c>
      <c r="L66" s="224">
        <v>35.37</v>
      </c>
      <c r="M66" s="224">
        <v>36.5</v>
      </c>
      <c r="N66" s="224">
        <v>585.1</v>
      </c>
      <c r="O66" s="224">
        <v>0</v>
      </c>
      <c r="P66" s="224">
        <v>0.46</v>
      </c>
      <c r="Q66" s="224">
        <v>6.7</v>
      </c>
      <c r="R66" s="13"/>
      <c r="S66" s="13"/>
      <c r="T66" s="213"/>
      <c r="U66" s="13"/>
    </row>
    <row r="67" customFormat="1" spans="1:21">
      <c r="A67" s="13" t="s">
        <v>2320</v>
      </c>
      <c r="B67" s="224">
        <v>9.37</v>
      </c>
      <c r="C67" s="224">
        <v>60.62</v>
      </c>
      <c r="D67" s="224">
        <v>40.54</v>
      </c>
      <c r="E67" s="224">
        <v>5.47</v>
      </c>
      <c r="F67" s="224">
        <v>8.42</v>
      </c>
      <c r="G67" s="224">
        <v>16.59</v>
      </c>
      <c r="H67" s="224">
        <v>7.76</v>
      </c>
      <c r="I67" s="224">
        <v>3.7</v>
      </c>
      <c r="J67" s="224">
        <v>0.37</v>
      </c>
      <c r="K67" s="224">
        <v>218.05</v>
      </c>
      <c r="L67" s="224">
        <v>35.39</v>
      </c>
      <c r="M67" s="224">
        <v>36.36</v>
      </c>
      <c r="N67" s="224">
        <v>654.2</v>
      </c>
      <c r="O67" s="224">
        <v>0</v>
      </c>
      <c r="P67" s="224">
        <v>0.45</v>
      </c>
      <c r="Q67" s="224">
        <v>6.76</v>
      </c>
      <c r="R67" s="13"/>
      <c r="S67" s="13"/>
      <c r="T67" s="213"/>
      <c r="U67" s="13"/>
    </row>
    <row r="68" customFormat="1" spans="1:21">
      <c r="A68" s="13" t="s">
        <v>2321</v>
      </c>
      <c r="B68" s="224">
        <v>8.81</v>
      </c>
      <c r="C68" s="224">
        <v>51.2</v>
      </c>
      <c r="D68" s="224">
        <v>35.17</v>
      </c>
      <c r="E68" s="224">
        <v>5.64</v>
      </c>
      <c r="F68" s="224">
        <v>11.04</v>
      </c>
      <c r="G68" s="224">
        <v>17.27</v>
      </c>
      <c r="H68" s="224">
        <v>6.03</v>
      </c>
      <c r="I68" s="224">
        <v>3.74</v>
      </c>
      <c r="J68" s="224">
        <v>0.22</v>
      </c>
      <c r="K68" s="224">
        <v>144.06</v>
      </c>
      <c r="L68" s="224">
        <v>36.74</v>
      </c>
      <c r="M68" s="224">
        <v>34.53</v>
      </c>
      <c r="N68" s="224">
        <v>646.8</v>
      </c>
      <c r="O68" s="224">
        <v>0</v>
      </c>
      <c r="P68" s="224">
        <v>0.44</v>
      </c>
      <c r="Q68" s="224">
        <v>6.66</v>
      </c>
      <c r="R68" s="13"/>
      <c r="S68" s="13"/>
      <c r="T68" s="213"/>
      <c r="U68" s="13"/>
    </row>
    <row r="69" customFormat="1" spans="1:21">
      <c r="A69" s="13" t="s">
        <v>2322</v>
      </c>
      <c r="B69" s="224">
        <v>9.06</v>
      </c>
      <c r="C69" s="224">
        <v>53.5</v>
      </c>
      <c r="D69" s="224">
        <v>36.57</v>
      </c>
      <c r="E69" s="224">
        <v>6</v>
      </c>
      <c r="F69" s="224">
        <v>9.89</v>
      </c>
      <c r="G69" s="224">
        <v>17.3</v>
      </c>
      <c r="H69" s="224">
        <v>6.03</v>
      </c>
      <c r="I69" s="224">
        <v>3.62</v>
      </c>
      <c r="J69" s="224">
        <v>0.57</v>
      </c>
      <c r="K69" s="224">
        <v>78.24</v>
      </c>
      <c r="L69" s="224">
        <v>36.31</v>
      </c>
      <c r="M69" s="224">
        <v>35.3</v>
      </c>
      <c r="N69" s="224">
        <v>593.3</v>
      </c>
      <c r="O69" s="224">
        <v>0</v>
      </c>
      <c r="P69" s="224">
        <v>0.44</v>
      </c>
      <c r="Q69" s="224">
        <v>6.57</v>
      </c>
      <c r="R69" s="13"/>
      <c r="S69" s="13"/>
      <c r="T69" s="213"/>
      <c r="U69" s="13"/>
    </row>
    <row r="70" customFormat="1" spans="1:21">
      <c r="A70" s="13" t="s">
        <v>2323</v>
      </c>
      <c r="B70" s="224">
        <v>9.02</v>
      </c>
      <c r="C70" s="224">
        <v>54.83</v>
      </c>
      <c r="D70" s="224">
        <v>37.23</v>
      </c>
      <c r="E70" s="224">
        <v>6.31</v>
      </c>
      <c r="F70" s="224">
        <v>11.56</v>
      </c>
      <c r="G70" s="224">
        <v>17.3</v>
      </c>
      <c r="H70" s="224">
        <v>6.03</v>
      </c>
      <c r="I70" s="224">
        <v>3.57</v>
      </c>
      <c r="J70" s="224">
        <v>0.12</v>
      </c>
      <c r="K70" s="224">
        <v>77.59</v>
      </c>
      <c r="L70" s="224">
        <v>35.46</v>
      </c>
      <c r="M70" s="224">
        <v>36.27</v>
      </c>
      <c r="N70" s="224">
        <v>492.4</v>
      </c>
      <c r="O70" s="224">
        <v>0</v>
      </c>
      <c r="P70" s="224">
        <v>0.44</v>
      </c>
      <c r="Q70" s="224">
        <v>6.55</v>
      </c>
      <c r="R70" s="13"/>
      <c r="S70" s="13"/>
      <c r="T70" s="213"/>
      <c r="U70" s="13"/>
    </row>
    <row r="71" customFormat="1" spans="1:21">
      <c r="A71" s="13" t="s">
        <v>2324</v>
      </c>
      <c r="B71" s="224">
        <v>8.87</v>
      </c>
      <c r="C71" s="224">
        <v>46.8</v>
      </c>
      <c r="D71" s="224">
        <v>32.92</v>
      </c>
      <c r="E71" s="224">
        <v>5.97</v>
      </c>
      <c r="F71" s="224">
        <v>17.67</v>
      </c>
      <c r="G71" s="224">
        <v>17.3</v>
      </c>
      <c r="H71" s="224">
        <v>6.03</v>
      </c>
      <c r="I71" s="224">
        <v>3.61</v>
      </c>
      <c r="J71" s="224">
        <v>0.3</v>
      </c>
      <c r="K71" s="224">
        <v>156.18</v>
      </c>
      <c r="L71" s="224">
        <v>35.96</v>
      </c>
      <c r="M71" s="224">
        <v>35.41</v>
      </c>
      <c r="N71" s="224">
        <v>496.2</v>
      </c>
      <c r="O71" s="224">
        <v>0</v>
      </c>
      <c r="P71" s="224">
        <v>0.43</v>
      </c>
      <c r="Q71" s="224">
        <v>6.42</v>
      </c>
      <c r="R71" s="13"/>
      <c r="S71" s="13"/>
      <c r="T71" s="213"/>
      <c r="U71" s="13"/>
    </row>
    <row r="72" customFormat="1" spans="1:21">
      <c r="A72" s="13" t="s">
        <v>2325</v>
      </c>
      <c r="B72" s="224">
        <v>8.59</v>
      </c>
      <c r="C72" s="224">
        <v>41.55</v>
      </c>
      <c r="D72" s="224">
        <v>29.95</v>
      </c>
      <c r="E72" s="224">
        <v>6.01</v>
      </c>
      <c r="F72" s="224">
        <v>19.51</v>
      </c>
      <c r="G72" s="224">
        <v>15.69</v>
      </c>
      <c r="H72" s="224">
        <v>10.57</v>
      </c>
      <c r="I72" s="224">
        <v>3.55</v>
      </c>
      <c r="J72" s="224">
        <v>0.26</v>
      </c>
      <c r="K72" s="224">
        <v>231.7</v>
      </c>
      <c r="L72" s="224">
        <v>35.01</v>
      </c>
      <c r="M72" s="224">
        <v>37.53</v>
      </c>
      <c r="N72" s="224">
        <v>270.3</v>
      </c>
      <c r="O72" s="224">
        <v>0</v>
      </c>
      <c r="P72" s="224">
        <v>0.41</v>
      </c>
      <c r="Q72" s="224">
        <v>6.26</v>
      </c>
      <c r="R72" s="13"/>
      <c r="S72" s="13"/>
      <c r="T72" s="213"/>
      <c r="U72" s="13"/>
    </row>
    <row r="73" customFormat="1" spans="1:21">
      <c r="A73" s="13" t="s">
        <v>2326</v>
      </c>
      <c r="B73" s="224">
        <v>8.49</v>
      </c>
      <c r="C73" s="224">
        <v>41.49</v>
      </c>
      <c r="D73" s="224">
        <v>29.84</v>
      </c>
      <c r="E73" s="224">
        <v>6.18</v>
      </c>
      <c r="F73" s="224">
        <v>26.51</v>
      </c>
      <c r="G73" s="224">
        <v>15.61</v>
      </c>
      <c r="H73" s="224">
        <v>10.57</v>
      </c>
      <c r="I73" s="224">
        <v>3.46</v>
      </c>
      <c r="J73" s="224">
        <v>0.29</v>
      </c>
      <c r="K73" s="224">
        <v>94.29</v>
      </c>
      <c r="L73" s="224">
        <v>34.5</v>
      </c>
      <c r="M73" s="224">
        <v>38.68</v>
      </c>
      <c r="N73" s="224">
        <v>115.7</v>
      </c>
      <c r="O73" s="224">
        <v>0</v>
      </c>
      <c r="P73" s="224">
        <v>0.41</v>
      </c>
      <c r="Q73" s="224">
        <v>6.14</v>
      </c>
      <c r="R73" s="13"/>
      <c r="S73" s="13"/>
      <c r="T73" s="213"/>
      <c r="U73" s="13"/>
    </row>
    <row r="74" customFormat="1" spans="1:21">
      <c r="A74" s="13" t="s">
        <v>2327</v>
      </c>
      <c r="B74" s="224">
        <v>7.82</v>
      </c>
      <c r="C74" s="224">
        <v>36.47</v>
      </c>
      <c r="D74" s="224">
        <v>26.68</v>
      </c>
      <c r="E74" s="224">
        <v>6.28</v>
      </c>
      <c r="F74" s="224">
        <v>36.66</v>
      </c>
      <c r="G74" s="224">
        <v>15.61</v>
      </c>
      <c r="H74" s="224">
        <v>10.57</v>
      </c>
      <c r="I74" s="224">
        <v>3.3</v>
      </c>
      <c r="J74" s="224">
        <v>0.23</v>
      </c>
      <c r="K74" s="224">
        <v>199.57</v>
      </c>
      <c r="L74" s="224">
        <v>34.05</v>
      </c>
      <c r="M74" s="224">
        <v>40.17</v>
      </c>
      <c r="N74" s="224">
        <v>151.9</v>
      </c>
      <c r="O74" s="224">
        <v>0</v>
      </c>
      <c r="P74" s="224">
        <v>0.39</v>
      </c>
      <c r="Q74" s="224">
        <v>6.04</v>
      </c>
      <c r="R74" s="13"/>
      <c r="S74" s="13"/>
      <c r="T74" s="213"/>
      <c r="U74" s="13"/>
    </row>
    <row r="75" customFormat="1" spans="1:21">
      <c r="A75" s="13" t="s">
        <v>2328</v>
      </c>
      <c r="B75" s="224">
        <v>8.11</v>
      </c>
      <c r="C75" s="224">
        <v>41.94</v>
      </c>
      <c r="D75" s="224">
        <v>29.76</v>
      </c>
      <c r="E75" s="224">
        <v>6.11</v>
      </c>
      <c r="F75" s="224">
        <v>18.25</v>
      </c>
      <c r="G75" s="224">
        <v>15.61</v>
      </c>
      <c r="H75" s="224">
        <v>10.57</v>
      </c>
      <c r="I75" s="224">
        <v>3.1</v>
      </c>
      <c r="J75" s="224">
        <v>0.68</v>
      </c>
      <c r="K75" s="224">
        <v>235</v>
      </c>
      <c r="L75" s="224">
        <v>32.02</v>
      </c>
      <c r="M75" s="224">
        <v>42.2</v>
      </c>
      <c r="N75" s="224">
        <v>62.9</v>
      </c>
      <c r="O75" s="224">
        <v>0</v>
      </c>
      <c r="P75" s="224">
        <v>0.39</v>
      </c>
      <c r="Q75" s="224">
        <v>5.94</v>
      </c>
      <c r="R75" s="13"/>
      <c r="S75" s="13"/>
      <c r="T75" s="213"/>
      <c r="U75" s="13"/>
    </row>
    <row r="76" customFormat="1" spans="1:21">
      <c r="A76" s="13" t="s">
        <v>2329</v>
      </c>
      <c r="B76" s="224">
        <v>8.98</v>
      </c>
      <c r="C76" s="224">
        <v>51.1</v>
      </c>
      <c r="D76" s="224">
        <v>35.26</v>
      </c>
      <c r="E76" s="224">
        <v>6.23</v>
      </c>
      <c r="F76" s="224">
        <v>8.14</v>
      </c>
      <c r="G76" s="224">
        <v>20.68</v>
      </c>
      <c r="H76" s="224">
        <v>7.75</v>
      </c>
      <c r="I76" s="224">
        <v>2.97</v>
      </c>
      <c r="J76" s="224">
        <v>0.47</v>
      </c>
      <c r="K76" s="224">
        <v>238.31</v>
      </c>
      <c r="L76" s="224">
        <v>29.83</v>
      </c>
      <c r="M76" s="224">
        <v>44.82</v>
      </c>
      <c r="N76" s="224">
        <v>33.9</v>
      </c>
      <c r="O76" s="224">
        <v>0</v>
      </c>
      <c r="P76" s="224">
        <v>0.41</v>
      </c>
      <c r="Q76" s="224">
        <v>6</v>
      </c>
      <c r="R76" s="13"/>
      <c r="S76" s="13"/>
      <c r="T76" s="213"/>
      <c r="U76" s="13"/>
    </row>
    <row r="77" customFormat="1" spans="1:21">
      <c r="A77" s="13" t="s">
        <v>2330</v>
      </c>
      <c r="B77" s="224">
        <v>9.32</v>
      </c>
      <c r="C77" s="224">
        <v>58.16</v>
      </c>
      <c r="D77" s="224">
        <v>39.21</v>
      </c>
      <c r="E77" s="224">
        <v>6.49</v>
      </c>
      <c r="F77" s="224">
        <v>8.9</v>
      </c>
      <c r="G77" s="224">
        <v>20.92</v>
      </c>
      <c r="H77" s="224">
        <v>7.75</v>
      </c>
      <c r="I77" s="224">
        <v>3.16</v>
      </c>
      <c r="J77" s="224">
        <v>0.28</v>
      </c>
      <c r="K77" s="224">
        <v>217.59</v>
      </c>
      <c r="L77" s="224">
        <v>27.94</v>
      </c>
      <c r="M77" s="224">
        <v>60.55</v>
      </c>
      <c r="N77" s="224">
        <v>38.2</v>
      </c>
      <c r="O77" s="224">
        <v>0</v>
      </c>
      <c r="P77" s="224">
        <v>0.42</v>
      </c>
      <c r="Q77" s="224">
        <v>6.38</v>
      </c>
      <c r="R77" s="13"/>
      <c r="S77" s="13"/>
      <c r="T77" s="213"/>
      <c r="U77" s="13"/>
    </row>
    <row r="78" customFormat="1" spans="1:21">
      <c r="A78" s="13" t="s">
        <v>2331</v>
      </c>
      <c r="B78" s="224">
        <v>10.08</v>
      </c>
      <c r="C78" s="224">
        <v>54.86</v>
      </c>
      <c r="D78" s="224">
        <v>38.1</v>
      </c>
      <c r="E78" s="224">
        <v>6.49</v>
      </c>
      <c r="F78" s="224">
        <v>6.23</v>
      </c>
      <c r="G78" s="224">
        <v>20.92</v>
      </c>
      <c r="H78" s="224">
        <v>7.75</v>
      </c>
      <c r="I78" s="224">
        <v>3.47</v>
      </c>
      <c r="J78" s="224">
        <v>0.33</v>
      </c>
      <c r="K78" s="224">
        <v>164.43</v>
      </c>
      <c r="L78" s="224">
        <v>25.22</v>
      </c>
      <c r="M78" s="224">
        <v>80.62</v>
      </c>
      <c r="N78" s="224">
        <v>88.8</v>
      </c>
      <c r="O78" s="224">
        <v>0</v>
      </c>
      <c r="P78" s="224">
        <v>0.4</v>
      </c>
      <c r="Q78" s="224">
        <v>6.25</v>
      </c>
      <c r="R78" s="13"/>
      <c r="S78" s="13"/>
      <c r="T78" s="213"/>
      <c r="U78" s="13"/>
    </row>
    <row r="79" customFormat="1" spans="1:21">
      <c r="A79" s="13" t="s">
        <v>2332</v>
      </c>
      <c r="B79" s="224">
        <v>10.49</v>
      </c>
      <c r="C79" s="224">
        <v>60.45</v>
      </c>
      <c r="D79" s="224">
        <v>41.35</v>
      </c>
      <c r="E79" s="224">
        <v>6.76</v>
      </c>
      <c r="F79" s="224">
        <v>4.78</v>
      </c>
      <c r="G79" s="224">
        <v>20.92</v>
      </c>
      <c r="H79" s="224">
        <v>7.75</v>
      </c>
      <c r="I79" s="224">
        <v>3.51</v>
      </c>
      <c r="J79" s="224">
        <v>0.17</v>
      </c>
      <c r="K79" s="224">
        <v>183.05</v>
      </c>
      <c r="L79" s="224">
        <v>25.99</v>
      </c>
      <c r="M79" s="224">
        <v>68.44</v>
      </c>
      <c r="N79" s="224">
        <v>51</v>
      </c>
      <c r="O79" s="224">
        <v>0</v>
      </c>
      <c r="P79" s="224">
        <v>0.42</v>
      </c>
      <c r="Q79" s="224">
        <v>6.45</v>
      </c>
      <c r="R79" s="13"/>
      <c r="S79" s="13"/>
      <c r="T79" s="213"/>
      <c r="U79" s="13"/>
    </row>
    <row r="80" customFormat="1" spans="1:21">
      <c r="A80" s="13" t="s">
        <v>2333</v>
      </c>
      <c r="B80" s="224">
        <v>10.94</v>
      </c>
      <c r="C80" s="224">
        <v>53.22</v>
      </c>
      <c r="D80" s="224">
        <v>37.93</v>
      </c>
      <c r="E80" s="224">
        <v>6.46</v>
      </c>
      <c r="F80" s="224">
        <v>7.92</v>
      </c>
      <c r="G80" s="224">
        <v>25.43</v>
      </c>
      <c r="H80" s="224">
        <v>8.02</v>
      </c>
      <c r="I80" s="224">
        <v>3.47</v>
      </c>
      <c r="J80" s="224">
        <v>0.42</v>
      </c>
      <c r="K80" s="224">
        <v>104.92</v>
      </c>
      <c r="L80" s="224">
        <v>26.63</v>
      </c>
      <c r="M80" s="224">
        <v>61.7</v>
      </c>
      <c r="N80" s="224">
        <v>31.6</v>
      </c>
      <c r="O80" s="224">
        <v>0</v>
      </c>
      <c r="P80" s="224">
        <v>0.41</v>
      </c>
      <c r="Q80" s="224">
        <v>6.53</v>
      </c>
      <c r="R80" s="13"/>
      <c r="S80" s="13"/>
      <c r="T80" s="213"/>
      <c r="U80" s="13"/>
    </row>
    <row r="81" customFormat="1" spans="1:21">
      <c r="A81" s="13" t="s">
        <v>2334</v>
      </c>
      <c r="B81" s="224">
        <v>11.62</v>
      </c>
      <c r="C81" s="224">
        <v>56.87</v>
      </c>
      <c r="D81" s="224">
        <v>40.38</v>
      </c>
      <c r="E81" s="224">
        <v>6.49</v>
      </c>
      <c r="F81" s="224">
        <v>5.56</v>
      </c>
      <c r="G81" s="224">
        <v>25.64</v>
      </c>
      <c r="H81" s="224">
        <v>8.02</v>
      </c>
      <c r="I81" s="224">
        <v>3.44</v>
      </c>
      <c r="J81" s="224">
        <v>0.59</v>
      </c>
      <c r="K81" s="224">
        <v>87.73</v>
      </c>
      <c r="L81" s="224">
        <v>26.55</v>
      </c>
      <c r="M81" s="224">
        <v>62.42</v>
      </c>
      <c r="N81" s="224">
        <v>3.8</v>
      </c>
      <c r="O81" s="224">
        <v>0</v>
      </c>
      <c r="P81" s="224">
        <v>0.41</v>
      </c>
      <c r="Q81" s="224">
        <v>6.49</v>
      </c>
      <c r="R81" s="13"/>
      <c r="S81" s="13"/>
      <c r="T81" s="213"/>
      <c r="U81" s="13"/>
    </row>
    <row r="82" customFormat="1" spans="1:21">
      <c r="A82" s="13" t="s">
        <v>2335</v>
      </c>
      <c r="B82" s="224">
        <v>12.12</v>
      </c>
      <c r="C82" s="224">
        <v>60.08</v>
      </c>
      <c r="D82" s="224">
        <v>42.46</v>
      </c>
      <c r="E82" s="224">
        <v>7.28</v>
      </c>
      <c r="F82" s="224">
        <v>5.6</v>
      </c>
      <c r="G82" s="224">
        <v>25.64</v>
      </c>
      <c r="H82" s="224">
        <v>8.02</v>
      </c>
      <c r="I82" s="224">
        <v>3.36</v>
      </c>
      <c r="J82" s="224">
        <v>0.82</v>
      </c>
      <c r="K82" s="224">
        <v>70.02</v>
      </c>
      <c r="L82" s="224">
        <v>26.34</v>
      </c>
      <c r="M82" s="224">
        <v>62.79</v>
      </c>
      <c r="N82" s="224">
        <v>0.1</v>
      </c>
      <c r="O82" s="224">
        <v>0</v>
      </c>
      <c r="P82" s="224">
        <v>0.42</v>
      </c>
      <c r="Q82" s="224">
        <v>6.67</v>
      </c>
      <c r="R82" s="13"/>
      <c r="S82" s="13"/>
      <c r="T82" s="213"/>
      <c r="U82" s="13"/>
    </row>
    <row r="83" customFormat="1" spans="1:21">
      <c r="A83" s="13" t="s">
        <v>2336</v>
      </c>
      <c r="B83" s="224">
        <v>12.49</v>
      </c>
      <c r="C83" s="224">
        <v>59.1</v>
      </c>
      <c r="D83" s="224">
        <v>42.24</v>
      </c>
      <c r="E83" s="224">
        <v>7.72</v>
      </c>
      <c r="F83" s="224">
        <v>5.24</v>
      </c>
      <c r="G83" s="224">
        <v>25.64</v>
      </c>
      <c r="H83" s="224">
        <v>8.02</v>
      </c>
      <c r="I83" s="224">
        <v>3.4</v>
      </c>
      <c r="J83" s="224">
        <v>1</v>
      </c>
      <c r="K83" s="224">
        <v>70.88</v>
      </c>
      <c r="L83" s="224">
        <v>26.13</v>
      </c>
      <c r="M83" s="224">
        <v>64.58</v>
      </c>
      <c r="N83" s="224">
        <v>0</v>
      </c>
      <c r="O83" s="224">
        <v>0</v>
      </c>
      <c r="P83" s="224">
        <v>0.42</v>
      </c>
      <c r="Q83" s="224">
        <v>6.61</v>
      </c>
      <c r="R83" s="13"/>
      <c r="S83" s="13"/>
      <c r="T83" s="213"/>
      <c r="U83" s="13"/>
    </row>
    <row r="84" customFormat="1" spans="1:21">
      <c r="A84" s="13" t="s">
        <v>2337</v>
      </c>
      <c r="B84" s="224">
        <v>13</v>
      </c>
      <c r="C84" s="224">
        <v>60.53</v>
      </c>
      <c r="D84" s="224">
        <v>43.4</v>
      </c>
      <c r="E84" s="224">
        <v>7.64</v>
      </c>
      <c r="F84" s="224">
        <v>5.37</v>
      </c>
      <c r="G84" s="224">
        <v>23.96</v>
      </c>
      <c r="H84" s="224">
        <v>7.1</v>
      </c>
      <c r="I84" s="224">
        <v>3.38</v>
      </c>
      <c r="J84" s="224">
        <v>1.08</v>
      </c>
      <c r="K84" s="224">
        <v>66.71</v>
      </c>
      <c r="L84" s="224">
        <v>25.87</v>
      </c>
      <c r="M84" s="224">
        <v>65.8</v>
      </c>
      <c r="N84" s="224">
        <v>0</v>
      </c>
      <c r="O84" s="224">
        <v>0</v>
      </c>
      <c r="P84" s="224">
        <v>0.43</v>
      </c>
      <c r="Q84" s="224">
        <v>6.78</v>
      </c>
      <c r="R84" s="13"/>
      <c r="S84" s="13"/>
      <c r="T84" s="213"/>
      <c r="U84" s="13"/>
    </row>
    <row r="85" customFormat="1" spans="1:21">
      <c r="A85" s="13" t="s">
        <v>2338</v>
      </c>
      <c r="B85" s="224">
        <v>13.75</v>
      </c>
      <c r="C85" s="224">
        <v>62.15</v>
      </c>
      <c r="D85" s="224">
        <v>44.85</v>
      </c>
      <c r="E85" s="224">
        <v>7.81</v>
      </c>
      <c r="F85" s="224">
        <v>4.27</v>
      </c>
      <c r="G85" s="224">
        <v>23.88</v>
      </c>
      <c r="H85" s="224">
        <v>7.1</v>
      </c>
      <c r="I85" s="224">
        <v>3.38</v>
      </c>
      <c r="J85" s="224">
        <v>0.42</v>
      </c>
      <c r="K85" s="224">
        <v>106.69</v>
      </c>
      <c r="L85" s="224">
        <v>26.02</v>
      </c>
      <c r="M85" s="224">
        <v>64.3</v>
      </c>
      <c r="N85" s="224">
        <v>0</v>
      </c>
      <c r="O85" s="224">
        <v>0</v>
      </c>
      <c r="P85" s="224">
        <v>0.44</v>
      </c>
      <c r="Q85" s="224">
        <v>6.79</v>
      </c>
      <c r="R85" s="13"/>
      <c r="S85" s="13"/>
      <c r="T85" s="213"/>
      <c r="U85" s="13"/>
    </row>
    <row r="86" customFormat="1" spans="1:21">
      <c r="A86" s="13" t="s">
        <v>2339</v>
      </c>
      <c r="B86" s="224">
        <v>14.33</v>
      </c>
      <c r="C86" s="224">
        <v>58.53</v>
      </c>
      <c r="D86" s="224">
        <v>43.42</v>
      </c>
      <c r="E86" s="224">
        <v>8.04</v>
      </c>
      <c r="F86" s="224">
        <v>4.97</v>
      </c>
      <c r="G86" s="224">
        <v>23.88</v>
      </c>
      <c r="H86" s="224">
        <v>7.1</v>
      </c>
      <c r="I86" s="224">
        <v>3.42</v>
      </c>
      <c r="J86" s="224">
        <v>0.27</v>
      </c>
      <c r="K86" s="224">
        <v>132.27</v>
      </c>
      <c r="L86" s="224">
        <v>25.98</v>
      </c>
      <c r="M86" s="224">
        <v>64.14</v>
      </c>
      <c r="N86" s="224">
        <v>0</v>
      </c>
      <c r="O86" s="224">
        <v>0</v>
      </c>
      <c r="P86" s="224">
        <v>0.42</v>
      </c>
      <c r="Q86" s="224">
        <v>6.74</v>
      </c>
      <c r="R86" s="13"/>
      <c r="S86" s="13"/>
      <c r="T86" s="213"/>
      <c r="U86" s="13"/>
    </row>
    <row r="87" customFormat="1" spans="1:21">
      <c r="A87" s="13" t="s">
        <v>2340</v>
      </c>
      <c r="B87" s="224">
        <v>14.64</v>
      </c>
      <c r="C87" s="224">
        <v>60.47</v>
      </c>
      <c r="D87" s="224">
        <v>44.68</v>
      </c>
      <c r="E87" s="224">
        <v>7.93</v>
      </c>
      <c r="F87" s="224">
        <v>4.72</v>
      </c>
      <c r="G87" s="224">
        <v>23.88</v>
      </c>
      <c r="H87" s="224">
        <v>7.1</v>
      </c>
      <c r="I87" s="224">
        <v>3.49</v>
      </c>
      <c r="J87" s="224">
        <v>0.28</v>
      </c>
      <c r="K87" s="224">
        <v>125.19</v>
      </c>
      <c r="L87" s="224">
        <v>25.89</v>
      </c>
      <c r="M87" s="224">
        <v>64.29</v>
      </c>
      <c r="N87" s="224">
        <v>0</v>
      </c>
      <c r="O87" s="224">
        <v>0</v>
      </c>
      <c r="P87" s="224">
        <v>0.43</v>
      </c>
      <c r="Q87" s="224">
        <v>6.79</v>
      </c>
      <c r="R87" s="13"/>
      <c r="S87" s="13"/>
      <c r="T87" s="213"/>
      <c r="U87" s="13"/>
    </row>
    <row r="88" customFormat="1" spans="1:21">
      <c r="A88" s="13" t="s">
        <v>2341</v>
      </c>
      <c r="B88" s="224">
        <v>15.13</v>
      </c>
      <c r="C88" s="224">
        <v>58.3</v>
      </c>
      <c r="D88" s="224">
        <v>43.94</v>
      </c>
      <c r="E88" s="224">
        <v>7.75</v>
      </c>
      <c r="F88" s="224">
        <v>5.75</v>
      </c>
      <c r="G88" s="224">
        <v>23.7</v>
      </c>
      <c r="H88" s="224">
        <v>5.36</v>
      </c>
      <c r="I88" s="224">
        <v>3.54</v>
      </c>
      <c r="J88" s="224">
        <v>0.31</v>
      </c>
      <c r="K88" s="224">
        <v>127.66</v>
      </c>
      <c r="L88" s="224">
        <v>25.86</v>
      </c>
      <c r="M88" s="224">
        <v>63.14</v>
      </c>
      <c r="N88" s="224">
        <v>0</v>
      </c>
      <c r="O88" s="224">
        <v>0</v>
      </c>
      <c r="P88" s="224">
        <v>0.43</v>
      </c>
      <c r="Q88" s="224">
        <v>6.82</v>
      </c>
      <c r="R88" s="13"/>
      <c r="S88" s="13"/>
      <c r="T88" s="213"/>
      <c r="U88" s="13"/>
    </row>
    <row r="89" customFormat="1" spans="1:21">
      <c r="A89" s="13" t="s">
        <v>2342</v>
      </c>
      <c r="B89" s="224">
        <v>15.76</v>
      </c>
      <c r="C89" s="224">
        <v>68.64</v>
      </c>
      <c r="D89" s="224">
        <v>49.85</v>
      </c>
      <c r="E89" s="224">
        <v>7.57</v>
      </c>
      <c r="F89" s="224">
        <v>3.74</v>
      </c>
      <c r="G89" s="224">
        <v>23.69</v>
      </c>
      <c r="H89" s="224">
        <v>5.36</v>
      </c>
      <c r="I89" s="224">
        <v>3.55</v>
      </c>
      <c r="J89" s="224">
        <v>0.27</v>
      </c>
      <c r="K89" s="224">
        <v>101.71</v>
      </c>
      <c r="L89" s="224">
        <v>25.85</v>
      </c>
      <c r="M89" s="224">
        <v>61.69</v>
      </c>
      <c r="N89" s="224">
        <v>0</v>
      </c>
      <c r="O89" s="224">
        <v>0</v>
      </c>
      <c r="P89" s="224">
        <v>0.45</v>
      </c>
      <c r="Q89" s="224">
        <v>7.15</v>
      </c>
      <c r="R89" s="13"/>
      <c r="S89" s="13"/>
      <c r="T89" s="213"/>
      <c r="U89" s="13"/>
    </row>
    <row r="90" customFormat="1" spans="1:21">
      <c r="A90" s="13" t="s">
        <v>2343</v>
      </c>
      <c r="B90" s="224">
        <v>16.22</v>
      </c>
      <c r="C90" s="224">
        <v>72.73</v>
      </c>
      <c r="D90" s="224">
        <v>52.36</v>
      </c>
      <c r="E90" s="224">
        <v>8.04</v>
      </c>
      <c r="F90" s="224">
        <v>3.52</v>
      </c>
      <c r="G90" s="224">
        <v>23.69</v>
      </c>
      <c r="H90" s="224">
        <v>5.36</v>
      </c>
      <c r="I90" s="224">
        <v>3.6</v>
      </c>
      <c r="J90" s="224">
        <v>0.16</v>
      </c>
      <c r="K90" s="224">
        <v>192.38</v>
      </c>
      <c r="L90" s="224">
        <v>25.6</v>
      </c>
      <c r="M90" s="224">
        <v>61.99</v>
      </c>
      <c r="N90" s="224">
        <v>0</v>
      </c>
      <c r="O90" s="224">
        <v>0</v>
      </c>
      <c r="P90" s="224">
        <v>0.45</v>
      </c>
      <c r="Q90" s="224">
        <v>7.45</v>
      </c>
      <c r="R90" s="13"/>
      <c r="S90" s="13"/>
      <c r="T90" s="213"/>
      <c r="U90" s="13"/>
    </row>
    <row r="91" customFormat="1" spans="1:21">
      <c r="A91" s="13" t="s">
        <v>2344</v>
      </c>
      <c r="B91" s="224">
        <v>16.6</v>
      </c>
      <c r="C91" s="224">
        <v>71.36</v>
      </c>
      <c r="D91" s="224">
        <v>51.95</v>
      </c>
      <c r="E91" s="224">
        <v>7.68</v>
      </c>
      <c r="F91" s="224">
        <v>3.78</v>
      </c>
      <c r="G91" s="224">
        <v>23.69</v>
      </c>
      <c r="H91" s="224">
        <v>5.36</v>
      </c>
      <c r="I91" s="224">
        <v>3.62</v>
      </c>
      <c r="J91" s="224">
        <v>0.16</v>
      </c>
      <c r="K91" s="224">
        <v>107.59</v>
      </c>
      <c r="L91" s="224">
        <v>25.52</v>
      </c>
      <c r="M91" s="224">
        <v>62.31</v>
      </c>
      <c r="N91" s="224">
        <v>0</v>
      </c>
      <c r="O91" s="224">
        <v>0</v>
      </c>
      <c r="P91" s="224">
        <v>0.45</v>
      </c>
      <c r="Q91" s="224">
        <v>7.47</v>
      </c>
      <c r="R91" s="13"/>
      <c r="S91" s="13"/>
      <c r="T91" s="213"/>
      <c r="U91" s="13"/>
    </row>
    <row r="92" customFormat="1" spans="1:21">
      <c r="A92" s="13" t="s">
        <v>2345</v>
      </c>
      <c r="B92" s="224">
        <v>17.02</v>
      </c>
      <c r="C92" s="224">
        <v>70.9</v>
      </c>
      <c r="D92" s="224">
        <v>52.04</v>
      </c>
      <c r="E92" s="224">
        <v>7.54</v>
      </c>
      <c r="F92" s="224">
        <v>3.72</v>
      </c>
      <c r="G92" s="224">
        <v>17.65</v>
      </c>
      <c r="H92" s="224">
        <v>4.02</v>
      </c>
      <c r="I92" s="224">
        <v>3.6</v>
      </c>
      <c r="J92" s="224">
        <v>0.08</v>
      </c>
      <c r="K92" s="224">
        <v>119.86</v>
      </c>
      <c r="L92" s="224">
        <v>25.42</v>
      </c>
      <c r="M92" s="224">
        <v>62.87</v>
      </c>
      <c r="N92" s="224">
        <v>0</v>
      </c>
      <c r="O92" s="224">
        <v>0</v>
      </c>
      <c r="P92" s="224">
        <v>0.45</v>
      </c>
      <c r="Q92" s="224">
        <v>7.54</v>
      </c>
      <c r="R92" s="13"/>
      <c r="S92" s="13"/>
      <c r="T92" s="213"/>
      <c r="U92" s="13"/>
    </row>
    <row r="93" customFormat="1" spans="1:21">
      <c r="A93" s="13" t="s">
        <v>2346</v>
      </c>
      <c r="B93" s="224">
        <v>17.42</v>
      </c>
      <c r="C93" s="224">
        <v>69.2</v>
      </c>
      <c r="D93" s="224">
        <v>51.47</v>
      </c>
      <c r="E93" s="224">
        <v>7.73</v>
      </c>
      <c r="F93" s="224">
        <v>3.86</v>
      </c>
      <c r="G93" s="224">
        <v>17.37</v>
      </c>
      <c r="H93" s="224">
        <v>4.02</v>
      </c>
      <c r="I93" s="224">
        <v>3.57</v>
      </c>
      <c r="J93" s="224">
        <v>0.37</v>
      </c>
      <c r="K93" s="224">
        <v>78.66</v>
      </c>
      <c r="L93" s="224">
        <v>25.14</v>
      </c>
      <c r="M93" s="224">
        <v>63.77</v>
      </c>
      <c r="N93" s="224">
        <v>0</v>
      </c>
      <c r="O93" s="224">
        <v>0</v>
      </c>
      <c r="P93" s="224">
        <v>0.44</v>
      </c>
      <c r="Q93" s="224">
        <v>7.54</v>
      </c>
      <c r="R93" s="13"/>
      <c r="S93" s="13"/>
      <c r="T93" s="213"/>
      <c r="U93" s="13"/>
    </row>
    <row r="94" customFormat="1" spans="1:21">
      <c r="A94" s="13" t="s">
        <v>2347</v>
      </c>
      <c r="B94" s="224">
        <v>17.87</v>
      </c>
      <c r="C94" s="224">
        <v>69.17</v>
      </c>
      <c r="D94" s="224">
        <v>51.82</v>
      </c>
      <c r="E94" s="224">
        <v>7.73</v>
      </c>
      <c r="F94" s="224">
        <v>3.67</v>
      </c>
      <c r="G94" s="224">
        <v>17.37</v>
      </c>
      <c r="H94" s="224">
        <v>4.02</v>
      </c>
      <c r="I94" s="224">
        <v>3.56</v>
      </c>
      <c r="J94" s="224">
        <v>0.58</v>
      </c>
      <c r="K94" s="224">
        <v>40</v>
      </c>
      <c r="L94" s="224">
        <v>25.15</v>
      </c>
      <c r="M94" s="224">
        <v>62.67</v>
      </c>
      <c r="N94" s="224">
        <v>0</v>
      </c>
      <c r="O94" s="224">
        <v>0</v>
      </c>
      <c r="P94" s="224">
        <v>0.44</v>
      </c>
      <c r="Q94" s="224">
        <v>7.58</v>
      </c>
      <c r="R94" s="13"/>
      <c r="S94" s="13"/>
      <c r="T94" s="213"/>
      <c r="U94" s="13"/>
    </row>
    <row r="95" customFormat="1" spans="1:21">
      <c r="A95" s="13" t="s">
        <v>2348</v>
      </c>
      <c r="B95" s="224">
        <v>18.51</v>
      </c>
      <c r="C95" s="224">
        <v>69.38</v>
      </c>
      <c r="D95" s="224">
        <v>52.45</v>
      </c>
      <c r="E95" s="224">
        <v>7.28</v>
      </c>
      <c r="F95" s="224">
        <v>3.59</v>
      </c>
      <c r="G95" s="224">
        <v>17.37</v>
      </c>
      <c r="H95" s="224">
        <v>4.02</v>
      </c>
      <c r="I95" s="224">
        <v>3.54</v>
      </c>
      <c r="J95" s="224">
        <v>1.37</v>
      </c>
      <c r="K95" s="224">
        <v>54.45</v>
      </c>
      <c r="L95" s="224">
        <v>25.17</v>
      </c>
      <c r="M95" s="224">
        <v>62.33</v>
      </c>
      <c r="N95" s="224">
        <v>0</v>
      </c>
      <c r="O95" s="224">
        <v>0</v>
      </c>
      <c r="P95" s="224">
        <v>0.45</v>
      </c>
      <c r="Q95" s="224">
        <v>7.65</v>
      </c>
      <c r="R95" s="13"/>
      <c r="S95" s="13"/>
      <c r="T95" s="213"/>
      <c r="U95" s="13"/>
    </row>
    <row r="96" customFormat="1" spans="1:26">
      <c r="A96" s="13" t="s">
        <v>2349</v>
      </c>
      <c r="B96" s="224">
        <v>19.36</v>
      </c>
      <c r="C96" s="224">
        <v>69.88</v>
      </c>
      <c r="D96" s="224">
        <v>53.38</v>
      </c>
      <c r="E96" s="224">
        <v>7.56</v>
      </c>
      <c r="F96" s="224">
        <v>3.7</v>
      </c>
      <c r="G96" s="224">
        <v>18.37</v>
      </c>
      <c r="H96" s="224">
        <v>3.98</v>
      </c>
      <c r="I96" s="224">
        <v>3.52</v>
      </c>
      <c r="J96" s="224">
        <v>1.15</v>
      </c>
      <c r="K96" s="224">
        <v>53.27</v>
      </c>
      <c r="L96" s="224">
        <v>25.19</v>
      </c>
      <c r="M96" s="224">
        <v>63.67</v>
      </c>
      <c r="N96" s="224">
        <v>0</v>
      </c>
      <c r="O96" s="224">
        <v>0</v>
      </c>
      <c r="P96" s="224">
        <v>0.45</v>
      </c>
      <c r="Q96" s="224">
        <v>7.71</v>
      </c>
      <c r="R96" s="13"/>
      <c r="S96" s="13"/>
      <c r="T96" s="213"/>
      <c r="U96" s="13"/>
      <c r="Z96" s="222"/>
    </row>
    <row r="97" customFormat="1" spans="1:21">
      <c r="A97" s="13" t="s">
        <v>2350</v>
      </c>
      <c r="B97" s="224">
        <v>20.26</v>
      </c>
      <c r="C97" s="224">
        <v>69.53</v>
      </c>
      <c r="D97" s="224">
        <v>53.93</v>
      </c>
      <c r="E97" s="224">
        <v>7.36</v>
      </c>
      <c r="F97" s="224">
        <v>3.74</v>
      </c>
      <c r="G97" s="224">
        <v>18.42</v>
      </c>
      <c r="H97" s="224">
        <v>3.98</v>
      </c>
      <c r="I97" s="224">
        <v>3.54</v>
      </c>
      <c r="J97" s="224">
        <v>0.68</v>
      </c>
      <c r="K97" s="224">
        <v>42.93</v>
      </c>
      <c r="L97" s="224">
        <v>25.11</v>
      </c>
      <c r="M97" s="224">
        <v>65.88</v>
      </c>
      <c r="N97" s="224">
        <v>0</v>
      </c>
      <c r="O97" s="224">
        <v>0</v>
      </c>
      <c r="P97" s="224">
        <v>0.46</v>
      </c>
      <c r="Q97" s="224">
        <v>7.74</v>
      </c>
      <c r="R97" s="13"/>
      <c r="S97" s="13"/>
      <c r="T97" s="213"/>
      <c r="U97" s="13"/>
    </row>
    <row r="98" customFormat="1" spans="1:21">
      <c r="A98" s="13" t="s">
        <v>2351</v>
      </c>
      <c r="B98" s="224">
        <v>21.22</v>
      </c>
      <c r="C98" s="224">
        <v>69.04</v>
      </c>
      <c r="D98" s="224">
        <v>54.44</v>
      </c>
      <c r="E98" s="224">
        <v>7.37</v>
      </c>
      <c r="F98" s="224">
        <v>3.77</v>
      </c>
      <c r="G98" s="224">
        <v>18.42</v>
      </c>
      <c r="H98" s="224">
        <v>3.98</v>
      </c>
      <c r="I98" s="224">
        <v>3.54</v>
      </c>
      <c r="J98" s="224">
        <v>0.57</v>
      </c>
      <c r="K98" s="224">
        <v>58.99</v>
      </c>
      <c r="L98" s="224">
        <v>25.1</v>
      </c>
      <c r="M98" s="224">
        <v>67.43</v>
      </c>
      <c r="N98" s="224">
        <v>0</v>
      </c>
      <c r="O98" s="224">
        <v>0</v>
      </c>
      <c r="P98" s="224">
        <v>0.45</v>
      </c>
      <c r="Q98" s="224">
        <v>7.78</v>
      </c>
      <c r="R98" s="13"/>
      <c r="S98" s="13"/>
      <c r="T98" s="213"/>
      <c r="U98" s="13"/>
    </row>
    <row r="99" customFormat="1" spans="1:21">
      <c r="A99" s="13" t="s">
        <v>2352</v>
      </c>
      <c r="B99" s="224">
        <v>22.28</v>
      </c>
      <c r="C99" s="224">
        <v>68.57</v>
      </c>
      <c r="D99" s="224">
        <v>55.04</v>
      </c>
      <c r="E99" s="224">
        <v>7.49</v>
      </c>
      <c r="F99" s="224">
        <v>3.76</v>
      </c>
      <c r="G99" s="224">
        <v>18.42</v>
      </c>
      <c r="H99" s="224">
        <v>3.98</v>
      </c>
      <c r="I99" s="224">
        <v>3.56</v>
      </c>
      <c r="J99" s="224">
        <v>0.91</v>
      </c>
      <c r="K99" s="224">
        <v>60.74</v>
      </c>
      <c r="L99" s="224">
        <v>24.81</v>
      </c>
      <c r="M99" s="224">
        <v>68.68</v>
      </c>
      <c r="N99" s="224">
        <v>0</v>
      </c>
      <c r="O99" s="224">
        <v>0</v>
      </c>
      <c r="P99" s="224">
        <v>0.45</v>
      </c>
      <c r="Q99" s="224">
        <v>7.83</v>
      </c>
      <c r="R99" s="13"/>
      <c r="S99" s="13"/>
      <c r="T99" s="213"/>
      <c r="U99" s="13"/>
    </row>
    <row r="100" customFormat="1" spans="1:33">
      <c r="A100" s="13" t="s">
        <v>2353</v>
      </c>
      <c r="B100" s="224">
        <v>23.14</v>
      </c>
      <c r="C100" s="224">
        <v>69.32</v>
      </c>
      <c r="D100" s="224">
        <v>56.12</v>
      </c>
      <c r="E100" s="224">
        <v>7.62</v>
      </c>
      <c r="F100" s="224">
        <v>3.71</v>
      </c>
      <c r="G100" s="224">
        <v>22.35</v>
      </c>
      <c r="H100" s="224">
        <v>8.63</v>
      </c>
      <c r="I100" s="224">
        <v>3.6</v>
      </c>
      <c r="J100" s="224">
        <v>0.59</v>
      </c>
      <c r="K100" s="224">
        <v>74.58</v>
      </c>
      <c r="L100" s="224">
        <v>24.82</v>
      </c>
      <c r="M100" s="224">
        <v>69.27</v>
      </c>
      <c r="N100" s="224">
        <v>0</v>
      </c>
      <c r="O100" s="224">
        <v>0</v>
      </c>
      <c r="P100" s="224">
        <v>0.45</v>
      </c>
      <c r="Q100" s="224">
        <v>7.97</v>
      </c>
      <c r="R100" s="13"/>
      <c r="S100" s="13"/>
      <c r="T100" s="213"/>
      <c r="U100" s="13"/>
      <c r="AB100" s="223"/>
      <c r="AG100" s="222"/>
    </row>
    <row r="101" customFormat="1" spans="1:21">
      <c r="A101" s="13" t="s">
        <v>2354</v>
      </c>
      <c r="B101" s="224">
        <v>23.81</v>
      </c>
      <c r="C101" s="224">
        <v>69.84</v>
      </c>
      <c r="D101" s="224">
        <v>56.94</v>
      </c>
      <c r="E101" s="224">
        <v>7.26</v>
      </c>
      <c r="F101" s="224">
        <v>3.6</v>
      </c>
      <c r="G101" s="224">
        <v>22.53</v>
      </c>
      <c r="H101" s="224">
        <v>8.63</v>
      </c>
      <c r="I101" s="224">
        <v>3.61</v>
      </c>
      <c r="J101" s="224">
        <v>0.88</v>
      </c>
      <c r="K101" s="224">
        <v>71</v>
      </c>
      <c r="L101" s="224">
        <v>24.83</v>
      </c>
      <c r="M101" s="224">
        <v>69.86</v>
      </c>
      <c r="N101" s="224">
        <v>0</v>
      </c>
      <c r="O101" s="224">
        <v>0</v>
      </c>
      <c r="P101" s="224">
        <v>0.46</v>
      </c>
      <c r="Q101" s="224">
        <v>8.03</v>
      </c>
      <c r="R101" s="13"/>
      <c r="S101" s="13"/>
      <c r="T101" s="213"/>
      <c r="U101" s="13"/>
    </row>
    <row r="102" customFormat="1" spans="1:21">
      <c r="A102" s="13" t="s">
        <v>2355</v>
      </c>
      <c r="B102" s="224">
        <v>24.52</v>
      </c>
      <c r="C102" s="224">
        <v>69.54</v>
      </c>
      <c r="D102" s="224">
        <v>57.34</v>
      </c>
      <c r="E102" s="224">
        <v>7.2</v>
      </c>
      <c r="F102" s="224">
        <v>3.6</v>
      </c>
      <c r="G102" s="224">
        <v>22.53</v>
      </c>
      <c r="H102" s="224">
        <v>8.63</v>
      </c>
      <c r="I102" s="224">
        <v>3.57</v>
      </c>
      <c r="J102" s="224">
        <v>0.92</v>
      </c>
      <c r="K102" s="224">
        <v>65.55</v>
      </c>
      <c r="L102" s="224">
        <v>24.34</v>
      </c>
      <c r="M102" s="224">
        <v>72.02</v>
      </c>
      <c r="N102" s="224">
        <v>0</v>
      </c>
      <c r="O102" s="224">
        <v>0</v>
      </c>
      <c r="P102" s="224">
        <v>0.46</v>
      </c>
      <c r="Q102" s="224">
        <v>8.06</v>
      </c>
      <c r="R102" s="13"/>
      <c r="S102" s="13"/>
      <c r="T102" s="213"/>
      <c r="U102" s="13"/>
    </row>
    <row r="103" customFormat="1" spans="1:21">
      <c r="A103" s="13" t="s">
        <v>2356</v>
      </c>
      <c r="B103" s="224">
        <v>25.1</v>
      </c>
      <c r="C103" s="224">
        <v>69.13</v>
      </c>
      <c r="D103" s="224">
        <v>57.6</v>
      </c>
      <c r="E103" s="224">
        <v>7.45</v>
      </c>
      <c r="F103" s="224">
        <v>3.54</v>
      </c>
      <c r="G103" s="224">
        <v>22.53</v>
      </c>
      <c r="H103" s="224">
        <v>8.63</v>
      </c>
      <c r="I103" s="224">
        <v>3.54</v>
      </c>
      <c r="J103" s="224">
        <v>0.76</v>
      </c>
      <c r="K103" s="224">
        <v>63.06</v>
      </c>
      <c r="L103" s="224">
        <v>23.97</v>
      </c>
      <c r="M103" s="224">
        <v>74.51</v>
      </c>
      <c r="N103" s="224">
        <v>0</v>
      </c>
      <c r="O103" s="224">
        <v>0</v>
      </c>
      <c r="P103" s="224">
        <v>0.45</v>
      </c>
      <c r="Q103" s="224">
        <v>8.1</v>
      </c>
      <c r="R103" s="13"/>
      <c r="S103" s="13"/>
      <c r="T103" s="213"/>
      <c r="U103" s="13"/>
    </row>
    <row r="104" customFormat="1" spans="1:21">
      <c r="A104" s="13" t="s">
        <v>2357</v>
      </c>
      <c r="B104" s="224">
        <v>25.95</v>
      </c>
      <c r="C104" s="224">
        <v>69.61</v>
      </c>
      <c r="D104" s="224">
        <v>58.53</v>
      </c>
      <c r="E104" s="224">
        <v>7.4</v>
      </c>
      <c r="F104" s="224">
        <v>3.61</v>
      </c>
      <c r="G104" s="224">
        <v>32.19</v>
      </c>
      <c r="H104" s="224">
        <v>11.19</v>
      </c>
      <c r="I104" s="224">
        <v>3.53</v>
      </c>
      <c r="J104" s="224">
        <v>0.91</v>
      </c>
      <c r="K104" s="224">
        <v>62.85</v>
      </c>
      <c r="L104" s="224">
        <v>23.8</v>
      </c>
      <c r="M104" s="224">
        <v>75.45</v>
      </c>
      <c r="N104" s="224">
        <v>0</v>
      </c>
      <c r="O104" s="224">
        <v>0</v>
      </c>
      <c r="P104" s="224">
        <v>0.45</v>
      </c>
      <c r="Q104" s="224">
        <v>8.16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7.82</v>
      </c>
      <c r="C106" s="215">
        <f>MIN(C9:C104)</f>
        <v>36.47</v>
      </c>
      <c r="D106" s="215">
        <f t="shared" ref="D106:Q106" si="0">MIN(D9:D104)</f>
        <v>26.68</v>
      </c>
      <c r="E106" s="215">
        <f t="shared" si="0"/>
        <v>5.38</v>
      </c>
      <c r="F106" s="215">
        <f t="shared" si="0"/>
        <v>3.29</v>
      </c>
      <c r="G106" s="215">
        <f t="shared" si="0"/>
        <v>9.87</v>
      </c>
      <c r="H106" s="215">
        <f t="shared" si="0"/>
        <v>2.05</v>
      </c>
      <c r="I106" s="215">
        <f t="shared" si="0"/>
        <v>2.97</v>
      </c>
      <c r="J106" s="215">
        <f t="shared" si="0"/>
        <v>0.05</v>
      </c>
      <c r="K106" s="215">
        <f t="shared" si="0"/>
        <v>40</v>
      </c>
      <c r="L106" s="215">
        <f t="shared" si="0"/>
        <v>21.03</v>
      </c>
      <c r="M106" s="215">
        <f t="shared" si="0"/>
        <v>34.53</v>
      </c>
      <c r="N106" s="215">
        <f t="shared" si="0"/>
        <v>0</v>
      </c>
      <c r="O106" s="215">
        <f t="shared" si="0"/>
        <v>0</v>
      </c>
      <c r="P106" s="215">
        <f t="shared" si="0"/>
        <v>0.39</v>
      </c>
      <c r="Q106" s="215">
        <f t="shared" si="0"/>
        <v>5.94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31.42</v>
      </c>
      <c r="C107" s="216">
        <f t="shared" ref="C107:Q107" si="1">MAX(C9:C104)</f>
        <v>72.73</v>
      </c>
      <c r="D107" s="216">
        <f t="shared" si="1"/>
        <v>60.18</v>
      </c>
      <c r="E107" s="216">
        <f t="shared" si="1"/>
        <v>8.04</v>
      </c>
      <c r="F107" s="216">
        <f t="shared" si="1"/>
        <v>36.66</v>
      </c>
      <c r="G107" s="216">
        <f t="shared" si="1"/>
        <v>38.87</v>
      </c>
      <c r="H107" s="216">
        <f t="shared" si="1"/>
        <v>13.36</v>
      </c>
      <c r="I107" s="216">
        <f t="shared" si="1"/>
        <v>6.35</v>
      </c>
      <c r="J107" s="216">
        <f t="shared" si="1"/>
        <v>2.03</v>
      </c>
      <c r="K107" s="216">
        <f t="shared" si="1"/>
        <v>284.71</v>
      </c>
      <c r="L107" s="216">
        <f t="shared" si="1"/>
        <v>36.74</v>
      </c>
      <c r="M107" s="216">
        <f t="shared" si="1"/>
        <v>87.55</v>
      </c>
      <c r="N107" s="216">
        <f t="shared" si="1"/>
        <v>870</v>
      </c>
      <c r="O107" s="216">
        <f t="shared" si="1"/>
        <v>0</v>
      </c>
      <c r="P107" s="216">
        <f t="shared" si="1"/>
        <v>0.55</v>
      </c>
      <c r="Q107" s="216">
        <f t="shared" si="1"/>
        <v>8.16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18.9340625</v>
      </c>
      <c r="C108" s="215">
        <f t="shared" ref="C108:Q108" si="2">AVERAGE(C9:C104)</f>
        <v>62.1392708333333</v>
      </c>
      <c r="D108" s="215">
        <f t="shared" si="2"/>
        <v>49.0004166666666</v>
      </c>
      <c r="E108" s="215">
        <f t="shared" si="2"/>
        <v>6.42614583333333</v>
      </c>
      <c r="F108" s="215">
        <f t="shared" si="2"/>
        <v>6.06520833333334</v>
      </c>
      <c r="G108" s="215">
        <f t="shared" si="2"/>
        <v>19.15625</v>
      </c>
      <c r="H108" s="215">
        <f t="shared" si="2"/>
        <v>6.90239583333333</v>
      </c>
      <c r="I108" s="215">
        <f t="shared" si="2"/>
        <v>3.975625</v>
      </c>
      <c r="J108" s="215">
        <f t="shared" si="2"/>
        <v>0.447604166666667</v>
      </c>
      <c r="K108" s="215">
        <f t="shared" si="2"/>
        <v>153.619375</v>
      </c>
      <c r="L108" s="215">
        <f t="shared" si="2"/>
        <v>27.0282291666667</v>
      </c>
      <c r="M108" s="215">
        <f t="shared" si="2"/>
        <v>62.9386458333333</v>
      </c>
      <c r="N108" s="215">
        <f t="shared" si="2"/>
        <v>206.925</v>
      </c>
      <c r="O108" s="215">
        <f t="shared" si="2"/>
        <v>0</v>
      </c>
      <c r="P108" s="215">
        <f t="shared" si="2"/>
        <v>0.447395833333334</v>
      </c>
      <c r="Q108" s="215">
        <f t="shared" si="2"/>
        <v>7.31958333333333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6.93544193987058</v>
      </c>
      <c r="C109" s="215">
        <f t="shared" ref="C109:Q109" si="3">STDEV(C9:C104)</f>
        <v>7.47745273891579</v>
      </c>
      <c r="D109" s="215">
        <f t="shared" si="3"/>
        <v>8.34898593485166</v>
      </c>
      <c r="E109" s="215">
        <f t="shared" si="3"/>
        <v>0.796338158522683</v>
      </c>
      <c r="F109" s="215">
        <f t="shared" si="3"/>
        <v>4.89337467864602</v>
      </c>
      <c r="G109" s="215">
        <f t="shared" si="3"/>
        <v>6.41162320362505</v>
      </c>
      <c r="H109" s="215">
        <f t="shared" si="3"/>
        <v>2.83467244735118</v>
      </c>
      <c r="I109" s="215">
        <f t="shared" si="3"/>
        <v>0.692184661245218</v>
      </c>
      <c r="J109" s="215">
        <f t="shared" si="3"/>
        <v>0.307152438723893</v>
      </c>
      <c r="K109" s="215">
        <f t="shared" si="3"/>
        <v>75.2139666175246</v>
      </c>
      <c r="L109" s="215">
        <f t="shared" si="3"/>
        <v>4.91840389060723</v>
      </c>
      <c r="M109" s="215">
        <f t="shared" si="3"/>
        <v>17.7258158223531</v>
      </c>
      <c r="N109" s="215">
        <f t="shared" si="3"/>
        <v>301.494945405828</v>
      </c>
      <c r="O109" s="215">
        <f t="shared" si="3"/>
        <v>0</v>
      </c>
      <c r="P109" s="215">
        <f t="shared" si="3"/>
        <v>0.0327106868635882</v>
      </c>
      <c r="Q109" s="215">
        <f t="shared" si="3"/>
        <v>0.579840117104283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25/04/2023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3" t="s">
        <v>2358</v>
      </c>
      <c r="B9" s="224">
        <v>27.39</v>
      </c>
      <c r="C9" s="224">
        <v>65.81</v>
      </c>
      <c r="D9" s="224">
        <v>57.7</v>
      </c>
      <c r="E9" s="224">
        <v>7.6</v>
      </c>
      <c r="F9" s="224">
        <v>3.62</v>
      </c>
      <c r="G9" s="224">
        <v>32.64</v>
      </c>
      <c r="H9" s="224">
        <v>11.19</v>
      </c>
      <c r="I9" s="224">
        <v>3.51</v>
      </c>
      <c r="J9" s="224">
        <v>0.68</v>
      </c>
      <c r="K9" s="224">
        <v>52.56</v>
      </c>
      <c r="L9" s="224">
        <v>23.66</v>
      </c>
      <c r="M9" s="224">
        <v>76.63</v>
      </c>
      <c r="N9" s="224">
        <v>0</v>
      </c>
      <c r="O9" s="224">
        <v>0</v>
      </c>
      <c r="P9" s="224">
        <v>0.45</v>
      </c>
      <c r="Q9" s="224">
        <v>8.21</v>
      </c>
      <c r="R9" s="13"/>
      <c r="S9" s="13"/>
      <c r="T9" s="213"/>
      <c r="U9" s="13"/>
    </row>
    <row r="10" customFormat="1" spans="1:21">
      <c r="A10" s="13" t="s">
        <v>2359</v>
      </c>
      <c r="B10" s="224">
        <v>28.2</v>
      </c>
      <c r="C10" s="224">
        <v>67.61</v>
      </c>
      <c r="D10" s="224">
        <v>59.29</v>
      </c>
      <c r="E10" s="224">
        <v>7.48</v>
      </c>
      <c r="F10" s="224">
        <v>3.71</v>
      </c>
      <c r="G10" s="224">
        <v>32.64</v>
      </c>
      <c r="H10" s="224">
        <v>11.19</v>
      </c>
      <c r="I10" s="224">
        <v>3.52</v>
      </c>
      <c r="J10" s="224">
        <v>1.13</v>
      </c>
      <c r="K10" s="224">
        <v>48.2</v>
      </c>
      <c r="L10" s="224">
        <v>23.31</v>
      </c>
      <c r="M10" s="224">
        <v>79.04</v>
      </c>
      <c r="N10" s="224">
        <v>0</v>
      </c>
      <c r="O10" s="224">
        <v>0</v>
      </c>
      <c r="P10" s="224">
        <v>0.45</v>
      </c>
      <c r="Q10" s="224">
        <v>8.26</v>
      </c>
      <c r="R10" s="13"/>
      <c r="S10" s="13"/>
      <c r="T10" s="213"/>
      <c r="U10" s="13"/>
    </row>
    <row r="11" customFormat="1" spans="1:21">
      <c r="A11" s="13" t="s">
        <v>2360</v>
      </c>
      <c r="B11" s="224">
        <v>28.94</v>
      </c>
      <c r="C11" s="224">
        <v>67.87</v>
      </c>
      <c r="D11" s="224">
        <v>60.01</v>
      </c>
      <c r="E11" s="224">
        <v>7.51</v>
      </c>
      <c r="F11" s="224">
        <v>3.6</v>
      </c>
      <c r="G11" s="224">
        <v>32.64</v>
      </c>
      <c r="H11" s="224">
        <v>11.19</v>
      </c>
      <c r="I11" s="224">
        <v>3.52</v>
      </c>
      <c r="J11" s="224">
        <v>1.9</v>
      </c>
      <c r="K11" s="224">
        <v>55.16</v>
      </c>
      <c r="L11" s="224">
        <v>22.92</v>
      </c>
      <c r="M11" s="224">
        <v>76.64</v>
      </c>
      <c r="N11" s="224">
        <v>0</v>
      </c>
      <c r="O11" s="224">
        <v>0</v>
      </c>
      <c r="P11" s="224">
        <v>0.44</v>
      </c>
      <c r="Q11" s="224">
        <v>8.34</v>
      </c>
      <c r="R11" s="13"/>
      <c r="S11" s="13"/>
      <c r="T11" s="213"/>
      <c r="U11" s="13"/>
    </row>
    <row r="12" customFormat="1" spans="1:21">
      <c r="A12" s="13" t="s">
        <v>2361</v>
      </c>
      <c r="B12" s="224">
        <v>29.21</v>
      </c>
      <c r="C12" s="224">
        <v>69.42</v>
      </c>
      <c r="D12" s="224">
        <v>61.04</v>
      </c>
      <c r="E12" s="224">
        <v>7.75</v>
      </c>
      <c r="F12" s="224">
        <v>3.54</v>
      </c>
      <c r="G12" s="224">
        <v>29.15</v>
      </c>
      <c r="H12" s="224">
        <v>9.08</v>
      </c>
      <c r="I12" s="224">
        <v>3.51</v>
      </c>
      <c r="J12" s="224">
        <v>1.68</v>
      </c>
      <c r="K12" s="224">
        <v>53.13</v>
      </c>
      <c r="L12" s="224">
        <v>22.69</v>
      </c>
      <c r="M12" s="224">
        <v>76.94</v>
      </c>
      <c r="N12" s="224">
        <v>0</v>
      </c>
      <c r="O12" s="224">
        <v>0</v>
      </c>
      <c r="P12" s="224">
        <v>0.46</v>
      </c>
      <c r="Q12" s="224">
        <v>8.41</v>
      </c>
      <c r="R12" s="13"/>
      <c r="S12" s="13"/>
      <c r="T12" s="213"/>
      <c r="U12" s="13"/>
    </row>
    <row r="13" customFormat="1" spans="1:21">
      <c r="A13" s="13" t="s">
        <v>2362</v>
      </c>
      <c r="B13" s="224">
        <v>29.91</v>
      </c>
      <c r="C13" s="224">
        <v>64.31</v>
      </c>
      <c r="D13" s="224">
        <v>58.93</v>
      </c>
      <c r="E13" s="224">
        <v>7.55</v>
      </c>
      <c r="F13" s="224">
        <v>4.21</v>
      </c>
      <c r="G13" s="224">
        <v>28.98</v>
      </c>
      <c r="H13" s="224">
        <v>9.08</v>
      </c>
      <c r="I13" s="224">
        <v>3.47</v>
      </c>
      <c r="J13" s="224">
        <v>1.57</v>
      </c>
      <c r="K13" s="224">
        <v>54.65</v>
      </c>
      <c r="L13" s="224">
        <v>22.58</v>
      </c>
      <c r="M13" s="224">
        <v>75.54</v>
      </c>
      <c r="N13" s="224">
        <v>0</v>
      </c>
      <c r="O13" s="224">
        <v>0</v>
      </c>
      <c r="P13" s="224">
        <v>0.42</v>
      </c>
      <c r="Q13" s="224">
        <v>8.2</v>
      </c>
      <c r="R13" s="13"/>
      <c r="S13" s="13"/>
      <c r="T13" s="213"/>
      <c r="U13" s="13"/>
    </row>
    <row r="14" customFormat="1" spans="1:21">
      <c r="A14" s="13" t="s">
        <v>2363</v>
      </c>
      <c r="B14" s="224">
        <v>29.88</v>
      </c>
      <c r="C14" s="224">
        <v>60.44</v>
      </c>
      <c r="D14" s="224">
        <v>56.89</v>
      </c>
      <c r="E14" s="224">
        <v>6.74</v>
      </c>
      <c r="F14" s="224">
        <v>4.07</v>
      </c>
      <c r="G14" s="224">
        <v>28.98</v>
      </c>
      <c r="H14" s="224">
        <v>9.08</v>
      </c>
      <c r="I14" s="224">
        <v>3.43</v>
      </c>
      <c r="J14" s="224">
        <v>1.64</v>
      </c>
      <c r="K14" s="224">
        <v>54.53</v>
      </c>
      <c r="L14" s="224">
        <v>22.52</v>
      </c>
      <c r="M14" s="224">
        <v>74.6</v>
      </c>
      <c r="N14" s="224">
        <v>0</v>
      </c>
      <c r="O14" s="224">
        <v>0</v>
      </c>
      <c r="P14" s="224">
        <v>0.4</v>
      </c>
      <c r="Q14" s="224">
        <v>7.92</v>
      </c>
      <c r="R14" s="13"/>
      <c r="S14" s="13"/>
      <c r="T14" s="213"/>
      <c r="U14" s="13"/>
    </row>
    <row r="15" customFormat="1" spans="1:21">
      <c r="A15" s="13" t="s">
        <v>2364</v>
      </c>
      <c r="B15" s="224">
        <v>29.68</v>
      </c>
      <c r="C15" s="224">
        <v>61.75</v>
      </c>
      <c r="D15" s="224">
        <v>57.42</v>
      </c>
      <c r="E15" s="224">
        <v>6.84</v>
      </c>
      <c r="F15" s="224">
        <v>3.78</v>
      </c>
      <c r="G15" s="224">
        <v>28.98</v>
      </c>
      <c r="H15" s="224">
        <v>9.08</v>
      </c>
      <c r="I15" s="224">
        <v>3.39</v>
      </c>
      <c r="J15" s="224">
        <v>1.44</v>
      </c>
      <c r="K15" s="224">
        <v>59.81</v>
      </c>
      <c r="L15" s="224">
        <v>22.59</v>
      </c>
      <c r="M15" s="224">
        <v>73.2</v>
      </c>
      <c r="N15" s="224">
        <v>0</v>
      </c>
      <c r="O15" s="224">
        <v>0</v>
      </c>
      <c r="P15" s="224">
        <v>0.4</v>
      </c>
      <c r="Q15" s="224">
        <v>7.92</v>
      </c>
      <c r="R15" s="13"/>
      <c r="S15" s="13"/>
      <c r="T15" s="213"/>
      <c r="U15" s="13"/>
    </row>
    <row r="16" customFormat="1" spans="1:21">
      <c r="A16" s="13" t="s">
        <v>2365</v>
      </c>
      <c r="B16" s="224">
        <v>29.41</v>
      </c>
      <c r="C16" s="224">
        <v>64.83</v>
      </c>
      <c r="D16" s="224">
        <v>58.81</v>
      </c>
      <c r="E16" s="224">
        <v>7.11</v>
      </c>
      <c r="F16" s="224">
        <v>3.61</v>
      </c>
      <c r="G16" s="224">
        <v>25.35</v>
      </c>
      <c r="H16" s="224">
        <v>10.35</v>
      </c>
      <c r="I16" s="224">
        <v>3.4</v>
      </c>
      <c r="J16" s="224">
        <v>1.27</v>
      </c>
      <c r="K16" s="224">
        <v>65.91</v>
      </c>
      <c r="L16" s="224">
        <v>22.69</v>
      </c>
      <c r="M16" s="224">
        <v>72.17</v>
      </c>
      <c r="N16" s="224">
        <v>0</v>
      </c>
      <c r="O16" s="224">
        <v>0</v>
      </c>
      <c r="P16" s="224">
        <v>0.41</v>
      </c>
      <c r="Q16" s="224">
        <v>7.98</v>
      </c>
      <c r="R16" s="13"/>
      <c r="S16" s="13"/>
      <c r="T16" s="213"/>
      <c r="U16" s="13"/>
    </row>
    <row r="17" customFormat="1" spans="1:21">
      <c r="A17" s="13" t="s">
        <v>2366</v>
      </c>
      <c r="B17" s="224">
        <v>29.27</v>
      </c>
      <c r="C17" s="224">
        <v>64.26</v>
      </c>
      <c r="D17" s="224">
        <v>58.4</v>
      </c>
      <c r="E17" s="224">
        <v>5.93</v>
      </c>
      <c r="F17" s="224">
        <v>3.67</v>
      </c>
      <c r="G17" s="224">
        <v>25.18</v>
      </c>
      <c r="H17" s="224">
        <v>10.35</v>
      </c>
      <c r="I17" s="224">
        <v>3.39</v>
      </c>
      <c r="J17" s="224">
        <v>1.29</v>
      </c>
      <c r="K17" s="224">
        <v>62.1</v>
      </c>
      <c r="L17" s="224">
        <v>22.55</v>
      </c>
      <c r="M17" s="224">
        <v>72.43</v>
      </c>
      <c r="N17" s="224">
        <v>0</v>
      </c>
      <c r="O17" s="224">
        <v>0</v>
      </c>
      <c r="P17" s="224">
        <v>0.41</v>
      </c>
      <c r="Q17" s="224">
        <v>7.88</v>
      </c>
      <c r="R17" s="13"/>
      <c r="S17" s="13"/>
      <c r="T17" s="213"/>
      <c r="U17" s="13"/>
    </row>
    <row r="18" customFormat="1" spans="1:21">
      <c r="A18" s="13" t="s">
        <v>2367</v>
      </c>
      <c r="B18" s="224">
        <v>29.21</v>
      </c>
      <c r="C18" s="224">
        <v>63.09</v>
      </c>
      <c r="D18" s="224">
        <v>57.74</v>
      </c>
      <c r="E18" s="224">
        <v>6.95</v>
      </c>
      <c r="F18" s="224">
        <v>3.8</v>
      </c>
      <c r="G18" s="224">
        <v>25.18</v>
      </c>
      <c r="H18" s="224">
        <v>10.35</v>
      </c>
      <c r="I18" s="224">
        <v>3.36</v>
      </c>
      <c r="J18" s="224">
        <v>1.46</v>
      </c>
      <c r="K18" s="224">
        <v>63.19</v>
      </c>
      <c r="L18" s="224">
        <v>22.49</v>
      </c>
      <c r="M18" s="224">
        <v>72.48</v>
      </c>
      <c r="N18" s="224">
        <v>0</v>
      </c>
      <c r="O18" s="224">
        <v>0</v>
      </c>
      <c r="P18" s="224">
        <v>0.4</v>
      </c>
      <c r="Q18" s="224">
        <v>7.88</v>
      </c>
      <c r="R18" s="13"/>
      <c r="S18" s="13"/>
      <c r="T18" s="213"/>
      <c r="U18" s="13"/>
    </row>
    <row r="19" customFormat="1" spans="1:21">
      <c r="A19" s="13" t="s">
        <v>2368</v>
      </c>
      <c r="B19" s="224">
        <v>28.49</v>
      </c>
      <c r="C19" s="224">
        <v>65.91</v>
      </c>
      <c r="D19" s="224">
        <v>58.63</v>
      </c>
      <c r="E19" s="224">
        <v>7.11</v>
      </c>
      <c r="F19" s="224">
        <v>3.65</v>
      </c>
      <c r="G19" s="224">
        <v>25.18</v>
      </c>
      <c r="H19" s="224">
        <v>10.35</v>
      </c>
      <c r="I19" s="224">
        <v>3.37</v>
      </c>
      <c r="J19" s="224">
        <v>1.2</v>
      </c>
      <c r="K19" s="224">
        <v>66.02</v>
      </c>
      <c r="L19" s="224">
        <v>22.46</v>
      </c>
      <c r="M19" s="224">
        <v>72.44</v>
      </c>
      <c r="N19" s="224">
        <v>0</v>
      </c>
      <c r="O19" s="224">
        <v>0</v>
      </c>
      <c r="P19" s="224">
        <v>0.41</v>
      </c>
      <c r="Q19" s="224">
        <v>7.95</v>
      </c>
      <c r="R19" s="13"/>
      <c r="S19" s="13"/>
      <c r="T19" s="213"/>
      <c r="U19" s="13"/>
    </row>
    <row r="20" customFormat="1" spans="1:21">
      <c r="A20" s="13" t="s">
        <v>2369</v>
      </c>
      <c r="B20" s="224">
        <v>28.2</v>
      </c>
      <c r="C20" s="224">
        <v>65.44</v>
      </c>
      <c r="D20" s="224">
        <v>58.15</v>
      </c>
      <c r="E20" s="224">
        <v>7.33</v>
      </c>
      <c r="F20" s="224">
        <v>3.71</v>
      </c>
      <c r="G20" s="224">
        <v>24.44</v>
      </c>
      <c r="H20" s="224">
        <v>9.61</v>
      </c>
      <c r="I20" s="224">
        <v>3.38</v>
      </c>
      <c r="J20" s="224">
        <v>1.09</v>
      </c>
      <c r="K20" s="224">
        <v>69.39</v>
      </c>
      <c r="L20" s="224">
        <v>22.39</v>
      </c>
      <c r="M20" s="224">
        <v>73.56</v>
      </c>
      <c r="N20" s="224">
        <v>0</v>
      </c>
      <c r="O20" s="224">
        <v>0</v>
      </c>
      <c r="P20" s="224">
        <v>0.41</v>
      </c>
      <c r="Q20" s="224">
        <v>7.92</v>
      </c>
      <c r="R20" s="13"/>
      <c r="S20" s="13"/>
      <c r="T20" s="213"/>
      <c r="U20" s="13"/>
    </row>
    <row r="21" customFormat="1" spans="1:21">
      <c r="A21" s="13" t="s">
        <v>2370</v>
      </c>
      <c r="B21" s="224">
        <v>28.06</v>
      </c>
      <c r="C21" s="224">
        <v>63.76</v>
      </c>
      <c r="D21" s="224">
        <v>57.17</v>
      </c>
      <c r="E21" s="224">
        <v>7.02</v>
      </c>
      <c r="F21" s="224">
        <v>3.91</v>
      </c>
      <c r="G21" s="224">
        <v>24.41</v>
      </c>
      <c r="H21" s="224">
        <v>9.61</v>
      </c>
      <c r="I21" s="224">
        <v>3.34</v>
      </c>
      <c r="J21" s="224">
        <v>0.85</v>
      </c>
      <c r="K21" s="224">
        <v>59.04</v>
      </c>
      <c r="L21" s="224">
        <v>22.22</v>
      </c>
      <c r="M21" s="224">
        <v>74.71</v>
      </c>
      <c r="N21" s="224">
        <v>0</v>
      </c>
      <c r="O21" s="224">
        <v>0</v>
      </c>
      <c r="P21" s="224">
        <v>0.41</v>
      </c>
      <c r="Q21" s="224">
        <v>7.83</v>
      </c>
      <c r="R21" s="13"/>
      <c r="S21" s="13"/>
      <c r="T21" s="213"/>
      <c r="U21" s="13"/>
    </row>
    <row r="22" customFormat="1" spans="1:21">
      <c r="A22" s="13" t="s">
        <v>2371</v>
      </c>
      <c r="B22" s="224">
        <v>28</v>
      </c>
      <c r="C22" s="224">
        <v>66.22</v>
      </c>
      <c r="D22" s="224">
        <v>58.41</v>
      </c>
      <c r="E22" s="224">
        <v>7.66</v>
      </c>
      <c r="F22" s="224">
        <v>3.51</v>
      </c>
      <c r="G22" s="224">
        <v>24.41</v>
      </c>
      <c r="H22" s="224">
        <v>9.61</v>
      </c>
      <c r="I22" s="224">
        <v>3.34</v>
      </c>
      <c r="J22" s="224">
        <v>0.76</v>
      </c>
      <c r="K22" s="224">
        <v>59.45</v>
      </c>
      <c r="L22" s="224">
        <v>22.14</v>
      </c>
      <c r="M22" s="224">
        <v>75.24</v>
      </c>
      <c r="N22" s="224">
        <v>0</v>
      </c>
      <c r="O22" s="224">
        <v>0</v>
      </c>
      <c r="P22" s="224">
        <v>0.42</v>
      </c>
      <c r="Q22" s="224">
        <v>7.94</v>
      </c>
      <c r="R22" s="13"/>
      <c r="S22" s="13"/>
      <c r="T22" s="213"/>
      <c r="U22" s="13"/>
    </row>
    <row r="23" customFormat="1" spans="1:21">
      <c r="A23" s="13" t="s">
        <v>2372</v>
      </c>
      <c r="B23" s="224">
        <v>28.11</v>
      </c>
      <c r="C23" s="224">
        <v>65.27</v>
      </c>
      <c r="D23" s="224">
        <v>58</v>
      </c>
      <c r="E23" s="224">
        <v>7.16</v>
      </c>
      <c r="F23" s="224">
        <v>3.66</v>
      </c>
      <c r="G23" s="224">
        <v>24.41</v>
      </c>
      <c r="H23" s="224">
        <v>9.61</v>
      </c>
      <c r="I23" s="224">
        <v>3.36</v>
      </c>
      <c r="J23" s="224">
        <v>0.79</v>
      </c>
      <c r="K23" s="224">
        <v>65.82</v>
      </c>
      <c r="L23" s="224">
        <v>22.06</v>
      </c>
      <c r="M23" s="224">
        <v>76.37</v>
      </c>
      <c r="N23" s="224">
        <v>0</v>
      </c>
      <c r="O23" s="224">
        <v>0</v>
      </c>
      <c r="P23" s="224">
        <v>0.42</v>
      </c>
      <c r="Q23" s="224">
        <v>7.89</v>
      </c>
      <c r="R23" s="13"/>
      <c r="S23" s="13"/>
      <c r="T23" s="213"/>
      <c r="U23" s="13"/>
    </row>
    <row r="24" customFormat="1" spans="1:21">
      <c r="A24" s="13" t="s">
        <v>2373</v>
      </c>
      <c r="B24" s="224">
        <v>28.55</v>
      </c>
      <c r="C24" s="224">
        <v>66.42</v>
      </c>
      <c r="D24" s="224">
        <v>58.95</v>
      </c>
      <c r="E24" s="224">
        <v>7.03</v>
      </c>
      <c r="F24" s="224">
        <v>3.58</v>
      </c>
      <c r="G24" s="224">
        <v>24.81</v>
      </c>
      <c r="H24" s="224">
        <v>9.71</v>
      </c>
      <c r="I24" s="224">
        <v>3.34</v>
      </c>
      <c r="J24" s="224">
        <v>1.18</v>
      </c>
      <c r="K24" s="224">
        <v>58.11</v>
      </c>
      <c r="L24" s="224">
        <v>21.97</v>
      </c>
      <c r="M24" s="224">
        <v>76.43</v>
      </c>
      <c r="N24" s="224">
        <v>0</v>
      </c>
      <c r="O24" s="224">
        <v>0</v>
      </c>
      <c r="P24" s="224">
        <v>0.43</v>
      </c>
      <c r="Q24" s="224">
        <v>7.96</v>
      </c>
      <c r="R24" s="13"/>
      <c r="S24" s="13"/>
      <c r="T24" s="213"/>
      <c r="U24" s="13"/>
    </row>
    <row r="25" customFormat="1" spans="1:21">
      <c r="A25" s="13" t="s">
        <v>2374</v>
      </c>
      <c r="B25" s="224">
        <v>29.1</v>
      </c>
      <c r="C25" s="224">
        <v>63.47</v>
      </c>
      <c r="D25" s="224">
        <v>57.85</v>
      </c>
      <c r="E25" s="224">
        <v>7.31</v>
      </c>
      <c r="F25" s="224">
        <v>3.92</v>
      </c>
      <c r="G25" s="224">
        <v>24.83</v>
      </c>
      <c r="H25" s="224">
        <v>9.71</v>
      </c>
      <c r="I25" s="224">
        <v>3.36</v>
      </c>
      <c r="J25" s="224">
        <v>1.03</v>
      </c>
      <c r="K25" s="224">
        <v>60.96</v>
      </c>
      <c r="L25" s="224">
        <v>21.89</v>
      </c>
      <c r="M25" s="224">
        <v>76.46</v>
      </c>
      <c r="N25" s="224">
        <v>0</v>
      </c>
      <c r="O25" s="224">
        <v>0</v>
      </c>
      <c r="P25" s="224">
        <v>0.41</v>
      </c>
      <c r="Q25" s="224">
        <v>7.93</v>
      </c>
      <c r="R25" s="13"/>
      <c r="S25" s="13"/>
      <c r="T25" s="213"/>
      <c r="U25" s="13"/>
    </row>
    <row r="26" customFormat="1" spans="1:21">
      <c r="A26" s="13" t="s">
        <v>2375</v>
      </c>
      <c r="B26" s="224">
        <v>29.28</v>
      </c>
      <c r="C26" s="224">
        <v>65.89</v>
      </c>
      <c r="D26" s="224">
        <v>59.25</v>
      </c>
      <c r="E26" s="224">
        <v>6.76</v>
      </c>
      <c r="F26" s="224">
        <v>3.67</v>
      </c>
      <c r="G26" s="224">
        <v>24.83</v>
      </c>
      <c r="H26" s="224">
        <v>9.71</v>
      </c>
      <c r="I26" s="224">
        <v>3.42</v>
      </c>
      <c r="J26" s="224">
        <v>0.9</v>
      </c>
      <c r="K26" s="224">
        <v>53.13</v>
      </c>
      <c r="L26" s="224">
        <v>21.83</v>
      </c>
      <c r="M26" s="224">
        <v>76.94</v>
      </c>
      <c r="N26" s="224">
        <v>0</v>
      </c>
      <c r="O26" s="224">
        <v>0</v>
      </c>
      <c r="P26" s="224">
        <v>0.43</v>
      </c>
      <c r="Q26" s="224">
        <v>7.92</v>
      </c>
      <c r="R26" s="13"/>
      <c r="S26" s="13"/>
      <c r="T26" s="213"/>
      <c r="U26" s="13"/>
    </row>
    <row r="27" customFormat="1" spans="1:21">
      <c r="A27" s="13" t="s">
        <v>2376</v>
      </c>
      <c r="B27" s="224">
        <v>30.08</v>
      </c>
      <c r="C27" s="224">
        <v>62.92</v>
      </c>
      <c r="D27" s="224">
        <v>58.34</v>
      </c>
      <c r="E27" s="224">
        <v>6.98</v>
      </c>
      <c r="F27" s="224">
        <v>3.78</v>
      </c>
      <c r="G27" s="224">
        <v>24.83</v>
      </c>
      <c r="H27" s="224">
        <v>9.71</v>
      </c>
      <c r="I27" s="224">
        <v>3.41</v>
      </c>
      <c r="J27" s="224">
        <v>0.93</v>
      </c>
      <c r="K27" s="224">
        <v>61.68</v>
      </c>
      <c r="L27" s="224">
        <v>21.72</v>
      </c>
      <c r="M27" s="224">
        <v>77.84</v>
      </c>
      <c r="N27" s="224">
        <v>0</v>
      </c>
      <c r="O27" s="224">
        <v>0</v>
      </c>
      <c r="P27" s="224">
        <v>0.41</v>
      </c>
      <c r="Q27" s="224">
        <v>7.86</v>
      </c>
      <c r="R27" s="13"/>
      <c r="S27" s="13"/>
      <c r="T27" s="213"/>
      <c r="U27" s="13"/>
    </row>
    <row r="28" customFormat="1" spans="1:21">
      <c r="A28" s="13" t="s">
        <v>2377</v>
      </c>
      <c r="B28" s="224">
        <v>30.61</v>
      </c>
      <c r="C28" s="224">
        <v>67.16</v>
      </c>
      <c r="D28" s="224">
        <v>60.99</v>
      </c>
      <c r="E28" s="224">
        <v>6.76</v>
      </c>
      <c r="F28" s="224">
        <v>3.51</v>
      </c>
      <c r="G28" s="224">
        <v>28.72</v>
      </c>
      <c r="H28" s="224">
        <v>11.35</v>
      </c>
      <c r="I28" s="224">
        <v>3.45</v>
      </c>
      <c r="J28" s="224">
        <v>1.06</v>
      </c>
      <c r="K28" s="224">
        <v>49.12</v>
      </c>
      <c r="L28" s="224">
        <v>21.69</v>
      </c>
      <c r="M28" s="224">
        <v>78.08</v>
      </c>
      <c r="N28" s="224">
        <v>0</v>
      </c>
      <c r="O28" s="224">
        <v>0</v>
      </c>
      <c r="P28" s="224">
        <v>0.42</v>
      </c>
      <c r="Q28" s="224">
        <v>8.09</v>
      </c>
      <c r="R28" s="13"/>
      <c r="S28" s="13"/>
      <c r="T28" s="213"/>
      <c r="U28" s="13"/>
    </row>
    <row r="29" customFormat="1" spans="1:21">
      <c r="A29" s="13" t="s">
        <v>2378</v>
      </c>
      <c r="B29" s="224">
        <v>31.38</v>
      </c>
      <c r="C29" s="224">
        <v>66.96</v>
      </c>
      <c r="D29" s="224">
        <v>61.5</v>
      </c>
      <c r="E29" s="224">
        <v>7.16</v>
      </c>
      <c r="F29" s="224">
        <v>3.43</v>
      </c>
      <c r="G29" s="224">
        <v>28.9</v>
      </c>
      <c r="H29" s="224">
        <v>11.35</v>
      </c>
      <c r="I29" s="224">
        <v>3.51</v>
      </c>
      <c r="J29" s="224">
        <v>0.97</v>
      </c>
      <c r="K29" s="224">
        <v>56.79</v>
      </c>
      <c r="L29" s="224">
        <v>21.7</v>
      </c>
      <c r="M29" s="224">
        <v>77.94</v>
      </c>
      <c r="N29" s="224">
        <v>0</v>
      </c>
      <c r="O29" s="224">
        <v>0</v>
      </c>
      <c r="P29" s="224">
        <v>0.44</v>
      </c>
      <c r="Q29" s="224">
        <v>8.15</v>
      </c>
      <c r="R29" s="13"/>
      <c r="S29" s="13"/>
      <c r="T29" s="213"/>
      <c r="U29" s="13"/>
    </row>
    <row r="30" customFormat="1" spans="1:21">
      <c r="A30" s="13" t="s">
        <v>2379</v>
      </c>
      <c r="B30" s="224">
        <v>32.15</v>
      </c>
      <c r="C30" s="224">
        <v>65.26</v>
      </c>
      <c r="D30" s="224">
        <v>61.23</v>
      </c>
      <c r="E30" s="224">
        <v>7.24</v>
      </c>
      <c r="F30" s="224">
        <v>3.76</v>
      </c>
      <c r="G30" s="224">
        <v>28.9</v>
      </c>
      <c r="H30" s="224">
        <v>11.35</v>
      </c>
      <c r="I30" s="224">
        <v>3.49</v>
      </c>
      <c r="J30" s="224">
        <v>0.94</v>
      </c>
      <c r="K30" s="224">
        <v>54.99</v>
      </c>
      <c r="L30" s="224">
        <v>21.67</v>
      </c>
      <c r="M30" s="224">
        <v>78.1</v>
      </c>
      <c r="N30" s="224">
        <v>0</v>
      </c>
      <c r="O30" s="224">
        <v>0</v>
      </c>
      <c r="P30" s="224">
        <v>0.43</v>
      </c>
      <c r="Q30" s="224">
        <v>8.15</v>
      </c>
      <c r="R30" s="13"/>
      <c r="S30" s="13"/>
      <c r="T30" s="213"/>
      <c r="U30" s="13"/>
    </row>
    <row r="31" customFormat="1" spans="1:21">
      <c r="A31" s="13" t="s">
        <v>2380</v>
      </c>
      <c r="B31" s="224">
        <v>32.74</v>
      </c>
      <c r="C31" s="224">
        <v>65.58</v>
      </c>
      <c r="D31" s="224">
        <v>61.87</v>
      </c>
      <c r="E31" s="224">
        <v>6.72</v>
      </c>
      <c r="F31" s="224">
        <v>3.67</v>
      </c>
      <c r="G31" s="224">
        <v>28.9</v>
      </c>
      <c r="H31" s="224">
        <v>11.35</v>
      </c>
      <c r="I31" s="224">
        <v>3.5</v>
      </c>
      <c r="J31" s="224">
        <v>0.69</v>
      </c>
      <c r="K31" s="224">
        <v>75.61</v>
      </c>
      <c r="L31" s="224">
        <v>21.78</v>
      </c>
      <c r="M31" s="224">
        <v>77.24</v>
      </c>
      <c r="N31" s="224">
        <v>1.7</v>
      </c>
      <c r="O31" s="224">
        <v>0</v>
      </c>
      <c r="P31" s="224">
        <v>0.44</v>
      </c>
      <c r="Q31" s="224">
        <v>8.23</v>
      </c>
      <c r="R31" s="13"/>
      <c r="S31" s="13"/>
      <c r="T31" s="213"/>
      <c r="U31" s="13"/>
    </row>
    <row r="32" customFormat="1" spans="1:21">
      <c r="A32" s="13" t="s">
        <v>2381</v>
      </c>
      <c r="B32" s="224">
        <v>32.82</v>
      </c>
      <c r="C32" s="224">
        <v>67.44</v>
      </c>
      <c r="D32" s="224">
        <v>62.9</v>
      </c>
      <c r="E32" s="224">
        <v>7.22</v>
      </c>
      <c r="F32" s="224">
        <v>3.51</v>
      </c>
      <c r="G32" s="224">
        <v>27.96</v>
      </c>
      <c r="H32" s="224">
        <v>13.53</v>
      </c>
      <c r="I32" s="224">
        <v>3.55</v>
      </c>
      <c r="J32" s="224">
        <v>0.24</v>
      </c>
      <c r="K32" s="224">
        <v>106.68</v>
      </c>
      <c r="L32" s="224">
        <v>22.04</v>
      </c>
      <c r="M32" s="224">
        <v>77.05</v>
      </c>
      <c r="N32" s="224">
        <v>9.8</v>
      </c>
      <c r="O32" s="224">
        <v>0</v>
      </c>
      <c r="P32" s="224">
        <v>0.45</v>
      </c>
      <c r="Q32" s="224">
        <v>8.26</v>
      </c>
      <c r="R32" s="13"/>
      <c r="S32" s="13"/>
      <c r="T32" s="213"/>
      <c r="U32" s="13"/>
    </row>
    <row r="33" customFormat="1" spans="1:21">
      <c r="A33" s="13" t="s">
        <v>2382</v>
      </c>
      <c r="B33" s="224">
        <v>32.76</v>
      </c>
      <c r="C33" s="224">
        <v>71.51</v>
      </c>
      <c r="D33" s="224">
        <v>64.99</v>
      </c>
      <c r="E33" s="224">
        <v>7.06</v>
      </c>
      <c r="F33" s="224">
        <v>3.3</v>
      </c>
      <c r="G33" s="224">
        <v>27.92</v>
      </c>
      <c r="H33" s="224">
        <v>13.53</v>
      </c>
      <c r="I33" s="224">
        <v>3.57</v>
      </c>
      <c r="J33" s="224">
        <v>0.4</v>
      </c>
      <c r="K33" s="224">
        <v>91.12</v>
      </c>
      <c r="L33" s="224">
        <v>22.26</v>
      </c>
      <c r="M33" s="224">
        <v>75.89</v>
      </c>
      <c r="N33" s="224">
        <v>31.7</v>
      </c>
      <c r="O33" s="224">
        <v>0</v>
      </c>
      <c r="P33" s="224">
        <v>0.46</v>
      </c>
      <c r="Q33" s="224">
        <v>8.6</v>
      </c>
      <c r="R33" s="13"/>
      <c r="S33" s="13"/>
      <c r="T33" s="213"/>
      <c r="U33" s="13"/>
    </row>
    <row r="34" customFormat="1" spans="1:21">
      <c r="A34" s="13" t="s">
        <v>2383</v>
      </c>
      <c r="B34" s="224">
        <v>32.51</v>
      </c>
      <c r="C34" s="224">
        <v>71.14</v>
      </c>
      <c r="D34" s="224">
        <v>64.59</v>
      </c>
      <c r="E34" s="224">
        <v>7.26</v>
      </c>
      <c r="F34" s="224">
        <v>3.68</v>
      </c>
      <c r="G34" s="224">
        <v>27.92</v>
      </c>
      <c r="H34" s="224">
        <v>13.53</v>
      </c>
      <c r="I34" s="224">
        <v>3.64</v>
      </c>
      <c r="J34" s="224">
        <v>1.05</v>
      </c>
      <c r="K34" s="224">
        <v>61.18</v>
      </c>
      <c r="L34" s="224">
        <v>22.63</v>
      </c>
      <c r="M34" s="224">
        <v>72.91</v>
      </c>
      <c r="N34" s="224">
        <v>71.3</v>
      </c>
      <c r="O34" s="224">
        <v>0</v>
      </c>
      <c r="P34" s="224">
        <v>0.46</v>
      </c>
      <c r="Q34" s="224">
        <v>8.67</v>
      </c>
      <c r="R34" s="13"/>
      <c r="S34" s="13"/>
      <c r="T34" s="213"/>
      <c r="U34" s="13"/>
    </row>
    <row r="35" customFormat="1" spans="1:21">
      <c r="A35" s="13" t="s">
        <v>2384</v>
      </c>
      <c r="B35" s="224">
        <v>32.31</v>
      </c>
      <c r="C35" s="224">
        <v>70.54</v>
      </c>
      <c r="D35" s="224">
        <v>64.11</v>
      </c>
      <c r="E35" s="224">
        <v>6.98</v>
      </c>
      <c r="F35" s="224">
        <v>3.77</v>
      </c>
      <c r="G35" s="224">
        <v>27.92</v>
      </c>
      <c r="H35" s="224">
        <v>13.53</v>
      </c>
      <c r="I35" s="224">
        <v>3.7</v>
      </c>
      <c r="J35" s="224">
        <v>0.96</v>
      </c>
      <c r="K35" s="224">
        <v>67.72</v>
      </c>
      <c r="L35" s="224">
        <v>22.81</v>
      </c>
      <c r="M35" s="224">
        <v>71.79</v>
      </c>
      <c r="N35" s="224">
        <v>67.6</v>
      </c>
      <c r="O35" s="224">
        <v>0</v>
      </c>
      <c r="P35" s="224">
        <v>0.47</v>
      </c>
      <c r="Q35" s="224">
        <v>8.67</v>
      </c>
      <c r="R35" s="13"/>
      <c r="S35" s="13"/>
      <c r="T35" s="213"/>
      <c r="U35" s="13"/>
    </row>
    <row r="36" customFormat="1" spans="1:21">
      <c r="A36" s="13" t="s">
        <v>2385</v>
      </c>
      <c r="B36" s="224">
        <v>32.09</v>
      </c>
      <c r="C36" s="224">
        <v>70.76</v>
      </c>
      <c r="D36" s="224">
        <v>64.06</v>
      </c>
      <c r="E36" s="224">
        <v>6.94</v>
      </c>
      <c r="F36" s="224">
        <v>3.67</v>
      </c>
      <c r="G36" s="224">
        <v>33.08</v>
      </c>
      <c r="H36" s="224">
        <v>13.65</v>
      </c>
      <c r="I36" s="224">
        <v>3.69</v>
      </c>
      <c r="J36" s="224">
        <v>1.18</v>
      </c>
      <c r="K36" s="224">
        <v>61.94</v>
      </c>
      <c r="L36" s="224">
        <v>22.76</v>
      </c>
      <c r="M36" s="224">
        <v>71.84</v>
      </c>
      <c r="N36" s="224">
        <v>58.4</v>
      </c>
      <c r="O36" s="224">
        <v>0</v>
      </c>
      <c r="P36" s="224">
        <v>0.47</v>
      </c>
      <c r="Q36" s="224">
        <v>8.64</v>
      </c>
      <c r="R36" s="13"/>
      <c r="S36" s="13"/>
      <c r="T36" s="213"/>
      <c r="U36" s="13"/>
    </row>
    <row r="37" customFormat="1" spans="1:21">
      <c r="A37" s="13" t="s">
        <v>2386</v>
      </c>
      <c r="B37" s="224">
        <v>32.1</v>
      </c>
      <c r="C37" s="224">
        <v>71.03</v>
      </c>
      <c r="D37" s="224">
        <v>64.2</v>
      </c>
      <c r="E37" s="224">
        <v>7.09</v>
      </c>
      <c r="F37" s="224">
        <v>3.56</v>
      </c>
      <c r="G37" s="224">
        <v>33.32</v>
      </c>
      <c r="H37" s="224">
        <v>13.65</v>
      </c>
      <c r="I37" s="224">
        <v>3.65</v>
      </c>
      <c r="J37" s="224">
        <v>1.27</v>
      </c>
      <c r="K37" s="224">
        <v>58.09</v>
      </c>
      <c r="L37" s="224">
        <v>23.17</v>
      </c>
      <c r="M37" s="224">
        <v>69.81</v>
      </c>
      <c r="N37" s="224">
        <v>116.7</v>
      </c>
      <c r="O37" s="224">
        <v>0</v>
      </c>
      <c r="P37" s="224">
        <v>0.47</v>
      </c>
      <c r="Q37" s="224">
        <v>8.65</v>
      </c>
      <c r="R37" s="13"/>
      <c r="S37" s="13"/>
      <c r="T37" s="213"/>
      <c r="U37" s="13"/>
    </row>
    <row r="38" customFormat="1" spans="1:21">
      <c r="A38" s="13" t="s">
        <v>2387</v>
      </c>
      <c r="B38" s="224">
        <v>32.1</v>
      </c>
      <c r="C38" s="224">
        <v>70.56</v>
      </c>
      <c r="D38" s="224">
        <v>63.95</v>
      </c>
      <c r="E38" s="224">
        <v>7.22</v>
      </c>
      <c r="F38" s="224">
        <v>3.63</v>
      </c>
      <c r="G38" s="224">
        <v>33.32</v>
      </c>
      <c r="H38" s="224">
        <v>13.65</v>
      </c>
      <c r="I38" s="224">
        <v>3.67</v>
      </c>
      <c r="J38" s="224">
        <v>1.19</v>
      </c>
      <c r="K38" s="224">
        <v>63.12</v>
      </c>
      <c r="L38" s="224">
        <v>23.71</v>
      </c>
      <c r="M38" s="224">
        <v>68.12</v>
      </c>
      <c r="N38" s="224">
        <v>117.9</v>
      </c>
      <c r="O38" s="224">
        <v>0</v>
      </c>
      <c r="P38" s="224">
        <v>0.47</v>
      </c>
      <c r="Q38" s="224">
        <v>8.64</v>
      </c>
      <c r="R38" s="13"/>
      <c r="S38" s="13"/>
      <c r="T38" s="213"/>
      <c r="U38" s="13"/>
    </row>
    <row r="39" customFormat="1" spans="1:21">
      <c r="A39" s="13" t="s">
        <v>2388</v>
      </c>
      <c r="B39" s="224">
        <v>31.77</v>
      </c>
      <c r="C39" s="224">
        <v>70.08</v>
      </c>
      <c r="D39" s="224">
        <v>63.44</v>
      </c>
      <c r="E39" s="224">
        <v>6.98</v>
      </c>
      <c r="F39" s="224">
        <v>3.68</v>
      </c>
      <c r="G39" s="224">
        <v>33.32</v>
      </c>
      <c r="H39" s="224">
        <v>13.65</v>
      </c>
      <c r="I39" s="224">
        <v>3.7</v>
      </c>
      <c r="J39" s="224">
        <v>0.93</v>
      </c>
      <c r="K39" s="224">
        <v>73.09</v>
      </c>
      <c r="L39" s="224">
        <v>24.59</v>
      </c>
      <c r="M39" s="224">
        <v>65.03</v>
      </c>
      <c r="N39" s="224">
        <v>112.4</v>
      </c>
      <c r="O39" s="224">
        <v>0</v>
      </c>
      <c r="P39" s="224">
        <v>0.47</v>
      </c>
      <c r="Q39" s="224">
        <v>8.6</v>
      </c>
      <c r="R39" s="13"/>
      <c r="S39" s="13"/>
      <c r="T39" s="213"/>
      <c r="U39" s="13"/>
    </row>
    <row r="40" customFormat="1" spans="1:21">
      <c r="A40" s="13" t="s">
        <v>2389</v>
      </c>
      <c r="B40" s="224">
        <v>30.97</v>
      </c>
      <c r="C40" s="224">
        <v>70.14</v>
      </c>
      <c r="D40" s="224">
        <v>62.84</v>
      </c>
      <c r="E40" s="224">
        <v>7.16</v>
      </c>
      <c r="F40" s="224">
        <v>3.75</v>
      </c>
      <c r="G40" s="224">
        <v>28.22</v>
      </c>
      <c r="H40" s="224">
        <v>12.71</v>
      </c>
      <c r="I40" s="224">
        <v>3.72</v>
      </c>
      <c r="J40" s="224">
        <v>1.12</v>
      </c>
      <c r="K40" s="224">
        <v>66.95</v>
      </c>
      <c r="L40" s="224">
        <v>25.22</v>
      </c>
      <c r="M40" s="224">
        <v>62.14</v>
      </c>
      <c r="N40" s="224">
        <v>136.3</v>
      </c>
      <c r="O40" s="224">
        <v>0</v>
      </c>
      <c r="P40" s="224">
        <v>0.47</v>
      </c>
      <c r="Q40" s="224">
        <v>8.57</v>
      </c>
      <c r="R40" s="13"/>
      <c r="S40" s="13"/>
      <c r="T40" s="213"/>
      <c r="U40" s="13"/>
    </row>
    <row r="41" customFormat="1" spans="1:21">
      <c r="A41" s="13" t="s">
        <v>2390</v>
      </c>
      <c r="B41" s="224">
        <v>30.31</v>
      </c>
      <c r="C41" s="224">
        <v>69.74</v>
      </c>
      <c r="D41" s="224">
        <v>62.09</v>
      </c>
      <c r="E41" s="224">
        <v>6.94</v>
      </c>
      <c r="F41" s="224">
        <v>3.93</v>
      </c>
      <c r="G41" s="224">
        <v>27.99</v>
      </c>
      <c r="H41" s="224">
        <v>12.71</v>
      </c>
      <c r="I41" s="224">
        <v>3.72</v>
      </c>
      <c r="J41" s="224">
        <v>1.2</v>
      </c>
      <c r="K41" s="224">
        <v>61.84</v>
      </c>
      <c r="L41" s="224">
        <v>25.33</v>
      </c>
      <c r="M41" s="224">
        <v>62.39</v>
      </c>
      <c r="N41" s="224">
        <v>207.4</v>
      </c>
      <c r="O41" s="224">
        <v>0</v>
      </c>
      <c r="P41" s="224">
        <v>0.46</v>
      </c>
      <c r="Q41" s="224">
        <v>8.52</v>
      </c>
      <c r="R41" s="13"/>
      <c r="S41" s="13"/>
      <c r="T41" s="213"/>
      <c r="U41" s="13"/>
    </row>
    <row r="42" customFormat="1" spans="1:21">
      <c r="A42" s="13" t="s">
        <v>2391</v>
      </c>
      <c r="B42" s="224">
        <v>29.7</v>
      </c>
      <c r="C42" s="224">
        <v>69.58</v>
      </c>
      <c r="D42" s="224">
        <v>61.52</v>
      </c>
      <c r="E42" s="224">
        <v>6.85</v>
      </c>
      <c r="F42" s="224">
        <v>3.73</v>
      </c>
      <c r="G42" s="224">
        <v>27.99</v>
      </c>
      <c r="H42" s="224">
        <v>12.71</v>
      </c>
      <c r="I42" s="224">
        <v>3.72</v>
      </c>
      <c r="J42" s="224">
        <v>0.7</v>
      </c>
      <c r="K42" s="224">
        <v>78.21</v>
      </c>
      <c r="L42" s="224">
        <v>26.26</v>
      </c>
      <c r="M42" s="224">
        <v>59.82</v>
      </c>
      <c r="N42" s="224">
        <v>267.4</v>
      </c>
      <c r="O42" s="224">
        <v>0</v>
      </c>
      <c r="P42" s="224">
        <v>0.47</v>
      </c>
      <c r="Q42" s="224">
        <v>8.42</v>
      </c>
      <c r="R42" s="13"/>
      <c r="S42" s="13"/>
      <c r="T42" s="213"/>
      <c r="U42" s="13"/>
    </row>
    <row r="43" customFormat="1" spans="1:21">
      <c r="A43" s="13" t="s">
        <v>2392</v>
      </c>
      <c r="B43" s="224">
        <v>29.19</v>
      </c>
      <c r="C43" s="224">
        <v>69.88</v>
      </c>
      <c r="D43" s="224">
        <v>61.27</v>
      </c>
      <c r="E43" s="224">
        <v>6.87</v>
      </c>
      <c r="F43" s="224">
        <v>3.69</v>
      </c>
      <c r="G43" s="224">
        <v>27.99</v>
      </c>
      <c r="H43" s="224">
        <v>12.71</v>
      </c>
      <c r="I43" s="224">
        <v>3.72</v>
      </c>
      <c r="J43" s="224">
        <v>0.77</v>
      </c>
      <c r="K43" s="224">
        <v>81.26</v>
      </c>
      <c r="L43" s="224">
        <v>27.52</v>
      </c>
      <c r="M43" s="224">
        <v>53.85</v>
      </c>
      <c r="N43" s="224">
        <v>377.6</v>
      </c>
      <c r="O43" s="224">
        <v>0</v>
      </c>
      <c r="P43" s="224">
        <v>0.47</v>
      </c>
      <c r="Q43" s="224">
        <v>8.43</v>
      </c>
      <c r="R43" s="13"/>
      <c r="S43" s="13"/>
      <c r="T43" s="213"/>
      <c r="U43" s="13"/>
    </row>
    <row r="44" customFormat="1" spans="1:21">
      <c r="A44" s="13" t="s">
        <v>2393</v>
      </c>
      <c r="B44" s="224">
        <v>28.51</v>
      </c>
      <c r="C44" s="224">
        <v>70.09</v>
      </c>
      <c r="D44" s="224">
        <v>60.83</v>
      </c>
      <c r="E44" s="224">
        <v>6.72</v>
      </c>
      <c r="F44" s="224">
        <v>4.02</v>
      </c>
      <c r="G44" s="224">
        <v>30.64</v>
      </c>
      <c r="H44" s="224">
        <v>10.33</v>
      </c>
      <c r="I44" s="224">
        <v>3.71</v>
      </c>
      <c r="J44" s="224">
        <v>0.57</v>
      </c>
      <c r="K44" s="224">
        <v>89.31</v>
      </c>
      <c r="L44" s="224">
        <v>28.61</v>
      </c>
      <c r="M44" s="224">
        <v>50.89</v>
      </c>
      <c r="N44" s="224">
        <v>366.9</v>
      </c>
      <c r="O44" s="224">
        <v>0</v>
      </c>
      <c r="P44" s="224">
        <v>0.48</v>
      </c>
      <c r="Q44" s="224">
        <v>8.4</v>
      </c>
      <c r="R44" s="13"/>
      <c r="S44" s="13"/>
      <c r="T44" s="213"/>
      <c r="U44" s="13"/>
    </row>
    <row r="45" customFormat="1" spans="1:21">
      <c r="A45" s="13" t="s">
        <v>2394</v>
      </c>
      <c r="B45" s="224">
        <v>27.28</v>
      </c>
      <c r="C45" s="224">
        <v>69.4</v>
      </c>
      <c r="D45" s="224">
        <v>59.49</v>
      </c>
      <c r="E45" s="224">
        <v>6.98</v>
      </c>
      <c r="F45" s="224">
        <v>4.31</v>
      </c>
      <c r="G45" s="224">
        <v>30.77</v>
      </c>
      <c r="H45" s="224">
        <v>10.33</v>
      </c>
      <c r="I45" s="224">
        <v>3.69</v>
      </c>
      <c r="J45" s="224">
        <v>0.44</v>
      </c>
      <c r="K45" s="224">
        <v>88.9</v>
      </c>
      <c r="L45" s="224">
        <v>29.19</v>
      </c>
      <c r="M45" s="224">
        <v>50.44</v>
      </c>
      <c r="N45" s="224">
        <v>299</v>
      </c>
      <c r="O45" s="224">
        <v>0</v>
      </c>
      <c r="P45" s="224">
        <v>0.47</v>
      </c>
      <c r="Q45" s="224">
        <v>8.3</v>
      </c>
      <c r="R45" s="13"/>
      <c r="S45" s="13"/>
      <c r="T45" s="213"/>
      <c r="U45" s="13"/>
    </row>
    <row r="46" customFormat="1" spans="1:21">
      <c r="A46" s="13" t="s">
        <v>2395</v>
      </c>
      <c r="B46" s="224">
        <v>26.01</v>
      </c>
      <c r="C46" s="224">
        <v>66.83</v>
      </c>
      <c r="D46" s="224">
        <v>57.13</v>
      </c>
      <c r="E46" s="224">
        <v>7.08</v>
      </c>
      <c r="F46" s="224">
        <v>4.39</v>
      </c>
      <c r="G46" s="224">
        <v>30.77</v>
      </c>
      <c r="H46" s="224">
        <v>10.33</v>
      </c>
      <c r="I46" s="224">
        <v>3.68</v>
      </c>
      <c r="J46" s="224">
        <v>0.73</v>
      </c>
      <c r="K46" s="224">
        <v>72.61</v>
      </c>
      <c r="L46" s="224">
        <v>29.78</v>
      </c>
      <c r="M46" s="224">
        <v>49.46</v>
      </c>
      <c r="N46" s="224">
        <v>290.8</v>
      </c>
      <c r="O46" s="224">
        <v>0</v>
      </c>
      <c r="P46" s="224">
        <v>0.46</v>
      </c>
      <c r="Q46" s="224">
        <v>8.15</v>
      </c>
      <c r="R46" s="13"/>
      <c r="S46" s="13"/>
      <c r="T46" s="213"/>
      <c r="U46" s="13"/>
    </row>
    <row r="47" customFormat="1" spans="1:21">
      <c r="A47" s="13" t="s">
        <v>2396</v>
      </c>
      <c r="B47" s="224">
        <v>24.6</v>
      </c>
      <c r="C47" s="224">
        <v>67.99</v>
      </c>
      <c r="D47" s="224">
        <v>56.6</v>
      </c>
      <c r="E47" s="224">
        <v>6.57</v>
      </c>
      <c r="F47" s="224">
        <v>4.05</v>
      </c>
      <c r="G47" s="224">
        <v>30.77</v>
      </c>
      <c r="H47" s="224">
        <v>10.33</v>
      </c>
      <c r="I47" s="224">
        <v>3.72</v>
      </c>
      <c r="J47" s="224">
        <v>0.55</v>
      </c>
      <c r="K47" s="224">
        <v>83.1</v>
      </c>
      <c r="L47" s="224">
        <v>30.27</v>
      </c>
      <c r="M47" s="224">
        <v>48.94</v>
      </c>
      <c r="N47" s="224">
        <v>228.4</v>
      </c>
      <c r="O47" s="224">
        <v>0</v>
      </c>
      <c r="P47" s="224">
        <v>0.47</v>
      </c>
      <c r="Q47" s="224">
        <v>8.1</v>
      </c>
      <c r="R47" s="13"/>
      <c r="S47" s="13"/>
      <c r="T47" s="213"/>
      <c r="U47" s="13"/>
    </row>
    <row r="48" customFormat="1" spans="1:21">
      <c r="A48" s="13" t="s">
        <v>2397</v>
      </c>
      <c r="B48" s="224">
        <v>23.17</v>
      </c>
      <c r="C48" s="224">
        <v>67.06</v>
      </c>
      <c r="D48" s="224">
        <v>54.97</v>
      </c>
      <c r="E48" s="224">
        <v>6.46</v>
      </c>
      <c r="F48" s="224">
        <v>4.5</v>
      </c>
      <c r="G48" s="224">
        <v>25.67</v>
      </c>
      <c r="H48" s="224">
        <v>14.71</v>
      </c>
      <c r="I48" s="224">
        <v>3.75</v>
      </c>
      <c r="J48" s="224">
        <v>0.42</v>
      </c>
      <c r="K48" s="224">
        <v>80.36</v>
      </c>
      <c r="L48" s="224">
        <v>30.79</v>
      </c>
      <c r="M48" s="224">
        <v>47.8</v>
      </c>
      <c r="N48" s="224">
        <v>472.3</v>
      </c>
      <c r="O48" s="224">
        <v>0</v>
      </c>
      <c r="P48" s="224">
        <v>0.47</v>
      </c>
      <c r="Q48" s="224">
        <v>7.98</v>
      </c>
      <c r="R48" s="13"/>
      <c r="S48" s="13"/>
      <c r="T48" s="213"/>
      <c r="U48" s="13"/>
    </row>
    <row r="49" customFormat="1" spans="1:21">
      <c r="A49" s="13" t="s">
        <v>2398</v>
      </c>
      <c r="B49" s="224">
        <v>21.68</v>
      </c>
      <c r="C49" s="224">
        <v>63.38</v>
      </c>
      <c r="D49" s="224">
        <v>51.85</v>
      </c>
      <c r="E49" s="224">
        <v>6.82</v>
      </c>
      <c r="F49" s="224">
        <v>5.12</v>
      </c>
      <c r="G49" s="224">
        <v>25.43</v>
      </c>
      <c r="H49" s="224">
        <v>14.71</v>
      </c>
      <c r="I49" s="224">
        <v>3.71</v>
      </c>
      <c r="J49" s="224">
        <v>0.33</v>
      </c>
      <c r="K49" s="224">
        <v>102.23</v>
      </c>
      <c r="L49" s="224">
        <v>31.07</v>
      </c>
      <c r="M49" s="224">
        <v>47.25</v>
      </c>
      <c r="N49" s="224">
        <v>634.3</v>
      </c>
      <c r="O49" s="224">
        <v>0</v>
      </c>
      <c r="P49" s="224">
        <v>0.46</v>
      </c>
      <c r="Q49" s="224">
        <v>7.83</v>
      </c>
      <c r="R49" s="13"/>
      <c r="S49" s="13"/>
      <c r="T49" s="213"/>
      <c r="U49" s="13"/>
    </row>
    <row r="50" customFormat="1" spans="1:21">
      <c r="A50" s="13" t="s">
        <v>2399</v>
      </c>
      <c r="B50" s="224">
        <v>20.5</v>
      </c>
      <c r="C50" s="224">
        <v>65.94</v>
      </c>
      <c r="D50" s="224">
        <v>52.24</v>
      </c>
      <c r="E50" s="224">
        <v>7.35</v>
      </c>
      <c r="F50" s="224">
        <v>4.66</v>
      </c>
      <c r="G50" s="224">
        <v>25.43</v>
      </c>
      <c r="H50" s="224">
        <v>14.71</v>
      </c>
      <c r="I50" s="224">
        <v>3.71</v>
      </c>
      <c r="J50" s="224">
        <v>0.13</v>
      </c>
      <c r="K50" s="224">
        <v>114.1</v>
      </c>
      <c r="L50" s="224">
        <v>31.34</v>
      </c>
      <c r="M50" s="224">
        <v>47.15</v>
      </c>
      <c r="N50" s="224">
        <v>439.1</v>
      </c>
      <c r="O50" s="224">
        <v>0</v>
      </c>
      <c r="P50" s="224">
        <v>0.47</v>
      </c>
      <c r="Q50" s="224">
        <v>7.76</v>
      </c>
      <c r="R50" s="13"/>
      <c r="S50" s="13"/>
      <c r="T50" s="213"/>
      <c r="U50" s="13"/>
    </row>
    <row r="51" customFormat="1" spans="1:21">
      <c r="A51" s="13" t="s">
        <v>2400</v>
      </c>
      <c r="B51" s="224">
        <v>19.09</v>
      </c>
      <c r="C51" s="224">
        <v>63.46</v>
      </c>
      <c r="D51" s="224">
        <v>49.82</v>
      </c>
      <c r="E51" s="224">
        <v>7.69</v>
      </c>
      <c r="F51" s="224">
        <v>5.95</v>
      </c>
      <c r="G51" s="224">
        <v>25.43</v>
      </c>
      <c r="H51" s="224">
        <v>14.71</v>
      </c>
      <c r="I51" s="224">
        <v>3.73</v>
      </c>
      <c r="J51" s="224">
        <v>0.16</v>
      </c>
      <c r="K51" s="224">
        <v>131.73</v>
      </c>
      <c r="L51" s="224">
        <v>31.71</v>
      </c>
      <c r="M51" s="224">
        <v>46.05</v>
      </c>
      <c r="N51" s="224">
        <v>727.3</v>
      </c>
      <c r="O51" s="224">
        <v>0</v>
      </c>
      <c r="P51" s="224">
        <v>0.46</v>
      </c>
      <c r="Q51" s="224">
        <v>7.62</v>
      </c>
      <c r="R51" s="13"/>
      <c r="S51" s="13"/>
      <c r="T51" s="213"/>
      <c r="U51" s="13"/>
    </row>
    <row r="52" customFormat="1" spans="1:21">
      <c r="A52" s="13" t="s">
        <v>2401</v>
      </c>
      <c r="B52" s="224">
        <v>17.36</v>
      </c>
      <c r="C52" s="224">
        <v>55.98</v>
      </c>
      <c r="D52" s="224">
        <v>44.52</v>
      </c>
      <c r="E52" s="224">
        <v>8</v>
      </c>
      <c r="F52" s="224">
        <v>7.52</v>
      </c>
      <c r="G52" s="224">
        <v>28.4</v>
      </c>
      <c r="H52" s="224">
        <v>13.97</v>
      </c>
      <c r="I52" s="224">
        <v>3.71</v>
      </c>
      <c r="J52" s="224">
        <v>0.24</v>
      </c>
      <c r="K52" s="224">
        <v>117.26</v>
      </c>
      <c r="L52" s="224">
        <v>32.79</v>
      </c>
      <c r="M52" s="224">
        <v>43.45</v>
      </c>
      <c r="N52" s="224">
        <v>764.8</v>
      </c>
      <c r="O52" s="224">
        <v>0</v>
      </c>
      <c r="P52" s="224">
        <v>0.45</v>
      </c>
      <c r="Q52" s="224">
        <v>7.38</v>
      </c>
      <c r="R52" s="13"/>
      <c r="S52" s="13"/>
      <c r="T52" s="213"/>
      <c r="U52" s="13"/>
    </row>
    <row r="53" customFormat="1" spans="1:21">
      <c r="A53" s="13" t="s">
        <v>2402</v>
      </c>
      <c r="B53" s="224">
        <v>17.02</v>
      </c>
      <c r="C53" s="224">
        <v>55.32</v>
      </c>
      <c r="D53" s="224">
        <v>43.9</v>
      </c>
      <c r="E53" s="224">
        <v>8.12</v>
      </c>
      <c r="F53" s="224">
        <v>7.57</v>
      </c>
      <c r="G53" s="224">
        <v>28.54</v>
      </c>
      <c r="H53" s="224">
        <v>13.97</v>
      </c>
      <c r="I53" s="224">
        <v>3.66</v>
      </c>
      <c r="J53" s="224">
        <v>0.18</v>
      </c>
      <c r="K53" s="224">
        <v>264</v>
      </c>
      <c r="L53" s="224">
        <v>32.73</v>
      </c>
      <c r="M53" s="224">
        <v>43.14</v>
      </c>
      <c r="N53" s="224">
        <v>688.3</v>
      </c>
      <c r="O53" s="224">
        <v>0</v>
      </c>
      <c r="P53" s="224">
        <v>0.45</v>
      </c>
      <c r="Q53" s="224">
        <v>7.12</v>
      </c>
      <c r="R53" s="13"/>
      <c r="S53" s="13"/>
      <c r="T53" s="213"/>
      <c r="U53" s="13"/>
    </row>
    <row r="54" customFormat="1" spans="1:21">
      <c r="A54" s="13" t="s">
        <v>2403</v>
      </c>
      <c r="B54" s="224">
        <v>16.57</v>
      </c>
      <c r="C54" s="224">
        <v>54.37</v>
      </c>
      <c r="D54" s="224">
        <v>43.04</v>
      </c>
      <c r="E54" s="224">
        <v>7.7</v>
      </c>
      <c r="F54" s="224">
        <v>7.78</v>
      </c>
      <c r="G54" s="224">
        <v>28.54</v>
      </c>
      <c r="H54" s="224">
        <v>13.97</v>
      </c>
      <c r="I54" s="224">
        <v>3.68</v>
      </c>
      <c r="J54" s="224">
        <v>0.38</v>
      </c>
      <c r="K54" s="224">
        <v>239.4</v>
      </c>
      <c r="L54" s="224">
        <v>32.61</v>
      </c>
      <c r="M54" s="224">
        <v>43.13</v>
      </c>
      <c r="N54" s="224">
        <v>761.8</v>
      </c>
      <c r="O54" s="224">
        <v>0</v>
      </c>
      <c r="P54" s="224">
        <v>0.44</v>
      </c>
      <c r="Q54" s="224">
        <v>6.92</v>
      </c>
      <c r="R54" s="13"/>
      <c r="S54" s="13"/>
      <c r="T54" s="213"/>
      <c r="U54" s="13"/>
    </row>
    <row r="55" customFormat="1" spans="1:21">
      <c r="A55" s="13" t="s">
        <v>2404</v>
      </c>
      <c r="B55" s="224">
        <v>15.4</v>
      </c>
      <c r="C55" s="224">
        <v>53.04</v>
      </c>
      <c r="D55" s="224">
        <v>41.41</v>
      </c>
      <c r="E55" s="224">
        <v>7.6</v>
      </c>
      <c r="F55" s="224">
        <v>9.8</v>
      </c>
      <c r="G55" s="224">
        <v>28.54</v>
      </c>
      <c r="H55" s="224">
        <v>13.97</v>
      </c>
      <c r="I55" s="224">
        <v>3.74</v>
      </c>
      <c r="J55" s="224">
        <v>0.66</v>
      </c>
      <c r="K55" s="224">
        <v>251.11</v>
      </c>
      <c r="L55" s="224">
        <v>32.5</v>
      </c>
      <c r="M55" s="224">
        <v>43.81</v>
      </c>
      <c r="N55" s="224">
        <v>602.3</v>
      </c>
      <c r="O55" s="224">
        <v>0</v>
      </c>
      <c r="P55" s="224">
        <v>0.44</v>
      </c>
      <c r="Q55" s="224">
        <v>6.78</v>
      </c>
      <c r="R55" s="13"/>
      <c r="S55" s="13"/>
      <c r="T55" s="213"/>
      <c r="U55" s="13"/>
    </row>
    <row r="56" customFormat="1" spans="1:21">
      <c r="A56" s="13" t="s">
        <v>2405</v>
      </c>
      <c r="B56" s="224">
        <v>13.63</v>
      </c>
      <c r="C56" s="224">
        <v>46.7</v>
      </c>
      <c r="D56" s="224">
        <v>36.68</v>
      </c>
      <c r="E56" s="224">
        <v>7.99</v>
      </c>
      <c r="F56" s="224">
        <v>11.26</v>
      </c>
      <c r="G56" s="224">
        <v>27.61</v>
      </c>
      <c r="H56" s="224">
        <v>14.2</v>
      </c>
      <c r="I56" s="224">
        <v>3.77</v>
      </c>
      <c r="J56" s="224">
        <v>0.41</v>
      </c>
      <c r="K56" s="224">
        <v>170.09</v>
      </c>
      <c r="L56" s="224">
        <v>32.71</v>
      </c>
      <c r="M56" s="224">
        <v>43.25</v>
      </c>
      <c r="N56" s="224">
        <v>567.9</v>
      </c>
      <c r="O56" s="224">
        <v>0</v>
      </c>
      <c r="P56" s="224">
        <v>0.42</v>
      </c>
      <c r="Q56" s="224">
        <v>6.66</v>
      </c>
      <c r="R56" s="13"/>
      <c r="S56" s="13"/>
      <c r="T56" s="213"/>
      <c r="U56" s="13"/>
    </row>
    <row r="57" customFormat="1" spans="1:21">
      <c r="A57" s="13" t="s">
        <v>2406</v>
      </c>
      <c r="B57" s="224">
        <v>13.68</v>
      </c>
      <c r="C57" s="224">
        <v>49.49</v>
      </c>
      <c r="D57" s="224">
        <v>38.18</v>
      </c>
      <c r="E57" s="224">
        <v>7.99</v>
      </c>
      <c r="F57" s="224">
        <v>10.3</v>
      </c>
      <c r="G57" s="224">
        <v>27.56</v>
      </c>
      <c r="H57" s="224">
        <v>14.2</v>
      </c>
      <c r="I57" s="224">
        <v>3.71</v>
      </c>
      <c r="J57" s="224">
        <v>0.55</v>
      </c>
      <c r="K57" s="224">
        <v>285.21</v>
      </c>
      <c r="L57" s="224">
        <v>33.04</v>
      </c>
      <c r="M57" s="224">
        <v>43.07</v>
      </c>
      <c r="N57" s="224">
        <v>617.6</v>
      </c>
      <c r="O57" s="224">
        <v>0</v>
      </c>
      <c r="P57" s="224">
        <v>0.42</v>
      </c>
      <c r="Q57" s="224">
        <v>6.53</v>
      </c>
      <c r="R57" s="13"/>
      <c r="S57" s="13"/>
      <c r="T57" s="213"/>
      <c r="U57" s="13"/>
    </row>
    <row r="58" customFormat="1" spans="1:21">
      <c r="A58" s="13" t="s">
        <v>2407</v>
      </c>
      <c r="B58" s="224">
        <v>13.29</v>
      </c>
      <c r="C58" s="224">
        <v>49.02</v>
      </c>
      <c r="D58" s="224">
        <v>37.62</v>
      </c>
      <c r="E58" s="224">
        <v>8.12</v>
      </c>
      <c r="F58" s="224">
        <v>8.28</v>
      </c>
      <c r="G58" s="224">
        <v>27.56</v>
      </c>
      <c r="H58" s="224">
        <v>14.2</v>
      </c>
      <c r="I58" s="224">
        <v>3.65</v>
      </c>
      <c r="J58" s="224">
        <v>0.64</v>
      </c>
      <c r="K58" s="224">
        <v>269.14</v>
      </c>
      <c r="L58" s="224">
        <v>32.69</v>
      </c>
      <c r="M58" s="224">
        <v>43.84</v>
      </c>
      <c r="N58" s="224">
        <v>558.7</v>
      </c>
      <c r="O58" s="224">
        <v>0</v>
      </c>
      <c r="P58" s="224">
        <v>0.42</v>
      </c>
      <c r="Q58" s="224">
        <v>6.46</v>
      </c>
      <c r="R58" s="13"/>
      <c r="S58" s="13"/>
      <c r="T58" s="213"/>
      <c r="U58" s="13"/>
    </row>
    <row r="59" customFormat="1" spans="1:21">
      <c r="A59" s="13" t="s">
        <v>2408</v>
      </c>
      <c r="B59" s="224">
        <v>13.13</v>
      </c>
      <c r="C59" s="224">
        <v>64.89</v>
      </c>
      <c r="D59" s="224">
        <v>45.79</v>
      </c>
      <c r="E59" s="224">
        <v>7.89</v>
      </c>
      <c r="F59" s="224">
        <v>9.39</v>
      </c>
      <c r="G59" s="224">
        <v>27.56</v>
      </c>
      <c r="H59" s="224">
        <v>14.2</v>
      </c>
      <c r="I59" s="224">
        <v>3.68</v>
      </c>
      <c r="J59" s="224">
        <v>1.14</v>
      </c>
      <c r="K59" s="224">
        <v>301.67</v>
      </c>
      <c r="L59" s="224">
        <v>32.72</v>
      </c>
      <c r="M59" s="224">
        <v>42.93</v>
      </c>
      <c r="N59" s="224">
        <v>754.7</v>
      </c>
      <c r="O59" s="224">
        <v>0</v>
      </c>
      <c r="P59" s="224">
        <v>0.45</v>
      </c>
      <c r="Q59" s="224">
        <v>6.79</v>
      </c>
      <c r="R59" s="13"/>
      <c r="S59" s="13"/>
      <c r="T59" s="213"/>
      <c r="U59" s="13"/>
    </row>
    <row r="60" customFormat="1" spans="1:21">
      <c r="A60" s="13" t="s">
        <v>2409</v>
      </c>
      <c r="B60" s="224">
        <v>9.18</v>
      </c>
      <c r="C60" s="224">
        <v>50.02</v>
      </c>
      <c r="D60" s="224">
        <v>34.85</v>
      </c>
      <c r="E60" s="224">
        <v>8.7</v>
      </c>
      <c r="F60" s="224">
        <v>21.97</v>
      </c>
      <c r="G60" s="224">
        <v>25.98</v>
      </c>
      <c r="H60" s="224">
        <v>15.77</v>
      </c>
      <c r="I60" s="224">
        <v>3.75</v>
      </c>
      <c r="J60" s="224">
        <v>0.79</v>
      </c>
      <c r="K60" s="224">
        <v>274.98</v>
      </c>
      <c r="L60" s="224">
        <v>33.1</v>
      </c>
      <c r="M60" s="224">
        <v>42.07</v>
      </c>
      <c r="N60" s="224">
        <v>766.2</v>
      </c>
      <c r="O60" s="224">
        <v>0</v>
      </c>
      <c r="P60" s="224">
        <v>0.43</v>
      </c>
      <c r="Q60" s="224">
        <v>6.79</v>
      </c>
      <c r="R60" s="13"/>
      <c r="S60" s="13"/>
      <c r="T60" s="213"/>
      <c r="U60" s="13"/>
    </row>
    <row r="61" customFormat="1" spans="1:21">
      <c r="A61" s="13" t="s">
        <v>2410</v>
      </c>
      <c r="B61" s="224">
        <v>7.1</v>
      </c>
      <c r="C61" s="224">
        <v>47</v>
      </c>
      <c r="D61" s="224">
        <v>31.6</v>
      </c>
      <c r="E61" s="224">
        <v>8.08</v>
      </c>
      <c r="F61" s="224">
        <v>9.21</v>
      </c>
      <c r="G61" s="224">
        <v>25.9</v>
      </c>
      <c r="H61" s="224">
        <v>15.77</v>
      </c>
      <c r="I61" s="224">
        <v>3.58</v>
      </c>
      <c r="J61" s="224">
        <v>0.79</v>
      </c>
      <c r="K61" s="224">
        <v>257.84</v>
      </c>
      <c r="L61" s="224">
        <v>33.36</v>
      </c>
      <c r="M61" s="224">
        <v>41.33</v>
      </c>
      <c r="N61" s="224">
        <v>681.9</v>
      </c>
      <c r="O61" s="224">
        <v>0</v>
      </c>
      <c r="P61" s="224">
        <v>0.44</v>
      </c>
      <c r="Q61" s="224">
        <v>6.43</v>
      </c>
      <c r="R61" s="13"/>
      <c r="S61" s="13"/>
      <c r="T61" s="213"/>
      <c r="U61" s="13"/>
    </row>
    <row r="62" customFormat="1" spans="1:21">
      <c r="A62" s="13" t="s">
        <v>2411</v>
      </c>
      <c r="B62" s="224">
        <v>7.11</v>
      </c>
      <c r="C62" s="224">
        <v>45.84</v>
      </c>
      <c r="D62" s="224">
        <v>31</v>
      </c>
      <c r="E62" s="224">
        <v>7.72</v>
      </c>
      <c r="F62" s="224">
        <v>12.67</v>
      </c>
      <c r="G62" s="224">
        <v>25.9</v>
      </c>
      <c r="H62" s="224">
        <v>15.77</v>
      </c>
      <c r="I62" s="224">
        <v>3.42</v>
      </c>
      <c r="J62" s="224">
        <v>0.59</v>
      </c>
      <c r="K62" s="224">
        <v>275.82</v>
      </c>
      <c r="L62" s="224">
        <v>33.88</v>
      </c>
      <c r="M62" s="224">
        <v>40.16</v>
      </c>
      <c r="N62" s="224">
        <v>766.8</v>
      </c>
      <c r="O62" s="224">
        <v>0</v>
      </c>
      <c r="P62" s="224">
        <v>0.44</v>
      </c>
      <c r="Q62" s="224">
        <v>6.17</v>
      </c>
      <c r="R62" s="13"/>
      <c r="S62" s="13"/>
      <c r="T62" s="213"/>
      <c r="U62" s="13"/>
    </row>
    <row r="63" customFormat="1" spans="1:21">
      <c r="A63" s="13" t="s">
        <v>2412</v>
      </c>
      <c r="B63" s="224">
        <v>7.64</v>
      </c>
      <c r="C63" s="224">
        <v>43.25</v>
      </c>
      <c r="D63" s="224">
        <v>30.07</v>
      </c>
      <c r="E63" s="224">
        <v>7.96</v>
      </c>
      <c r="F63" s="224">
        <v>9.23</v>
      </c>
      <c r="G63" s="224">
        <v>25.9</v>
      </c>
      <c r="H63" s="224">
        <v>15.77</v>
      </c>
      <c r="I63" s="224">
        <v>3.48</v>
      </c>
      <c r="J63" s="224">
        <v>0.83</v>
      </c>
      <c r="K63" s="224">
        <v>232.25</v>
      </c>
      <c r="L63" s="224">
        <v>34.4</v>
      </c>
      <c r="M63" s="224">
        <v>39.26</v>
      </c>
      <c r="N63" s="224">
        <v>746.1</v>
      </c>
      <c r="O63" s="224">
        <v>0</v>
      </c>
      <c r="P63" s="224">
        <v>0.44</v>
      </c>
      <c r="Q63" s="224">
        <v>6.05</v>
      </c>
      <c r="R63" s="13"/>
      <c r="S63" s="13"/>
      <c r="T63" s="213"/>
      <c r="U63" s="13"/>
    </row>
    <row r="64" customFormat="1" spans="1:21">
      <c r="A64" s="13" t="s">
        <v>2413</v>
      </c>
      <c r="B64" s="224">
        <v>7.73</v>
      </c>
      <c r="C64" s="224">
        <v>37.98</v>
      </c>
      <c r="D64" s="224">
        <v>27.39</v>
      </c>
      <c r="E64" s="224">
        <v>8.24</v>
      </c>
      <c r="F64" s="224">
        <v>22.88</v>
      </c>
      <c r="G64" s="224">
        <v>24.83</v>
      </c>
      <c r="H64" s="224">
        <v>14.25</v>
      </c>
      <c r="I64" s="224">
        <v>3.52</v>
      </c>
      <c r="J64" s="224">
        <v>0.42</v>
      </c>
      <c r="K64" s="224">
        <v>214.88</v>
      </c>
      <c r="L64" s="224">
        <v>34.8</v>
      </c>
      <c r="M64" s="224">
        <v>38.71</v>
      </c>
      <c r="N64" s="224">
        <v>737.5</v>
      </c>
      <c r="O64" s="224">
        <v>0</v>
      </c>
      <c r="P64" s="224">
        <v>0.44</v>
      </c>
      <c r="Q64" s="224">
        <v>6.04</v>
      </c>
      <c r="R64" s="13"/>
      <c r="S64" s="13"/>
      <c r="T64" s="213"/>
      <c r="U64" s="13"/>
    </row>
    <row r="65" customFormat="1" spans="1:21">
      <c r="A65" s="13" t="s">
        <v>2414</v>
      </c>
      <c r="B65" s="224">
        <v>4.39</v>
      </c>
      <c r="C65" s="224">
        <v>30.04</v>
      </c>
      <c r="D65" s="224">
        <v>20.56</v>
      </c>
      <c r="E65" s="224">
        <v>9.38</v>
      </c>
      <c r="F65" s="224">
        <v>44.71</v>
      </c>
      <c r="G65" s="224">
        <v>24.78</v>
      </c>
      <c r="H65" s="224">
        <v>14.25</v>
      </c>
      <c r="I65" s="224">
        <v>3.61</v>
      </c>
      <c r="J65" s="224">
        <v>0.41</v>
      </c>
      <c r="K65" s="224">
        <v>227.65</v>
      </c>
      <c r="L65" s="224">
        <v>35.17</v>
      </c>
      <c r="M65" s="224">
        <v>37.56</v>
      </c>
      <c r="N65" s="224">
        <v>730.5</v>
      </c>
      <c r="O65" s="224">
        <v>0</v>
      </c>
      <c r="P65" s="224">
        <v>0.4</v>
      </c>
      <c r="Q65" s="224">
        <v>5.84</v>
      </c>
      <c r="R65" s="13"/>
      <c r="S65" s="13"/>
      <c r="T65" s="213"/>
      <c r="U65" s="13"/>
    </row>
    <row r="66" customFormat="1" spans="1:21">
      <c r="A66" s="13" t="s">
        <v>2415</v>
      </c>
      <c r="B66" s="224">
        <v>3.35</v>
      </c>
      <c r="C66" s="224">
        <v>28.8</v>
      </c>
      <c r="D66" s="224">
        <v>19.09</v>
      </c>
      <c r="E66" s="224">
        <v>10.48</v>
      </c>
      <c r="F66" s="224">
        <v>38.6</v>
      </c>
      <c r="G66" s="224">
        <v>24.78</v>
      </c>
      <c r="H66" s="224">
        <v>14.25</v>
      </c>
      <c r="I66" s="224">
        <v>3.37</v>
      </c>
      <c r="J66" s="224">
        <v>0.37</v>
      </c>
      <c r="K66" s="224">
        <v>244.49</v>
      </c>
      <c r="L66" s="224">
        <v>35.16</v>
      </c>
      <c r="M66" s="224">
        <v>37.61</v>
      </c>
      <c r="N66" s="224">
        <v>641.5</v>
      </c>
      <c r="O66" s="224">
        <v>0</v>
      </c>
      <c r="P66" s="224">
        <v>0.41</v>
      </c>
      <c r="Q66" s="224">
        <v>5.58</v>
      </c>
      <c r="R66" s="13"/>
      <c r="S66" s="13"/>
      <c r="T66" s="213"/>
      <c r="U66" s="13"/>
    </row>
    <row r="67" customFormat="1" spans="1:21">
      <c r="A67" s="13" t="s">
        <v>2416</v>
      </c>
      <c r="B67" s="224">
        <v>3.4</v>
      </c>
      <c r="C67" s="224">
        <v>33.45</v>
      </c>
      <c r="D67" s="224">
        <v>21.56</v>
      </c>
      <c r="E67" s="224">
        <v>8.53</v>
      </c>
      <c r="F67" s="224">
        <v>23.3</v>
      </c>
      <c r="G67" s="224">
        <v>24.78</v>
      </c>
      <c r="H67" s="224">
        <v>14.25</v>
      </c>
      <c r="I67" s="224">
        <v>2.92</v>
      </c>
      <c r="J67" s="224">
        <v>0.71</v>
      </c>
      <c r="K67" s="224">
        <v>301.96</v>
      </c>
      <c r="L67" s="224">
        <v>35.05</v>
      </c>
      <c r="M67" s="224">
        <v>37.17</v>
      </c>
      <c r="N67" s="224">
        <v>656.8</v>
      </c>
      <c r="O67" s="224">
        <v>0</v>
      </c>
      <c r="P67" s="224">
        <v>0.42</v>
      </c>
      <c r="Q67" s="224">
        <v>5.4</v>
      </c>
      <c r="R67" s="13"/>
      <c r="S67" s="13"/>
      <c r="T67" s="213"/>
      <c r="U67" s="13"/>
    </row>
    <row r="68" customFormat="1" spans="1:21">
      <c r="A68" s="13" t="s">
        <v>2417</v>
      </c>
      <c r="B68" s="224">
        <v>3.71</v>
      </c>
      <c r="C68" s="224">
        <v>34.18</v>
      </c>
      <c r="D68" s="224">
        <v>22.18</v>
      </c>
      <c r="E68" s="224">
        <v>8.87</v>
      </c>
      <c r="F68" s="224">
        <v>20.63</v>
      </c>
      <c r="G68" s="224">
        <v>24.8</v>
      </c>
      <c r="H68" s="224">
        <v>14.32</v>
      </c>
      <c r="I68" s="224">
        <v>2.88</v>
      </c>
      <c r="J68" s="224">
        <v>0.08</v>
      </c>
      <c r="K68" s="224">
        <v>185.2</v>
      </c>
      <c r="L68" s="224">
        <v>35.43</v>
      </c>
      <c r="M68" s="224">
        <v>36.39</v>
      </c>
      <c r="N68" s="224">
        <v>613.3</v>
      </c>
      <c r="O68" s="224">
        <v>0</v>
      </c>
      <c r="P68" s="224">
        <v>0.42</v>
      </c>
      <c r="Q68" s="224">
        <v>5.42</v>
      </c>
      <c r="R68" s="13"/>
      <c r="S68" s="13"/>
      <c r="T68" s="213"/>
      <c r="U68" s="13"/>
    </row>
    <row r="69" customFormat="1" spans="1:21">
      <c r="A69" s="13" t="s">
        <v>2418</v>
      </c>
      <c r="B69" s="224">
        <v>4.28</v>
      </c>
      <c r="C69" s="224">
        <v>36.78</v>
      </c>
      <c r="D69" s="224">
        <v>24</v>
      </c>
      <c r="E69" s="224">
        <v>8.03</v>
      </c>
      <c r="F69" s="224">
        <v>16.95</v>
      </c>
      <c r="G69" s="224">
        <v>24.8</v>
      </c>
      <c r="H69" s="224">
        <v>14.32</v>
      </c>
      <c r="I69" s="224">
        <v>3.02</v>
      </c>
      <c r="J69" s="224">
        <v>0.62</v>
      </c>
      <c r="K69" s="224">
        <v>256.01</v>
      </c>
      <c r="L69" s="224">
        <v>35.26</v>
      </c>
      <c r="M69" s="224">
        <v>36.82</v>
      </c>
      <c r="N69" s="224">
        <v>558.3</v>
      </c>
      <c r="O69" s="224">
        <v>0</v>
      </c>
      <c r="P69" s="224">
        <v>0.42</v>
      </c>
      <c r="Q69" s="224">
        <v>5.45</v>
      </c>
      <c r="R69" s="13"/>
      <c r="S69" s="13"/>
      <c r="T69" s="213"/>
      <c r="U69" s="13"/>
    </row>
    <row r="70" customFormat="1" spans="1:21">
      <c r="A70" s="13" t="s">
        <v>2419</v>
      </c>
      <c r="B70" s="224">
        <v>4.49</v>
      </c>
      <c r="C70" s="224">
        <v>37.36</v>
      </c>
      <c r="D70" s="224">
        <v>24.48</v>
      </c>
      <c r="E70" s="224">
        <v>8.82</v>
      </c>
      <c r="F70" s="224">
        <v>21.5</v>
      </c>
      <c r="G70" s="224">
        <v>24.8</v>
      </c>
      <c r="H70" s="224">
        <v>14.32</v>
      </c>
      <c r="I70" s="224">
        <v>3.2</v>
      </c>
      <c r="J70" s="224">
        <v>0.31</v>
      </c>
      <c r="K70" s="224">
        <v>230.85</v>
      </c>
      <c r="L70" s="224">
        <v>35.51</v>
      </c>
      <c r="M70" s="224">
        <v>35.89</v>
      </c>
      <c r="N70" s="224">
        <v>515</v>
      </c>
      <c r="O70" s="224">
        <v>0</v>
      </c>
      <c r="P70" s="224">
        <v>0.43</v>
      </c>
      <c r="Q70" s="224">
        <v>5.49</v>
      </c>
      <c r="R70" s="13"/>
      <c r="S70" s="13"/>
      <c r="T70" s="213"/>
      <c r="U70" s="13"/>
    </row>
    <row r="71" customFormat="1" spans="1:21">
      <c r="A71" s="13" t="s">
        <v>2420</v>
      </c>
      <c r="B71" s="224">
        <v>4.7</v>
      </c>
      <c r="C71" s="224">
        <v>38.19</v>
      </c>
      <c r="D71" s="224">
        <v>25.08</v>
      </c>
      <c r="E71" s="224">
        <v>10.39</v>
      </c>
      <c r="F71" s="224">
        <v>24.32</v>
      </c>
      <c r="G71" s="224">
        <v>24.8</v>
      </c>
      <c r="H71" s="224">
        <v>14.32</v>
      </c>
      <c r="I71" s="224">
        <v>3.31</v>
      </c>
      <c r="J71" s="224">
        <v>0.21</v>
      </c>
      <c r="K71" s="224">
        <v>240.37</v>
      </c>
      <c r="L71" s="224">
        <v>35.67</v>
      </c>
      <c r="M71" s="224">
        <v>36.03</v>
      </c>
      <c r="N71" s="224">
        <v>465.1</v>
      </c>
      <c r="O71" s="224">
        <v>0</v>
      </c>
      <c r="P71" s="224">
        <v>0.45</v>
      </c>
      <c r="Q71" s="224">
        <v>5.54</v>
      </c>
      <c r="R71" s="13"/>
      <c r="S71" s="13"/>
      <c r="T71" s="213"/>
      <c r="U71" s="13"/>
    </row>
    <row r="72" customFormat="1" spans="1:21">
      <c r="A72" s="13" t="s">
        <v>2421</v>
      </c>
      <c r="B72" s="224">
        <v>5.31</v>
      </c>
      <c r="C72" s="224">
        <v>44.55</v>
      </c>
      <c r="D72" s="224">
        <v>28.89</v>
      </c>
      <c r="E72" s="224">
        <v>10.59</v>
      </c>
      <c r="F72" s="224">
        <v>18.95</v>
      </c>
      <c r="G72" s="224">
        <v>24.09</v>
      </c>
      <c r="H72" s="224">
        <v>14.52</v>
      </c>
      <c r="I72" s="224">
        <v>3.36</v>
      </c>
      <c r="J72" s="224">
        <v>0.11</v>
      </c>
      <c r="K72" s="224">
        <v>309.49</v>
      </c>
      <c r="L72" s="224">
        <v>35.65</v>
      </c>
      <c r="M72" s="224">
        <v>36.07</v>
      </c>
      <c r="N72" s="224">
        <v>377</v>
      </c>
      <c r="O72" s="224">
        <v>0</v>
      </c>
      <c r="P72" s="224">
        <v>0.48</v>
      </c>
      <c r="Q72" s="224">
        <v>5.81</v>
      </c>
      <c r="R72" s="13"/>
      <c r="S72" s="13"/>
      <c r="T72" s="213"/>
      <c r="U72" s="13"/>
    </row>
    <row r="73" customFormat="1" spans="1:21">
      <c r="A73" s="13" t="s">
        <v>2422</v>
      </c>
      <c r="B73" s="224">
        <v>5.2</v>
      </c>
      <c r="C73" s="224">
        <v>45.93</v>
      </c>
      <c r="D73" s="224">
        <v>29.52</v>
      </c>
      <c r="E73" s="224">
        <v>9.62</v>
      </c>
      <c r="F73" s="224">
        <v>17.37</v>
      </c>
      <c r="G73" s="224">
        <v>24.06</v>
      </c>
      <c r="H73" s="224">
        <v>14.52</v>
      </c>
      <c r="I73" s="224">
        <v>3.59</v>
      </c>
      <c r="J73" s="224">
        <v>0.41</v>
      </c>
      <c r="K73" s="224">
        <v>245.55</v>
      </c>
      <c r="L73" s="224">
        <v>35.42</v>
      </c>
      <c r="M73" s="224">
        <v>36.57</v>
      </c>
      <c r="N73" s="224">
        <v>319.8</v>
      </c>
      <c r="O73" s="224">
        <v>0</v>
      </c>
      <c r="P73" s="224">
        <v>0.48</v>
      </c>
      <c r="Q73" s="224">
        <v>6.03</v>
      </c>
      <c r="R73" s="13"/>
      <c r="S73" s="13"/>
      <c r="T73" s="213"/>
      <c r="U73" s="13"/>
    </row>
    <row r="74" customFormat="1" spans="1:21">
      <c r="A74" s="13" t="s">
        <v>2423</v>
      </c>
      <c r="B74" s="224">
        <v>4.83</v>
      </c>
      <c r="C74" s="224">
        <v>44.73</v>
      </c>
      <c r="D74" s="224">
        <v>28.6</v>
      </c>
      <c r="E74" s="224">
        <v>9.43</v>
      </c>
      <c r="F74" s="224">
        <v>20.66</v>
      </c>
      <c r="G74" s="224">
        <v>24.06</v>
      </c>
      <c r="H74" s="224">
        <v>14.52</v>
      </c>
      <c r="I74" s="224">
        <v>3.7</v>
      </c>
      <c r="J74" s="224">
        <v>0.17</v>
      </c>
      <c r="K74" s="224">
        <v>161.07</v>
      </c>
      <c r="L74" s="224">
        <v>35.85</v>
      </c>
      <c r="M74" s="224">
        <v>36.39</v>
      </c>
      <c r="N74" s="224">
        <v>209.2</v>
      </c>
      <c r="O74" s="224">
        <v>0</v>
      </c>
      <c r="P74" s="224">
        <v>0.49</v>
      </c>
      <c r="Q74" s="224">
        <v>6.14</v>
      </c>
      <c r="R74" s="13"/>
      <c r="S74" s="13"/>
      <c r="T74" s="213"/>
      <c r="U74" s="13"/>
    </row>
    <row r="75" customFormat="1" spans="1:21">
      <c r="A75" s="13" t="s">
        <v>2424</v>
      </c>
      <c r="B75" s="224">
        <v>4.99</v>
      </c>
      <c r="C75" s="224">
        <v>46.27</v>
      </c>
      <c r="D75" s="224">
        <v>29.53</v>
      </c>
      <c r="E75" s="224">
        <v>9.74</v>
      </c>
      <c r="F75" s="224">
        <v>25.51</v>
      </c>
      <c r="G75" s="224">
        <v>24.06</v>
      </c>
      <c r="H75" s="224">
        <v>14.52</v>
      </c>
      <c r="I75" s="224">
        <v>3.7</v>
      </c>
      <c r="J75" s="224">
        <v>0.29</v>
      </c>
      <c r="K75" s="224">
        <v>197.67</v>
      </c>
      <c r="L75" s="224">
        <v>34.94</v>
      </c>
      <c r="M75" s="224">
        <v>37.24</v>
      </c>
      <c r="N75" s="224">
        <v>127.1</v>
      </c>
      <c r="O75" s="224">
        <v>0</v>
      </c>
      <c r="P75" s="224">
        <v>0.5</v>
      </c>
      <c r="Q75" s="224">
        <v>6.21</v>
      </c>
      <c r="R75" s="13"/>
      <c r="S75" s="13"/>
      <c r="T75" s="213"/>
      <c r="U75" s="13"/>
    </row>
    <row r="76" customFormat="1" spans="1:21">
      <c r="A76" s="13" t="s">
        <v>2425</v>
      </c>
      <c r="B76" s="224">
        <v>5.17</v>
      </c>
      <c r="C76" s="224">
        <v>47.92</v>
      </c>
      <c r="D76" s="224">
        <v>30.53</v>
      </c>
      <c r="E76" s="224">
        <v>10.26</v>
      </c>
      <c r="F76" s="224">
        <v>21.29</v>
      </c>
      <c r="G76" s="224">
        <v>28.14</v>
      </c>
      <c r="H76" s="224">
        <v>14.7</v>
      </c>
      <c r="I76" s="224">
        <v>3.75</v>
      </c>
      <c r="J76" s="224">
        <v>0.41</v>
      </c>
      <c r="K76" s="224">
        <v>159.68</v>
      </c>
      <c r="L76" s="224">
        <v>34.88</v>
      </c>
      <c r="M76" s="224">
        <v>36.96</v>
      </c>
      <c r="N76" s="224">
        <v>138.5</v>
      </c>
      <c r="O76" s="224">
        <v>0</v>
      </c>
      <c r="P76" s="224">
        <v>0.51</v>
      </c>
      <c r="Q76" s="224">
        <v>6.23</v>
      </c>
      <c r="R76" s="13"/>
      <c r="S76" s="13"/>
      <c r="T76" s="213"/>
      <c r="U76" s="13"/>
    </row>
    <row r="77" customFormat="1" spans="1:21">
      <c r="A77" s="13" t="s">
        <v>2426</v>
      </c>
      <c r="B77" s="224">
        <v>5.29</v>
      </c>
      <c r="C77" s="224">
        <v>46.81</v>
      </c>
      <c r="D77" s="224">
        <v>30.05</v>
      </c>
      <c r="E77" s="224">
        <v>10.27</v>
      </c>
      <c r="F77" s="224">
        <v>16.14</v>
      </c>
      <c r="G77" s="224">
        <v>28.33</v>
      </c>
      <c r="H77" s="224">
        <v>14.7</v>
      </c>
      <c r="I77" s="224">
        <v>3.78</v>
      </c>
      <c r="J77" s="224">
        <v>0.35</v>
      </c>
      <c r="K77" s="224">
        <v>233.04</v>
      </c>
      <c r="L77" s="224">
        <v>34.59</v>
      </c>
      <c r="M77" s="224">
        <v>37.42</v>
      </c>
      <c r="N77" s="224">
        <v>126.7</v>
      </c>
      <c r="O77" s="224">
        <v>0</v>
      </c>
      <c r="P77" s="224">
        <v>0.5</v>
      </c>
      <c r="Q77" s="224">
        <v>6.16</v>
      </c>
      <c r="R77" s="13"/>
      <c r="S77" s="13"/>
      <c r="T77" s="213"/>
      <c r="U77" s="13"/>
    </row>
    <row r="78" customFormat="1" spans="1:21">
      <c r="A78" s="13" t="s">
        <v>2427</v>
      </c>
      <c r="B78" s="224">
        <v>5.35</v>
      </c>
      <c r="C78" s="224">
        <v>49.9</v>
      </c>
      <c r="D78" s="224">
        <v>31.71</v>
      </c>
      <c r="E78" s="224">
        <v>9.24</v>
      </c>
      <c r="F78" s="224">
        <v>20.38</v>
      </c>
      <c r="G78" s="224">
        <v>28.33</v>
      </c>
      <c r="H78" s="224">
        <v>14.7</v>
      </c>
      <c r="I78" s="224">
        <v>3.8</v>
      </c>
      <c r="J78" s="224">
        <v>0.26</v>
      </c>
      <c r="K78" s="224">
        <v>183.83</v>
      </c>
      <c r="L78" s="224">
        <v>34.17</v>
      </c>
      <c r="M78" s="224">
        <v>39.06</v>
      </c>
      <c r="N78" s="224">
        <v>71.5</v>
      </c>
      <c r="O78" s="224">
        <v>0</v>
      </c>
      <c r="P78" s="224">
        <v>0.48</v>
      </c>
      <c r="Q78" s="224">
        <v>6.24</v>
      </c>
      <c r="R78" s="13"/>
      <c r="S78" s="13"/>
      <c r="T78" s="213"/>
      <c r="U78" s="13"/>
    </row>
    <row r="79" customFormat="1" spans="1:21">
      <c r="A79" s="13" t="s">
        <v>2428</v>
      </c>
      <c r="B79" s="224">
        <v>5.34</v>
      </c>
      <c r="C79" s="224">
        <v>45.8</v>
      </c>
      <c r="D79" s="224">
        <v>29.56</v>
      </c>
      <c r="E79" s="224">
        <v>9.05</v>
      </c>
      <c r="F79" s="224">
        <v>22.01</v>
      </c>
      <c r="G79" s="224">
        <v>28.33</v>
      </c>
      <c r="H79" s="224">
        <v>14.7</v>
      </c>
      <c r="I79" s="224">
        <v>3.81</v>
      </c>
      <c r="J79" s="224">
        <v>0.25</v>
      </c>
      <c r="K79" s="224">
        <v>162.36</v>
      </c>
      <c r="L79" s="224">
        <v>33.66</v>
      </c>
      <c r="M79" s="224">
        <v>40.29</v>
      </c>
      <c r="N79" s="224">
        <v>32.6</v>
      </c>
      <c r="O79" s="224">
        <v>0</v>
      </c>
      <c r="P79" s="224">
        <v>0.47</v>
      </c>
      <c r="Q79" s="224">
        <v>6.2</v>
      </c>
      <c r="R79" s="13"/>
      <c r="S79" s="13"/>
      <c r="T79" s="213"/>
      <c r="U79" s="13"/>
    </row>
    <row r="80" customFormat="1" spans="1:21">
      <c r="A80" s="13" t="s">
        <v>2429</v>
      </c>
      <c r="B80" s="224">
        <v>5.45</v>
      </c>
      <c r="C80" s="224">
        <v>49.41</v>
      </c>
      <c r="D80" s="224">
        <v>31.54</v>
      </c>
      <c r="E80" s="224">
        <v>8.88</v>
      </c>
      <c r="F80" s="224">
        <v>24.45</v>
      </c>
      <c r="G80" s="224">
        <v>26.83</v>
      </c>
      <c r="H80" s="224">
        <v>14.67</v>
      </c>
      <c r="I80" s="224">
        <v>3.64</v>
      </c>
      <c r="J80" s="224">
        <v>0.24</v>
      </c>
      <c r="K80" s="224">
        <v>152.33</v>
      </c>
      <c r="L80" s="224">
        <v>33.25</v>
      </c>
      <c r="M80" s="224">
        <v>42.28</v>
      </c>
      <c r="N80" s="224">
        <v>15.8</v>
      </c>
      <c r="O80" s="224">
        <v>0</v>
      </c>
      <c r="P80" s="224">
        <v>0.48</v>
      </c>
      <c r="Q80" s="224">
        <v>6.3</v>
      </c>
      <c r="R80" s="13"/>
      <c r="S80" s="13"/>
      <c r="T80" s="213"/>
      <c r="U80" s="13"/>
    </row>
    <row r="81" customFormat="1" spans="1:21">
      <c r="A81" s="13" t="s">
        <v>2430</v>
      </c>
      <c r="B81" s="224">
        <v>5.56</v>
      </c>
      <c r="C81" s="224">
        <v>47.74</v>
      </c>
      <c r="D81" s="224">
        <v>30.75</v>
      </c>
      <c r="E81" s="224">
        <v>7.42</v>
      </c>
      <c r="F81" s="224">
        <v>23.63</v>
      </c>
      <c r="G81" s="224">
        <v>26.76</v>
      </c>
      <c r="H81" s="224">
        <v>14.67</v>
      </c>
      <c r="I81" s="224">
        <v>3.53</v>
      </c>
      <c r="J81" s="224">
        <v>0.17</v>
      </c>
      <c r="K81" s="224">
        <v>154.59</v>
      </c>
      <c r="L81" s="224">
        <v>32.42</v>
      </c>
      <c r="M81" s="224">
        <v>44.51</v>
      </c>
      <c r="N81" s="224">
        <v>0.8</v>
      </c>
      <c r="O81" s="224">
        <v>0</v>
      </c>
      <c r="P81" s="224">
        <v>0.46</v>
      </c>
      <c r="Q81" s="224">
        <v>6.3</v>
      </c>
      <c r="R81" s="13"/>
      <c r="S81" s="13"/>
      <c r="T81" s="213"/>
      <c r="U81" s="13"/>
    </row>
    <row r="82" customFormat="1" spans="1:21">
      <c r="A82" s="13" t="s">
        <v>2431</v>
      </c>
      <c r="B82" s="224">
        <v>5.9</v>
      </c>
      <c r="C82" s="224">
        <v>47.85</v>
      </c>
      <c r="D82" s="224">
        <v>31.08</v>
      </c>
      <c r="E82" s="224">
        <v>8.59</v>
      </c>
      <c r="F82" s="224">
        <v>17.39</v>
      </c>
      <c r="G82" s="224">
        <v>26.76</v>
      </c>
      <c r="H82" s="224">
        <v>14.67</v>
      </c>
      <c r="I82" s="224">
        <v>3.45</v>
      </c>
      <c r="J82" s="224">
        <v>0.13</v>
      </c>
      <c r="K82" s="224">
        <v>174.4</v>
      </c>
      <c r="L82" s="224">
        <v>31.86</v>
      </c>
      <c r="M82" s="224">
        <v>46.01</v>
      </c>
      <c r="N82" s="224">
        <v>0</v>
      </c>
      <c r="O82" s="224">
        <v>0</v>
      </c>
      <c r="P82" s="224">
        <v>0.47</v>
      </c>
      <c r="Q82" s="224">
        <v>6.27</v>
      </c>
      <c r="R82" s="13"/>
      <c r="S82" s="13"/>
      <c r="T82" s="213"/>
      <c r="U82" s="13"/>
    </row>
    <row r="83" customFormat="1" spans="1:21">
      <c r="A83" s="13" t="s">
        <v>2432</v>
      </c>
      <c r="B83" s="224">
        <v>6.37</v>
      </c>
      <c r="C83" s="224">
        <v>50.32</v>
      </c>
      <c r="D83" s="224">
        <v>32.75</v>
      </c>
      <c r="E83" s="224">
        <v>8.02</v>
      </c>
      <c r="F83" s="224">
        <v>19.2</v>
      </c>
      <c r="G83" s="224">
        <v>26.76</v>
      </c>
      <c r="H83" s="224">
        <v>14.67</v>
      </c>
      <c r="I83" s="224">
        <v>3.29</v>
      </c>
      <c r="J83" s="224">
        <v>0.28</v>
      </c>
      <c r="K83" s="224">
        <v>201.13</v>
      </c>
      <c r="L83" s="224">
        <v>31.56</v>
      </c>
      <c r="M83" s="224">
        <v>47.47</v>
      </c>
      <c r="N83" s="224">
        <v>0</v>
      </c>
      <c r="O83" s="224">
        <v>0</v>
      </c>
      <c r="P83" s="224">
        <v>0.46</v>
      </c>
      <c r="Q83" s="224">
        <v>6.34</v>
      </c>
      <c r="R83" s="13"/>
      <c r="S83" s="13"/>
      <c r="T83" s="213"/>
      <c r="U83" s="13"/>
    </row>
    <row r="84" customFormat="1" spans="1:21">
      <c r="A84" s="13" t="s">
        <v>2433</v>
      </c>
      <c r="B84" s="224">
        <v>6.9</v>
      </c>
      <c r="C84" s="224">
        <v>52.85</v>
      </c>
      <c r="D84" s="224">
        <v>34.5</v>
      </c>
      <c r="E84" s="224">
        <v>8.02</v>
      </c>
      <c r="F84" s="224">
        <v>12.57</v>
      </c>
      <c r="G84" s="224">
        <v>26.45</v>
      </c>
      <c r="H84" s="224">
        <v>14.97</v>
      </c>
      <c r="I84" s="224">
        <v>3.46</v>
      </c>
      <c r="J84" s="224">
        <v>0.36</v>
      </c>
      <c r="K84" s="224">
        <v>209.34</v>
      </c>
      <c r="L84" s="224">
        <v>31.43</v>
      </c>
      <c r="M84" s="224">
        <v>49.1</v>
      </c>
      <c r="N84" s="224">
        <v>0</v>
      </c>
      <c r="O84" s="224">
        <v>0</v>
      </c>
      <c r="P84" s="224">
        <v>0.48</v>
      </c>
      <c r="Q84" s="224">
        <v>6.44</v>
      </c>
      <c r="R84" s="13"/>
      <c r="S84" s="13"/>
      <c r="T84" s="213"/>
      <c r="U84" s="13"/>
    </row>
    <row r="85" customFormat="1" spans="1:21">
      <c r="A85" s="13" t="s">
        <v>2434</v>
      </c>
      <c r="B85" s="224">
        <v>7.43</v>
      </c>
      <c r="C85" s="224">
        <v>53.38</v>
      </c>
      <c r="D85" s="224">
        <v>35.2</v>
      </c>
      <c r="E85" s="224">
        <v>8.03</v>
      </c>
      <c r="F85" s="224">
        <v>8.02</v>
      </c>
      <c r="G85" s="224">
        <v>26.44</v>
      </c>
      <c r="H85" s="224">
        <v>14.97</v>
      </c>
      <c r="I85" s="224">
        <v>3.62</v>
      </c>
      <c r="J85" s="224">
        <v>0.72</v>
      </c>
      <c r="K85" s="224">
        <v>220.38</v>
      </c>
      <c r="L85" s="224">
        <v>31.18</v>
      </c>
      <c r="M85" s="224">
        <v>48.89</v>
      </c>
      <c r="N85" s="224">
        <v>0</v>
      </c>
      <c r="O85" s="224">
        <v>0</v>
      </c>
      <c r="P85" s="224">
        <v>0.48</v>
      </c>
      <c r="Q85" s="224">
        <v>6.52</v>
      </c>
      <c r="R85" s="13"/>
      <c r="S85" s="13"/>
      <c r="T85" s="213"/>
      <c r="U85" s="13"/>
    </row>
    <row r="86" customFormat="1" spans="1:21">
      <c r="A86" s="13" t="s">
        <v>2435</v>
      </c>
      <c r="B86" s="224">
        <v>8</v>
      </c>
      <c r="C86" s="224">
        <v>55.76</v>
      </c>
      <c r="D86" s="224">
        <v>36.9</v>
      </c>
      <c r="E86" s="224">
        <v>8.2</v>
      </c>
      <c r="F86" s="224">
        <v>6.87</v>
      </c>
      <c r="G86" s="224">
        <v>26.44</v>
      </c>
      <c r="H86" s="224">
        <v>14.97</v>
      </c>
      <c r="I86" s="224">
        <v>3.61</v>
      </c>
      <c r="J86" s="224">
        <v>0.62</v>
      </c>
      <c r="K86" s="224">
        <v>223.5</v>
      </c>
      <c r="L86" s="224">
        <v>30.08</v>
      </c>
      <c r="M86" s="224">
        <v>50.31</v>
      </c>
      <c r="N86" s="224">
        <v>0</v>
      </c>
      <c r="O86" s="224">
        <v>0</v>
      </c>
      <c r="P86" s="224">
        <v>0.48</v>
      </c>
      <c r="Q86" s="224">
        <v>6.55</v>
      </c>
      <c r="R86" s="13"/>
      <c r="S86" s="13"/>
      <c r="T86" s="213"/>
      <c r="U86" s="13"/>
    </row>
    <row r="87" customFormat="1" spans="1:21">
      <c r="A87" s="13" t="s">
        <v>2436</v>
      </c>
      <c r="B87" s="224">
        <v>8.38</v>
      </c>
      <c r="C87" s="224">
        <v>54.53</v>
      </c>
      <c r="D87" s="224">
        <v>36.56</v>
      </c>
      <c r="E87" s="224">
        <v>7.07</v>
      </c>
      <c r="F87" s="224">
        <v>7.79</v>
      </c>
      <c r="G87" s="224">
        <v>26.44</v>
      </c>
      <c r="H87" s="224">
        <v>14.97</v>
      </c>
      <c r="I87" s="224">
        <v>3.65</v>
      </c>
      <c r="J87" s="224">
        <v>0.33</v>
      </c>
      <c r="K87" s="224">
        <v>242.1</v>
      </c>
      <c r="L87" s="224">
        <v>29.06</v>
      </c>
      <c r="M87" s="224">
        <v>51.02</v>
      </c>
      <c r="N87" s="224">
        <v>0</v>
      </c>
      <c r="O87" s="224">
        <v>0</v>
      </c>
      <c r="P87" s="224">
        <v>0.48</v>
      </c>
      <c r="Q87" s="224">
        <v>6.58</v>
      </c>
      <c r="R87" s="13"/>
      <c r="S87" s="13"/>
      <c r="T87" s="213"/>
      <c r="U87" s="13"/>
    </row>
    <row r="88" customFormat="1" spans="1:21">
      <c r="A88" s="13" t="s">
        <v>2437</v>
      </c>
      <c r="B88" s="224">
        <v>8.88</v>
      </c>
      <c r="C88" s="224">
        <v>56.45</v>
      </c>
      <c r="D88" s="224">
        <v>37.96</v>
      </c>
      <c r="E88" s="224">
        <v>7.45</v>
      </c>
      <c r="F88" s="224">
        <v>7.62</v>
      </c>
      <c r="G88" s="224">
        <v>22.02</v>
      </c>
      <c r="H88" s="224">
        <v>11.78</v>
      </c>
      <c r="I88" s="224">
        <v>3.67</v>
      </c>
      <c r="J88" s="224">
        <v>0.44</v>
      </c>
      <c r="K88" s="224">
        <v>232.86</v>
      </c>
      <c r="L88" s="224">
        <v>28.06</v>
      </c>
      <c r="M88" s="224">
        <v>54.33</v>
      </c>
      <c r="N88" s="224">
        <v>0</v>
      </c>
      <c r="O88" s="224">
        <v>0</v>
      </c>
      <c r="P88" s="224">
        <v>0.47</v>
      </c>
      <c r="Q88" s="224">
        <v>6.68</v>
      </c>
      <c r="R88" s="13"/>
      <c r="S88" s="13"/>
      <c r="T88" s="213"/>
      <c r="U88" s="13"/>
    </row>
    <row r="89" customFormat="1" spans="1:21">
      <c r="A89" s="13" t="s">
        <v>2438</v>
      </c>
      <c r="B89" s="224">
        <v>9.17</v>
      </c>
      <c r="C89" s="224">
        <v>57.38</v>
      </c>
      <c r="D89" s="224">
        <v>38.68</v>
      </c>
      <c r="E89" s="224">
        <v>7.06</v>
      </c>
      <c r="F89" s="224">
        <v>6.12</v>
      </c>
      <c r="G89" s="224">
        <v>21.81</v>
      </c>
      <c r="H89" s="224">
        <v>11.78</v>
      </c>
      <c r="I89" s="224">
        <v>3.65</v>
      </c>
      <c r="J89" s="224">
        <v>0.34</v>
      </c>
      <c r="K89" s="224">
        <v>228.08</v>
      </c>
      <c r="L89" s="224">
        <v>27.65</v>
      </c>
      <c r="M89" s="224">
        <v>55.24</v>
      </c>
      <c r="N89" s="224">
        <v>0</v>
      </c>
      <c r="O89" s="224">
        <v>0</v>
      </c>
      <c r="P89" s="224">
        <v>0.47</v>
      </c>
      <c r="Q89" s="224">
        <v>6.66</v>
      </c>
      <c r="R89" s="13"/>
      <c r="S89" s="13"/>
      <c r="T89" s="213"/>
      <c r="U89" s="13"/>
    </row>
    <row r="90" customFormat="1" spans="1:21">
      <c r="A90" s="13" t="s">
        <v>2439</v>
      </c>
      <c r="B90" s="224">
        <v>9.5</v>
      </c>
      <c r="C90" s="224">
        <v>58.67</v>
      </c>
      <c r="D90" s="224">
        <v>39.63</v>
      </c>
      <c r="E90" s="224">
        <v>7.12</v>
      </c>
      <c r="F90" s="224">
        <v>4.93</v>
      </c>
      <c r="G90" s="224">
        <v>21.81</v>
      </c>
      <c r="H90" s="224">
        <v>11.78</v>
      </c>
      <c r="I90" s="224">
        <v>3.62</v>
      </c>
      <c r="J90" s="224">
        <v>0.27</v>
      </c>
      <c r="K90" s="224">
        <v>218.78</v>
      </c>
      <c r="L90" s="224">
        <v>27.32</v>
      </c>
      <c r="M90" s="224">
        <v>56.23</v>
      </c>
      <c r="N90" s="224">
        <v>0</v>
      </c>
      <c r="O90" s="224">
        <v>0</v>
      </c>
      <c r="P90" s="224">
        <v>0.46</v>
      </c>
      <c r="Q90" s="224">
        <v>6.69</v>
      </c>
      <c r="R90" s="13"/>
      <c r="S90" s="13"/>
      <c r="T90" s="213"/>
      <c r="U90" s="13"/>
    </row>
    <row r="91" customFormat="1" spans="1:21">
      <c r="A91" s="13" t="s">
        <v>2440</v>
      </c>
      <c r="B91" s="224">
        <v>9.92</v>
      </c>
      <c r="C91" s="224">
        <v>62.28</v>
      </c>
      <c r="D91" s="224">
        <v>41.84</v>
      </c>
      <c r="E91" s="224">
        <v>7.21</v>
      </c>
      <c r="F91" s="224">
        <v>4.36</v>
      </c>
      <c r="G91" s="224">
        <v>21.81</v>
      </c>
      <c r="H91" s="224">
        <v>11.78</v>
      </c>
      <c r="I91" s="224">
        <v>3.59</v>
      </c>
      <c r="J91" s="224">
        <v>0.4</v>
      </c>
      <c r="K91" s="224">
        <v>227.06</v>
      </c>
      <c r="L91" s="224">
        <v>26.94</v>
      </c>
      <c r="M91" s="224">
        <v>56.93</v>
      </c>
      <c r="N91" s="224">
        <v>0</v>
      </c>
      <c r="O91" s="224">
        <v>0</v>
      </c>
      <c r="P91" s="224">
        <v>0.47</v>
      </c>
      <c r="Q91" s="224">
        <v>6.84</v>
      </c>
      <c r="R91" s="13"/>
      <c r="S91" s="13"/>
      <c r="T91" s="213"/>
      <c r="U91" s="13"/>
    </row>
    <row r="92" customFormat="1" spans="1:21">
      <c r="A92" s="13" t="s">
        <v>2441</v>
      </c>
      <c r="B92" s="224">
        <v>10.73</v>
      </c>
      <c r="C92" s="224">
        <v>57.19</v>
      </c>
      <c r="D92" s="224">
        <v>39.83</v>
      </c>
      <c r="E92" s="224">
        <v>7</v>
      </c>
      <c r="F92" s="224">
        <v>5.85</v>
      </c>
      <c r="G92" s="224">
        <v>20.11</v>
      </c>
      <c r="H92" s="224">
        <v>9.07</v>
      </c>
      <c r="I92" s="224">
        <v>3.55</v>
      </c>
      <c r="J92" s="224">
        <v>0.42</v>
      </c>
      <c r="K92" s="224">
        <v>223.07</v>
      </c>
      <c r="L92" s="224">
        <v>26.66</v>
      </c>
      <c r="M92" s="224">
        <v>58.08</v>
      </c>
      <c r="N92" s="224">
        <v>0</v>
      </c>
      <c r="O92" s="224">
        <v>0</v>
      </c>
      <c r="P92" s="224">
        <v>0.45</v>
      </c>
      <c r="Q92" s="224">
        <v>6.73</v>
      </c>
      <c r="R92" s="13"/>
      <c r="S92" s="13"/>
      <c r="T92" s="213"/>
      <c r="U92" s="13"/>
    </row>
    <row r="93" customFormat="1" spans="1:21">
      <c r="A93" s="13" t="s">
        <v>2442</v>
      </c>
      <c r="B93" s="224">
        <v>11.28</v>
      </c>
      <c r="C93" s="224">
        <v>50.47</v>
      </c>
      <c r="D93" s="224">
        <v>36.77</v>
      </c>
      <c r="E93" s="224">
        <v>6.91</v>
      </c>
      <c r="F93" s="224">
        <v>6.07</v>
      </c>
      <c r="G93" s="224">
        <v>20.03</v>
      </c>
      <c r="H93" s="224">
        <v>9.07</v>
      </c>
      <c r="I93" s="224">
        <v>3.47</v>
      </c>
      <c r="J93" s="224">
        <v>0.39</v>
      </c>
      <c r="K93" s="224">
        <v>207.02</v>
      </c>
      <c r="L93" s="224">
        <v>26.57</v>
      </c>
      <c r="M93" s="224">
        <v>57.87</v>
      </c>
      <c r="N93" s="224">
        <v>0</v>
      </c>
      <c r="O93" s="224">
        <v>0</v>
      </c>
      <c r="P93" s="224">
        <v>0.41</v>
      </c>
      <c r="Q93" s="224">
        <v>6.44</v>
      </c>
      <c r="R93" s="13"/>
      <c r="S93" s="13"/>
      <c r="T93" s="213"/>
      <c r="U93" s="13"/>
    </row>
    <row r="94" customFormat="1" spans="1:21">
      <c r="A94" s="13" t="s">
        <v>2443</v>
      </c>
      <c r="B94" s="224">
        <v>11.74</v>
      </c>
      <c r="C94" s="224">
        <v>56.25</v>
      </c>
      <c r="D94" s="224">
        <v>40.16</v>
      </c>
      <c r="E94" s="224">
        <v>6.93</v>
      </c>
      <c r="F94" s="224">
        <v>4.19</v>
      </c>
      <c r="G94" s="224">
        <v>20.03</v>
      </c>
      <c r="H94" s="224">
        <v>9.07</v>
      </c>
      <c r="I94" s="224">
        <v>3.43</v>
      </c>
      <c r="J94" s="224">
        <v>0.12</v>
      </c>
      <c r="K94" s="224">
        <v>194.74</v>
      </c>
      <c r="L94" s="224">
        <v>26.53</v>
      </c>
      <c r="M94" s="224">
        <v>57.98</v>
      </c>
      <c r="N94" s="224">
        <v>0</v>
      </c>
      <c r="O94" s="224">
        <v>0</v>
      </c>
      <c r="P94" s="224">
        <v>0.44</v>
      </c>
      <c r="Q94" s="224">
        <v>6.48</v>
      </c>
      <c r="R94" s="13"/>
      <c r="S94" s="13"/>
      <c r="T94" s="213"/>
      <c r="U94" s="13"/>
    </row>
    <row r="95" customFormat="1" spans="1:21">
      <c r="A95" s="13" t="s">
        <v>2444</v>
      </c>
      <c r="B95" s="224">
        <v>12.84</v>
      </c>
      <c r="C95" s="224">
        <v>56.41</v>
      </c>
      <c r="D95" s="224">
        <v>41.12</v>
      </c>
      <c r="E95" s="224">
        <v>7.26</v>
      </c>
      <c r="F95" s="224">
        <v>6.83</v>
      </c>
      <c r="G95" s="224">
        <v>20.03</v>
      </c>
      <c r="H95" s="224">
        <v>9.07</v>
      </c>
      <c r="I95" s="224">
        <v>3.42</v>
      </c>
      <c r="J95" s="224">
        <v>1.64</v>
      </c>
      <c r="K95" s="224">
        <v>17.56</v>
      </c>
      <c r="L95" s="224">
        <v>26.62</v>
      </c>
      <c r="M95" s="224">
        <v>57.41</v>
      </c>
      <c r="N95" s="224">
        <v>0</v>
      </c>
      <c r="O95" s="224">
        <v>0</v>
      </c>
      <c r="P95" s="224">
        <v>0.43</v>
      </c>
      <c r="Q95" s="224">
        <v>6.71</v>
      </c>
      <c r="R95" s="13"/>
      <c r="S95" s="13"/>
      <c r="T95" s="213"/>
      <c r="U95" s="13"/>
    </row>
    <row r="96" customFormat="1" spans="1:26">
      <c r="A96" s="13" t="s">
        <v>2445</v>
      </c>
      <c r="B96" s="224">
        <v>13.04</v>
      </c>
      <c r="C96" s="224">
        <v>54.74</v>
      </c>
      <c r="D96" s="224">
        <v>40.41</v>
      </c>
      <c r="E96" s="224">
        <v>7.81</v>
      </c>
      <c r="F96" s="224">
        <v>8.43</v>
      </c>
      <c r="G96" s="224">
        <v>18.59</v>
      </c>
      <c r="H96" s="224">
        <v>11.12</v>
      </c>
      <c r="I96" s="224">
        <v>3.42</v>
      </c>
      <c r="J96" s="224">
        <v>2.89</v>
      </c>
      <c r="K96" s="224">
        <v>27.73</v>
      </c>
      <c r="L96" s="224">
        <v>25.39</v>
      </c>
      <c r="M96" s="224">
        <v>60.07</v>
      </c>
      <c r="N96" s="224">
        <v>0</v>
      </c>
      <c r="O96" s="224">
        <v>0</v>
      </c>
      <c r="P96" s="224">
        <v>0.44</v>
      </c>
      <c r="Q96" s="224">
        <v>6.73</v>
      </c>
      <c r="R96" s="13"/>
      <c r="S96" s="13"/>
      <c r="T96" s="213"/>
      <c r="U96" s="13"/>
      <c r="Z96" s="222"/>
    </row>
    <row r="97" customFormat="1" spans="1:21">
      <c r="A97" s="13" t="s">
        <v>2446</v>
      </c>
      <c r="B97" s="224">
        <v>13.03</v>
      </c>
      <c r="C97" s="224">
        <v>59.98</v>
      </c>
      <c r="D97" s="224">
        <v>43.14</v>
      </c>
      <c r="E97" s="224">
        <v>8.15</v>
      </c>
      <c r="F97" s="224">
        <v>7.27</v>
      </c>
      <c r="G97" s="224">
        <v>18.52</v>
      </c>
      <c r="H97" s="224">
        <v>11.12</v>
      </c>
      <c r="I97" s="224">
        <v>3.32</v>
      </c>
      <c r="J97" s="224">
        <v>1.41</v>
      </c>
      <c r="K97" s="224">
        <v>320.32</v>
      </c>
      <c r="L97" s="224">
        <v>24.86</v>
      </c>
      <c r="M97" s="224">
        <v>64.58</v>
      </c>
      <c r="N97" s="224">
        <v>0</v>
      </c>
      <c r="O97" s="224">
        <v>0</v>
      </c>
      <c r="P97" s="224">
        <v>0.45</v>
      </c>
      <c r="Q97" s="224">
        <v>6.82</v>
      </c>
      <c r="R97" s="13"/>
      <c r="S97" s="13"/>
      <c r="T97" s="213"/>
      <c r="U97" s="13"/>
    </row>
    <row r="98" customFormat="1" spans="1:21">
      <c r="A98" s="13" t="s">
        <v>2447</v>
      </c>
      <c r="B98" s="224">
        <v>12.38</v>
      </c>
      <c r="C98" s="224">
        <v>56.64</v>
      </c>
      <c r="D98" s="224">
        <v>40.87</v>
      </c>
      <c r="E98" s="224">
        <v>8.5</v>
      </c>
      <c r="F98" s="224">
        <v>8.64</v>
      </c>
      <c r="G98" s="224">
        <v>18.52</v>
      </c>
      <c r="H98" s="224">
        <v>11.12</v>
      </c>
      <c r="I98" s="224">
        <v>3.28</v>
      </c>
      <c r="J98" s="224">
        <v>2.16</v>
      </c>
      <c r="K98" s="224">
        <v>22.45</v>
      </c>
      <c r="L98" s="224">
        <v>24.65</v>
      </c>
      <c r="M98" s="224">
        <v>64.95</v>
      </c>
      <c r="N98" s="224">
        <v>0</v>
      </c>
      <c r="O98" s="224">
        <v>0</v>
      </c>
      <c r="P98" s="224">
        <v>0.45</v>
      </c>
      <c r="Q98" s="224">
        <v>6.73</v>
      </c>
      <c r="R98" s="13"/>
      <c r="S98" s="13"/>
      <c r="T98" s="213"/>
      <c r="U98" s="13"/>
    </row>
    <row r="99" customFormat="1" spans="1:21">
      <c r="A99" s="13" t="s">
        <v>2448</v>
      </c>
      <c r="B99" s="224">
        <v>12</v>
      </c>
      <c r="C99" s="224">
        <v>54.19</v>
      </c>
      <c r="D99" s="224">
        <v>39.28</v>
      </c>
      <c r="E99" s="224">
        <v>9.8</v>
      </c>
      <c r="F99" s="224">
        <v>12.91</v>
      </c>
      <c r="G99" s="224">
        <v>18.52</v>
      </c>
      <c r="H99" s="224">
        <v>11.12</v>
      </c>
      <c r="I99" s="224">
        <v>3.3</v>
      </c>
      <c r="J99" s="224">
        <v>2.09</v>
      </c>
      <c r="K99" s="224">
        <v>18.77</v>
      </c>
      <c r="L99" s="224">
        <v>24.39</v>
      </c>
      <c r="M99" s="224">
        <v>61.96</v>
      </c>
      <c r="N99" s="224">
        <v>0</v>
      </c>
      <c r="O99" s="224">
        <v>0</v>
      </c>
      <c r="P99" s="224">
        <v>0.46</v>
      </c>
      <c r="Q99" s="224">
        <v>6.84</v>
      </c>
      <c r="R99" s="13"/>
      <c r="S99" s="13"/>
      <c r="T99" s="213"/>
      <c r="U99" s="13"/>
    </row>
    <row r="100" customFormat="1" spans="1:33">
      <c r="A100" s="13" t="s">
        <v>2449</v>
      </c>
      <c r="B100" s="224">
        <v>12.02</v>
      </c>
      <c r="C100" s="224">
        <v>54.17</v>
      </c>
      <c r="D100" s="224">
        <v>39.29</v>
      </c>
      <c r="E100" s="224">
        <v>9.12</v>
      </c>
      <c r="F100" s="224">
        <v>6.53</v>
      </c>
      <c r="G100" s="224">
        <v>46.35</v>
      </c>
      <c r="H100" s="224">
        <v>11.17</v>
      </c>
      <c r="I100" s="224">
        <v>3.32</v>
      </c>
      <c r="J100" s="224">
        <v>1.83</v>
      </c>
      <c r="K100" s="224">
        <v>36.7</v>
      </c>
      <c r="L100" s="224">
        <v>23.4</v>
      </c>
      <c r="M100" s="224">
        <v>69.6</v>
      </c>
      <c r="N100" s="224">
        <v>0</v>
      </c>
      <c r="O100" s="224">
        <v>0</v>
      </c>
      <c r="P100" s="224">
        <v>0.46</v>
      </c>
      <c r="Q100" s="224">
        <v>6.66</v>
      </c>
      <c r="R100" s="13"/>
      <c r="S100" s="13"/>
      <c r="T100" s="213"/>
      <c r="U100" s="13"/>
      <c r="AB100" s="223"/>
      <c r="AG100" s="222"/>
    </row>
    <row r="101" customFormat="1" spans="1:21">
      <c r="A101" s="13" t="s">
        <v>2450</v>
      </c>
      <c r="B101" s="224">
        <v>12.5</v>
      </c>
      <c r="C101" s="224">
        <v>60.34</v>
      </c>
      <c r="D101" s="224">
        <v>42.9</v>
      </c>
      <c r="E101" s="224">
        <v>8.63</v>
      </c>
      <c r="F101" s="224">
        <v>5.67</v>
      </c>
      <c r="G101" s="224">
        <v>47.64</v>
      </c>
      <c r="H101" s="224">
        <v>11.17</v>
      </c>
      <c r="I101" s="224">
        <v>3.31</v>
      </c>
      <c r="J101" s="224">
        <v>2.51</v>
      </c>
      <c r="K101" s="224">
        <v>49.38</v>
      </c>
      <c r="L101" s="224">
        <v>23.2</v>
      </c>
      <c r="M101" s="224">
        <v>68.41</v>
      </c>
      <c r="N101" s="224">
        <v>0</v>
      </c>
      <c r="O101" s="224">
        <v>0</v>
      </c>
      <c r="P101" s="224">
        <v>0.47</v>
      </c>
      <c r="Q101" s="224">
        <v>6.83</v>
      </c>
      <c r="R101" s="13"/>
      <c r="S101" s="13"/>
      <c r="T101" s="213"/>
      <c r="U101" s="13"/>
    </row>
    <row r="102" customFormat="1" spans="1:21">
      <c r="A102" s="13" t="s">
        <v>2451</v>
      </c>
      <c r="B102" s="224">
        <v>12.76</v>
      </c>
      <c r="C102" s="224">
        <v>57.9</v>
      </c>
      <c r="D102" s="224">
        <v>41.83</v>
      </c>
      <c r="E102" s="224">
        <v>8.27</v>
      </c>
      <c r="F102" s="224">
        <v>5.21</v>
      </c>
      <c r="G102" s="224">
        <v>47.64</v>
      </c>
      <c r="H102" s="224">
        <v>11.17</v>
      </c>
      <c r="I102" s="224">
        <v>3.35</v>
      </c>
      <c r="J102" s="224">
        <v>1.39</v>
      </c>
      <c r="K102" s="224">
        <v>59.74</v>
      </c>
      <c r="L102" s="224">
        <v>22.62</v>
      </c>
      <c r="M102" s="224">
        <v>70.08</v>
      </c>
      <c r="N102" s="224">
        <v>0</v>
      </c>
      <c r="O102" s="224">
        <v>0</v>
      </c>
      <c r="P102" s="224">
        <v>0.45</v>
      </c>
      <c r="Q102" s="224">
        <v>6.71</v>
      </c>
      <c r="R102" s="13"/>
      <c r="S102" s="13"/>
      <c r="T102" s="213"/>
      <c r="U102" s="13"/>
    </row>
    <row r="103" customFormat="1" spans="1:21">
      <c r="A103" s="13" t="s">
        <v>2452</v>
      </c>
      <c r="B103" s="224">
        <v>13.01</v>
      </c>
      <c r="C103" s="224">
        <v>62.46</v>
      </c>
      <c r="D103" s="224">
        <v>44.42</v>
      </c>
      <c r="E103" s="224">
        <v>8.06</v>
      </c>
      <c r="F103" s="224">
        <v>4.04</v>
      </c>
      <c r="G103" s="224">
        <v>47.64</v>
      </c>
      <c r="H103" s="224">
        <v>11.17</v>
      </c>
      <c r="I103" s="224">
        <v>3.33</v>
      </c>
      <c r="J103" s="224">
        <v>1.49</v>
      </c>
      <c r="K103" s="224">
        <v>62.75</v>
      </c>
      <c r="L103" s="224">
        <v>22.89</v>
      </c>
      <c r="M103" s="224">
        <v>64.44</v>
      </c>
      <c r="N103" s="224">
        <v>0</v>
      </c>
      <c r="O103" s="224">
        <v>0</v>
      </c>
      <c r="P103" s="224">
        <v>0.46</v>
      </c>
      <c r="Q103" s="224">
        <v>6.86</v>
      </c>
      <c r="R103" s="13"/>
      <c r="S103" s="13"/>
      <c r="T103" s="213"/>
      <c r="U103" s="13"/>
    </row>
    <row r="104" customFormat="1" spans="1:21">
      <c r="A104" s="13" t="s">
        <v>2453</v>
      </c>
      <c r="B104" s="224">
        <v>13.15</v>
      </c>
      <c r="C104" s="224">
        <v>59.91</v>
      </c>
      <c r="D104" s="224">
        <v>43.2</v>
      </c>
      <c r="E104" s="224">
        <v>7.7</v>
      </c>
      <c r="F104" s="224">
        <v>4.27</v>
      </c>
      <c r="G104" s="224">
        <v>44.22</v>
      </c>
      <c r="H104" s="224">
        <v>10.95</v>
      </c>
      <c r="I104" s="224">
        <v>3.38</v>
      </c>
      <c r="J104" s="224">
        <v>0.73</v>
      </c>
      <c r="K104" s="224">
        <v>87.36</v>
      </c>
      <c r="L104" s="224">
        <v>23.22</v>
      </c>
      <c r="M104" s="224">
        <v>64.72</v>
      </c>
      <c r="N104" s="224">
        <v>0</v>
      </c>
      <c r="O104" s="224">
        <v>0</v>
      </c>
      <c r="P104" s="224">
        <v>0.45</v>
      </c>
      <c r="Q104" s="224">
        <v>6.78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3.35</v>
      </c>
      <c r="C106" s="215">
        <f>MIN(C9:C104)</f>
        <v>28.8</v>
      </c>
      <c r="D106" s="215">
        <f t="shared" ref="D106:Q106" si="0">MIN(D9:D104)</f>
        <v>19.09</v>
      </c>
      <c r="E106" s="215">
        <f t="shared" si="0"/>
        <v>5.93</v>
      </c>
      <c r="F106" s="215">
        <f t="shared" si="0"/>
        <v>3.3</v>
      </c>
      <c r="G106" s="215">
        <f t="shared" si="0"/>
        <v>18.52</v>
      </c>
      <c r="H106" s="215">
        <f t="shared" si="0"/>
        <v>9.07</v>
      </c>
      <c r="I106" s="215">
        <f t="shared" si="0"/>
        <v>2.88</v>
      </c>
      <c r="J106" s="215">
        <f t="shared" si="0"/>
        <v>0.08</v>
      </c>
      <c r="K106" s="215">
        <f t="shared" si="0"/>
        <v>17.56</v>
      </c>
      <c r="L106" s="215">
        <f t="shared" si="0"/>
        <v>21.67</v>
      </c>
      <c r="M106" s="215">
        <f t="shared" si="0"/>
        <v>35.89</v>
      </c>
      <c r="N106" s="215">
        <f t="shared" si="0"/>
        <v>0</v>
      </c>
      <c r="O106" s="215">
        <f t="shared" si="0"/>
        <v>0</v>
      </c>
      <c r="P106" s="215">
        <f t="shared" si="0"/>
        <v>0.4</v>
      </c>
      <c r="Q106" s="215">
        <f t="shared" si="0"/>
        <v>5.4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32.82</v>
      </c>
      <c r="C107" s="216">
        <f t="shared" ref="C107:Q107" si="1">MAX(C9:C104)</f>
        <v>71.51</v>
      </c>
      <c r="D107" s="216">
        <f t="shared" si="1"/>
        <v>64.99</v>
      </c>
      <c r="E107" s="216">
        <f t="shared" si="1"/>
        <v>10.59</v>
      </c>
      <c r="F107" s="216">
        <f t="shared" si="1"/>
        <v>44.71</v>
      </c>
      <c r="G107" s="216">
        <f t="shared" si="1"/>
        <v>47.64</v>
      </c>
      <c r="H107" s="216">
        <f t="shared" si="1"/>
        <v>15.77</v>
      </c>
      <c r="I107" s="216">
        <f t="shared" si="1"/>
        <v>3.81</v>
      </c>
      <c r="J107" s="216">
        <f t="shared" si="1"/>
        <v>2.89</v>
      </c>
      <c r="K107" s="216">
        <f t="shared" si="1"/>
        <v>320.32</v>
      </c>
      <c r="L107" s="216">
        <f t="shared" si="1"/>
        <v>35.85</v>
      </c>
      <c r="M107" s="216">
        <f t="shared" si="1"/>
        <v>79.04</v>
      </c>
      <c r="N107" s="216">
        <f t="shared" si="1"/>
        <v>766.8</v>
      </c>
      <c r="O107" s="216">
        <f t="shared" si="1"/>
        <v>0</v>
      </c>
      <c r="P107" s="216">
        <f t="shared" si="1"/>
        <v>0.51</v>
      </c>
      <c r="Q107" s="216">
        <f t="shared" si="1"/>
        <v>8.67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17.978125</v>
      </c>
      <c r="C108" s="215">
        <f t="shared" ref="C108:Q108" si="2">AVERAGE(C9:C104)</f>
        <v>57.57375</v>
      </c>
      <c r="D108" s="215">
        <f t="shared" si="2"/>
        <v>45.8485416666666</v>
      </c>
      <c r="E108" s="215">
        <f t="shared" si="2"/>
        <v>7.79125</v>
      </c>
      <c r="F108" s="215">
        <f t="shared" si="2"/>
        <v>9.32614583333333</v>
      </c>
      <c r="G108" s="215">
        <f t="shared" si="2"/>
        <v>27.4279166666667</v>
      </c>
      <c r="H108" s="215">
        <f t="shared" si="2"/>
        <v>12.5279166666667</v>
      </c>
      <c r="I108" s="215">
        <f t="shared" si="2"/>
        <v>3.52427083333333</v>
      </c>
      <c r="J108" s="215">
        <f t="shared" si="2"/>
        <v>0.799375</v>
      </c>
      <c r="K108" s="215">
        <f t="shared" si="2"/>
        <v>138.519791666667</v>
      </c>
      <c r="L108" s="215">
        <f t="shared" si="2"/>
        <v>27.9596875</v>
      </c>
      <c r="M108" s="215">
        <f t="shared" si="2"/>
        <v>56.9555208333333</v>
      </c>
      <c r="N108" s="215">
        <f t="shared" si="2"/>
        <v>204.670833333333</v>
      </c>
      <c r="O108" s="215">
        <f t="shared" si="2"/>
        <v>0</v>
      </c>
      <c r="P108" s="215">
        <f t="shared" si="2"/>
        <v>0.448645833333333</v>
      </c>
      <c r="Q108" s="215">
        <f t="shared" si="2"/>
        <v>7.19770833333334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10.5811856178288</v>
      </c>
      <c r="C109" s="215">
        <f t="shared" ref="C109:Q109" si="3">STDEV(C9:C104)</f>
        <v>10.6487213218054</v>
      </c>
      <c r="D109" s="215">
        <f t="shared" si="3"/>
        <v>13.6098979445624</v>
      </c>
      <c r="E109" s="215">
        <f t="shared" si="3"/>
        <v>1.00634434830649</v>
      </c>
      <c r="F109" s="215">
        <f t="shared" si="3"/>
        <v>8.19697997914529</v>
      </c>
      <c r="G109" s="215">
        <f t="shared" si="3"/>
        <v>5.64441259200388</v>
      </c>
      <c r="H109" s="215">
        <f t="shared" si="3"/>
        <v>2.10735649653986</v>
      </c>
      <c r="I109" s="215">
        <f t="shared" si="3"/>
        <v>0.18744118960731</v>
      </c>
      <c r="J109" s="215">
        <f t="shared" si="3"/>
        <v>0.566867314837942</v>
      </c>
      <c r="K109" s="215">
        <f t="shared" si="3"/>
        <v>87.6208579827905</v>
      </c>
      <c r="L109" s="215">
        <f t="shared" si="3"/>
        <v>5.03804211200824</v>
      </c>
      <c r="M109" s="215">
        <f t="shared" si="3"/>
        <v>14.8567450476236</v>
      </c>
      <c r="N109" s="215">
        <f t="shared" si="3"/>
        <v>275.994076182297</v>
      </c>
      <c r="O109" s="215">
        <f t="shared" si="3"/>
        <v>0</v>
      </c>
      <c r="P109" s="215">
        <f t="shared" si="3"/>
        <v>0.0258587170140755</v>
      </c>
      <c r="Q109" s="215">
        <f t="shared" si="3"/>
        <v>0.969341044939039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26/04/2023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3" t="s">
        <v>2454</v>
      </c>
      <c r="B9" s="224">
        <v>11.97</v>
      </c>
      <c r="C9" s="224">
        <v>63.06</v>
      </c>
      <c r="D9" s="224">
        <v>43.9</v>
      </c>
      <c r="E9" s="224">
        <v>7.74</v>
      </c>
      <c r="F9" s="224">
        <v>4.04</v>
      </c>
      <c r="G9" s="224">
        <v>44.06</v>
      </c>
      <c r="H9" s="224">
        <v>10.95</v>
      </c>
      <c r="I9" s="224">
        <v>3.31</v>
      </c>
      <c r="J9" s="224">
        <v>0.5</v>
      </c>
      <c r="K9" s="224">
        <v>101.51</v>
      </c>
      <c r="L9" s="224">
        <v>23.35</v>
      </c>
      <c r="M9" s="224">
        <v>70.15</v>
      </c>
      <c r="N9" s="224">
        <v>0</v>
      </c>
      <c r="O9" s="224">
        <v>0</v>
      </c>
      <c r="P9" s="224">
        <v>0.45</v>
      </c>
      <c r="Q9" s="224">
        <v>6.93</v>
      </c>
      <c r="R9" s="13"/>
      <c r="S9" s="13"/>
      <c r="T9" s="213"/>
      <c r="U9" s="13"/>
    </row>
    <row r="10" customFormat="1" spans="1:21">
      <c r="A10" s="13" t="s">
        <v>2455</v>
      </c>
      <c r="B10" s="224">
        <v>11.75</v>
      </c>
      <c r="C10" s="224">
        <v>60.36</v>
      </c>
      <c r="D10" s="224">
        <v>42.3</v>
      </c>
      <c r="E10" s="224">
        <v>7.9</v>
      </c>
      <c r="F10" s="224">
        <v>4.5</v>
      </c>
      <c r="G10" s="224">
        <v>44.06</v>
      </c>
      <c r="H10" s="224">
        <v>10.95</v>
      </c>
      <c r="I10" s="224">
        <v>3.3</v>
      </c>
      <c r="J10" s="224">
        <v>0.54</v>
      </c>
      <c r="K10" s="224">
        <v>102.49</v>
      </c>
      <c r="L10" s="224">
        <v>22.93</v>
      </c>
      <c r="M10" s="224">
        <v>68.1</v>
      </c>
      <c r="N10" s="224">
        <v>0</v>
      </c>
      <c r="O10" s="224">
        <v>0</v>
      </c>
      <c r="P10" s="224">
        <v>0.45</v>
      </c>
      <c r="Q10" s="224">
        <v>6.79</v>
      </c>
      <c r="R10" s="13"/>
      <c r="S10" s="13"/>
      <c r="T10" s="213"/>
      <c r="U10" s="13"/>
    </row>
    <row r="11" customFormat="1" spans="1:21">
      <c r="A11" s="13" t="s">
        <v>2456</v>
      </c>
      <c r="B11" s="224">
        <v>11.33</v>
      </c>
      <c r="C11" s="224">
        <v>60.68</v>
      </c>
      <c r="D11" s="224">
        <v>42.14</v>
      </c>
      <c r="E11" s="224">
        <v>7.5</v>
      </c>
      <c r="F11" s="224">
        <v>4.41</v>
      </c>
      <c r="G11" s="224">
        <v>44.06</v>
      </c>
      <c r="H11" s="224">
        <v>10.95</v>
      </c>
      <c r="I11" s="224">
        <v>3.34</v>
      </c>
      <c r="J11" s="224">
        <v>0.63</v>
      </c>
      <c r="K11" s="224">
        <v>92.56</v>
      </c>
      <c r="L11" s="224">
        <v>22.65</v>
      </c>
      <c r="M11" s="224">
        <v>66.29</v>
      </c>
      <c r="N11" s="224">
        <v>0</v>
      </c>
      <c r="O11" s="224">
        <v>0</v>
      </c>
      <c r="P11" s="224">
        <v>0.43</v>
      </c>
      <c r="Q11" s="224">
        <v>6.81</v>
      </c>
      <c r="R11" s="13"/>
      <c r="S11" s="13"/>
      <c r="T11" s="213"/>
      <c r="U11" s="13"/>
    </row>
    <row r="12" customFormat="1" spans="1:21">
      <c r="A12" s="13" t="s">
        <v>2457</v>
      </c>
      <c r="B12" s="224">
        <v>10.66</v>
      </c>
      <c r="C12" s="224">
        <v>58.51</v>
      </c>
      <c r="D12" s="224">
        <v>40.47</v>
      </c>
      <c r="E12" s="224">
        <v>7.59</v>
      </c>
      <c r="F12" s="224">
        <v>4.77</v>
      </c>
      <c r="G12" s="224">
        <v>32.98</v>
      </c>
      <c r="H12" s="224">
        <v>9.11</v>
      </c>
      <c r="I12" s="224">
        <v>3.39</v>
      </c>
      <c r="J12" s="224">
        <v>0.8</v>
      </c>
      <c r="K12" s="224">
        <v>99.49</v>
      </c>
      <c r="L12" s="224">
        <v>22.49</v>
      </c>
      <c r="M12" s="224">
        <v>66.25</v>
      </c>
      <c r="N12" s="224">
        <v>0</v>
      </c>
      <c r="O12" s="224">
        <v>0</v>
      </c>
      <c r="P12" s="224">
        <v>0.41</v>
      </c>
      <c r="Q12" s="224">
        <v>6.66</v>
      </c>
      <c r="R12" s="13"/>
      <c r="S12" s="13"/>
      <c r="T12" s="213"/>
      <c r="U12" s="13"/>
    </row>
    <row r="13" customFormat="1" spans="1:21">
      <c r="A13" s="13" t="s">
        <v>2458</v>
      </c>
      <c r="B13" s="224">
        <v>10.17</v>
      </c>
      <c r="C13" s="224">
        <v>61.51</v>
      </c>
      <c r="D13" s="224">
        <v>41.64</v>
      </c>
      <c r="E13" s="224">
        <v>7.91</v>
      </c>
      <c r="F13" s="224">
        <v>4.51</v>
      </c>
      <c r="G13" s="224">
        <v>32.46</v>
      </c>
      <c r="H13" s="224">
        <v>9.11</v>
      </c>
      <c r="I13" s="224">
        <v>3.29</v>
      </c>
      <c r="J13" s="224">
        <v>0.62</v>
      </c>
      <c r="K13" s="224">
        <v>93.56</v>
      </c>
      <c r="L13" s="224">
        <v>22.38</v>
      </c>
      <c r="M13" s="224">
        <v>67.61</v>
      </c>
      <c r="N13" s="224">
        <v>0</v>
      </c>
      <c r="O13" s="224">
        <v>0</v>
      </c>
      <c r="P13" s="224">
        <v>0.42</v>
      </c>
      <c r="Q13" s="224">
        <v>6.85</v>
      </c>
      <c r="R13" s="13"/>
      <c r="S13" s="13"/>
      <c r="T13" s="213"/>
      <c r="U13" s="13"/>
    </row>
    <row r="14" customFormat="1" spans="1:21">
      <c r="A14" s="13" t="s">
        <v>2459</v>
      </c>
      <c r="B14" s="224">
        <v>9.83</v>
      </c>
      <c r="C14" s="224">
        <v>56.67</v>
      </c>
      <c r="D14" s="224">
        <v>38.84</v>
      </c>
      <c r="E14" s="224">
        <v>7.19</v>
      </c>
      <c r="F14" s="224">
        <v>5.06</v>
      </c>
      <c r="G14" s="224">
        <v>32.46</v>
      </c>
      <c r="H14" s="224">
        <v>9.11</v>
      </c>
      <c r="I14" s="224">
        <v>3.26</v>
      </c>
      <c r="J14" s="224">
        <v>0.6</v>
      </c>
      <c r="K14" s="224">
        <v>104.29</v>
      </c>
      <c r="L14" s="224">
        <v>22.75</v>
      </c>
      <c r="M14" s="224">
        <v>64.92</v>
      </c>
      <c r="N14" s="224">
        <v>0</v>
      </c>
      <c r="O14" s="224">
        <v>0</v>
      </c>
      <c r="P14" s="224">
        <v>0.4</v>
      </c>
      <c r="Q14" s="224">
        <v>6.63</v>
      </c>
      <c r="R14" s="13"/>
      <c r="S14" s="13"/>
      <c r="T14" s="213"/>
      <c r="U14" s="13"/>
    </row>
    <row r="15" customFormat="1" spans="1:21">
      <c r="A15" s="13" t="s">
        <v>2460</v>
      </c>
      <c r="B15" s="224">
        <v>9.71</v>
      </c>
      <c r="C15" s="224">
        <v>61.97</v>
      </c>
      <c r="D15" s="224">
        <v>41.52</v>
      </c>
      <c r="E15" s="224">
        <v>7.38</v>
      </c>
      <c r="F15" s="224">
        <v>4.22</v>
      </c>
      <c r="G15" s="224">
        <v>32.46</v>
      </c>
      <c r="H15" s="224">
        <v>9.11</v>
      </c>
      <c r="I15" s="224">
        <v>3.2</v>
      </c>
      <c r="J15" s="224">
        <v>0.37</v>
      </c>
      <c r="K15" s="224">
        <v>103.65</v>
      </c>
      <c r="L15" s="224">
        <v>23.31</v>
      </c>
      <c r="M15" s="224">
        <v>61.43</v>
      </c>
      <c r="N15" s="224">
        <v>0</v>
      </c>
      <c r="O15" s="224">
        <v>0</v>
      </c>
      <c r="P15" s="224">
        <v>0.41</v>
      </c>
      <c r="Q15" s="224">
        <v>6.81</v>
      </c>
      <c r="R15" s="13"/>
      <c r="S15" s="13"/>
      <c r="T15" s="213"/>
      <c r="U15" s="13"/>
    </row>
    <row r="16" customFormat="1" spans="1:21">
      <c r="A16" s="13" t="s">
        <v>2461</v>
      </c>
      <c r="B16" s="224">
        <v>9.76</v>
      </c>
      <c r="C16" s="224">
        <v>63.43</v>
      </c>
      <c r="D16" s="224">
        <v>42.32</v>
      </c>
      <c r="E16" s="224">
        <v>7.48</v>
      </c>
      <c r="F16" s="224">
        <v>4.18</v>
      </c>
      <c r="G16" s="224">
        <v>27.19</v>
      </c>
      <c r="H16" s="224">
        <v>6.74</v>
      </c>
      <c r="I16" s="224">
        <v>3.17</v>
      </c>
      <c r="J16" s="224">
        <v>0.23</v>
      </c>
      <c r="K16" s="224">
        <v>122.73</v>
      </c>
      <c r="L16" s="224">
        <v>23.53</v>
      </c>
      <c r="M16" s="224">
        <v>60.9</v>
      </c>
      <c r="N16" s="224">
        <v>0</v>
      </c>
      <c r="O16" s="224">
        <v>0</v>
      </c>
      <c r="P16" s="224">
        <v>0.42</v>
      </c>
      <c r="Q16" s="224">
        <v>6.96</v>
      </c>
      <c r="R16" s="13"/>
      <c r="S16" s="13"/>
      <c r="T16" s="213"/>
      <c r="U16" s="13"/>
    </row>
    <row r="17" customFormat="1" spans="1:21">
      <c r="A17" s="13" t="s">
        <v>2462</v>
      </c>
      <c r="B17" s="224">
        <v>9.91</v>
      </c>
      <c r="C17" s="224">
        <v>63.65</v>
      </c>
      <c r="D17" s="224">
        <v>42.56</v>
      </c>
      <c r="E17" s="224">
        <v>5.74</v>
      </c>
      <c r="F17" s="224">
        <v>4.2</v>
      </c>
      <c r="G17" s="224">
        <v>26.94</v>
      </c>
      <c r="H17" s="224">
        <v>6.74</v>
      </c>
      <c r="I17" s="224">
        <v>3.18</v>
      </c>
      <c r="J17" s="224">
        <v>0.32</v>
      </c>
      <c r="K17" s="224">
        <v>113.24</v>
      </c>
      <c r="L17" s="224">
        <v>23.52</v>
      </c>
      <c r="M17" s="224">
        <v>60.96</v>
      </c>
      <c r="N17" s="224">
        <v>0</v>
      </c>
      <c r="O17" s="224">
        <v>0</v>
      </c>
      <c r="P17" s="224">
        <v>0.41</v>
      </c>
      <c r="Q17" s="224">
        <v>6.96</v>
      </c>
      <c r="R17" s="13"/>
      <c r="S17" s="13"/>
      <c r="T17" s="213"/>
      <c r="U17" s="13"/>
    </row>
    <row r="18" customFormat="1" spans="1:21">
      <c r="A18" s="13" t="s">
        <v>2463</v>
      </c>
      <c r="B18" s="224">
        <v>10.11</v>
      </c>
      <c r="C18" s="224">
        <v>63.73</v>
      </c>
      <c r="D18" s="224">
        <v>42.76</v>
      </c>
      <c r="E18" s="224">
        <v>6.8</v>
      </c>
      <c r="F18" s="224">
        <v>4.22</v>
      </c>
      <c r="G18" s="224">
        <v>26.94</v>
      </c>
      <c r="H18" s="224">
        <v>6.74</v>
      </c>
      <c r="I18" s="224">
        <v>3.17</v>
      </c>
      <c r="J18" s="224">
        <v>0.34</v>
      </c>
      <c r="K18" s="224">
        <v>109.76</v>
      </c>
      <c r="L18" s="224">
        <v>23.26</v>
      </c>
      <c r="M18" s="224">
        <v>63.11</v>
      </c>
      <c r="N18" s="224">
        <v>0</v>
      </c>
      <c r="O18" s="224">
        <v>0</v>
      </c>
      <c r="P18" s="224">
        <v>0.41</v>
      </c>
      <c r="Q18" s="224">
        <v>6.97</v>
      </c>
      <c r="R18" s="13"/>
      <c r="S18" s="13"/>
      <c r="T18" s="213"/>
      <c r="U18" s="13"/>
    </row>
    <row r="19" customFormat="1" spans="1:21">
      <c r="A19" s="13" t="s">
        <v>2464</v>
      </c>
      <c r="B19" s="224">
        <v>10.33</v>
      </c>
      <c r="C19" s="224">
        <v>63.69</v>
      </c>
      <c r="D19" s="224">
        <v>42.91</v>
      </c>
      <c r="E19" s="224">
        <v>6.64</v>
      </c>
      <c r="F19" s="224">
        <v>4.25</v>
      </c>
      <c r="G19" s="224">
        <v>26.94</v>
      </c>
      <c r="H19" s="224">
        <v>6.74</v>
      </c>
      <c r="I19" s="224">
        <v>3.16</v>
      </c>
      <c r="J19" s="224">
        <v>0.3</v>
      </c>
      <c r="K19" s="224">
        <v>152.75</v>
      </c>
      <c r="L19" s="224">
        <v>23.26</v>
      </c>
      <c r="M19" s="224">
        <v>63.01</v>
      </c>
      <c r="N19" s="224">
        <v>0</v>
      </c>
      <c r="O19" s="224">
        <v>0</v>
      </c>
      <c r="P19" s="224">
        <v>0.4</v>
      </c>
      <c r="Q19" s="224">
        <v>6.98</v>
      </c>
      <c r="R19" s="13"/>
      <c r="S19" s="13"/>
      <c r="T19" s="213"/>
      <c r="U19" s="13"/>
    </row>
    <row r="20" customFormat="1" spans="1:21">
      <c r="A20" s="13" t="s">
        <v>2465</v>
      </c>
      <c r="B20" s="224">
        <v>10.55</v>
      </c>
      <c r="C20" s="224">
        <v>64.19</v>
      </c>
      <c r="D20" s="224">
        <v>43.35</v>
      </c>
      <c r="E20" s="224">
        <v>6.49</v>
      </c>
      <c r="F20" s="224">
        <v>4.26</v>
      </c>
      <c r="G20" s="224">
        <v>23.43</v>
      </c>
      <c r="H20" s="224">
        <v>5.07</v>
      </c>
      <c r="I20" s="224">
        <v>3.08</v>
      </c>
      <c r="J20" s="224">
        <v>0.18</v>
      </c>
      <c r="K20" s="224">
        <v>176.13</v>
      </c>
      <c r="L20" s="224">
        <v>23.33</v>
      </c>
      <c r="M20" s="224">
        <v>62.64</v>
      </c>
      <c r="N20" s="224">
        <v>0</v>
      </c>
      <c r="O20" s="224">
        <v>0</v>
      </c>
      <c r="P20" s="224">
        <v>0.39</v>
      </c>
      <c r="Q20" s="224">
        <v>7.02</v>
      </c>
      <c r="R20" s="13"/>
      <c r="S20" s="13"/>
      <c r="T20" s="213"/>
      <c r="U20" s="13"/>
    </row>
    <row r="21" customFormat="1" spans="1:21">
      <c r="A21" s="13" t="s">
        <v>2466</v>
      </c>
      <c r="B21" s="224">
        <v>10.82</v>
      </c>
      <c r="C21" s="224">
        <v>64.02</v>
      </c>
      <c r="D21" s="224">
        <v>43.48</v>
      </c>
      <c r="E21" s="224">
        <v>6.23</v>
      </c>
      <c r="F21" s="224">
        <v>4.34</v>
      </c>
      <c r="G21" s="224">
        <v>23.27</v>
      </c>
      <c r="H21" s="224">
        <v>5.07</v>
      </c>
      <c r="I21" s="224">
        <v>3.04</v>
      </c>
      <c r="J21" s="224">
        <v>0.2</v>
      </c>
      <c r="K21" s="224">
        <v>249.38</v>
      </c>
      <c r="L21" s="224">
        <v>23.27</v>
      </c>
      <c r="M21" s="224">
        <v>62.25</v>
      </c>
      <c r="N21" s="224">
        <v>0</v>
      </c>
      <c r="O21" s="224">
        <v>0</v>
      </c>
      <c r="P21" s="224">
        <v>0.39</v>
      </c>
      <c r="Q21" s="224">
        <v>7.04</v>
      </c>
      <c r="R21" s="13"/>
      <c r="S21" s="13"/>
      <c r="T21" s="213"/>
      <c r="U21" s="13"/>
    </row>
    <row r="22" customFormat="1" spans="1:21">
      <c r="A22" s="13" t="s">
        <v>2467</v>
      </c>
      <c r="B22" s="224">
        <v>10.99</v>
      </c>
      <c r="C22" s="224">
        <v>63.69</v>
      </c>
      <c r="D22" s="224">
        <v>43.44</v>
      </c>
      <c r="E22" s="224">
        <v>6.05</v>
      </c>
      <c r="F22" s="224">
        <v>4.26</v>
      </c>
      <c r="G22" s="224">
        <v>23.27</v>
      </c>
      <c r="H22" s="224">
        <v>5.07</v>
      </c>
      <c r="I22" s="224">
        <v>3.04</v>
      </c>
      <c r="J22" s="224">
        <v>0.15</v>
      </c>
      <c r="K22" s="224">
        <v>218.05</v>
      </c>
      <c r="L22" s="224">
        <v>23.1</v>
      </c>
      <c r="M22" s="224">
        <v>63.47</v>
      </c>
      <c r="N22" s="224">
        <v>0</v>
      </c>
      <c r="O22" s="224">
        <v>0</v>
      </c>
      <c r="P22" s="224">
        <v>0.38</v>
      </c>
      <c r="Q22" s="224">
        <v>7</v>
      </c>
      <c r="R22" s="13"/>
      <c r="S22" s="13"/>
      <c r="T22" s="213"/>
      <c r="U22" s="13"/>
    </row>
    <row r="23" customFormat="1" spans="1:21">
      <c r="A23" s="13" t="s">
        <v>2468</v>
      </c>
      <c r="B23" s="224">
        <v>11.08</v>
      </c>
      <c r="C23" s="224">
        <v>64.09</v>
      </c>
      <c r="D23" s="224">
        <v>43.72</v>
      </c>
      <c r="E23" s="224">
        <v>6.26</v>
      </c>
      <c r="F23" s="224">
        <v>4.07</v>
      </c>
      <c r="G23" s="224">
        <v>23.27</v>
      </c>
      <c r="H23" s="224">
        <v>5.07</v>
      </c>
      <c r="I23" s="224">
        <v>3.03</v>
      </c>
      <c r="J23" s="224">
        <v>0.25</v>
      </c>
      <c r="K23" s="224">
        <v>218.85</v>
      </c>
      <c r="L23" s="224">
        <v>22.79</v>
      </c>
      <c r="M23" s="224">
        <v>64.85</v>
      </c>
      <c r="N23" s="224">
        <v>0</v>
      </c>
      <c r="O23" s="224">
        <v>0</v>
      </c>
      <c r="P23" s="224">
        <v>0.38</v>
      </c>
      <c r="Q23" s="224">
        <v>7.01</v>
      </c>
      <c r="R23" s="13"/>
      <c r="S23" s="13"/>
      <c r="T23" s="213"/>
      <c r="U23" s="13"/>
    </row>
    <row r="24" customFormat="1" spans="1:21">
      <c r="A24" s="13" t="s">
        <v>2469</v>
      </c>
      <c r="B24" s="224">
        <v>11.23</v>
      </c>
      <c r="C24" s="224">
        <v>64.41</v>
      </c>
      <c r="D24" s="224">
        <v>44.01</v>
      </c>
      <c r="E24" s="224">
        <v>6.38</v>
      </c>
      <c r="F24" s="224">
        <v>4.02</v>
      </c>
      <c r="G24" s="224">
        <v>16.94</v>
      </c>
      <c r="H24" s="224">
        <v>4.14</v>
      </c>
      <c r="I24" s="224">
        <v>2.99</v>
      </c>
      <c r="J24" s="224">
        <v>0.31</v>
      </c>
      <c r="K24" s="224">
        <v>214.22</v>
      </c>
      <c r="L24" s="224">
        <v>22.63</v>
      </c>
      <c r="M24" s="224">
        <v>65.91</v>
      </c>
      <c r="N24" s="224">
        <v>0</v>
      </c>
      <c r="O24" s="224">
        <v>0</v>
      </c>
      <c r="P24" s="224">
        <v>0.38</v>
      </c>
      <c r="Q24" s="224">
        <v>7.03</v>
      </c>
      <c r="R24" s="13"/>
      <c r="S24" s="13"/>
      <c r="T24" s="213"/>
      <c r="U24" s="13"/>
    </row>
    <row r="25" customFormat="1" spans="1:21">
      <c r="A25" s="13" t="s">
        <v>2470</v>
      </c>
      <c r="B25" s="224">
        <v>11.42</v>
      </c>
      <c r="C25" s="224">
        <v>64.74</v>
      </c>
      <c r="D25" s="224">
        <v>44.33</v>
      </c>
      <c r="E25" s="224">
        <v>6.16</v>
      </c>
      <c r="F25" s="224">
        <v>3.94</v>
      </c>
      <c r="G25" s="224">
        <v>16.64</v>
      </c>
      <c r="H25" s="224">
        <v>4.14</v>
      </c>
      <c r="I25" s="224">
        <v>2.93</v>
      </c>
      <c r="J25" s="224">
        <v>0.24</v>
      </c>
      <c r="K25" s="224">
        <v>185.75</v>
      </c>
      <c r="L25" s="224">
        <v>22.6</v>
      </c>
      <c r="M25" s="224">
        <v>67.18</v>
      </c>
      <c r="N25" s="224">
        <v>0</v>
      </c>
      <c r="O25" s="224">
        <v>0</v>
      </c>
      <c r="P25" s="224">
        <v>0.37</v>
      </c>
      <c r="Q25" s="224">
        <v>7.06</v>
      </c>
      <c r="R25" s="13"/>
      <c r="S25" s="13"/>
      <c r="T25" s="213"/>
      <c r="U25" s="13"/>
    </row>
    <row r="26" customFormat="1" spans="1:21">
      <c r="A26" s="13" t="s">
        <v>2471</v>
      </c>
      <c r="B26" s="224">
        <v>11.71</v>
      </c>
      <c r="C26" s="224">
        <v>64.01</v>
      </c>
      <c r="D26" s="224">
        <v>44.19</v>
      </c>
      <c r="E26" s="224">
        <v>6.25</v>
      </c>
      <c r="F26" s="224">
        <v>3.97</v>
      </c>
      <c r="G26" s="224">
        <v>16.64</v>
      </c>
      <c r="H26" s="224">
        <v>4.14</v>
      </c>
      <c r="I26" s="224">
        <v>2.89</v>
      </c>
      <c r="J26" s="224">
        <v>0.27</v>
      </c>
      <c r="K26" s="224">
        <v>220.89</v>
      </c>
      <c r="L26" s="224">
        <v>22.36</v>
      </c>
      <c r="M26" s="224">
        <v>69.37</v>
      </c>
      <c r="N26" s="224">
        <v>0</v>
      </c>
      <c r="O26" s="224">
        <v>0</v>
      </c>
      <c r="P26" s="224">
        <v>0.37</v>
      </c>
      <c r="Q26" s="224">
        <v>7.04</v>
      </c>
      <c r="R26" s="13"/>
      <c r="S26" s="13"/>
      <c r="T26" s="213"/>
      <c r="U26" s="13"/>
    </row>
    <row r="27" customFormat="1" spans="1:21">
      <c r="A27" s="13" t="s">
        <v>2472</v>
      </c>
      <c r="B27" s="224">
        <v>12.02</v>
      </c>
      <c r="C27" s="224">
        <v>64.04</v>
      </c>
      <c r="D27" s="224">
        <v>44.45</v>
      </c>
      <c r="E27" s="224">
        <v>6.41</v>
      </c>
      <c r="F27" s="224">
        <v>3.87</v>
      </c>
      <c r="G27" s="224">
        <v>16.64</v>
      </c>
      <c r="H27" s="224">
        <v>4.14</v>
      </c>
      <c r="I27" s="224">
        <v>2.89</v>
      </c>
      <c r="J27" s="224">
        <v>0.13</v>
      </c>
      <c r="K27" s="224">
        <v>326.78</v>
      </c>
      <c r="L27" s="224">
        <v>22.09</v>
      </c>
      <c r="M27" s="224">
        <v>71.36</v>
      </c>
      <c r="N27" s="224">
        <v>0</v>
      </c>
      <c r="O27" s="224">
        <v>0</v>
      </c>
      <c r="P27" s="224">
        <v>0.37</v>
      </c>
      <c r="Q27" s="224">
        <v>7.06</v>
      </c>
      <c r="R27" s="13"/>
      <c r="S27" s="13"/>
      <c r="T27" s="213"/>
      <c r="U27" s="13"/>
    </row>
    <row r="28" customFormat="1" spans="1:21">
      <c r="A28" s="13" t="s">
        <v>2473</v>
      </c>
      <c r="B28" s="224">
        <v>13.04</v>
      </c>
      <c r="C28" s="224">
        <v>64.93</v>
      </c>
      <c r="D28" s="224">
        <v>45.73</v>
      </c>
      <c r="E28" s="224">
        <v>6</v>
      </c>
      <c r="F28" s="224">
        <v>3.64</v>
      </c>
      <c r="G28" s="224">
        <v>15.49</v>
      </c>
      <c r="H28" s="224">
        <v>7.3</v>
      </c>
      <c r="I28" s="224">
        <v>2.92</v>
      </c>
      <c r="J28" s="224">
        <v>0.22</v>
      </c>
      <c r="K28" s="224">
        <v>340.86</v>
      </c>
      <c r="L28" s="224">
        <v>22.05</v>
      </c>
      <c r="M28" s="224">
        <v>71.92</v>
      </c>
      <c r="N28" s="224">
        <v>0</v>
      </c>
      <c r="O28" s="224">
        <v>0</v>
      </c>
      <c r="P28" s="224">
        <v>0.38</v>
      </c>
      <c r="Q28" s="224">
        <v>7.12</v>
      </c>
      <c r="R28" s="13"/>
      <c r="S28" s="13"/>
      <c r="T28" s="213"/>
      <c r="U28" s="13"/>
    </row>
    <row r="29" customFormat="1" spans="1:21">
      <c r="A29" s="13" t="s">
        <v>2474</v>
      </c>
      <c r="B29" s="224">
        <v>14.17</v>
      </c>
      <c r="C29" s="224">
        <v>65.52</v>
      </c>
      <c r="D29" s="224">
        <v>46.95</v>
      </c>
      <c r="E29" s="224">
        <v>6.08</v>
      </c>
      <c r="F29" s="224">
        <v>3.95</v>
      </c>
      <c r="G29" s="224">
        <v>15.43</v>
      </c>
      <c r="H29" s="224">
        <v>7.3</v>
      </c>
      <c r="I29" s="224">
        <v>2.92</v>
      </c>
      <c r="J29" s="224">
        <v>0.37</v>
      </c>
      <c r="K29" s="224">
        <v>316.09</v>
      </c>
      <c r="L29" s="224">
        <v>22.11</v>
      </c>
      <c r="M29" s="224">
        <v>71.56</v>
      </c>
      <c r="N29" s="224">
        <v>0</v>
      </c>
      <c r="O29" s="224">
        <v>0</v>
      </c>
      <c r="P29" s="224">
        <v>0.37</v>
      </c>
      <c r="Q29" s="224">
        <v>7.2</v>
      </c>
      <c r="R29" s="13"/>
      <c r="S29" s="13"/>
      <c r="T29" s="213"/>
      <c r="U29" s="13"/>
    </row>
    <row r="30" customFormat="1" spans="1:21">
      <c r="A30" s="13" t="s">
        <v>2475</v>
      </c>
      <c r="B30" s="224">
        <v>15.24</v>
      </c>
      <c r="C30" s="224">
        <v>65.86</v>
      </c>
      <c r="D30" s="224">
        <v>47.98</v>
      </c>
      <c r="E30" s="224">
        <v>6.21</v>
      </c>
      <c r="F30" s="224">
        <v>3.81</v>
      </c>
      <c r="G30" s="224">
        <v>15.43</v>
      </c>
      <c r="H30" s="224">
        <v>7.3</v>
      </c>
      <c r="I30" s="224">
        <v>2.9</v>
      </c>
      <c r="J30" s="224">
        <v>0.5</v>
      </c>
      <c r="K30" s="224">
        <v>316.42</v>
      </c>
      <c r="L30" s="224">
        <v>22.13</v>
      </c>
      <c r="M30" s="224">
        <v>70.36</v>
      </c>
      <c r="N30" s="224">
        <v>0</v>
      </c>
      <c r="O30" s="224">
        <v>0</v>
      </c>
      <c r="P30" s="224">
        <v>0.37</v>
      </c>
      <c r="Q30" s="224">
        <v>7.3</v>
      </c>
      <c r="R30" s="13"/>
      <c r="S30" s="13"/>
      <c r="T30" s="213"/>
      <c r="U30" s="13"/>
    </row>
    <row r="31" customFormat="1" spans="1:21">
      <c r="A31" s="13" t="s">
        <v>2476</v>
      </c>
      <c r="B31" s="224">
        <v>16.36</v>
      </c>
      <c r="C31" s="224">
        <v>65.58</v>
      </c>
      <c r="D31" s="224">
        <v>48.74</v>
      </c>
      <c r="E31" s="224">
        <v>6.08</v>
      </c>
      <c r="F31" s="224">
        <v>3.75</v>
      </c>
      <c r="G31" s="224">
        <v>15.43</v>
      </c>
      <c r="H31" s="224">
        <v>7.3</v>
      </c>
      <c r="I31" s="224">
        <v>2.89</v>
      </c>
      <c r="J31" s="224">
        <v>0.31</v>
      </c>
      <c r="K31" s="224">
        <v>303.13</v>
      </c>
      <c r="L31" s="224">
        <v>22.02</v>
      </c>
      <c r="M31" s="224">
        <v>71.22</v>
      </c>
      <c r="N31" s="224">
        <v>0.4</v>
      </c>
      <c r="O31" s="224">
        <v>0</v>
      </c>
      <c r="P31" s="224">
        <v>0.38</v>
      </c>
      <c r="Q31" s="224">
        <v>7.36</v>
      </c>
      <c r="R31" s="13"/>
      <c r="S31" s="13"/>
      <c r="T31" s="213"/>
      <c r="U31" s="13"/>
    </row>
    <row r="32" customFormat="1" spans="1:21">
      <c r="A32" s="13" t="s">
        <v>2477</v>
      </c>
      <c r="B32" s="224">
        <v>17.66</v>
      </c>
      <c r="C32" s="224">
        <v>66.14</v>
      </c>
      <c r="D32" s="224">
        <v>50.07</v>
      </c>
      <c r="E32" s="224">
        <v>6.09</v>
      </c>
      <c r="F32" s="224">
        <v>3.79</v>
      </c>
      <c r="G32" s="224">
        <v>17.64</v>
      </c>
      <c r="H32" s="224">
        <v>7.36</v>
      </c>
      <c r="I32" s="224">
        <v>2.93</v>
      </c>
      <c r="J32" s="224">
        <v>0.41</v>
      </c>
      <c r="K32" s="224">
        <v>47.47</v>
      </c>
      <c r="L32" s="224">
        <v>22.06</v>
      </c>
      <c r="M32" s="224">
        <v>71.92</v>
      </c>
      <c r="N32" s="224">
        <v>5.8</v>
      </c>
      <c r="O32" s="224">
        <v>0</v>
      </c>
      <c r="P32" s="224">
        <v>0.39</v>
      </c>
      <c r="Q32" s="224">
        <v>7.46</v>
      </c>
      <c r="R32" s="13"/>
      <c r="S32" s="13"/>
      <c r="T32" s="213"/>
      <c r="U32" s="13"/>
    </row>
    <row r="33" customFormat="1" spans="1:21">
      <c r="A33" s="13" t="s">
        <v>2478</v>
      </c>
      <c r="B33" s="224">
        <v>19.27</v>
      </c>
      <c r="C33" s="224">
        <v>66.31</v>
      </c>
      <c r="D33" s="224">
        <v>51.45</v>
      </c>
      <c r="E33" s="224">
        <v>6.13</v>
      </c>
      <c r="F33" s="224">
        <v>3.77</v>
      </c>
      <c r="G33" s="224">
        <v>17.75</v>
      </c>
      <c r="H33" s="224">
        <v>7.36</v>
      </c>
      <c r="I33" s="224">
        <v>3.01</v>
      </c>
      <c r="J33" s="224">
        <v>0.06</v>
      </c>
      <c r="K33" s="224">
        <v>294.02</v>
      </c>
      <c r="L33" s="224">
        <v>22.19</v>
      </c>
      <c r="M33" s="224">
        <v>72.41</v>
      </c>
      <c r="N33" s="224">
        <v>16.5</v>
      </c>
      <c r="O33" s="224">
        <v>0</v>
      </c>
      <c r="P33" s="224">
        <v>0.41</v>
      </c>
      <c r="Q33" s="224">
        <v>7.62</v>
      </c>
      <c r="R33" s="13"/>
      <c r="S33" s="13"/>
      <c r="T33" s="213"/>
      <c r="U33" s="13"/>
    </row>
    <row r="34" customFormat="1" spans="1:21">
      <c r="A34" s="13" t="s">
        <v>2479</v>
      </c>
      <c r="B34" s="224">
        <v>20.73</v>
      </c>
      <c r="C34" s="224">
        <v>67.03</v>
      </c>
      <c r="D34" s="224">
        <v>52.99</v>
      </c>
      <c r="E34" s="224">
        <v>6.26</v>
      </c>
      <c r="F34" s="224">
        <v>3.75</v>
      </c>
      <c r="G34" s="224">
        <v>17.75</v>
      </c>
      <c r="H34" s="224">
        <v>7.36</v>
      </c>
      <c r="I34" s="224">
        <v>3.18</v>
      </c>
      <c r="J34" s="224">
        <v>0.29</v>
      </c>
      <c r="K34" s="224">
        <v>349.31</v>
      </c>
      <c r="L34" s="224">
        <v>22.41</v>
      </c>
      <c r="M34" s="224">
        <v>71.79</v>
      </c>
      <c r="N34" s="224">
        <v>28.7</v>
      </c>
      <c r="O34" s="224">
        <v>0</v>
      </c>
      <c r="P34" s="224">
        <v>0.42</v>
      </c>
      <c r="Q34" s="224">
        <v>7.76</v>
      </c>
      <c r="R34" s="13"/>
      <c r="S34" s="13"/>
      <c r="T34" s="213"/>
      <c r="U34" s="13"/>
    </row>
    <row r="35" customFormat="1" spans="1:21">
      <c r="A35" s="13" t="s">
        <v>2480</v>
      </c>
      <c r="B35" s="224">
        <v>22.7</v>
      </c>
      <c r="C35" s="224">
        <v>60.39</v>
      </c>
      <c r="D35" s="224">
        <v>51.11</v>
      </c>
      <c r="E35" s="224">
        <v>5.57</v>
      </c>
      <c r="F35" s="224">
        <v>4.27</v>
      </c>
      <c r="G35" s="224">
        <v>17.75</v>
      </c>
      <c r="H35" s="224">
        <v>7.36</v>
      </c>
      <c r="I35" s="224">
        <v>3.36</v>
      </c>
      <c r="J35" s="224">
        <v>0.29</v>
      </c>
      <c r="K35" s="224">
        <v>340.99</v>
      </c>
      <c r="L35" s="224">
        <v>22.96</v>
      </c>
      <c r="M35" s="224">
        <v>70.18</v>
      </c>
      <c r="N35" s="224">
        <v>41.9</v>
      </c>
      <c r="O35" s="224">
        <v>0</v>
      </c>
      <c r="P35" s="224">
        <v>0.4</v>
      </c>
      <c r="Q35" s="224">
        <v>7.55</v>
      </c>
      <c r="R35" s="13"/>
      <c r="S35" s="13"/>
      <c r="T35" s="213"/>
      <c r="U35" s="13"/>
    </row>
    <row r="36" customFormat="1" spans="1:21">
      <c r="A36" s="13" t="s">
        <v>2481</v>
      </c>
      <c r="B36" s="224">
        <v>23.77</v>
      </c>
      <c r="C36" s="224">
        <v>60.4</v>
      </c>
      <c r="D36" s="224">
        <v>51.97</v>
      </c>
      <c r="E36" s="224">
        <v>5.62</v>
      </c>
      <c r="F36" s="224">
        <v>3.94</v>
      </c>
      <c r="G36" s="224">
        <v>44.31</v>
      </c>
      <c r="H36" s="224">
        <v>15.77</v>
      </c>
      <c r="I36" s="224">
        <v>3.49</v>
      </c>
      <c r="J36" s="224">
        <v>0.45</v>
      </c>
      <c r="K36" s="224">
        <v>318.16</v>
      </c>
      <c r="L36" s="224">
        <v>23.46</v>
      </c>
      <c r="M36" s="224">
        <v>67.7</v>
      </c>
      <c r="N36" s="224">
        <v>51.1</v>
      </c>
      <c r="O36" s="224">
        <v>0</v>
      </c>
      <c r="P36" s="224">
        <v>0.4</v>
      </c>
      <c r="Q36" s="224">
        <v>7.5</v>
      </c>
      <c r="R36" s="13"/>
      <c r="S36" s="13"/>
      <c r="T36" s="213"/>
      <c r="U36" s="13"/>
    </row>
    <row r="37" customFormat="1" spans="1:21">
      <c r="A37" s="13" t="s">
        <v>2482</v>
      </c>
      <c r="B37" s="224">
        <v>24.59</v>
      </c>
      <c r="C37" s="224">
        <v>61.91</v>
      </c>
      <c r="D37" s="224">
        <v>53.42</v>
      </c>
      <c r="E37" s="224">
        <v>5.74</v>
      </c>
      <c r="F37" s="224">
        <v>3.79</v>
      </c>
      <c r="G37" s="224">
        <v>45.55</v>
      </c>
      <c r="H37" s="224">
        <v>15.77</v>
      </c>
      <c r="I37" s="224">
        <v>3.62</v>
      </c>
      <c r="J37" s="224">
        <v>0.27</v>
      </c>
      <c r="K37" s="224">
        <v>57.42</v>
      </c>
      <c r="L37" s="224">
        <v>23.92</v>
      </c>
      <c r="M37" s="224">
        <v>66.17</v>
      </c>
      <c r="N37" s="224">
        <v>59.8</v>
      </c>
      <c r="O37" s="224">
        <v>0</v>
      </c>
      <c r="P37" s="224">
        <v>0.41</v>
      </c>
      <c r="Q37" s="224">
        <v>7.59</v>
      </c>
      <c r="R37" s="13"/>
      <c r="S37" s="13"/>
      <c r="T37" s="213"/>
      <c r="U37" s="13"/>
    </row>
    <row r="38" customFormat="1" spans="1:21">
      <c r="A38" s="13" t="s">
        <v>2483</v>
      </c>
      <c r="B38" s="224">
        <v>24.8</v>
      </c>
      <c r="C38" s="224">
        <v>65.37</v>
      </c>
      <c r="D38" s="224">
        <v>55.4</v>
      </c>
      <c r="E38" s="224">
        <v>6.35</v>
      </c>
      <c r="F38" s="224">
        <v>3.42</v>
      </c>
      <c r="G38" s="224">
        <v>45.55</v>
      </c>
      <c r="H38" s="224">
        <v>15.77</v>
      </c>
      <c r="I38" s="224">
        <v>3.72</v>
      </c>
      <c r="J38" s="224">
        <v>0.19</v>
      </c>
      <c r="K38" s="224">
        <v>220.9</v>
      </c>
      <c r="L38" s="224">
        <v>24.55</v>
      </c>
      <c r="M38" s="224">
        <v>64.11</v>
      </c>
      <c r="N38" s="224">
        <v>66.7</v>
      </c>
      <c r="O38" s="224">
        <v>0</v>
      </c>
      <c r="P38" s="224">
        <v>0.42</v>
      </c>
      <c r="Q38" s="224">
        <v>7.77</v>
      </c>
      <c r="R38" s="13"/>
      <c r="S38" s="13"/>
      <c r="T38" s="213"/>
      <c r="U38" s="13"/>
    </row>
    <row r="39" customFormat="1" spans="1:21">
      <c r="A39" s="13" t="s">
        <v>2484</v>
      </c>
      <c r="B39" s="224">
        <v>24.78</v>
      </c>
      <c r="C39" s="224">
        <v>63.77</v>
      </c>
      <c r="D39" s="224">
        <v>54.54</v>
      </c>
      <c r="E39" s="224">
        <v>6.41</v>
      </c>
      <c r="F39" s="224">
        <v>3.76</v>
      </c>
      <c r="G39" s="224">
        <v>45.55</v>
      </c>
      <c r="H39" s="224">
        <v>15.77</v>
      </c>
      <c r="I39" s="224">
        <v>3.76</v>
      </c>
      <c r="J39" s="224">
        <v>0.27</v>
      </c>
      <c r="K39" s="224">
        <v>201.98</v>
      </c>
      <c r="L39" s="224">
        <v>25.66</v>
      </c>
      <c r="M39" s="224">
        <v>60.28</v>
      </c>
      <c r="N39" s="224">
        <v>72.2</v>
      </c>
      <c r="O39" s="224">
        <v>0</v>
      </c>
      <c r="P39" s="224">
        <v>0.42</v>
      </c>
      <c r="Q39" s="224">
        <v>7.73</v>
      </c>
      <c r="R39" s="13"/>
      <c r="S39" s="13"/>
      <c r="T39" s="213"/>
      <c r="U39" s="13"/>
    </row>
    <row r="40" customFormat="1" spans="1:21">
      <c r="A40" s="13" t="s">
        <v>2485</v>
      </c>
      <c r="B40" s="224">
        <v>24.76</v>
      </c>
      <c r="C40" s="224">
        <v>63.51</v>
      </c>
      <c r="D40" s="224">
        <v>54.39</v>
      </c>
      <c r="E40" s="224">
        <v>5.93</v>
      </c>
      <c r="F40" s="224">
        <v>3.87</v>
      </c>
      <c r="G40" s="224">
        <v>38.55</v>
      </c>
      <c r="H40" s="224">
        <v>11.94</v>
      </c>
      <c r="I40" s="224">
        <v>3.73</v>
      </c>
      <c r="J40" s="224">
        <v>0.36</v>
      </c>
      <c r="K40" s="224">
        <v>206.43</v>
      </c>
      <c r="L40" s="224">
        <v>26.37</v>
      </c>
      <c r="M40" s="224">
        <v>58.5</v>
      </c>
      <c r="N40" s="224">
        <v>86.6</v>
      </c>
      <c r="O40" s="224">
        <v>0</v>
      </c>
      <c r="P40" s="224">
        <v>0.41</v>
      </c>
      <c r="Q40" s="224">
        <v>7.74</v>
      </c>
      <c r="R40" s="13"/>
      <c r="S40" s="13"/>
      <c r="T40" s="213"/>
      <c r="U40" s="13"/>
    </row>
    <row r="41" customFormat="1" spans="1:21">
      <c r="A41" s="13" t="s">
        <v>2486</v>
      </c>
      <c r="B41" s="224">
        <v>24.35</v>
      </c>
      <c r="C41" s="224">
        <v>65.64</v>
      </c>
      <c r="D41" s="224">
        <v>55.17</v>
      </c>
      <c r="E41" s="224">
        <v>6.3</v>
      </c>
      <c r="F41" s="224">
        <v>3.61</v>
      </c>
      <c r="G41" s="224">
        <v>38.23</v>
      </c>
      <c r="H41" s="224">
        <v>11.94</v>
      </c>
      <c r="I41" s="224">
        <v>3.77</v>
      </c>
      <c r="J41" s="224">
        <v>0.4</v>
      </c>
      <c r="K41" s="224">
        <v>258.87</v>
      </c>
      <c r="L41" s="224">
        <v>26.81</v>
      </c>
      <c r="M41" s="224">
        <v>57.43</v>
      </c>
      <c r="N41" s="224">
        <v>137</v>
      </c>
      <c r="O41" s="224">
        <v>0</v>
      </c>
      <c r="P41" s="224">
        <v>0.43</v>
      </c>
      <c r="Q41" s="224">
        <v>7.79</v>
      </c>
      <c r="R41" s="13"/>
      <c r="S41" s="13"/>
      <c r="T41" s="213"/>
      <c r="U41" s="13"/>
    </row>
    <row r="42" customFormat="1" spans="1:21">
      <c r="A42" s="13" t="s">
        <v>2487</v>
      </c>
      <c r="B42" s="224">
        <v>24.1</v>
      </c>
      <c r="C42" s="224">
        <v>61.92</v>
      </c>
      <c r="D42" s="224">
        <v>53.02</v>
      </c>
      <c r="E42" s="224">
        <v>6.16</v>
      </c>
      <c r="F42" s="224">
        <v>4</v>
      </c>
      <c r="G42" s="224">
        <v>38.23</v>
      </c>
      <c r="H42" s="224">
        <v>11.94</v>
      </c>
      <c r="I42" s="224">
        <v>3.77</v>
      </c>
      <c r="J42" s="224">
        <v>0.54</v>
      </c>
      <c r="K42" s="224">
        <v>248.79</v>
      </c>
      <c r="L42" s="224">
        <v>27.32</v>
      </c>
      <c r="M42" s="224">
        <v>56.36</v>
      </c>
      <c r="N42" s="224">
        <v>248.6</v>
      </c>
      <c r="O42" s="224">
        <v>0</v>
      </c>
      <c r="P42" s="224">
        <v>0.42</v>
      </c>
      <c r="Q42" s="224">
        <v>7.66</v>
      </c>
      <c r="R42" s="13"/>
      <c r="S42" s="13"/>
      <c r="T42" s="213"/>
      <c r="U42" s="13"/>
    </row>
    <row r="43" customFormat="1" spans="1:21">
      <c r="A43" s="13" t="s">
        <v>2488</v>
      </c>
      <c r="B43" s="224">
        <v>23.34</v>
      </c>
      <c r="C43" s="224">
        <v>62.49</v>
      </c>
      <c r="D43" s="224">
        <v>52.72</v>
      </c>
      <c r="E43" s="224">
        <v>6.32</v>
      </c>
      <c r="F43" s="224">
        <v>3.84</v>
      </c>
      <c r="G43" s="224">
        <v>38.23</v>
      </c>
      <c r="H43" s="224">
        <v>11.94</v>
      </c>
      <c r="I43" s="224">
        <v>3.76</v>
      </c>
      <c r="J43" s="224">
        <v>0.6</v>
      </c>
      <c r="K43" s="224">
        <v>276.39</v>
      </c>
      <c r="L43" s="224">
        <v>27.6</v>
      </c>
      <c r="M43" s="224">
        <v>55.93</v>
      </c>
      <c r="N43" s="224">
        <v>394.6</v>
      </c>
      <c r="O43" s="224">
        <v>0</v>
      </c>
      <c r="P43" s="224">
        <v>0.43</v>
      </c>
      <c r="Q43" s="224">
        <v>7.54</v>
      </c>
      <c r="R43" s="13"/>
      <c r="S43" s="13"/>
      <c r="T43" s="213"/>
      <c r="U43" s="13"/>
    </row>
    <row r="44" customFormat="1" spans="1:21">
      <c r="A44" s="13" t="s">
        <v>2489</v>
      </c>
      <c r="B44" s="224">
        <v>22.82</v>
      </c>
      <c r="C44" s="224">
        <v>63.94</v>
      </c>
      <c r="D44" s="224">
        <v>53.06</v>
      </c>
      <c r="E44" s="224">
        <v>6.58</v>
      </c>
      <c r="F44" s="224">
        <v>4.01</v>
      </c>
      <c r="G44" s="224">
        <v>35.94</v>
      </c>
      <c r="H44" s="224">
        <v>13.93</v>
      </c>
      <c r="I44" s="224">
        <v>3.76</v>
      </c>
      <c r="J44" s="224">
        <v>0.37</v>
      </c>
      <c r="K44" s="224">
        <v>280.14</v>
      </c>
      <c r="L44" s="224">
        <v>28.36</v>
      </c>
      <c r="M44" s="224">
        <v>53.52</v>
      </c>
      <c r="N44" s="224">
        <v>421.4</v>
      </c>
      <c r="O44" s="224">
        <v>0</v>
      </c>
      <c r="P44" s="224">
        <v>0.43</v>
      </c>
      <c r="Q44" s="224">
        <v>7.62</v>
      </c>
      <c r="R44" s="13"/>
      <c r="S44" s="13"/>
      <c r="T44" s="213"/>
      <c r="U44" s="13"/>
    </row>
    <row r="45" customFormat="1" spans="1:21">
      <c r="A45" s="13" t="s">
        <v>2490</v>
      </c>
      <c r="B45" s="224">
        <v>22.04</v>
      </c>
      <c r="C45" s="224">
        <v>57.91</v>
      </c>
      <c r="D45" s="224">
        <v>49.28</v>
      </c>
      <c r="E45" s="224">
        <v>6.27</v>
      </c>
      <c r="F45" s="224">
        <v>4.47</v>
      </c>
      <c r="G45" s="224">
        <v>35.84</v>
      </c>
      <c r="H45" s="224">
        <v>13.93</v>
      </c>
      <c r="I45" s="224">
        <v>3.77</v>
      </c>
      <c r="J45" s="224">
        <v>0.38</v>
      </c>
      <c r="K45" s="224">
        <v>198.32</v>
      </c>
      <c r="L45" s="224">
        <v>29.21</v>
      </c>
      <c r="M45" s="224">
        <v>51.35</v>
      </c>
      <c r="N45" s="224">
        <v>256.6</v>
      </c>
      <c r="O45" s="224">
        <v>0</v>
      </c>
      <c r="P45" s="224">
        <v>0.41</v>
      </c>
      <c r="Q45" s="224">
        <v>7.32</v>
      </c>
      <c r="R45" s="13"/>
      <c r="S45" s="13"/>
      <c r="T45" s="213"/>
      <c r="U45" s="13"/>
    </row>
    <row r="46" customFormat="1" spans="1:21">
      <c r="A46" s="13" t="s">
        <v>2491</v>
      </c>
      <c r="B46" s="224">
        <v>21.06</v>
      </c>
      <c r="C46" s="224">
        <v>61.02</v>
      </c>
      <c r="D46" s="224">
        <v>50.12</v>
      </c>
      <c r="E46" s="224">
        <v>6.35</v>
      </c>
      <c r="F46" s="224">
        <v>3.88</v>
      </c>
      <c r="G46" s="224">
        <v>35.84</v>
      </c>
      <c r="H46" s="224">
        <v>13.93</v>
      </c>
      <c r="I46" s="224">
        <v>3.75</v>
      </c>
      <c r="J46" s="224">
        <v>0.46</v>
      </c>
      <c r="K46" s="224">
        <v>81.07</v>
      </c>
      <c r="L46" s="224">
        <v>30.16</v>
      </c>
      <c r="M46" s="224">
        <v>48.38</v>
      </c>
      <c r="N46" s="224">
        <v>294.6</v>
      </c>
      <c r="O46" s="224">
        <v>0</v>
      </c>
      <c r="P46" s="224">
        <v>0.43</v>
      </c>
      <c r="Q46" s="224">
        <v>7.32</v>
      </c>
      <c r="R46" s="13"/>
      <c r="S46" s="13"/>
      <c r="T46" s="213"/>
      <c r="U46" s="13"/>
    </row>
    <row r="47" customFormat="1" spans="1:21">
      <c r="A47" s="13" t="s">
        <v>2492</v>
      </c>
      <c r="B47" s="224">
        <v>20.37</v>
      </c>
      <c r="C47" s="224">
        <v>59.64</v>
      </c>
      <c r="D47" s="224">
        <v>48.85</v>
      </c>
      <c r="E47" s="224">
        <v>6.52</v>
      </c>
      <c r="F47" s="224">
        <v>4.76</v>
      </c>
      <c r="G47" s="224">
        <v>35.84</v>
      </c>
      <c r="H47" s="224">
        <v>13.93</v>
      </c>
      <c r="I47" s="224">
        <v>3.74</v>
      </c>
      <c r="J47" s="224">
        <v>0.39</v>
      </c>
      <c r="K47" s="224">
        <v>206.91</v>
      </c>
      <c r="L47" s="224">
        <v>30.51</v>
      </c>
      <c r="M47" s="224">
        <v>47.57</v>
      </c>
      <c r="N47" s="224">
        <v>143.3</v>
      </c>
      <c r="O47" s="224">
        <v>0</v>
      </c>
      <c r="P47" s="224">
        <v>0.43</v>
      </c>
      <c r="Q47" s="224">
        <v>7.32</v>
      </c>
      <c r="R47" s="13"/>
      <c r="S47" s="13"/>
      <c r="T47" s="213"/>
      <c r="U47" s="13"/>
    </row>
    <row r="48" customFormat="1" spans="1:21">
      <c r="A48" s="13" t="s">
        <v>2493</v>
      </c>
      <c r="B48" s="224">
        <v>18.84</v>
      </c>
      <c r="C48" s="224">
        <v>52.7</v>
      </c>
      <c r="D48" s="224">
        <v>43.99</v>
      </c>
      <c r="E48" s="224">
        <v>5.76</v>
      </c>
      <c r="F48" s="224">
        <v>7.63</v>
      </c>
      <c r="G48" s="224">
        <v>29.83</v>
      </c>
      <c r="H48" s="224">
        <v>12.68</v>
      </c>
      <c r="I48" s="224">
        <v>3.77</v>
      </c>
      <c r="J48" s="224">
        <v>0.25</v>
      </c>
      <c r="K48" s="224">
        <v>69.76</v>
      </c>
      <c r="L48" s="224">
        <v>31.36</v>
      </c>
      <c r="M48" s="224">
        <v>44.07</v>
      </c>
      <c r="N48" s="224">
        <v>435.3</v>
      </c>
      <c r="O48" s="224">
        <v>0</v>
      </c>
      <c r="P48" s="224">
        <v>0.41</v>
      </c>
      <c r="Q48" s="224">
        <v>7.11</v>
      </c>
      <c r="R48" s="13"/>
      <c r="S48" s="13"/>
      <c r="T48" s="213"/>
      <c r="U48" s="13"/>
    </row>
    <row r="49" customFormat="1" spans="1:21">
      <c r="A49" s="13" t="s">
        <v>2494</v>
      </c>
      <c r="B49" s="224">
        <v>18.42</v>
      </c>
      <c r="C49" s="224">
        <v>51.13</v>
      </c>
      <c r="D49" s="224">
        <v>42.84</v>
      </c>
      <c r="E49" s="224">
        <v>6.92</v>
      </c>
      <c r="F49" s="224">
        <v>6.78</v>
      </c>
      <c r="G49" s="224">
        <v>29.55</v>
      </c>
      <c r="H49" s="224">
        <v>12.68</v>
      </c>
      <c r="I49" s="224">
        <v>3.77</v>
      </c>
      <c r="J49" s="224">
        <v>0.61</v>
      </c>
      <c r="K49" s="224">
        <v>254.02</v>
      </c>
      <c r="L49" s="224">
        <v>31.79</v>
      </c>
      <c r="M49" s="224">
        <v>41.8</v>
      </c>
      <c r="N49" s="224">
        <v>665.1</v>
      </c>
      <c r="O49" s="224">
        <v>0</v>
      </c>
      <c r="P49" s="224">
        <v>0.4</v>
      </c>
      <c r="Q49" s="224">
        <v>6.86</v>
      </c>
      <c r="R49" s="13"/>
      <c r="S49" s="13"/>
      <c r="T49" s="213"/>
      <c r="U49" s="13"/>
    </row>
    <row r="50" customFormat="1" spans="1:21">
      <c r="A50" s="13" t="s">
        <v>2495</v>
      </c>
      <c r="B50" s="224">
        <v>17.32</v>
      </c>
      <c r="C50" s="224">
        <v>50.3</v>
      </c>
      <c r="D50" s="224">
        <v>41.52</v>
      </c>
      <c r="E50" s="224">
        <v>8.09</v>
      </c>
      <c r="F50" s="224">
        <v>6.64</v>
      </c>
      <c r="G50" s="224">
        <v>29.55</v>
      </c>
      <c r="H50" s="224">
        <v>12.68</v>
      </c>
      <c r="I50" s="224">
        <v>3.94</v>
      </c>
      <c r="J50" s="224">
        <v>0.65</v>
      </c>
      <c r="K50" s="224">
        <v>249.75</v>
      </c>
      <c r="L50" s="224">
        <v>31.85</v>
      </c>
      <c r="M50" s="224">
        <v>39.79</v>
      </c>
      <c r="N50" s="224">
        <v>471.3</v>
      </c>
      <c r="O50" s="224">
        <v>0</v>
      </c>
      <c r="P50" s="224">
        <v>0.41</v>
      </c>
      <c r="Q50" s="224">
        <v>6.73</v>
      </c>
      <c r="R50" s="13"/>
      <c r="S50" s="13"/>
      <c r="T50" s="213"/>
      <c r="U50" s="13"/>
    </row>
    <row r="51" customFormat="1" spans="1:21">
      <c r="A51" s="13" t="s">
        <v>2496</v>
      </c>
      <c r="B51" s="224">
        <v>16.61</v>
      </c>
      <c r="C51" s="224">
        <v>57.83</v>
      </c>
      <c r="D51" s="224">
        <v>44.88</v>
      </c>
      <c r="E51" s="224">
        <v>8.13</v>
      </c>
      <c r="F51" s="224">
        <v>6.46</v>
      </c>
      <c r="G51" s="224">
        <v>29.55</v>
      </c>
      <c r="H51" s="224">
        <v>12.68</v>
      </c>
      <c r="I51" s="224">
        <v>3.94</v>
      </c>
      <c r="J51" s="224">
        <v>0.58</v>
      </c>
      <c r="K51" s="224">
        <v>279.25</v>
      </c>
      <c r="L51" s="224">
        <v>32.6</v>
      </c>
      <c r="M51" s="224">
        <v>38.29</v>
      </c>
      <c r="N51" s="224">
        <v>762.2</v>
      </c>
      <c r="O51" s="224">
        <v>0</v>
      </c>
      <c r="P51" s="224">
        <v>0.46</v>
      </c>
      <c r="Q51" s="224">
        <v>6.98</v>
      </c>
      <c r="R51" s="13"/>
      <c r="S51" s="13"/>
      <c r="T51" s="213"/>
      <c r="U51" s="13"/>
    </row>
    <row r="52" customFormat="1" spans="1:21">
      <c r="A52" s="13" t="s">
        <v>2497</v>
      </c>
      <c r="B52" s="224">
        <v>15.7</v>
      </c>
      <c r="C52" s="224">
        <v>57.9</v>
      </c>
      <c r="D52" s="224">
        <v>44.19</v>
      </c>
      <c r="E52" s="224">
        <v>8.27</v>
      </c>
      <c r="F52" s="224">
        <v>7.69</v>
      </c>
      <c r="G52" s="224">
        <v>29.42</v>
      </c>
      <c r="H52" s="224">
        <v>8.87</v>
      </c>
      <c r="I52" s="224">
        <v>3.91</v>
      </c>
      <c r="J52" s="224">
        <v>1</v>
      </c>
      <c r="K52" s="224">
        <v>258.58</v>
      </c>
      <c r="L52" s="224">
        <v>32.38</v>
      </c>
      <c r="M52" s="224">
        <v>39.53</v>
      </c>
      <c r="N52" s="224">
        <v>815.2</v>
      </c>
      <c r="O52" s="224">
        <v>0</v>
      </c>
      <c r="P52" s="224">
        <v>0.46</v>
      </c>
      <c r="Q52" s="224">
        <v>7.03</v>
      </c>
      <c r="R52" s="13"/>
      <c r="S52" s="13"/>
      <c r="T52" s="213"/>
      <c r="U52" s="13"/>
    </row>
    <row r="53" customFormat="1" spans="1:21">
      <c r="A53" s="13" t="s">
        <v>2498</v>
      </c>
      <c r="B53" s="224">
        <v>14.29</v>
      </c>
      <c r="C53" s="224">
        <v>52.58</v>
      </c>
      <c r="D53" s="224">
        <v>40.28</v>
      </c>
      <c r="E53" s="224">
        <v>8.42</v>
      </c>
      <c r="F53" s="224">
        <v>8.85</v>
      </c>
      <c r="G53" s="224">
        <v>29.41</v>
      </c>
      <c r="H53" s="224">
        <v>8.87</v>
      </c>
      <c r="I53" s="224">
        <v>3.98</v>
      </c>
      <c r="J53" s="224">
        <v>1.68</v>
      </c>
      <c r="K53" s="224">
        <v>289.44</v>
      </c>
      <c r="L53" s="224">
        <v>32.22</v>
      </c>
      <c r="M53" s="224">
        <v>39.63</v>
      </c>
      <c r="N53" s="224">
        <v>781.1</v>
      </c>
      <c r="O53" s="224">
        <v>0</v>
      </c>
      <c r="P53" s="224">
        <v>0.47</v>
      </c>
      <c r="Q53" s="224">
        <v>6.83</v>
      </c>
      <c r="R53" s="13"/>
      <c r="S53" s="13"/>
      <c r="T53" s="213"/>
      <c r="U53" s="13"/>
    </row>
    <row r="54" customFormat="1" spans="1:21">
      <c r="A54" s="13" t="s">
        <v>2499</v>
      </c>
      <c r="B54" s="224">
        <v>13.43</v>
      </c>
      <c r="C54" s="224">
        <v>51.96</v>
      </c>
      <c r="D54" s="224">
        <v>39.27</v>
      </c>
      <c r="E54" s="224">
        <v>8.41</v>
      </c>
      <c r="F54" s="224">
        <v>7.23</v>
      </c>
      <c r="G54" s="224">
        <v>29.41</v>
      </c>
      <c r="H54" s="224">
        <v>8.87</v>
      </c>
      <c r="I54" s="224">
        <v>4.05</v>
      </c>
      <c r="J54" s="224">
        <v>0.49</v>
      </c>
      <c r="K54" s="224">
        <v>229.21</v>
      </c>
      <c r="L54" s="224">
        <v>33.23</v>
      </c>
      <c r="M54" s="224">
        <v>37.76</v>
      </c>
      <c r="N54" s="224">
        <v>854.4</v>
      </c>
      <c r="O54" s="224">
        <v>0</v>
      </c>
      <c r="P54" s="224">
        <v>0.47</v>
      </c>
      <c r="Q54" s="224">
        <v>6.7</v>
      </c>
      <c r="R54" s="13"/>
      <c r="S54" s="13"/>
      <c r="T54" s="213"/>
      <c r="U54" s="13"/>
    </row>
    <row r="55" customFormat="1" spans="1:21">
      <c r="A55" s="13" t="s">
        <v>2500</v>
      </c>
      <c r="B55" s="224">
        <v>12.21</v>
      </c>
      <c r="C55" s="224">
        <v>54.99</v>
      </c>
      <c r="D55" s="224">
        <v>39.88</v>
      </c>
      <c r="E55" s="224">
        <v>7.79</v>
      </c>
      <c r="F55" s="224">
        <v>7.78</v>
      </c>
      <c r="G55" s="224">
        <v>29.41</v>
      </c>
      <c r="H55" s="224">
        <v>8.87</v>
      </c>
      <c r="I55" s="224">
        <v>4.14</v>
      </c>
      <c r="J55" s="224">
        <v>0.79</v>
      </c>
      <c r="K55" s="224">
        <v>239.17</v>
      </c>
      <c r="L55" s="224">
        <v>33.96</v>
      </c>
      <c r="M55" s="224">
        <v>36.27</v>
      </c>
      <c r="N55" s="224">
        <v>871.9</v>
      </c>
      <c r="O55" s="224">
        <v>0</v>
      </c>
      <c r="P55" s="224">
        <v>0.49</v>
      </c>
      <c r="Q55" s="224">
        <v>6.71</v>
      </c>
      <c r="R55" s="13"/>
      <c r="S55" s="13"/>
      <c r="T55" s="213"/>
      <c r="U55" s="13"/>
    </row>
    <row r="56" customFormat="1" spans="1:21">
      <c r="A56" s="13" t="s">
        <v>2501</v>
      </c>
      <c r="B56" s="224">
        <v>10.63</v>
      </c>
      <c r="C56" s="224">
        <v>55.23</v>
      </c>
      <c r="D56" s="224">
        <v>38.73</v>
      </c>
      <c r="E56" s="224">
        <v>8.08</v>
      </c>
      <c r="F56" s="224">
        <v>8.96</v>
      </c>
      <c r="G56" s="224">
        <v>31.54</v>
      </c>
      <c r="H56" s="224">
        <v>14.02</v>
      </c>
      <c r="I56" s="224">
        <v>4.21</v>
      </c>
      <c r="J56" s="224">
        <v>0.72</v>
      </c>
      <c r="K56" s="224">
        <v>280.43</v>
      </c>
      <c r="L56" s="224">
        <v>33.85</v>
      </c>
      <c r="M56" s="224">
        <v>36.13</v>
      </c>
      <c r="N56" s="224">
        <v>887.7</v>
      </c>
      <c r="O56" s="224">
        <v>0</v>
      </c>
      <c r="P56" s="224">
        <v>0.5</v>
      </c>
      <c r="Q56" s="224">
        <v>6.64</v>
      </c>
      <c r="R56" s="13"/>
      <c r="S56" s="13"/>
      <c r="T56" s="213"/>
      <c r="U56" s="13"/>
    </row>
    <row r="57" customFormat="1" spans="1:21">
      <c r="A57" s="13" t="s">
        <v>2502</v>
      </c>
      <c r="B57" s="224">
        <v>9.34</v>
      </c>
      <c r="C57" s="224">
        <v>57.66</v>
      </c>
      <c r="D57" s="224">
        <v>38.97</v>
      </c>
      <c r="E57" s="224">
        <v>8.03</v>
      </c>
      <c r="F57" s="224">
        <v>9.61</v>
      </c>
      <c r="G57" s="224">
        <v>31.64</v>
      </c>
      <c r="H57" s="224">
        <v>14.02</v>
      </c>
      <c r="I57" s="224">
        <v>4.27</v>
      </c>
      <c r="J57" s="224">
        <v>0.54</v>
      </c>
      <c r="K57" s="224">
        <v>276.52</v>
      </c>
      <c r="L57" s="224">
        <v>34.3</v>
      </c>
      <c r="M57" s="224">
        <v>34.85</v>
      </c>
      <c r="N57" s="224">
        <v>882.9</v>
      </c>
      <c r="O57" s="224">
        <v>0</v>
      </c>
      <c r="P57" s="224">
        <v>0.51</v>
      </c>
      <c r="Q57" s="224">
        <v>6.64</v>
      </c>
      <c r="R57" s="13"/>
      <c r="S57" s="13"/>
      <c r="T57" s="213"/>
      <c r="U57" s="13"/>
    </row>
    <row r="58" customFormat="1" spans="1:21">
      <c r="A58" s="13" t="s">
        <v>2503</v>
      </c>
      <c r="B58" s="224">
        <v>8.09</v>
      </c>
      <c r="C58" s="224">
        <v>54.32</v>
      </c>
      <c r="D58" s="224">
        <v>36.22</v>
      </c>
      <c r="E58" s="224">
        <v>8.06</v>
      </c>
      <c r="F58" s="224">
        <v>9.27</v>
      </c>
      <c r="G58" s="224">
        <v>31.64</v>
      </c>
      <c r="H58" s="224">
        <v>14.02</v>
      </c>
      <c r="I58" s="224">
        <v>4.42</v>
      </c>
      <c r="J58" s="224">
        <v>0.88</v>
      </c>
      <c r="K58" s="224">
        <v>252.45</v>
      </c>
      <c r="L58" s="224">
        <v>34.85</v>
      </c>
      <c r="M58" s="224">
        <v>31.81</v>
      </c>
      <c r="N58" s="224">
        <v>881.2</v>
      </c>
      <c r="O58" s="224">
        <v>0</v>
      </c>
      <c r="P58" s="224">
        <v>0.51</v>
      </c>
      <c r="Q58" s="224">
        <v>6.53</v>
      </c>
      <c r="R58" s="13"/>
      <c r="S58" s="13"/>
      <c r="T58" s="213"/>
      <c r="U58" s="13"/>
    </row>
    <row r="59" customFormat="1" spans="1:21">
      <c r="A59" s="13" t="s">
        <v>2504</v>
      </c>
      <c r="B59" s="224">
        <v>7.1</v>
      </c>
      <c r="C59" s="224">
        <v>57.91</v>
      </c>
      <c r="D59" s="224">
        <v>37.3</v>
      </c>
      <c r="E59" s="224">
        <v>7.75</v>
      </c>
      <c r="F59" s="224">
        <v>7.6</v>
      </c>
      <c r="G59" s="224">
        <v>31.64</v>
      </c>
      <c r="H59" s="224">
        <v>14.02</v>
      </c>
      <c r="I59" s="224">
        <v>4.51</v>
      </c>
      <c r="J59" s="224">
        <v>1.18</v>
      </c>
      <c r="K59" s="224">
        <v>255.15</v>
      </c>
      <c r="L59" s="224">
        <v>34.67</v>
      </c>
      <c r="M59" s="224">
        <v>31.08</v>
      </c>
      <c r="N59" s="224">
        <v>720.4</v>
      </c>
      <c r="O59" s="224">
        <v>0</v>
      </c>
      <c r="P59" s="224">
        <v>0.53</v>
      </c>
      <c r="Q59" s="224">
        <v>6.51</v>
      </c>
      <c r="R59" s="13"/>
      <c r="S59" s="13"/>
      <c r="T59" s="213"/>
      <c r="U59" s="13"/>
    </row>
    <row r="60" customFormat="1" spans="1:21">
      <c r="A60" s="13" t="s">
        <v>2505</v>
      </c>
      <c r="B60" s="224">
        <v>6.54</v>
      </c>
      <c r="C60" s="224">
        <v>56.64</v>
      </c>
      <c r="D60" s="224">
        <v>36.18</v>
      </c>
      <c r="E60" s="224">
        <v>7.62</v>
      </c>
      <c r="F60" s="224">
        <v>9.06</v>
      </c>
      <c r="G60" s="224">
        <v>31.54</v>
      </c>
      <c r="H60" s="224">
        <v>10.73</v>
      </c>
      <c r="I60" s="224">
        <v>4.64</v>
      </c>
      <c r="J60" s="224">
        <v>0.94</v>
      </c>
      <c r="K60" s="224">
        <v>247.28</v>
      </c>
      <c r="L60" s="224">
        <v>35.18</v>
      </c>
      <c r="M60" s="224">
        <v>29.61</v>
      </c>
      <c r="N60" s="224">
        <v>780.6</v>
      </c>
      <c r="O60" s="224">
        <v>0</v>
      </c>
      <c r="P60" s="224">
        <v>0.55</v>
      </c>
      <c r="Q60" s="224">
        <v>6.55</v>
      </c>
      <c r="R60" s="13"/>
      <c r="S60" s="13"/>
      <c r="T60" s="213"/>
      <c r="U60" s="13"/>
    </row>
    <row r="61" customFormat="1" spans="1:21">
      <c r="A61" s="13" t="s">
        <v>2506</v>
      </c>
      <c r="B61" s="224">
        <v>6.09</v>
      </c>
      <c r="C61" s="224">
        <v>55.86</v>
      </c>
      <c r="D61" s="224">
        <v>35.42</v>
      </c>
      <c r="E61" s="224">
        <v>7.38</v>
      </c>
      <c r="F61" s="224">
        <v>9.68</v>
      </c>
      <c r="G61" s="224">
        <v>31.54</v>
      </c>
      <c r="H61" s="224">
        <v>10.73</v>
      </c>
      <c r="I61" s="224">
        <v>4.8</v>
      </c>
      <c r="J61" s="224">
        <v>1.26</v>
      </c>
      <c r="K61" s="224">
        <v>272.54</v>
      </c>
      <c r="L61" s="224">
        <v>35.29</v>
      </c>
      <c r="M61" s="224">
        <v>29.3</v>
      </c>
      <c r="N61" s="224">
        <v>854.5</v>
      </c>
      <c r="O61" s="224">
        <v>0</v>
      </c>
      <c r="P61" s="224">
        <v>0.55</v>
      </c>
      <c r="Q61" s="224">
        <v>6.43</v>
      </c>
      <c r="R61" s="13"/>
      <c r="S61" s="13"/>
      <c r="T61" s="213"/>
      <c r="U61" s="13"/>
    </row>
    <row r="62" customFormat="1" spans="1:21">
      <c r="A62" s="13" t="s">
        <v>2507</v>
      </c>
      <c r="B62" s="224">
        <v>5.91</v>
      </c>
      <c r="C62" s="224">
        <v>60.29</v>
      </c>
      <c r="D62" s="224">
        <v>37.59</v>
      </c>
      <c r="E62" s="224">
        <v>7.67</v>
      </c>
      <c r="F62" s="224">
        <v>10.77</v>
      </c>
      <c r="G62" s="224">
        <v>31.54</v>
      </c>
      <c r="H62" s="224">
        <v>10.73</v>
      </c>
      <c r="I62" s="224">
        <v>4.88</v>
      </c>
      <c r="J62" s="224">
        <v>0.55</v>
      </c>
      <c r="K62" s="224">
        <v>253.81</v>
      </c>
      <c r="L62" s="224">
        <v>36.03</v>
      </c>
      <c r="M62" s="224">
        <v>28.89</v>
      </c>
      <c r="N62" s="224">
        <v>771.7</v>
      </c>
      <c r="O62" s="224">
        <v>0</v>
      </c>
      <c r="P62" s="224">
        <v>0.56</v>
      </c>
      <c r="Q62" s="224">
        <v>6.54</v>
      </c>
      <c r="R62" s="13"/>
      <c r="S62" s="13"/>
      <c r="T62" s="213"/>
      <c r="U62" s="13"/>
    </row>
    <row r="63" customFormat="1" spans="1:21">
      <c r="A63" s="13" t="s">
        <v>2508</v>
      </c>
      <c r="B63" s="224">
        <v>5.89</v>
      </c>
      <c r="C63" s="224">
        <v>56.3</v>
      </c>
      <c r="D63" s="224">
        <v>35.48</v>
      </c>
      <c r="E63" s="224">
        <v>7.69</v>
      </c>
      <c r="F63" s="224">
        <v>8.79</v>
      </c>
      <c r="G63" s="224">
        <v>31.54</v>
      </c>
      <c r="H63" s="224">
        <v>10.73</v>
      </c>
      <c r="I63" s="224">
        <v>4.95</v>
      </c>
      <c r="J63" s="224">
        <v>1.14</v>
      </c>
      <c r="K63" s="224">
        <v>276.8</v>
      </c>
      <c r="L63" s="224">
        <v>36.31</v>
      </c>
      <c r="M63" s="224">
        <v>28.08</v>
      </c>
      <c r="N63" s="224">
        <v>696.8</v>
      </c>
      <c r="O63" s="224">
        <v>0</v>
      </c>
      <c r="P63" s="224">
        <v>0.56</v>
      </c>
      <c r="Q63" s="224">
        <v>6.49</v>
      </c>
      <c r="R63" s="13"/>
      <c r="S63" s="13"/>
      <c r="T63" s="213"/>
      <c r="U63" s="13"/>
    </row>
    <row r="64" customFormat="1" spans="1:21">
      <c r="A64" s="13" t="s">
        <v>2509</v>
      </c>
      <c r="B64" s="224">
        <v>5.85</v>
      </c>
      <c r="C64" s="224">
        <v>52.68</v>
      </c>
      <c r="D64" s="224">
        <v>33.56</v>
      </c>
      <c r="E64" s="224">
        <v>7.5</v>
      </c>
      <c r="F64" s="224">
        <v>10.7</v>
      </c>
      <c r="G64" s="224">
        <v>28.11</v>
      </c>
      <c r="H64" s="224">
        <v>8.28</v>
      </c>
      <c r="I64" s="224">
        <v>4.99</v>
      </c>
      <c r="J64" s="224">
        <v>0.51</v>
      </c>
      <c r="K64" s="224">
        <v>299.4</v>
      </c>
      <c r="L64" s="224">
        <v>35.84</v>
      </c>
      <c r="M64" s="224">
        <v>30.23</v>
      </c>
      <c r="N64" s="224">
        <v>737.3</v>
      </c>
      <c r="O64" s="224">
        <v>0</v>
      </c>
      <c r="P64" s="224">
        <v>0.56</v>
      </c>
      <c r="Q64" s="224">
        <v>6.35</v>
      </c>
      <c r="R64" s="13"/>
      <c r="S64" s="13"/>
      <c r="T64" s="213"/>
      <c r="U64" s="13"/>
    </row>
    <row r="65" customFormat="1" spans="1:21">
      <c r="A65" s="13" t="s">
        <v>2510</v>
      </c>
      <c r="B65" s="224">
        <v>5.86</v>
      </c>
      <c r="C65" s="224">
        <v>52.87</v>
      </c>
      <c r="D65" s="224">
        <v>33.68</v>
      </c>
      <c r="E65" s="224">
        <v>7.27</v>
      </c>
      <c r="F65" s="224">
        <v>7.96</v>
      </c>
      <c r="G65" s="224">
        <v>27.96</v>
      </c>
      <c r="H65" s="224">
        <v>8.28</v>
      </c>
      <c r="I65" s="224">
        <v>4.98</v>
      </c>
      <c r="J65" s="224">
        <v>1.11</v>
      </c>
      <c r="K65" s="224">
        <v>266.72</v>
      </c>
      <c r="L65" s="224">
        <v>36.05</v>
      </c>
      <c r="M65" s="224">
        <v>30.05</v>
      </c>
      <c r="N65" s="224">
        <v>678.3</v>
      </c>
      <c r="O65" s="224">
        <v>0</v>
      </c>
      <c r="P65" s="224">
        <v>0.54</v>
      </c>
      <c r="Q65" s="224">
        <v>6.27</v>
      </c>
      <c r="R65" s="13"/>
      <c r="S65" s="13"/>
      <c r="T65" s="213"/>
      <c r="U65" s="13"/>
    </row>
    <row r="66" customFormat="1" spans="1:21">
      <c r="A66" s="13" t="s">
        <v>2511</v>
      </c>
      <c r="B66" s="224">
        <v>6</v>
      </c>
      <c r="C66" s="224">
        <v>52.88</v>
      </c>
      <c r="D66" s="224">
        <v>33.79</v>
      </c>
      <c r="E66" s="224">
        <v>6.75</v>
      </c>
      <c r="F66" s="224">
        <v>7.92</v>
      </c>
      <c r="G66" s="224">
        <v>27.96</v>
      </c>
      <c r="H66" s="224">
        <v>8.28</v>
      </c>
      <c r="I66" s="224">
        <v>4.94</v>
      </c>
      <c r="J66" s="224">
        <v>0.34</v>
      </c>
      <c r="K66" s="224">
        <v>224.4</v>
      </c>
      <c r="L66" s="224">
        <v>36.46</v>
      </c>
      <c r="M66" s="224">
        <v>28.95</v>
      </c>
      <c r="N66" s="224">
        <v>589</v>
      </c>
      <c r="O66" s="224">
        <v>0</v>
      </c>
      <c r="P66" s="224">
        <v>0.55</v>
      </c>
      <c r="Q66" s="224">
        <v>6.25</v>
      </c>
      <c r="R66" s="13"/>
      <c r="S66" s="13"/>
      <c r="T66" s="213"/>
      <c r="U66" s="13"/>
    </row>
    <row r="67" customFormat="1" spans="1:21">
      <c r="A67" s="13" t="s">
        <v>2512</v>
      </c>
      <c r="B67" s="224">
        <v>6.11</v>
      </c>
      <c r="C67" s="224">
        <v>52.84</v>
      </c>
      <c r="D67" s="224">
        <v>33.86</v>
      </c>
      <c r="E67" s="224">
        <v>7.54</v>
      </c>
      <c r="F67" s="224">
        <v>8.99</v>
      </c>
      <c r="G67" s="224">
        <v>27.96</v>
      </c>
      <c r="H67" s="224">
        <v>8.28</v>
      </c>
      <c r="I67" s="224">
        <v>4.92</v>
      </c>
      <c r="J67" s="224">
        <v>0.95</v>
      </c>
      <c r="K67" s="224">
        <v>305.62</v>
      </c>
      <c r="L67" s="224">
        <v>36.33</v>
      </c>
      <c r="M67" s="224">
        <v>27.96</v>
      </c>
      <c r="N67" s="224">
        <v>556.6</v>
      </c>
      <c r="O67" s="224">
        <v>0</v>
      </c>
      <c r="P67" s="224">
        <v>0.55</v>
      </c>
      <c r="Q67" s="224">
        <v>6.26</v>
      </c>
      <c r="R67" s="13"/>
      <c r="S67" s="13"/>
      <c r="T67" s="213"/>
      <c r="U67" s="13"/>
    </row>
    <row r="68" customFormat="1" spans="1:21">
      <c r="A68" s="13" t="s">
        <v>2513</v>
      </c>
      <c r="B68" s="224">
        <v>6.43</v>
      </c>
      <c r="C68" s="224">
        <v>63.72</v>
      </c>
      <c r="D68" s="224">
        <v>39.8</v>
      </c>
      <c r="E68" s="224">
        <v>7.49</v>
      </c>
      <c r="F68" s="224">
        <v>8.67</v>
      </c>
      <c r="G68" s="224">
        <v>27.57</v>
      </c>
      <c r="H68" s="224">
        <v>9.35</v>
      </c>
      <c r="I68" s="224">
        <v>4.89</v>
      </c>
      <c r="J68" s="224">
        <v>1.02</v>
      </c>
      <c r="K68" s="224">
        <v>296.68</v>
      </c>
      <c r="L68" s="224">
        <v>35.75</v>
      </c>
      <c r="M68" s="224">
        <v>27.91</v>
      </c>
      <c r="N68" s="224">
        <v>578.4</v>
      </c>
      <c r="O68" s="224">
        <v>0</v>
      </c>
      <c r="P68" s="224">
        <v>0.56</v>
      </c>
      <c r="Q68" s="224">
        <v>6.47</v>
      </c>
      <c r="R68" s="13"/>
      <c r="S68" s="13"/>
      <c r="T68" s="213"/>
      <c r="U68" s="13"/>
    </row>
    <row r="69" customFormat="1" spans="1:21">
      <c r="A69" s="13" t="s">
        <v>2514</v>
      </c>
      <c r="B69" s="224">
        <v>6.52</v>
      </c>
      <c r="C69" s="224">
        <v>61.38</v>
      </c>
      <c r="D69" s="224">
        <v>38.65</v>
      </c>
      <c r="E69" s="224">
        <v>7.14</v>
      </c>
      <c r="F69" s="224">
        <v>8.09</v>
      </c>
      <c r="G69" s="224">
        <v>27.55</v>
      </c>
      <c r="H69" s="224">
        <v>9.35</v>
      </c>
      <c r="I69" s="224">
        <v>4.86</v>
      </c>
      <c r="J69" s="224">
        <v>0.8</v>
      </c>
      <c r="K69" s="224">
        <v>238.7</v>
      </c>
      <c r="L69" s="224">
        <v>36.16</v>
      </c>
      <c r="M69" s="224">
        <v>27.73</v>
      </c>
      <c r="N69" s="224">
        <v>535.4</v>
      </c>
      <c r="O69" s="224">
        <v>0</v>
      </c>
      <c r="P69" s="224">
        <v>0.55</v>
      </c>
      <c r="Q69" s="224">
        <v>6.57</v>
      </c>
      <c r="R69" s="13"/>
      <c r="S69" s="13"/>
      <c r="T69" s="213"/>
      <c r="U69" s="13"/>
    </row>
    <row r="70" customFormat="1" spans="1:21">
      <c r="A70" s="13" t="s">
        <v>2515</v>
      </c>
      <c r="B70" s="224">
        <v>6.17</v>
      </c>
      <c r="C70" s="224">
        <v>54.02</v>
      </c>
      <c r="D70" s="224">
        <v>34.52</v>
      </c>
      <c r="E70" s="224">
        <v>7.08</v>
      </c>
      <c r="F70" s="224">
        <v>9.11</v>
      </c>
      <c r="G70" s="224">
        <v>27.55</v>
      </c>
      <c r="H70" s="224">
        <v>9.35</v>
      </c>
      <c r="I70" s="224">
        <v>4.83</v>
      </c>
      <c r="J70" s="224">
        <v>0.55</v>
      </c>
      <c r="K70" s="224">
        <v>262.18</v>
      </c>
      <c r="L70" s="224">
        <v>36.11</v>
      </c>
      <c r="M70" s="224">
        <v>27.73</v>
      </c>
      <c r="N70" s="224">
        <v>483.2</v>
      </c>
      <c r="O70" s="224">
        <v>0</v>
      </c>
      <c r="P70" s="224">
        <v>0.53</v>
      </c>
      <c r="Q70" s="224">
        <v>6.48</v>
      </c>
      <c r="R70" s="13"/>
      <c r="S70" s="13"/>
      <c r="T70" s="213"/>
      <c r="U70" s="13"/>
    </row>
    <row r="71" customFormat="1" spans="1:21">
      <c r="A71" s="13" t="s">
        <v>2516</v>
      </c>
      <c r="B71" s="224">
        <v>6.36</v>
      </c>
      <c r="C71" s="224">
        <v>53.76</v>
      </c>
      <c r="D71" s="224">
        <v>34.54</v>
      </c>
      <c r="E71" s="224">
        <v>6.59</v>
      </c>
      <c r="F71" s="224">
        <v>11.16</v>
      </c>
      <c r="G71" s="224">
        <v>27.55</v>
      </c>
      <c r="H71" s="224">
        <v>9.35</v>
      </c>
      <c r="I71" s="224">
        <v>4.79</v>
      </c>
      <c r="J71" s="224">
        <v>0.94</v>
      </c>
      <c r="K71" s="224">
        <v>292.2</v>
      </c>
      <c r="L71" s="224">
        <v>36.01</v>
      </c>
      <c r="M71" s="224">
        <v>27.92</v>
      </c>
      <c r="N71" s="224">
        <v>390.1</v>
      </c>
      <c r="O71" s="224">
        <v>0</v>
      </c>
      <c r="P71" s="224">
        <v>0.53</v>
      </c>
      <c r="Q71" s="224">
        <v>6.38</v>
      </c>
      <c r="R71" s="13"/>
      <c r="S71" s="13"/>
      <c r="T71" s="213"/>
      <c r="U71" s="13"/>
    </row>
    <row r="72" customFormat="1" spans="1:21">
      <c r="A72" s="13" t="s">
        <v>2517</v>
      </c>
      <c r="B72" s="224">
        <v>6.39</v>
      </c>
      <c r="C72" s="224">
        <v>50.73</v>
      </c>
      <c r="D72" s="224">
        <v>32.99</v>
      </c>
      <c r="E72" s="224">
        <v>7.25</v>
      </c>
      <c r="F72" s="224">
        <v>13.26</v>
      </c>
      <c r="G72" s="224">
        <v>28.3</v>
      </c>
      <c r="H72" s="224">
        <v>11.22</v>
      </c>
      <c r="I72" s="224">
        <v>4.73</v>
      </c>
      <c r="J72" s="224">
        <v>0.36</v>
      </c>
      <c r="K72" s="224">
        <v>265.79</v>
      </c>
      <c r="L72" s="224">
        <v>35.66</v>
      </c>
      <c r="M72" s="224">
        <v>28.83</v>
      </c>
      <c r="N72" s="224">
        <v>341.5</v>
      </c>
      <c r="O72" s="224">
        <v>0</v>
      </c>
      <c r="P72" s="224">
        <v>0.52</v>
      </c>
      <c r="Q72" s="224">
        <v>6.34</v>
      </c>
      <c r="R72" s="13"/>
      <c r="S72" s="13"/>
      <c r="T72" s="213"/>
      <c r="U72" s="13"/>
    </row>
    <row r="73" customFormat="1" spans="1:21">
      <c r="A73" s="13" t="s">
        <v>2518</v>
      </c>
      <c r="B73" s="224">
        <v>6.55</v>
      </c>
      <c r="C73" s="224">
        <v>53.7</v>
      </c>
      <c r="D73" s="224">
        <v>34.66</v>
      </c>
      <c r="E73" s="224">
        <v>7.17</v>
      </c>
      <c r="F73" s="224">
        <v>10.31</v>
      </c>
      <c r="G73" s="224">
        <v>28.33</v>
      </c>
      <c r="H73" s="224">
        <v>11.22</v>
      </c>
      <c r="I73" s="224">
        <v>4.61</v>
      </c>
      <c r="J73" s="224">
        <v>0.62</v>
      </c>
      <c r="K73" s="224">
        <v>262.53</v>
      </c>
      <c r="L73" s="224">
        <v>35.89</v>
      </c>
      <c r="M73" s="224">
        <v>29.1</v>
      </c>
      <c r="N73" s="224">
        <v>362</v>
      </c>
      <c r="O73" s="224">
        <v>0</v>
      </c>
      <c r="P73" s="224">
        <v>0.51</v>
      </c>
      <c r="Q73" s="224">
        <v>6.32</v>
      </c>
      <c r="R73" s="13"/>
      <c r="S73" s="13"/>
      <c r="T73" s="213"/>
      <c r="U73" s="13"/>
    </row>
    <row r="74" customFormat="1" spans="1:21">
      <c r="A74" s="13" t="s">
        <v>2519</v>
      </c>
      <c r="B74" s="224">
        <v>6.64</v>
      </c>
      <c r="C74" s="224">
        <v>54.92</v>
      </c>
      <c r="D74" s="224">
        <v>35.37</v>
      </c>
      <c r="E74" s="224">
        <v>7.43</v>
      </c>
      <c r="F74" s="224">
        <v>16.33</v>
      </c>
      <c r="G74" s="224">
        <v>28.33</v>
      </c>
      <c r="H74" s="224">
        <v>11.22</v>
      </c>
      <c r="I74" s="224">
        <v>4.62</v>
      </c>
      <c r="J74" s="224">
        <v>0.58</v>
      </c>
      <c r="K74" s="224">
        <v>240.29</v>
      </c>
      <c r="L74" s="224">
        <v>35.89</v>
      </c>
      <c r="M74" s="224">
        <v>28.72</v>
      </c>
      <c r="N74" s="224">
        <v>334.4</v>
      </c>
      <c r="O74" s="224">
        <v>0</v>
      </c>
      <c r="P74" s="224">
        <v>0.5</v>
      </c>
      <c r="Q74" s="224">
        <v>6.43</v>
      </c>
      <c r="R74" s="13"/>
      <c r="S74" s="13"/>
      <c r="T74" s="213"/>
      <c r="U74" s="13"/>
    </row>
    <row r="75" customFormat="1" spans="1:21">
      <c r="A75" s="13" t="s">
        <v>2520</v>
      </c>
      <c r="B75" s="224">
        <v>6.47</v>
      </c>
      <c r="C75" s="224">
        <v>44.63</v>
      </c>
      <c r="D75" s="224">
        <v>29.86</v>
      </c>
      <c r="E75" s="224">
        <v>7.61</v>
      </c>
      <c r="F75" s="224">
        <v>27.73</v>
      </c>
      <c r="G75" s="224">
        <v>28.33</v>
      </c>
      <c r="H75" s="224">
        <v>11.22</v>
      </c>
      <c r="I75" s="224">
        <v>4.61</v>
      </c>
      <c r="J75" s="224">
        <v>0.36</v>
      </c>
      <c r="K75" s="224">
        <v>234.33</v>
      </c>
      <c r="L75" s="224">
        <v>35.99</v>
      </c>
      <c r="M75" s="224">
        <v>28.45</v>
      </c>
      <c r="N75" s="224">
        <v>270.2</v>
      </c>
      <c r="O75" s="224">
        <v>0</v>
      </c>
      <c r="P75" s="224">
        <v>0.47</v>
      </c>
      <c r="Q75" s="224">
        <v>6.28</v>
      </c>
      <c r="R75" s="13"/>
      <c r="S75" s="13"/>
      <c r="T75" s="213"/>
      <c r="U75" s="13"/>
    </row>
    <row r="76" customFormat="1" spans="1:21">
      <c r="A76" s="13" t="s">
        <v>2521</v>
      </c>
      <c r="B76" s="224">
        <v>6.82</v>
      </c>
      <c r="C76" s="224">
        <v>43.57</v>
      </c>
      <c r="D76" s="224">
        <v>29.58</v>
      </c>
      <c r="E76" s="224">
        <v>7.75</v>
      </c>
      <c r="F76" s="224">
        <v>19.02</v>
      </c>
      <c r="G76" s="224">
        <v>29.53</v>
      </c>
      <c r="H76" s="224">
        <v>8.21</v>
      </c>
      <c r="I76" s="224">
        <v>4.48</v>
      </c>
      <c r="J76" s="224">
        <v>0.52</v>
      </c>
      <c r="K76" s="224">
        <v>241.25</v>
      </c>
      <c r="L76" s="224">
        <v>35.59</v>
      </c>
      <c r="M76" s="224">
        <v>28.92</v>
      </c>
      <c r="N76" s="224">
        <v>203.6</v>
      </c>
      <c r="O76" s="224">
        <v>0</v>
      </c>
      <c r="P76" s="224">
        <v>0.48</v>
      </c>
      <c r="Q76" s="224">
        <v>6.11</v>
      </c>
      <c r="R76" s="13"/>
      <c r="S76" s="13"/>
      <c r="T76" s="213"/>
      <c r="U76" s="13"/>
    </row>
    <row r="77" customFormat="1" spans="1:21">
      <c r="A77" s="13" t="s">
        <v>2522</v>
      </c>
      <c r="B77" s="224">
        <v>7.01</v>
      </c>
      <c r="C77" s="224">
        <v>43.62</v>
      </c>
      <c r="D77" s="224">
        <v>29.76</v>
      </c>
      <c r="E77" s="224">
        <v>7.95</v>
      </c>
      <c r="F77" s="224">
        <v>15.78</v>
      </c>
      <c r="G77" s="224">
        <v>29.58</v>
      </c>
      <c r="H77" s="224">
        <v>8.21</v>
      </c>
      <c r="I77" s="224">
        <v>4.27</v>
      </c>
      <c r="J77" s="224">
        <v>0.65</v>
      </c>
      <c r="K77" s="224">
        <v>236.38</v>
      </c>
      <c r="L77" s="224">
        <v>35</v>
      </c>
      <c r="M77" s="224">
        <v>29.52</v>
      </c>
      <c r="N77" s="224">
        <v>137.2</v>
      </c>
      <c r="O77" s="224">
        <v>0</v>
      </c>
      <c r="P77" s="224">
        <v>0.47</v>
      </c>
      <c r="Q77" s="224">
        <v>6.01</v>
      </c>
      <c r="R77" s="13"/>
      <c r="S77" s="13"/>
      <c r="T77" s="213"/>
      <c r="U77" s="13"/>
    </row>
    <row r="78" customFormat="1" spans="1:21">
      <c r="A78" s="13" t="s">
        <v>2523</v>
      </c>
      <c r="B78" s="224">
        <v>6.85</v>
      </c>
      <c r="C78" s="224">
        <v>41.46</v>
      </c>
      <c r="D78" s="224">
        <v>28.5</v>
      </c>
      <c r="E78" s="224">
        <v>7.49</v>
      </c>
      <c r="F78" s="224">
        <v>24.75</v>
      </c>
      <c r="G78" s="224">
        <v>29.58</v>
      </c>
      <c r="H78" s="224">
        <v>8.21</v>
      </c>
      <c r="I78" s="224">
        <v>4.26</v>
      </c>
      <c r="J78" s="224">
        <v>0.49</v>
      </c>
      <c r="K78" s="224">
        <v>250.59</v>
      </c>
      <c r="L78" s="224">
        <v>34.65</v>
      </c>
      <c r="M78" s="224">
        <v>30.19</v>
      </c>
      <c r="N78" s="224">
        <v>102.6</v>
      </c>
      <c r="O78" s="224">
        <v>0</v>
      </c>
      <c r="P78" s="224">
        <v>0.44</v>
      </c>
      <c r="Q78" s="224">
        <v>5.97</v>
      </c>
      <c r="R78" s="13"/>
      <c r="S78" s="13"/>
      <c r="T78" s="213"/>
      <c r="U78" s="13"/>
    </row>
    <row r="79" customFormat="1" spans="1:21">
      <c r="A79" s="13" t="s">
        <v>2524</v>
      </c>
      <c r="B79" s="224">
        <v>6.18</v>
      </c>
      <c r="C79" s="224">
        <v>37.35</v>
      </c>
      <c r="D79" s="224">
        <v>25.82</v>
      </c>
      <c r="E79" s="224">
        <v>7.85</v>
      </c>
      <c r="F79" s="224">
        <v>35.68</v>
      </c>
      <c r="G79" s="224">
        <v>29.58</v>
      </c>
      <c r="H79" s="224">
        <v>8.21</v>
      </c>
      <c r="I79" s="224">
        <v>4.19</v>
      </c>
      <c r="J79" s="224">
        <v>0.28</v>
      </c>
      <c r="K79" s="224">
        <v>230.32</v>
      </c>
      <c r="L79" s="224">
        <v>34.38</v>
      </c>
      <c r="M79" s="224">
        <v>31.47</v>
      </c>
      <c r="N79" s="224">
        <v>55.4</v>
      </c>
      <c r="O79" s="224">
        <v>0</v>
      </c>
      <c r="P79" s="224">
        <v>0.42</v>
      </c>
      <c r="Q79" s="224">
        <v>5.93</v>
      </c>
      <c r="R79" s="13"/>
      <c r="S79" s="13"/>
      <c r="T79" s="213"/>
      <c r="U79" s="13"/>
    </row>
    <row r="80" customFormat="1" spans="1:21">
      <c r="A80" s="13" t="s">
        <v>2525</v>
      </c>
      <c r="B80" s="224">
        <v>5.47</v>
      </c>
      <c r="C80" s="224">
        <v>30.68</v>
      </c>
      <c r="D80" s="224">
        <v>21.76</v>
      </c>
      <c r="E80" s="224">
        <v>7.8</v>
      </c>
      <c r="F80" s="224">
        <v>36.76</v>
      </c>
      <c r="G80" s="224">
        <v>23.54</v>
      </c>
      <c r="H80" s="224">
        <v>8.99</v>
      </c>
      <c r="I80" s="224">
        <v>3.95</v>
      </c>
      <c r="J80" s="224">
        <v>0.24</v>
      </c>
      <c r="K80" s="224">
        <v>162.37</v>
      </c>
      <c r="L80" s="224">
        <v>33.87</v>
      </c>
      <c r="M80" s="224">
        <v>33.57</v>
      </c>
      <c r="N80" s="224">
        <v>25.2</v>
      </c>
      <c r="O80" s="224">
        <v>0</v>
      </c>
      <c r="P80" s="224">
        <v>0.38</v>
      </c>
      <c r="Q80" s="224">
        <v>5.84</v>
      </c>
      <c r="R80" s="13"/>
      <c r="S80" s="13"/>
      <c r="T80" s="213"/>
      <c r="U80" s="13"/>
    </row>
    <row r="81" customFormat="1" spans="1:21">
      <c r="A81" s="13" t="s">
        <v>2526</v>
      </c>
      <c r="B81" s="224">
        <v>6.51</v>
      </c>
      <c r="C81" s="224">
        <v>48.61</v>
      </c>
      <c r="D81" s="224">
        <v>31.96</v>
      </c>
      <c r="E81" s="224">
        <v>7.72</v>
      </c>
      <c r="F81" s="224">
        <v>25.21</v>
      </c>
      <c r="G81" s="224">
        <v>23.26</v>
      </c>
      <c r="H81" s="224">
        <v>8.99</v>
      </c>
      <c r="I81" s="224">
        <v>3.44</v>
      </c>
      <c r="J81" s="224">
        <v>0.23</v>
      </c>
      <c r="K81" s="224">
        <v>159.05</v>
      </c>
      <c r="L81" s="224">
        <v>33.1</v>
      </c>
      <c r="M81" s="224">
        <v>34.44</v>
      </c>
      <c r="N81" s="224">
        <v>2</v>
      </c>
      <c r="O81" s="224">
        <v>0</v>
      </c>
      <c r="P81" s="224">
        <v>0.43</v>
      </c>
      <c r="Q81" s="224">
        <v>5.97</v>
      </c>
      <c r="R81" s="13"/>
      <c r="S81" s="13"/>
      <c r="T81" s="213"/>
      <c r="U81" s="13"/>
    </row>
    <row r="82" customFormat="1" spans="1:21">
      <c r="A82" s="13" t="s">
        <v>2527</v>
      </c>
      <c r="B82" s="224">
        <v>6.05</v>
      </c>
      <c r="C82" s="224">
        <v>45.7</v>
      </c>
      <c r="D82" s="224">
        <v>30.08</v>
      </c>
      <c r="E82" s="224">
        <v>8.3</v>
      </c>
      <c r="F82" s="224">
        <v>36.02</v>
      </c>
      <c r="G82" s="224">
        <v>23.26</v>
      </c>
      <c r="H82" s="224">
        <v>8.99</v>
      </c>
      <c r="I82" s="224">
        <v>3.36</v>
      </c>
      <c r="J82" s="224">
        <v>0.17</v>
      </c>
      <c r="K82" s="224">
        <v>154.18</v>
      </c>
      <c r="L82" s="224">
        <v>32.25</v>
      </c>
      <c r="M82" s="224">
        <v>37.18</v>
      </c>
      <c r="N82" s="224">
        <v>0</v>
      </c>
      <c r="O82" s="224">
        <v>0</v>
      </c>
      <c r="P82" s="224">
        <v>0.41</v>
      </c>
      <c r="Q82" s="224">
        <v>6.31</v>
      </c>
      <c r="R82" s="13"/>
      <c r="S82" s="13"/>
      <c r="T82" s="213"/>
      <c r="U82" s="13"/>
    </row>
    <row r="83" customFormat="1" spans="1:21">
      <c r="A83" s="13" t="s">
        <v>2528</v>
      </c>
      <c r="B83" s="224">
        <v>6.4</v>
      </c>
      <c r="C83" s="224">
        <v>42.14</v>
      </c>
      <c r="D83" s="224">
        <v>28.5</v>
      </c>
      <c r="E83" s="224">
        <v>8.32</v>
      </c>
      <c r="F83" s="224">
        <v>31.48</v>
      </c>
      <c r="G83" s="224">
        <v>23.26</v>
      </c>
      <c r="H83" s="224">
        <v>8.99</v>
      </c>
      <c r="I83" s="224">
        <v>3.39</v>
      </c>
      <c r="J83" s="224">
        <v>0.16</v>
      </c>
      <c r="K83" s="224">
        <v>148.53</v>
      </c>
      <c r="L83" s="224">
        <v>31.52</v>
      </c>
      <c r="M83" s="224">
        <v>39.29</v>
      </c>
      <c r="N83" s="224">
        <v>0</v>
      </c>
      <c r="O83" s="224">
        <v>0</v>
      </c>
      <c r="P83" s="224">
        <v>0.4</v>
      </c>
      <c r="Q83" s="224">
        <v>6.13</v>
      </c>
      <c r="R83" s="13"/>
      <c r="S83" s="13"/>
      <c r="T83" s="213"/>
      <c r="U83" s="13"/>
    </row>
    <row r="84" customFormat="1" spans="1:21">
      <c r="A84" s="13" t="s">
        <v>2529</v>
      </c>
      <c r="B84" s="224">
        <v>7.66</v>
      </c>
      <c r="C84" s="224">
        <v>55</v>
      </c>
      <c r="D84" s="224">
        <v>36.23</v>
      </c>
      <c r="E84" s="224">
        <v>8.8</v>
      </c>
      <c r="F84" s="224">
        <v>20.89</v>
      </c>
      <c r="G84" s="224">
        <v>24.86</v>
      </c>
      <c r="H84" s="224">
        <v>9.16</v>
      </c>
      <c r="I84" s="224">
        <v>3.25</v>
      </c>
      <c r="J84" s="224">
        <v>0.18</v>
      </c>
      <c r="K84" s="224">
        <v>148.79</v>
      </c>
      <c r="L84" s="224">
        <v>31.05</v>
      </c>
      <c r="M84" s="224">
        <v>39.98</v>
      </c>
      <c r="N84" s="224">
        <v>0</v>
      </c>
      <c r="O84" s="224">
        <v>0</v>
      </c>
      <c r="P84" s="224">
        <v>0.45</v>
      </c>
      <c r="Q84" s="224">
        <v>6.33</v>
      </c>
      <c r="R84" s="13"/>
      <c r="S84" s="13"/>
      <c r="T84" s="213"/>
      <c r="U84" s="13"/>
    </row>
    <row r="85" customFormat="1" spans="1:21">
      <c r="A85" s="13" t="s">
        <v>2530</v>
      </c>
      <c r="B85" s="224">
        <v>7.39</v>
      </c>
      <c r="C85" s="224">
        <v>48.57</v>
      </c>
      <c r="D85" s="224">
        <v>32.66</v>
      </c>
      <c r="E85" s="224">
        <v>8.78</v>
      </c>
      <c r="F85" s="224">
        <v>27.26</v>
      </c>
      <c r="G85" s="224">
        <v>24.94</v>
      </c>
      <c r="H85" s="224">
        <v>9.16</v>
      </c>
      <c r="I85" s="224">
        <v>3.41</v>
      </c>
      <c r="J85" s="224">
        <v>0.17</v>
      </c>
      <c r="K85" s="224">
        <v>148.28</v>
      </c>
      <c r="L85" s="224">
        <v>30.67</v>
      </c>
      <c r="M85" s="224">
        <v>41.71</v>
      </c>
      <c r="N85" s="224">
        <v>0</v>
      </c>
      <c r="O85" s="224">
        <v>0</v>
      </c>
      <c r="P85" s="224">
        <v>0.42</v>
      </c>
      <c r="Q85" s="224">
        <v>6.45</v>
      </c>
      <c r="R85" s="13"/>
      <c r="S85" s="13"/>
      <c r="T85" s="213"/>
      <c r="U85" s="13"/>
    </row>
    <row r="86" customFormat="1" spans="1:21">
      <c r="A86" s="13" t="s">
        <v>2531</v>
      </c>
      <c r="B86" s="224">
        <v>8.26</v>
      </c>
      <c r="C86" s="224">
        <v>48.19</v>
      </c>
      <c r="D86" s="224">
        <v>33.16</v>
      </c>
      <c r="E86" s="224">
        <v>8.4</v>
      </c>
      <c r="F86" s="224">
        <v>17.77</v>
      </c>
      <c r="G86" s="224">
        <v>24.94</v>
      </c>
      <c r="H86" s="224">
        <v>9.16</v>
      </c>
      <c r="I86" s="224">
        <v>3.71</v>
      </c>
      <c r="J86" s="224">
        <v>0.19</v>
      </c>
      <c r="K86" s="224">
        <v>162.48</v>
      </c>
      <c r="L86" s="224">
        <v>30.42</v>
      </c>
      <c r="M86" s="224">
        <v>42.44</v>
      </c>
      <c r="N86" s="224">
        <v>0</v>
      </c>
      <c r="O86" s="224">
        <v>0</v>
      </c>
      <c r="P86" s="224">
        <v>0.43</v>
      </c>
      <c r="Q86" s="224">
        <v>6.24</v>
      </c>
      <c r="R86" s="13"/>
      <c r="S86" s="13"/>
      <c r="T86" s="213"/>
      <c r="U86" s="13"/>
    </row>
    <row r="87" customFormat="1" spans="1:21">
      <c r="A87" s="13" t="s">
        <v>2532</v>
      </c>
      <c r="B87" s="224">
        <v>8.99</v>
      </c>
      <c r="C87" s="224">
        <v>57.41</v>
      </c>
      <c r="D87" s="224">
        <v>38.55</v>
      </c>
      <c r="E87" s="224">
        <v>8.65</v>
      </c>
      <c r="F87" s="224">
        <v>19.18</v>
      </c>
      <c r="G87" s="224">
        <v>24.94</v>
      </c>
      <c r="H87" s="224">
        <v>9.16</v>
      </c>
      <c r="I87" s="224">
        <v>3.82</v>
      </c>
      <c r="J87" s="224">
        <v>0.15</v>
      </c>
      <c r="K87" s="224">
        <v>190.47</v>
      </c>
      <c r="L87" s="224">
        <v>30.2</v>
      </c>
      <c r="M87" s="224">
        <v>44.19</v>
      </c>
      <c r="N87" s="224">
        <v>0</v>
      </c>
      <c r="O87" s="224">
        <v>0</v>
      </c>
      <c r="P87" s="224">
        <v>0.46</v>
      </c>
      <c r="Q87" s="224">
        <v>6.51</v>
      </c>
      <c r="R87" s="13"/>
      <c r="S87" s="13"/>
      <c r="T87" s="213"/>
      <c r="U87" s="13"/>
    </row>
    <row r="88" customFormat="1" spans="1:21">
      <c r="A88" s="13" t="s">
        <v>2533</v>
      </c>
      <c r="B88" s="224">
        <v>8.79</v>
      </c>
      <c r="C88" s="224">
        <v>48.99</v>
      </c>
      <c r="D88" s="224">
        <v>33.99</v>
      </c>
      <c r="E88" s="224">
        <v>8.59</v>
      </c>
      <c r="F88" s="224">
        <v>18.94</v>
      </c>
      <c r="G88" s="224">
        <v>20.23</v>
      </c>
      <c r="H88" s="224">
        <v>7.66</v>
      </c>
      <c r="I88" s="224">
        <v>4.04</v>
      </c>
      <c r="J88" s="224">
        <v>0.14</v>
      </c>
      <c r="K88" s="224">
        <v>199.7</v>
      </c>
      <c r="L88" s="224">
        <v>29.88</v>
      </c>
      <c r="M88" s="224">
        <v>45.55</v>
      </c>
      <c r="N88" s="224">
        <v>0</v>
      </c>
      <c r="O88" s="224">
        <v>0</v>
      </c>
      <c r="P88" s="224">
        <v>0.45</v>
      </c>
      <c r="Q88" s="224">
        <v>6.5</v>
      </c>
      <c r="R88" s="13"/>
      <c r="S88" s="13"/>
      <c r="T88" s="213"/>
      <c r="U88" s="13"/>
    </row>
    <row r="89" customFormat="1" spans="1:21">
      <c r="A89" s="13" t="s">
        <v>2534</v>
      </c>
      <c r="B89" s="224">
        <v>11.06</v>
      </c>
      <c r="C89" s="224">
        <v>62.1</v>
      </c>
      <c r="D89" s="224">
        <v>42.66</v>
      </c>
      <c r="E89" s="224">
        <v>8.79</v>
      </c>
      <c r="F89" s="224">
        <v>6.54</v>
      </c>
      <c r="G89" s="224">
        <v>20.02</v>
      </c>
      <c r="H89" s="224">
        <v>7.66</v>
      </c>
      <c r="I89" s="224">
        <v>4.1</v>
      </c>
      <c r="J89" s="224">
        <v>0.23</v>
      </c>
      <c r="K89" s="224">
        <v>168.39</v>
      </c>
      <c r="L89" s="224">
        <v>29.32</v>
      </c>
      <c r="M89" s="224">
        <v>52.3</v>
      </c>
      <c r="N89" s="224">
        <v>0</v>
      </c>
      <c r="O89" s="224">
        <v>0</v>
      </c>
      <c r="P89" s="224">
        <v>0.49</v>
      </c>
      <c r="Q89" s="224">
        <v>6.6</v>
      </c>
      <c r="R89" s="13"/>
      <c r="S89" s="13"/>
      <c r="T89" s="213"/>
      <c r="U89" s="13"/>
    </row>
    <row r="90" customFormat="1" spans="1:21">
      <c r="A90" s="13" t="s">
        <v>2535</v>
      </c>
      <c r="B90" s="224">
        <v>11.36</v>
      </c>
      <c r="C90" s="224">
        <v>55.66</v>
      </c>
      <c r="D90" s="224">
        <v>39.54</v>
      </c>
      <c r="E90" s="224">
        <v>8.78</v>
      </c>
      <c r="F90" s="224">
        <v>8.3</v>
      </c>
      <c r="G90" s="224">
        <v>20.02</v>
      </c>
      <c r="H90" s="224">
        <v>7.66</v>
      </c>
      <c r="I90" s="224">
        <v>4.2</v>
      </c>
      <c r="J90" s="224">
        <v>0.22</v>
      </c>
      <c r="K90" s="224">
        <v>162.31</v>
      </c>
      <c r="L90" s="224">
        <v>28.97</v>
      </c>
      <c r="M90" s="224">
        <v>51.46</v>
      </c>
      <c r="N90" s="224">
        <v>0</v>
      </c>
      <c r="O90" s="224">
        <v>0</v>
      </c>
      <c r="P90" s="224">
        <v>0.5</v>
      </c>
      <c r="Q90" s="224">
        <v>6.66</v>
      </c>
      <c r="R90" s="13"/>
      <c r="S90" s="13"/>
      <c r="T90" s="213"/>
      <c r="U90" s="13"/>
    </row>
    <row r="91" customFormat="1" spans="1:21">
      <c r="A91" s="13" t="s">
        <v>2536</v>
      </c>
      <c r="B91" s="224">
        <v>12.75</v>
      </c>
      <c r="C91" s="224">
        <v>61.99</v>
      </c>
      <c r="D91" s="224">
        <v>43.96</v>
      </c>
      <c r="E91" s="224">
        <v>9.23</v>
      </c>
      <c r="F91" s="224">
        <v>5.45</v>
      </c>
      <c r="G91" s="224">
        <v>20.02</v>
      </c>
      <c r="H91" s="224">
        <v>7.66</v>
      </c>
      <c r="I91" s="224">
        <v>4.38</v>
      </c>
      <c r="J91" s="224">
        <v>0.19</v>
      </c>
      <c r="K91" s="224">
        <v>172.82</v>
      </c>
      <c r="L91" s="224">
        <v>28.5</v>
      </c>
      <c r="M91" s="224">
        <v>54.99</v>
      </c>
      <c r="N91" s="224">
        <v>0</v>
      </c>
      <c r="O91" s="224">
        <v>0</v>
      </c>
      <c r="P91" s="224">
        <v>0.52</v>
      </c>
      <c r="Q91" s="224">
        <v>6.87</v>
      </c>
      <c r="R91" s="13"/>
      <c r="S91" s="13"/>
      <c r="T91" s="213"/>
      <c r="U91" s="13"/>
    </row>
    <row r="92" customFormat="1" spans="1:21">
      <c r="A92" s="13" t="s">
        <v>2537</v>
      </c>
      <c r="B92" s="224">
        <v>11.75</v>
      </c>
      <c r="C92" s="224">
        <v>49.96</v>
      </c>
      <c r="D92" s="224">
        <v>36.88</v>
      </c>
      <c r="E92" s="224">
        <v>8.66</v>
      </c>
      <c r="F92" s="224">
        <v>8.76</v>
      </c>
      <c r="G92" s="224">
        <v>23.37</v>
      </c>
      <c r="H92" s="224">
        <v>7.24</v>
      </c>
      <c r="I92" s="224">
        <v>4.55</v>
      </c>
      <c r="J92" s="224">
        <v>0.12</v>
      </c>
      <c r="K92" s="224">
        <v>127.13</v>
      </c>
      <c r="L92" s="224">
        <v>28.32</v>
      </c>
      <c r="M92" s="224">
        <v>53.33</v>
      </c>
      <c r="N92" s="224">
        <v>0</v>
      </c>
      <c r="O92" s="224">
        <v>0</v>
      </c>
      <c r="P92" s="224">
        <v>0.54</v>
      </c>
      <c r="Q92" s="224">
        <v>6.81</v>
      </c>
      <c r="R92" s="13"/>
      <c r="S92" s="13"/>
      <c r="T92" s="213"/>
      <c r="U92" s="13"/>
    </row>
    <row r="93" customFormat="1" spans="1:21">
      <c r="A93" s="13" t="s">
        <v>2538</v>
      </c>
      <c r="B93" s="224">
        <v>14.43</v>
      </c>
      <c r="C93" s="224">
        <v>58.09</v>
      </c>
      <c r="D93" s="224">
        <v>43.27</v>
      </c>
      <c r="E93" s="224">
        <v>8.75</v>
      </c>
      <c r="F93" s="224">
        <v>6.11</v>
      </c>
      <c r="G93" s="224">
        <v>23.52</v>
      </c>
      <c r="H93" s="224">
        <v>7.24</v>
      </c>
      <c r="I93" s="224">
        <v>4.76</v>
      </c>
      <c r="J93" s="224">
        <v>0.18</v>
      </c>
      <c r="K93" s="224">
        <v>153.83</v>
      </c>
      <c r="L93" s="224">
        <v>28.61</v>
      </c>
      <c r="M93" s="224">
        <v>51.8</v>
      </c>
      <c r="N93" s="224">
        <v>0</v>
      </c>
      <c r="O93" s="224">
        <v>0</v>
      </c>
      <c r="P93" s="224">
        <v>0.52</v>
      </c>
      <c r="Q93" s="224">
        <v>6.79</v>
      </c>
      <c r="R93" s="13"/>
      <c r="S93" s="13"/>
      <c r="T93" s="213"/>
      <c r="U93" s="13"/>
    </row>
    <row r="94" customFormat="1" spans="1:21">
      <c r="A94" s="13" t="s">
        <v>2539</v>
      </c>
      <c r="B94" s="224">
        <v>15.54</v>
      </c>
      <c r="C94" s="224">
        <v>61.38</v>
      </c>
      <c r="D94" s="224">
        <v>45.88</v>
      </c>
      <c r="E94" s="224">
        <v>9.14</v>
      </c>
      <c r="F94" s="224">
        <v>5.02</v>
      </c>
      <c r="G94" s="224">
        <v>23.52</v>
      </c>
      <c r="H94" s="224">
        <v>7.24</v>
      </c>
      <c r="I94" s="224">
        <v>4.93</v>
      </c>
      <c r="J94" s="224">
        <v>0.18</v>
      </c>
      <c r="K94" s="224">
        <v>173.62</v>
      </c>
      <c r="L94" s="224">
        <v>28.37</v>
      </c>
      <c r="M94" s="224">
        <v>54.99</v>
      </c>
      <c r="N94" s="224">
        <v>0</v>
      </c>
      <c r="O94" s="224">
        <v>0</v>
      </c>
      <c r="P94" s="224">
        <v>0.54</v>
      </c>
      <c r="Q94" s="224">
        <v>7</v>
      </c>
      <c r="R94" s="13"/>
      <c r="S94" s="13"/>
      <c r="T94" s="213"/>
      <c r="U94" s="13"/>
    </row>
    <row r="95" customFormat="1" spans="1:21">
      <c r="A95" s="13" t="s">
        <v>2540</v>
      </c>
      <c r="B95" s="224">
        <v>16.21</v>
      </c>
      <c r="C95" s="224">
        <v>62.88</v>
      </c>
      <c r="D95" s="224">
        <v>47.2</v>
      </c>
      <c r="E95" s="224">
        <v>8.79</v>
      </c>
      <c r="F95" s="224">
        <v>4.31</v>
      </c>
      <c r="G95" s="224">
        <v>23.52</v>
      </c>
      <c r="H95" s="224">
        <v>7.24</v>
      </c>
      <c r="I95" s="224">
        <v>5</v>
      </c>
      <c r="J95" s="224">
        <v>0.18</v>
      </c>
      <c r="K95" s="224">
        <v>171.88</v>
      </c>
      <c r="L95" s="224">
        <v>28.03</v>
      </c>
      <c r="M95" s="224">
        <v>55.89</v>
      </c>
      <c r="N95" s="224">
        <v>0</v>
      </c>
      <c r="O95" s="224">
        <v>0</v>
      </c>
      <c r="P95" s="224">
        <v>0.56</v>
      </c>
      <c r="Q95" s="224">
        <v>7.15</v>
      </c>
      <c r="R95" s="13"/>
      <c r="S95" s="13"/>
      <c r="T95" s="213"/>
      <c r="U95" s="13"/>
    </row>
    <row r="96" customFormat="1" spans="1:26">
      <c r="A96" s="13" t="s">
        <v>2541</v>
      </c>
      <c r="B96" s="224">
        <v>16.79</v>
      </c>
      <c r="C96" s="224">
        <v>63.17</v>
      </c>
      <c r="D96" s="224">
        <v>47.82</v>
      </c>
      <c r="E96" s="224">
        <v>8.85</v>
      </c>
      <c r="F96" s="224">
        <v>3.94</v>
      </c>
      <c r="G96" s="224">
        <v>30.04</v>
      </c>
      <c r="H96" s="224">
        <v>11.75</v>
      </c>
      <c r="I96" s="224">
        <v>5.06</v>
      </c>
      <c r="J96" s="224">
        <v>0.13</v>
      </c>
      <c r="K96" s="224">
        <v>215.81</v>
      </c>
      <c r="L96" s="224">
        <v>27.63</v>
      </c>
      <c r="M96" s="224">
        <v>56.57</v>
      </c>
      <c r="N96" s="224">
        <v>0</v>
      </c>
      <c r="O96" s="224">
        <v>0</v>
      </c>
      <c r="P96" s="224">
        <v>0.56</v>
      </c>
      <c r="Q96" s="224">
        <v>7.25</v>
      </c>
      <c r="R96" s="13"/>
      <c r="S96" s="13"/>
      <c r="T96" s="213"/>
      <c r="U96" s="13"/>
      <c r="Z96" s="222"/>
    </row>
    <row r="97" customFormat="1" spans="1:21">
      <c r="A97" s="13" t="s">
        <v>2542</v>
      </c>
      <c r="B97" s="224">
        <v>17.45</v>
      </c>
      <c r="C97" s="224">
        <v>63.19</v>
      </c>
      <c r="D97" s="224">
        <v>48.36</v>
      </c>
      <c r="E97" s="224">
        <v>8.57</v>
      </c>
      <c r="F97" s="224">
        <v>3.82</v>
      </c>
      <c r="G97" s="224">
        <v>30.34</v>
      </c>
      <c r="H97" s="224">
        <v>11.75</v>
      </c>
      <c r="I97" s="224">
        <v>5.17</v>
      </c>
      <c r="J97" s="224">
        <v>0.2</v>
      </c>
      <c r="K97" s="224">
        <v>174.07</v>
      </c>
      <c r="L97" s="224">
        <v>27.61</v>
      </c>
      <c r="M97" s="224">
        <v>59.38</v>
      </c>
      <c r="N97" s="224">
        <v>0</v>
      </c>
      <c r="O97" s="224">
        <v>0</v>
      </c>
      <c r="P97" s="224">
        <v>0.59</v>
      </c>
      <c r="Q97" s="224">
        <v>7.32</v>
      </c>
      <c r="R97" s="13"/>
      <c r="S97" s="13"/>
      <c r="T97" s="213"/>
      <c r="U97" s="13"/>
    </row>
    <row r="98" customFormat="1" spans="1:21">
      <c r="A98" s="13" t="s">
        <v>2543</v>
      </c>
      <c r="B98" s="224">
        <v>18.01</v>
      </c>
      <c r="C98" s="224">
        <v>63.07</v>
      </c>
      <c r="D98" s="224">
        <v>48.75</v>
      </c>
      <c r="E98" s="224">
        <v>8.74</v>
      </c>
      <c r="F98" s="224">
        <v>3.88</v>
      </c>
      <c r="G98" s="224">
        <v>30.34</v>
      </c>
      <c r="H98" s="224">
        <v>11.75</v>
      </c>
      <c r="I98" s="224">
        <v>5.31</v>
      </c>
      <c r="J98" s="224">
        <v>0.17</v>
      </c>
      <c r="K98" s="224">
        <v>145.64</v>
      </c>
      <c r="L98" s="224">
        <v>27.41</v>
      </c>
      <c r="M98" s="224">
        <v>59.02</v>
      </c>
      <c r="N98" s="224">
        <v>0</v>
      </c>
      <c r="O98" s="224">
        <v>0</v>
      </c>
      <c r="P98" s="224">
        <v>0.59</v>
      </c>
      <c r="Q98" s="224">
        <v>7.31</v>
      </c>
      <c r="R98" s="13"/>
      <c r="S98" s="13"/>
      <c r="T98" s="213"/>
      <c r="U98" s="13"/>
    </row>
    <row r="99" customFormat="1" spans="1:21">
      <c r="A99" s="13" t="s">
        <v>2544</v>
      </c>
      <c r="B99" s="224">
        <v>18.42</v>
      </c>
      <c r="C99" s="224">
        <v>63.39</v>
      </c>
      <c r="D99" s="224">
        <v>49.24</v>
      </c>
      <c r="E99" s="224">
        <v>8.41</v>
      </c>
      <c r="F99" s="224">
        <v>3.83</v>
      </c>
      <c r="G99" s="224">
        <v>30.34</v>
      </c>
      <c r="H99" s="224">
        <v>11.75</v>
      </c>
      <c r="I99" s="224">
        <v>5.45</v>
      </c>
      <c r="J99" s="224">
        <v>0.16</v>
      </c>
      <c r="K99" s="224">
        <v>158.5</v>
      </c>
      <c r="L99" s="224">
        <v>27.39</v>
      </c>
      <c r="M99" s="224">
        <v>58.66</v>
      </c>
      <c r="N99" s="224">
        <v>0</v>
      </c>
      <c r="O99" s="224">
        <v>0</v>
      </c>
      <c r="P99" s="224">
        <v>0.6</v>
      </c>
      <c r="Q99" s="224">
        <v>7.35</v>
      </c>
      <c r="R99" s="13"/>
      <c r="S99" s="13"/>
      <c r="T99" s="213"/>
      <c r="U99" s="13"/>
    </row>
    <row r="100" customFormat="1" spans="1:33">
      <c r="A100" s="13" t="s">
        <v>2545</v>
      </c>
      <c r="B100" s="224">
        <v>18.9</v>
      </c>
      <c r="C100" s="224">
        <v>63.46</v>
      </c>
      <c r="D100" s="224">
        <v>49.67</v>
      </c>
      <c r="E100" s="224">
        <v>8.57</v>
      </c>
      <c r="F100" s="224">
        <v>3.85</v>
      </c>
      <c r="G100" s="224">
        <v>34.61</v>
      </c>
      <c r="H100" s="224">
        <v>13.77</v>
      </c>
      <c r="I100" s="224">
        <v>5.55</v>
      </c>
      <c r="J100" s="224">
        <v>0.15</v>
      </c>
      <c r="K100" s="224">
        <v>175.21</v>
      </c>
      <c r="L100" s="224">
        <v>27.38</v>
      </c>
      <c r="M100" s="224">
        <v>58.47</v>
      </c>
      <c r="N100" s="224">
        <v>0</v>
      </c>
      <c r="O100" s="224">
        <v>0</v>
      </c>
      <c r="P100" s="224">
        <v>0.61</v>
      </c>
      <c r="Q100" s="224">
        <v>7.43</v>
      </c>
      <c r="R100" s="13"/>
      <c r="S100" s="13"/>
      <c r="T100" s="213"/>
      <c r="U100" s="13"/>
      <c r="AB100" s="223"/>
      <c r="AG100" s="222"/>
    </row>
    <row r="101" customFormat="1" spans="1:21">
      <c r="A101" s="13" t="s">
        <v>2546</v>
      </c>
      <c r="B101" s="224">
        <v>19.16</v>
      </c>
      <c r="C101" s="224">
        <v>63.26</v>
      </c>
      <c r="D101" s="224">
        <v>49.77</v>
      </c>
      <c r="E101" s="224">
        <v>8.46</v>
      </c>
      <c r="F101" s="224">
        <v>3.82</v>
      </c>
      <c r="G101" s="224">
        <v>34.81</v>
      </c>
      <c r="H101" s="224">
        <v>13.77</v>
      </c>
      <c r="I101" s="224">
        <v>5.65</v>
      </c>
      <c r="J101" s="224">
        <v>0.21</v>
      </c>
      <c r="K101" s="224">
        <v>209.26</v>
      </c>
      <c r="L101" s="224">
        <v>27.77</v>
      </c>
      <c r="M101" s="224">
        <v>54.93</v>
      </c>
      <c r="N101" s="224">
        <v>0</v>
      </c>
      <c r="O101" s="224">
        <v>0</v>
      </c>
      <c r="P101" s="224">
        <v>0.61</v>
      </c>
      <c r="Q101" s="224">
        <v>7.4</v>
      </c>
      <c r="R101" s="13"/>
      <c r="S101" s="13"/>
      <c r="T101" s="213"/>
      <c r="U101" s="13"/>
    </row>
    <row r="102" customFormat="1" spans="1:21">
      <c r="A102" s="13" t="s">
        <v>2547</v>
      </c>
      <c r="B102" s="224">
        <v>18.96</v>
      </c>
      <c r="C102" s="224">
        <v>63.45</v>
      </c>
      <c r="D102" s="224">
        <v>49.7</v>
      </c>
      <c r="E102" s="224">
        <v>8.41</v>
      </c>
      <c r="F102" s="224">
        <v>3.94</v>
      </c>
      <c r="G102" s="224">
        <v>34.81</v>
      </c>
      <c r="H102" s="224">
        <v>13.77</v>
      </c>
      <c r="I102" s="224">
        <v>5.72</v>
      </c>
      <c r="J102" s="224">
        <v>0.36</v>
      </c>
      <c r="K102" s="224">
        <v>215.79</v>
      </c>
      <c r="L102" s="224">
        <v>28.21</v>
      </c>
      <c r="M102" s="224">
        <v>53.06</v>
      </c>
      <c r="N102" s="224">
        <v>0</v>
      </c>
      <c r="O102" s="224">
        <v>0</v>
      </c>
      <c r="P102" s="224">
        <v>0.6</v>
      </c>
      <c r="Q102" s="224">
        <v>7.42</v>
      </c>
      <c r="R102" s="13"/>
      <c r="S102" s="13"/>
      <c r="T102" s="213"/>
      <c r="U102" s="13"/>
    </row>
    <row r="103" customFormat="1" spans="1:21">
      <c r="A103" s="13" t="s">
        <v>2548</v>
      </c>
      <c r="B103" s="224">
        <v>18.72</v>
      </c>
      <c r="C103" s="224">
        <v>63.31</v>
      </c>
      <c r="D103" s="224">
        <v>49.44</v>
      </c>
      <c r="E103" s="224">
        <v>8.45</v>
      </c>
      <c r="F103" s="224">
        <v>4.03</v>
      </c>
      <c r="G103" s="224">
        <v>34.81</v>
      </c>
      <c r="H103" s="224">
        <v>13.77</v>
      </c>
      <c r="I103" s="224">
        <v>5.69</v>
      </c>
      <c r="J103" s="224">
        <v>0.4</v>
      </c>
      <c r="K103" s="224">
        <v>219.79</v>
      </c>
      <c r="L103" s="224">
        <v>28.39</v>
      </c>
      <c r="M103" s="224">
        <v>52.97</v>
      </c>
      <c r="N103" s="224">
        <v>0</v>
      </c>
      <c r="O103" s="224">
        <v>0</v>
      </c>
      <c r="P103" s="224">
        <v>0.59</v>
      </c>
      <c r="Q103" s="224">
        <v>7.43</v>
      </c>
      <c r="R103" s="13"/>
      <c r="S103" s="13"/>
      <c r="T103" s="213"/>
      <c r="U103" s="13"/>
    </row>
    <row r="104" customFormat="1" spans="1:21">
      <c r="A104" s="13" t="s">
        <v>2549</v>
      </c>
      <c r="B104" s="224">
        <v>18.63</v>
      </c>
      <c r="C104" s="224">
        <v>62.64</v>
      </c>
      <c r="D104" s="224">
        <v>49.02</v>
      </c>
      <c r="E104" s="224">
        <v>8.69</v>
      </c>
      <c r="F104" s="224">
        <v>4.25</v>
      </c>
      <c r="G104" s="224">
        <v>34.17</v>
      </c>
      <c r="H104" s="224">
        <v>14.27</v>
      </c>
      <c r="I104" s="224">
        <v>5.55</v>
      </c>
      <c r="J104" s="224">
        <v>0.59</v>
      </c>
      <c r="K104" s="224">
        <v>232.77</v>
      </c>
      <c r="L104" s="224">
        <v>28.21</v>
      </c>
      <c r="M104" s="224">
        <v>54.55</v>
      </c>
      <c r="N104" s="224">
        <v>0</v>
      </c>
      <c r="O104" s="224">
        <v>0</v>
      </c>
      <c r="P104" s="224">
        <v>0.58</v>
      </c>
      <c r="Q104" s="224">
        <v>7.41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5.47</v>
      </c>
      <c r="C106" s="215">
        <f>MIN(C9:C104)</f>
        <v>30.68</v>
      </c>
      <c r="D106" s="215">
        <f t="shared" ref="D106:Q106" si="0">MIN(D9:D104)</f>
        <v>21.76</v>
      </c>
      <c r="E106" s="215">
        <f t="shared" si="0"/>
        <v>5.57</v>
      </c>
      <c r="F106" s="215">
        <f t="shared" si="0"/>
        <v>3.42</v>
      </c>
      <c r="G106" s="215">
        <f t="shared" si="0"/>
        <v>15.43</v>
      </c>
      <c r="H106" s="215">
        <f t="shared" si="0"/>
        <v>4.14</v>
      </c>
      <c r="I106" s="215">
        <f t="shared" si="0"/>
        <v>2.89</v>
      </c>
      <c r="J106" s="215">
        <f t="shared" si="0"/>
        <v>0.06</v>
      </c>
      <c r="K106" s="215">
        <f t="shared" si="0"/>
        <v>47.47</v>
      </c>
      <c r="L106" s="215">
        <f t="shared" si="0"/>
        <v>22.02</v>
      </c>
      <c r="M106" s="215">
        <f t="shared" si="0"/>
        <v>27.73</v>
      </c>
      <c r="N106" s="215">
        <f t="shared" si="0"/>
        <v>0</v>
      </c>
      <c r="O106" s="215">
        <f t="shared" si="0"/>
        <v>0</v>
      </c>
      <c r="P106" s="215">
        <f t="shared" si="0"/>
        <v>0.37</v>
      </c>
      <c r="Q106" s="215">
        <f t="shared" si="0"/>
        <v>5.84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24.8</v>
      </c>
      <c r="C107" s="216">
        <f t="shared" ref="C107:Q107" si="1">MAX(C9:C104)</f>
        <v>67.03</v>
      </c>
      <c r="D107" s="216">
        <f t="shared" si="1"/>
        <v>55.4</v>
      </c>
      <c r="E107" s="216">
        <f t="shared" si="1"/>
        <v>9.23</v>
      </c>
      <c r="F107" s="216">
        <f t="shared" si="1"/>
        <v>36.76</v>
      </c>
      <c r="G107" s="216">
        <f t="shared" si="1"/>
        <v>45.55</v>
      </c>
      <c r="H107" s="216">
        <f t="shared" si="1"/>
        <v>15.77</v>
      </c>
      <c r="I107" s="216">
        <f t="shared" si="1"/>
        <v>5.72</v>
      </c>
      <c r="J107" s="216">
        <f t="shared" si="1"/>
        <v>1.68</v>
      </c>
      <c r="K107" s="216">
        <f t="shared" si="1"/>
        <v>349.31</v>
      </c>
      <c r="L107" s="216">
        <f t="shared" si="1"/>
        <v>36.46</v>
      </c>
      <c r="M107" s="216">
        <f t="shared" si="1"/>
        <v>72.41</v>
      </c>
      <c r="N107" s="216">
        <f t="shared" si="1"/>
        <v>887.7</v>
      </c>
      <c r="O107" s="216">
        <f t="shared" si="1"/>
        <v>0</v>
      </c>
      <c r="P107" s="216">
        <f t="shared" si="1"/>
        <v>0.61</v>
      </c>
      <c r="Q107" s="216">
        <f t="shared" si="1"/>
        <v>7.79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12.8914583333333</v>
      </c>
      <c r="C108" s="215">
        <f t="shared" ref="C108:Q108" si="2">AVERAGE(C9:C104)</f>
        <v>57.9557291666667</v>
      </c>
      <c r="D108" s="215">
        <f t="shared" si="2"/>
        <v>41.9689583333333</v>
      </c>
      <c r="E108" s="215">
        <f t="shared" si="2"/>
        <v>7.3921875</v>
      </c>
      <c r="F108" s="215">
        <f t="shared" si="2"/>
        <v>8.75822916666667</v>
      </c>
      <c r="G108" s="215">
        <f t="shared" si="2"/>
        <v>28.5936458333333</v>
      </c>
      <c r="H108" s="215">
        <f t="shared" si="2"/>
        <v>9.79458333333333</v>
      </c>
      <c r="I108" s="215">
        <f t="shared" si="2"/>
        <v>4.01041666666667</v>
      </c>
      <c r="J108" s="215">
        <f t="shared" si="2"/>
        <v>0.4453125</v>
      </c>
      <c r="K108" s="215">
        <f t="shared" si="2"/>
        <v>211.999583333333</v>
      </c>
      <c r="L108" s="215">
        <f t="shared" si="2"/>
        <v>28.9809375</v>
      </c>
      <c r="M108" s="215">
        <f t="shared" si="2"/>
        <v>49.6844791666667</v>
      </c>
      <c r="N108" s="215">
        <f t="shared" si="2"/>
        <v>217.088541666667</v>
      </c>
      <c r="O108" s="215">
        <f t="shared" si="2"/>
        <v>0</v>
      </c>
      <c r="P108" s="215">
        <f t="shared" si="2"/>
        <v>0.465104166666667</v>
      </c>
      <c r="Q108" s="215">
        <f t="shared" si="2"/>
        <v>6.875625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5.9170115108303</v>
      </c>
      <c r="C109" s="215">
        <f t="shared" ref="C109:Q109" si="3">STDEV(C9:C104)</f>
        <v>7.20114797058762</v>
      </c>
      <c r="D109" s="215">
        <f t="shared" si="3"/>
        <v>7.47787874216051</v>
      </c>
      <c r="E109" s="215">
        <f t="shared" si="3"/>
        <v>1.00430672933071</v>
      </c>
      <c r="F109" s="215">
        <f t="shared" si="3"/>
        <v>7.83723031028204</v>
      </c>
      <c r="G109" s="215">
        <f t="shared" si="3"/>
        <v>7.37952988372732</v>
      </c>
      <c r="H109" s="215">
        <f t="shared" si="3"/>
        <v>2.94774058583918</v>
      </c>
      <c r="I109" s="215">
        <f t="shared" si="3"/>
        <v>0.796017609784934</v>
      </c>
      <c r="J109" s="215">
        <f t="shared" si="3"/>
        <v>0.302515604208235</v>
      </c>
      <c r="K109" s="215">
        <f t="shared" si="3"/>
        <v>70.9765978321345</v>
      </c>
      <c r="L109" s="215">
        <f t="shared" si="3"/>
        <v>5.01814226018165</v>
      </c>
      <c r="M109" s="215">
        <f t="shared" si="3"/>
        <v>15.1607497293985</v>
      </c>
      <c r="N109" s="215">
        <f t="shared" si="3"/>
        <v>303.431026366885</v>
      </c>
      <c r="O109" s="215">
        <f t="shared" si="3"/>
        <v>0</v>
      </c>
      <c r="P109" s="215">
        <f t="shared" si="3"/>
        <v>0.0703673786811484</v>
      </c>
      <c r="Q109" s="215">
        <f t="shared" si="3"/>
        <v>0.492439282925744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27/04/2023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3" t="s">
        <v>2550</v>
      </c>
      <c r="B9" s="224">
        <v>18.81</v>
      </c>
      <c r="C9" s="224">
        <v>63.72</v>
      </c>
      <c r="D9" s="224">
        <v>49.73</v>
      </c>
      <c r="E9" s="224">
        <v>8.48</v>
      </c>
      <c r="F9" s="224">
        <v>4.16</v>
      </c>
      <c r="G9" s="224">
        <v>34.14</v>
      </c>
      <c r="H9" s="224">
        <v>14.27</v>
      </c>
      <c r="I9" s="224">
        <v>5.42</v>
      </c>
      <c r="J9" s="224">
        <v>0.5</v>
      </c>
      <c r="K9" s="224">
        <v>230.07</v>
      </c>
      <c r="L9" s="224">
        <v>28.03</v>
      </c>
      <c r="M9" s="224">
        <v>56.02</v>
      </c>
      <c r="N9" s="224">
        <v>0</v>
      </c>
      <c r="O9" s="224">
        <v>0</v>
      </c>
      <c r="P9" s="224">
        <v>0.57</v>
      </c>
      <c r="Q9" s="224">
        <v>7.38</v>
      </c>
      <c r="R9" s="13"/>
      <c r="S9" s="13"/>
      <c r="T9" s="213"/>
      <c r="U9" s="13"/>
    </row>
    <row r="10" customFormat="1" spans="1:21">
      <c r="A10" s="13" t="s">
        <v>2551</v>
      </c>
      <c r="B10" s="224">
        <v>18.94</v>
      </c>
      <c r="C10" s="224">
        <v>63.45</v>
      </c>
      <c r="D10" s="224">
        <v>49.69</v>
      </c>
      <c r="E10" s="224">
        <v>8.34</v>
      </c>
      <c r="F10" s="224">
        <v>3.94</v>
      </c>
      <c r="G10" s="224">
        <v>34.14</v>
      </c>
      <c r="H10" s="224">
        <v>14.27</v>
      </c>
      <c r="I10" s="224">
        <v>5.28</v>
      </c>
      <c r="J10" s="224">
        <v>0.42</v>
      </c>
      <c r="K10" s="224">
        <v>232.18</v>
      </c>
      <c r="L10" s="224">
        <v>27.75</v>
      </c>
      <c r="M10" s="224">
        <v>57.47</v>
      </c>
      <c r="N10" s="224">
        <v>0</v>
      </c>
      <c r="O10" s="224">
        <v>0</v>
      </c>
      <c r="P10" s="224">
        <v>0.56</v>
      </c>
      <c r="Q10" s="224">
        <v>7.41</v>
      </c>
      <c r="R10" s="13"/>
      <c r="S10" s="13"/>
      <c r="T10" s="213"/>
      <c r="U10" s="13"/>
    </row>
    <row r="11" customFormat="1" spans="1:21">
      <c r="A11" s="13" t="s">
        <v>2552</v>
      </c>
      <c r="B11" s="224">
        <v>18.9</v>
      </c>
      <c r="C11" s="224">
        <v>63.65</v>
      </c>
      <c r="D11" s="224">
        <v>49.76</v>
      </c>
      <c r="E11" s="224">
        <v>8.45</v>
      </c>
      <c r="F11" s="224">
        <v>3.7</v>
      </c>
      <c r="G11" s="224">
        <v>34.14</v>
      </c>
      <c r="H11" s="224">
        <v>14.27</v>
      </c>
      <c r="I11" s="224">
        <v>5.16</v>
      </c>
      <c r="J11" s="224">
        <v>0.27</v>
      </c>
      <c r="K11" s="224">
        <v>222.1</v>
      </c>
      <c r="L11" s="224">
        <v>27.42</v>
      </c>
      <c r="M11" s="224">
        <v>58.65</v>
      </c>
      <c r="N11" s="224">
        <v>0</v>
      </c>
      <c r="O11" s="224">
        <v>0</v>
      </c>
      <c r="P11" s="224">
        <v>0.56</v>
      </c>
      <c r="Q11" s="224">
        <v>7.41</v>
      </c>
      <c r="R11" s="13"/>
      <c r="S11" s="13"/>
      <c r="T11" s="213"/>
      <c r="U11" s="13"/>
    </row>
    <row r="12" customFormat="1" spans="1:21">
      <c r="A12" s="13" t="s">
        <v>2553</v>
      </c>
      <c r="B12" s="224">
        <v>19.06</v>
      </c>
      <c r="C12" s="224">
        <v>64.17</v>
      </c>
      <c r="D12" s="224">
        <v>50.16</v>
      </c>
      <c r="E12" s="224">
        <v>8.42</v>
      </c>
      <c r="F12" s="224">
        <v>3.72</v>
      </c>
      <c r="G12" s="224">
        <v>30.44</v>
      </c>
      <c r="H12" s="224">
        <v>12.48</v>
      </c>
      <c r="I12" s="224">
        <v>5.09</v>
      </c>
      <c r="J12" s="224">
        <v>0.3</v>
      </c>
      <c r="K12" s="224">
        <v>237.51</v>
      </c>
      <c r="L12" s="224">
        <v>27.25</v>
      </c>
      <c r="M12" s="224">
        <v>58.1</v>
      </c>
      <c r="N12" s="224">
        <v>0</v>
      </c>
      <c r="O12" s="224">
        <v>0</v>
      </c>
      <c r="P12" s="224">
        <v>0.55</v>
      </c>
      <c r="Q12" s="224">
        <v>7.49</v>
      </c>
      <c r="R12" s="13"/>
      <c r="S12" s="13"/>
      <c r="T12" s="213"/>
      <c r="U12" s="13"/>
    </row>
    <row r="13" customFormat="1" spans="1:21">
      <c r="A13" s="13" t="s">
        <v>2554</v>
      </c>
      <c r="B13" s="224">
        <v>19.28</v>
      </c>
      <c r="C13" s="224">
        <v>63.72</v>
      </c>
      <c r="D13" s="224">
        <v>50.11</v>
      </c>
      <c r="E13" s="224">
        <v>8.43</v>
      </c>
      <c r="F13" s="224">
        <v>3.75</v>
      </c>
      <c r="G13" s="224">
        <v>30.27</v>
      </c>
      <c r="H13" s="224">
        <v>12.48</v>
      </c>
      <c r="I13" s="224">
        <v>5.02</v>
      </c>
      <c r="J13" s="224">
        <v>0.23</v>
      </c>
      <c r="K13" s="224">
        <v>205.39</v>
      </c>
      <c r="L13" s="224">
        <v>27.54</v>
      </c>
      <c r="M13" s="224">
        <v>56.46</v>
      </c>
      <c r="N13" s="224">
        <v>0</v>
      </c>
      <c r="O13" s="224">
        <v>0</v>
      </c>
      <c r="P13" s="224">
        <v>0.54</v>
      </c>
      <c r="Q13" s="224">
        <v>7.44</v>
      </c>
      <c r="R13" s="13"/>
      <c r="S13" s="13"/>
      <c r="T13" s="213"/>
      <c r="U13" s="13"/>
    </row>
    <row r="14" customFormat="1" spans="1:21">
      <c r="A14" s="13" t="s">
        <v>2555</v>
      </c>
      <c r="B14" s="224">
        <v>19.3</v>
      </c>
      <c r="C14" s="224">
        <v>63.59</v>
      </c>
      <c r="D14" s="224">
        <v>50.05</v>
      </c>
      <c r="E14" s="224">
        <v>8.22</v>
      </c>
      <c r="F14" s="224">
        <v>3.81</v>
      </c>
      <c r="G14" s="224">
        <v>30.27</v>
      </c>
      <c r="H14" s="224">
        <v>12.48</v>
      </c>
      <c r="I14" s="224">
        <v>4.97</v>
      </c>
      <c r="J14" s="224">
        <v>0.37</v>
      </c>
      <c r="K14" s="224">
        <v>157.54</v>
      </c>
      <c r="L14" s="224">
        <v>27.5</v>
      </c>
      <c r="M14" s="224">
        <v>56.77</v>
      </c>
      <c r="N14" s="224">
        <v>0</v>
      </c>
      <c r="O14" s="224">
        <v>0</v>
      </c>
      <c r="P14" s="224">
        <v>0.53</v>
      </c>
      <c r="Q14" s="224">
        <v>7.43</v>
      </c>
      <c r="R14" s="13"/>
      <c r="S14" s="13"/>
      <c r="T14" s="213"/>
      <c r="U14" s="13"/>
    </row>
    <row r="15" customFormat="1" spans="1:21">
      <c r="A15" s="13" t="s">
        <v>2556</v>
      </c>
      <c r="B15" s="224">
        <v>19.4</v>
      </c>
      <c r="C15" s="224">
        <v>63.52</v>
      </c>
      <c r="D15" s="224">
        <v>50.1</v>
      </c>
      <c r="E15" s="224">
        <v>7.87</v>
      </c>
      <c r="F15" s="224">
        <v>3.81</v>
      </c>
      <c r="G15" s="224">
        <v>30.27</v>
      </c>
      <c r="H15" s="224">
        <v>12.48</v>
      </c>
      <c r="I15" s="224">
        <v>4.89</v>
      </c>
      <c r="J15" s="224">
        <v>0.23</v>
      </c>
      <c r="K15" s="224">
        <v>99.39</v>
      </c>
      <c r="L15" s="224">
        <v>27.01</v>
      </c>
      <c r="M15" s="224">
        <v>59.78</v>
      </c>
      <c r="N15" s="224">
        <v>0</v>
      </c>
      <c r="O15" s="224">
        <v>0</v>
      </c>
      <c r="P15" s="224">
        <v>0.53</v>
      </c>
      <c r="Q15" s="224">
        <v>7.43</v>
      </c>
      <c r="R15" s="13"/>
      <c r="S15" s="13"/>
      <c r="T15" s="213"/>
      <c r="U15" s="13"/>
    </row>
    <row r="16" customFormat="1" spans="1:21">
      <c r="A16" s="13" t="s">
        <v>2557</v>
      </c>
      <c r="B16" s="224">
        <v>19.69</v>
      </c>
      <c r="C16" s="224">
        <v>62.9</v>
      </c>
      <c r="D16" s="224">
        <v>50</v>
      </c>
      <c r="E16" s="224">
        <v>8.19</v>
      </c>
      <c r="F16" s="224">
        <v>3.88</v>
      </c>
      <c r="G16" s="224">
        <v>25.05</v>
      </c>
      <c r="H16" s="224">
        <v>12.42</v>
      </c>
      <c r="I16" s="224">
        <v>4.83</v>
      </c>
      <c r="J16" s="224">
        <v>0.16</v>
      </c>
      <c r="K16" s="224">
        <v>192.44</v>
      </c>
      <c r="L16" s="224">
        <v>26.56</v>
      </c>
      <c r="M16" s="224">
        <v>62.18</v>
      </c>
      <c r="N16" s="224">
        <v>0</v>
      </c>
      <c r="O16" s="224">
        <v>0</v>
      </c>
      <c r="P16" s="224">
        <v>0.52</v>
      </c>
      <c r="Q16" s="224">
        <v>7.43</v>
      </c>
      <c r="R16" s="13"/>
      <c r="S16" s="13"/>
      <c r="T16" s="213"/>
      <c r="U16" s="13"/>
    </row>
    <row r="17" customFormat="1" spans="1:21">
      <c r="A17" s="13" t="s">
        <v>2558</v>
      </c>
      <c r="B17" s="224">
        <v>20.19</v>
      </c>
      <c r="C17" s="224">
        <v>61.49</v>
      </c>
      <c r="D17" s="224">
        <v>49.67</v>
      </c>
      <c r="E17" s="224">
        <v>6.01</v>
      </c>
      <c r="F17" s="224">
        <v>3.91</v>
      </c>
      <c r="G17" s="224">
        <v>24.81</v>
      </c>
      <c r="H17" s="224">
        <v>12.42</v>
      </c>
      <c r="I17" s="224">
        <v>4.79</v>
      </c>
      <c r="J17" s="224">
        <v>0.07</v>
      </c>
      <c r="K17" s="224">
        <v>213.16</v>
      </c>
      <c r="L17" s="224">
        <v>26.16</v>
      </c>
      <c r="M17" s="224">
        <v>63.27</v>
      </c>
      <c r="N17" s="224">
        <v>0</v>
      </c>
      <c r="O17" s="224">
        <v>0</v>
      </c>
      <c r="P17" s="224">
        <v>0.5</v>
      </c>
      <c r="Q17" s="224">
        <v>7.34</v>
      </c>
      <c r="R17" s="13"/>
      <c r="S17" s="13"/>
      <c r="T17" s="213"/>
      <c r="U17" s="13"/>
    </row>
    <row r="18" customFormat="1" spans="1:21">
      <c r="A18" s="13" t="s">
        <v>2559</v>
      </c>
      <c r="B18" s="224">
        <v>20.87</v>
      </c>
      <c r="C18" s="224">
        <v>53.32</v>
      </c>
      <c r="D18" s="224">
        <v>45.95</v>
      </c>
      <c r="E18" s="224">
        <v>6.17</v>
      </c>
      <c r="F18" s="224">
        <v>4.59</v>
      </c>
      <c r="G18" s="224">
        <v>24.81</v>
      </c>
      <c r="H18" s="224">
        <v>12.42</v>
      </c>
      <c r="I18" s="224">
        <v>4.72</v>
      </c>
      <c r="J18" s="224">
        <v>0.37</v>
      </c>
      <c r="K18" s="224">
        <v>247.14</v>
      </c>
      <c r="L18" s="224">
        <v>26.08</v>
      </c>
      <c r="M18" s="224">
        <v>62.61</v>
      </c>
      <c r="N18" s="224">
        <v>0</v>
      </c>
      <c r="O18" s="224">
        <v>0</v>
      </c>
      <c r="P18" s="224">
        <v>0.47</v>
      </c>
      <c r="Q18" s="224">
        <v>7.04</v>
      </c>
      <c r="R18" s="13"/>
      <c r="S18" s="13"/>
      <c r="T18" s="213"/>
      <c r="U18" s="13"/>
    </row>
    <row r="19" customFormat="1" spans="1:21">
      <c r="A19" s="13" t="s">
        <v>2560</v>
      </c>
      <c r="B19" s="224">
        <v>21.18</v>
      </c>
      <c r="C19" s="224">
        <v>58.17</v>
      </c>
      <c r="D19" s="224">
        <v>48.72</v>
      </c>
      <c r="E19" s="224">
        <v>6.56</v>
      </c>
      <c r="F19" s="224">
        <v>4.22</v>
      </c>
      <c r="G19" s="224">
        <v>24.81</v>
      </c>
      <c r="H19" s="224">
        <v>12.42</v>
      </c>
      <c r="I19" s="224">
        <v>4.62</v>
      </c>
      <c r="J19" s="224">
        <v>0.48</v>
      </c>
      <c r="K19" s="224">
        <v>246.42</v>
      </c>
      <c r="L19" s="224">
        <v>26.59</v>
      </c>
      <c r="M19" s="224">
        <v>58.77</v>
      </c>
      <c r="N19" s="224">
        <v>0</v>
      </c>
      <c r="O19" s="224">
        <v>0</v>
      </c>
      <c r="P19" s="224">
        <v>0.49</v>
      </c>
      <c r="Q19" s="224">
        <v>7.16</v>
      </c>
      <c r="R19" s="13"/>
      <c r="S19" s="13"/>
      <c r="T19" s="213"/>
      <c r="U19" s="13"/>
    </row>
    <row r="20" customFormat="1" spans="1:21">
      <c r="A20" s="13" t="s">
        <v>2561</v>
      </c>
      <c r="B20" s="224">
        <v>20.34</v>
      </c>
      <c r="C20" s="224">
        <v>52.44</v>
      </c>
      <c r="D20" s="224">
        <v>45.06</v>
      </c>
      <c r="E20" s="224">
        <v>7.06</v>
      </c>
      <c r="F20" s="224">
        <v>6.88</v>
      </c>
      <c r="G20" s="224">
        <v>21.79</v>
      </c>
      <c r="H20" s="224">
        <v>10.53</v>
      </c>
      <c r="I20" s="224">
        <v>4.58</v>
      </c>
      <c r="J20" s="224">
        <v>0.6</v>
      </c>
      <c r="K20" s="224">
        <v>248.62</v>
      </c>
      <c r="L20" s="224">
        <v>26.88</v>
      </c>
      <c r="M20" s="224">
        <v>57.02</v>
      </c>
      <c r="N20" s="224">
        <v>0</v>
      </c>
      <c r="O20" s="224">
        <v>0</v>
      </c>
      <c r="P20" s="224">
        <v>0.47</v>
      </c>
      <c r="Q20" s="224">
        <v>7.2</v>
      </c>
      <c r="R20" s="13"/>
      <c r="S20" s="13"/>
      <c r="T20" s="213"/>
      <c r="U20" s="13"/>
    </row>
    <row r="21" customFormat="1" spans="1:21">
      <c r="A21" s="13" t="s">
        <v>2562</v>
      </c>
      <c r="B21" s="224">
        <v>21.45</v>
      </c>
      <c r="C21" s="224">
        <v>60.52</v>
      </c>
      <c r="D21" s="224">
        <v>50.17</v>
      </c>
      <c r="E21" s="224">
        <v>6.96</v>
      </c>
      <c r="F21" s="224">
        <v>4.27</v>
      </c>
      <c r="G21" s="224">
        <v>21.65</v>
      </c>
      <c r="H21" s="224">
        <v>10.53</v>
      </c>
      <c r="I21" s="224">
        <v>4.52</v>
      </c>
      <c r="J21" s="224">
        <v>0.4</v>
      </c>
      <c r="K21" s="224">
        <v>231.4</v>
      </c>
      <c r="L21" s="224">
        <v>27.15</v>
      </c>
      <c r="M21" s="224">
        <v>55.88</v>
      </c>
      <c r="N21" s="224">
        <v>0</v>
      </c>
      <c r="O21" s="224">
        <v>0</v>
      </c>
      <c r="P21" s="224">
        <v>0.5</v>
      </c>
      <c r="Q21" s="224">
        <v>7.27</v>
      </c>
      <c r="R21" s="13"/>
      <c r="S21" s="13"/>
      <c r="T21" s="213"/>
      <c r="U21" s="13"/>
    </row>
    <row r="22" customFormat="1" spans="1:21">
      <c r="A22" s="13" t="s">
        <v>2563</v>
      </c>
      <c r="B22" s="224">
        <v>21.45</v>
      </c>
      <c r="C22" s="224">
        <v>57</v>
      </c>
      <c r="D22" s="224">
        <v>48.33</v>
      </c>
      <c r="E22" s="224">
        <v>7.04</v>
      </c>
      <c r="F22" s="224">
        <v>5.53</v>
      </c>
      <c r="G22" s="224">
        <v>21.65</v>
      </c>
      <c r="H22" s="224">
        <v>10.53</v>
      </c>
      <c r="I22" s="224">
        <v>4.54</v>
      </c>
      <c r="J22" s="224">
        <v>0.37</v>
      </c>
      <c r="K22" s="224">
        <v>244.21</v>
      </c>
      <c r="L22" s="224">
        <v>26.95</v>
      </c>
      <c r="M22" s="224">
        <v>56.74</v>
      </c>
      <c r="N22" s="224">
        <v>0</v>
      </c>
      <c r="O22" s="224">
        <v>0</v>
      </c>
      <c r="P22" s="224">
        <v>0.48</v>
      </c>
      <c r="Q22" s="224">
        <v>7.24</v>
      </c>
      <c r="R22" s="13"/>
      <c r="S22" s="13"/>
      <c r="T22" s="213"/>
      <c r="U22" s="13"/>
    </row>
    <row r="23" customFormat="1" spans="1:21">
      <c r="A23" s="13" t="s">
        <v>2564</v>
      </c>
      <c r="B23" s="224">
        <v>22.11</v>
      </c>
      <c r="C23" s="224">
        <v>62.06</v>
      </c>
      <c r="D23" s="224">
        <v>51.51</v>
      </c>
      <c r="E23" s="224">
        <v>6.82</v>
      </c>
      <c r="F23" s="224">
        <v>4.2</v>
      </c>
      <c r="G23" s="224">
        <v>21.65</v>
      </c>
      <c r="H23" s="224">
        <v>10.53</v>
      </c>
      <c r="I23" s="224">
        <v>4.56</v>
      </c>
      <c r="J23" s="224">
        <v>0.77</v>
      </c>
      <c r="K23" s="224">
        <v>296.29</v>
      </c>
      <c r="L23" s="224">
        <v>27.01</v>
      </c>
      <c r="M23" s="224">
        <v>56.35</v>
      </c>
      <c r="N23" s="224">
        <v>0</v>
      </c>
      <c r="O23" s="224">
        <v>0</v>
      </c>
      <c r="P23" s="224">
        <v>0.51</v>
      </c>
      <c r="Q23" s="224">
        <v>7.39</v>
      </c>
      <c r="R23" s="13"/>
      <c r="S23" s="13"/>
      <c r="T23" s="213"/>
      <c r="U23" s="13"/>
    </row>
    <row r="24" customFormat="1" spans="1:21">
      <c r="A24" s="13" t="s">
        <v>2565</v>
      </c>
      <c r="B24" s="224">
        <v>23.02</v>
      </c>
      <c r="C24" s="224">
        <v>55.81</v>
      </c>
      <c r="D24" s="224">
        <v>48.97</v>
      </c>
      <c r="E24" s="224">
        <v>7.25</v>
      </c>
      <c r="F24" s="224">
        <v>4.8</v>
      </c>
      <c r="G24" s="224">
        <v>26.05</v>
      </c>
      <c r="H24" s="224">
        <v>10.14</v>
      </c>
      <c r="I24" s="224">
        <v>4.6</v>
      </c>
      <c r="J24" s="224">
        <v>1.66</v>
      </c>
      <c r="K24" s="224">
        <v>297.37</v>
      </c>
      <c r="L24" s="224">
        <v>26.96</v>
      </c>
      <c r="M24" s="224">
        <v>58.53</v>
      </c>
      <c r="N24" s="224">
        <v>0</v>
      </c>
      <c r="O24" s="224">
        <v>0</v>
      </c>
      <c r="P24" s="224">
        <v>0.49</v>
      </c>
      <c r="Q24" s="224">
        <v>7.21</v>
      </c>
      <c r="R24" s="13"/>
      <c r="S24" s="13"/>
      <c r="T24" s="213"/>
      <c r="U24" s="13"/>
    </row>
    <row r="25" customFormat="1" spans="1:21">
      <c r="A25" s="13" t="s">
        <v>2566</v>
      </c>
      <c r="B25" s="224">
        <v>23.11</v>
      </c>
      <c r="C25" s="224">
        <v>60.39</v>
      </c>
      <c r="D25" s="224">
        <v>51.43</v>
      </c>
      <c r="E25" s="224">
        <v>7.13</v>
      </c>
      <c r="F25" s="224">
        <v>4.41</v>
      </c>
      <c r="G25" s="224">
        <v>26.26</v>
      </c>
      <c r="H25" s="224">
        <v>10.13</v>
      </c>
      <c r="I25" s="224">
        <v>4.63</v>
      </c>
      <c r="J25" s="224">
        <v>1.61</v>
      </c>
      <c r="K25" s="224">
        <v>303.34</v>
      </c>
      <c r="L25" s="224">
        <v>26.14</v>
      </c>
      <c r="M25" s="224">
        <v>63.87</v>
      </c>
      <c r="N25" s="224">
        <v>0</v>
      </c>
      <c r="O25" s="224">
        <v>0</v>
      </c>
      <c r="P25" s="224">
        <v>0.52</v>
      </c>
      <c r="Q25" s="224">
        <v>7.45</v>
      </c>
      <c r="R25" s="13"/>
      <c r="S25" s="13"/>
      <c r="T25" s="213"/>
      <c r="U25" s="13"/>
    </row>
    <row r="26" customFormat="1" spans="1:21">
      <c r="A26" s="13" t="s">
        <v>2567</v>
      </c>
      <c r="B26" s="224">
        <v>22.2</v>
      </c>
      <c r="C26" s="224">
        <v>53.99</v>
      </c>
      <c r="D26" s="224">
        <v>47.36</v>
      </c>
      <c r="E26" s="224">
        <v>7.11</v>
      </c>
      <c r="F26" s="224">
        <v>6.53</v>
      </c>
      <c r="G26" s="224">
        <v>26.26</v>
      </c>
      <c r="H26" s="224">
        <v>10.13</v>
      </c>
      <c r="I26" s="224">
        <v>4.7</v>
      </c>
      <c r="J26" s="224">
        <v>0.95</v>
      </c>
      <c r="K26" s="224">
        <v>331.47</v>
      </c>
      <c r="L26" s="224">
        <v>25.51</v>
      </c>
      <c r="M26" s="224">
        <v>60</v>
      </c>
      <c r="N26" s="224">
        <v>0</v>
      </c>
      <c r="O26" s="224">
        <v>0</v>
      </c>
      <c r="P26" s="224">
        <v>0.49</v>
      </c>
      <c r="Q26" s="224">
        <v>7.3</v>
      </c>
      <c r="R26" s="13"/>
      <c r="S26" s="13"/>
      <c r="T26" s="213"/>
      <c r="U26" s="13"/>
    </row>
    <row r="27" customFormat="1" spans="1:21">
      <c r="A27" s="13" t="s">
        <v>2568</v>
      </c>
      <c r="B27" s="224">
        <v>22.63</v>
      </c>
      <c r="C27" s="224">
        <v>59.33</v>
      </c>
      <c r="D27" s="224">
        <v>50.49</v>
      </c>
      <c r="E27" s="224">
        <v>6.44</v>
      </c>
      <c r="F27" s="224">
        <v>5.6</v>
      </c>
      <c r="G27" s="224">
        <v>26.26</v>
      </c>
      <c r="H27" s="224">
        <v>10.13</v>
      </c>
      <c r="I27" s="224">
        <v>4.68</v>
      </c>
      <c r="J27" s="224">
        <v>0.98</v>
      </c>
      <c r="K27" s="224">
        <v>350.12</v>
      </c>
      <c r="L27" s="224">
        <v>25.26</v>
      </c>
      <c r="M27" s="224">
        <v>57.95</v>
      </c>
      <c r="N27" s="224">
        <v>0</v>
      </c>
      <c r="O27" s="224">
        <v>0</v>
      </c>
      <c r="P27" s="224">
        <v>0.51</v>
      </c>
      <c r="Q27" s="224">
        <v>7.32</v>
      </c>
      <c r="R27" s="13"/>
      <c r="S27" s="13"/>
      <c r="T27" s="213"/>
      <c r="U27" s="13"/>
    </row>
    <row r="28" customFormat="1" spans="1:21">
      <c r="A28" s="13" t="s">
        <v>2569</v>
      </c>
      <c r="B28" s="224">
        <v>22.57</v>
      </c>
      <c r="C28" s="224">
        <v>54.46</v>
      </c>
      <c r="D28" s="224">
        <v>47.91</v>
      </c>
      <c r="E28" s="224">
        <v>7.13</v>
      </c>
      <c r="F28" s="224">
        <v>7.52</v>
      </c>
      <c r="G28" s="224">
        <v>29.31</v>
      </c>
      <c r="H28" s="224">
        <v>10.52</v>
      </c>
      <c r="I28" s="224">
        <v>4.65</v>
      </c>
      <c r="J28" s="224">
        <v>0.9</v>
      </c>
      <c r="K28" s="224">
        <v>357.71</v>
      </c>
      <c r="L28" s="224">
        <v>25</v>
      </c>
      <c r="M28" s="224">
        <v>58.17</v>
      </c>
      <c r="N28" s="224">
        <v>0</v>
      </c>
      <c r="O28" s="224">
        <v>0</v>
      </c>
      <c r="P28" s="224">
        <v>0.49</v>
      </c>
      <c r="Q28" s="224">
        <v>7.38</v>
      </c>
      <c r="R28" s="13"/>
      <c r="S28" s="13"/>
      <c r="T28" s="213"/>
      <c r="U28" s="13"/>
    </row>
    <row r="29" customFormat="1" spans="1:21">
      <c r="A29" s="13" t="s">
        <v>2570</v>
      </c>
      <c r="B29" s="224">
        <v>22.61</v>
      </c>
      <c r="C29" s="224">
        <v>58.84</v>
      </c>
      <c r="D29" s="224">
        <v>50.23</v>
      </c>
      <c r="E29" s="224">
        <v>6.85</v>
      </c>
      <c r="F29" s="224">
        <v>4.99</v>
      </c>
      <c r="G29" s="224">
        <v>29.45</v>
      </c>
      <c r="H29" s="224">
        <v>10.52</v>
      </c>
      <c r="I29" s="224">
        <v>4.59</v>
      </c>
      <c r="J29" s="224">
        <v>1.02</v>
      </c>
      <c r="K29" s="224">
        <v>7.59</v>
      </c>
      <c r="L29" s="224">
        <v>24.78</v>
      </c>
      <c r="M29" s="224">
        <v>58.5</v>
      </c>
      <c r="N29" s="224">
        <v>0</v>
      </c>
      <c r="O29" s="224">
        <v>0</v>
      </c>
      <c r="P29" s="224">
        <v>0.51</v>
      </c>
      <c r="Q29" s="224">
        <v>7.42</v>
      </c>
      <c r="R29" s="13"/>
      <c r="S29" s="13"/>
      <c r="T29" s="213"/>
      <c r="U29" s="13"/>
    </row>
    <row r="30" customFormat="1" spans="1:21">
      <c r="A30" s="13" t="s">
        <v>2571</v>
      </c>
      <c r="B30" s="224">
        <v>22.27</v>
      </c>
      <c r="C30" s="224">
        <v>58.13</v>
      </c>
      <c r="D30" s="224">
        <v>49.58</v>
      </c>
      <c r="E30" s="224">
        <v>7.12</v>
      </c>
      <c r="F30" s="224">
        <v>5.39</v>
      </c>
      <c r="G30" s="224">
        <v>29.45</v>
      </c>
      <c r="H30" s="224">
        <v>10.52</v>
      </c>
      <c r="I30" s="224">
        <v>4.49</v>
      </c>
      <c r="J30" s="224">
        <v>1.2</v>
      </c>
      <c r="K30" s="224">
        <v>344.44</v>
      </c>
      <c r="L30" s="224">
        <v>24.51</v>
      </c>
      <c r="M30" s="224">
        <v>56.97</v>
      </c>
      <c r="N30" s="224">
        <v>0</v>
      </c>
      <c r="O30" s="224">
        <v>0</v>
      </c>
      <c r="P30" s="224">
        <v>0.5</v>
      </c>
      <c r="Q30" s="224">
        <v>7.45</v>
      </c>
      <c r="R30" s="13"/>
      <c r="S30" s="13"/>
      <c r="T30" s="213"/>
      <c r="U30" s="13"/>
    </row>
    <row r="31" customFormat="1" spans="1:21">
      <c r="A31" s="13" t="s">
        <v>2572</v>
      </c>
      <c r="B31" s="224">
        <v>22.08</v>
      </c>
      <c r="C31" s="224">
        <v>56.47</v>
      </c>
      <c r="D31" s="224">
        <v>48.56</v>
      </c>
      <c r="E31" s="224">
        <v>6.91</v>
      </c>
      <c r="F31" s="224">
        <v>6.05</v>
      </c>
      <c r="G31" s="224">
        <v>29.45</v>
      </c>
      <c r="H31" s="224">
        <v>10.52</v>
      </c>
      <c r="I31" s="224">
        <v>4.42</v>
      </c>
      <c r="J31" s="224">
        <v>0.7</v>
      </c>
      <c r="K31" s="224">
        <v>336.02</v>
      </c>
      <c r="L31" s="224">
        <v>24.24</v>
      </c>
      <c r="M31" s="224">
        <v>58</v>
      </c>
      <c r="N31" s="224">
        <v>0</v>
      </c>
      <c r="O31" s="224">
        <v>0</v>
      </c>
      <c r="P31" s="224">
        <v>0.48</v>
      </c>
      <c r="Q31" s="224">
        <v>7.41</v>
      </c>
      <c r="R31" s="13"/>
      <c r="S31" s="13"/>
      <c r="T31" s="213"/>
      <c r="U31" s="13"/>
    </row>
    <row r="32" customFormat="1" spans="1:21">
      <c r="A32" s="13" t="s">
        <v>2573</v>
      </c>
      <c r="B32" s="224">
        <v>22.01</v>
      </c>
      <c r="C32" s="224">
        <v>58.42</v>
      </c>
      <c r="D32" s="224">
        <v>49.53</v>
      </c>
      <c r="E32" s="224">
        <v>6.96</v>
      </c>
      <c r="F32" s="224">
        <v>4.75</v>
      </c>
      <c r="G32" s="224">
        <v>27.99</v>
      </c>
      <c r="H32" s="224">
        <v>9.62</v>
      </c>
      <c r="I32" s="224">
        <v>4.37</v>
      </c>
      <c r="J32" s="224">
        <v>0.98</v>
      </c>
      <c r="K32" s="224">
        <v>50.7</v>
      </c>
      <c r="L32" s="224">
        <v>24.12</v>
      </c>
      <c r="M32" s="224">
        <v>59.16</v>
      </c>
      <c r="N32" s="224">
        <v>3.7</v>
      </c>
      <c r="O32" s="224">
        <v>0</v>
      </c>
      <c r="P32" s="224">
        <v>0.49</v>
      </c>
      <c r="Q32" s="224">
        <v>7.35</v>
      </c>
      <c r="R32" s="13"/>
      <c r="S32" s="13"/>
      <c r="T32" s="213"/>
      <c r="U32" s="13"/>
    </row>
    <row r="33" customFormat="1" spans="1:21">
      <c r="A33" s="13" t="s">
        <v>2574</v>
      </c>
      <c r="B33" s="224">
        <v>22.76</v>
      </c>
      <c r="C33" s="224">
        <v>61.84</v>
      </c>
      <c r="D33" s="224">
        <v>51.91</v>
      </c>
      <c r="E33" s="224">
        <v>7.08</v>
      </c>
      <c r="F33" s="224">
        <v>4.13</v>
      </c>
      <c r="G33" s="224">
        <v>27.92</v>
      </c>
      <c r="H33" s="224">
        <v>9.62</v>
      </c>
      <c r="I33" s="224">
        <v>4.31</v>
      </c>
      <c r="J33" s="224">
        <v>0.57</v>
      </c>
      <c r="K33" s="224">
        <v>4.54</v>
      </c>
      <c r="L33" s="224">
        <v>24.19</v>
      </c>
      <c r="M33" s="224">
        <v>59.42</v>
      </c>
      <c r="N33" s="224">
        <v>21.5</v>
      </c>
      <c r="O33" s="224">
        <v>0</v>
      </c>
      <c r="P33" s="224">
        <v>0.49</v>
      </c>
      <c r="Q33" s="224">
        <v>7.4</v>
      </c>
      <c r="R33" s="13"/>
      <c r="S33" s="13"/>
      <c r="T33" s="213"/>
      <c r="U33" s="13"/>
    </row>
    <row r="34" customFormat="1" spans="1:21">
      <c r="A34" s="13" t="s">
        <v>2575</v>
      </c>
      <c r="B34" s="224">
        <v>23.58</v>
      </c>
      <c r="C34" s="224">
        <v>62.78</v>
      </c>
      <c r="D34" s="224">
        <v>53.06</v>
      </c>
      <c r="E34" s="224">
        <v>7.16</v>
      </c>
      <c r="F34" s="224">
        <v>3.73</v>
      </c>
      <c r="G34" s="224">
        <v>27.92</v>
      </c>
      <c r="H34" s="224">
        <v>9.62</v>
      </c>
      <c r="I34" s="224">
        <v>4.32</v>
      </c>
      <c r="J34" s="224">
        <v>0.81</v>
      </c>
      <c r="K34" s="224">
        <v>305.63</v>
      </c>
      <c r="L34" s="224">
        <v>24.33</v>
      </c>
      <c r="M34" s="224">
        <v>59.05</v>
      </c>
      <c r="N34" s="224">
        <v>60.5</v>
      </c>
      <c r="O34" s="224">
        <v>0</v>
      </c>
      <c r="P34" s="224">
        <v>0.49</v>
      </c>
      <c r="Q34" s="224">
        <v>7.52</v>
      </c>
      <c r="R34" s="13"/>
      <c r="S34" s="13"/>
      <c r="T34" s="213"/>
      <c r="U34" s="13"/>
    </row>
    <row r="35" customFormat="1" spans="1:21">
      <c r="A35" s="13" t="s">
        <v>2576</v>
      </c>
      <c r="B35" s="224">
        <v>24.19</v>
      </c>
      <c r="C35" s="224">
        <v>62.34</v>
      </c>
      <c r="D35" s="224">
        <v>53.32</v>
      </c>
      <c r="E35" s="224">
        <v>7.31</v>
      </c>
      <c r="F35" s="224">
        <v>3.57</v>
      </c>
      <c r="G35" s="224">
        <v>27.92</v>
      </c>
      <c r="H35" s="224">
        <v>9.62</v>
      </c>
      <c r="I35" s="224">
        <v>4.41</v>
      </c>
      <c r="J35" s="224">
        <v>0.72</v>
      </c>
      <c r="K35" s="224">
        <v>287.25</v>
      </c>
      <c r="L35" s="224">
        <v>24.75</v>
      </c>
      <c r="M35" s="224">
        <v>58.16</v>
      </c>
      <c r="N35" s="224">
        <v>107.7</v>
      </c>
      <c r="O35" s="224">
        <v>0</v>
      </c>
      <c r="P35" s="224">
        <v>0.51</v>
      </c>
      <c r="Q35" s="224">
        <v>7.53</v>
      </c>
      <c r="R35" s="13"/>
      <c r="S35" s="13"/>
      <c r="T35" s="213"/>
      <c r="U35" s="13"/>
    </row>
    <row r="36" customFormat="1" spans="1:21">
      <c r="A36" s="13" t="s">
        <v>2577</v>
      </c>
      <c r="B36" s="224">
        <v>24.9</v>
      </c>
      <c r="C36" s="224">
        <v>61.01</v>
      </c>
      <c r="D36" s="224">
        <v>53.19</v>
      </c>
      <c r="E36" s="224">
        <v>7.4</v>
      </c>
      <c r="F36" s="224">
        <v>3.96</v>
      </c>
      <c r="G36" s="224">
        <v>32.74</v>
      </c>
      <c r="H36" s="224">
        <v>13.63</v>
      </c>
      <c r="I36" s="224">
        <v>4.4</v>
      </c>
      <c r="J36" s="224">
        <v>0.74</v>
      </c>
      <c r="K36" s="224">
        <v>295.58</v>
      </c>
      <c r="L36" s="224">
        <v>25.13</v>
      </c>
      <c r="M36" s="224">
        <v>56.82</v>
      </c>
      <c r="N36" s="224">
        <v>105.5</v>
      </c>
      <c r="O36" s="224">
        <v>0</v>
      </c>
      <c r="P36" s="224">
        <v>0.51</v>
      </c>
      <c r="Q36" s="224">
        <v>7.6</v>
      </c>
      <c r="R36" s="13"/>
      <c r="S36" s="13"/>
      <c r="T36" s="213"/>
      <c r="U36" s="13"/>
    </row>
    <row r="37" customFormat="1" spans="1:21">
      <c r="A37" s="13" t="s">
        <v>2578</v>
      </c>
      <c r="B37" s="224">
        <v>25.34</v>
      </c>
      <c r="C37" s="224">
        <v>60.39</v>
      </c>
      <c r="D37" s="224">
        <v>53.22</v>
      </c>
      <c r="E37" s="224">
        <v>6.99</v>
      </c>
      <c r="F37" s="224">
        <v>4.1</v>
      </c>
      <c r="G37" s="224">
        <v>32.97</v>
      </c>
      <c r="H37" s="224">
        <v>13.63</v>
      </c>
      <c r="I37" s="224">
        <v>4.39</v>
      </c>
      <c r="J37" s="224">
        <v>0.56</v>
      </c>
      <c r="K37" s="224">
        <v>280</v>
      </c>
      <c r="L37" s="224">
        <v>25.07</v>
      </c>
      <c r="M37" s="224">
        <v>56.33</v>
      </c>
      <c r="N37" s="224">
        <v>88.4</v>
      </c>
      <c r="O37" s="224">
        <v>0</v>
      </c>
      <c r="P37" s="224">
        <v>0.52</v>
      </c>
      <c r="Q37" s="224">
        <v>7.66</v>
      </c>
      <c r="R37" s="13"/>
      <c r="S37" s="13"/>
      <c r="T37" s="213"/>
      <c r="U37" s="13"/>
    </row>
    <row r="38" customFormat="1" spans="1:21">
      <c r="A38" s="13" t="s">
        <v>2579</v>
      </c>
      <c r="B38" s="224">
        <v>25.33</v>
      </c>
      <c r="C38" s="224">
        <v>61.25</v>
      </c>
      <c r="D38" s="224">
        <v>53.67</v>
      </c>
      <c r="E38" s="224">
        <v>6.58</v>
      </c>
      <c r="F38" s="224">
        <v>4</v>
      </c>
      <c r="G38" s="224">
        <v>32.97</v>
      </c>
      <c r="H38" s="224">
        <v>13.63</v>
      </c>
      <c r="I38" s="224">
        <v>4.44</v>
      </c>
      <c r="J38" s="224">
        <v>0.46</v>
      </c>
      <c r="K38" s="224">
        <v>305.51</v>
      </c>
      <c r="L38" s="224">
        <v>25.33</v>
      </c>
      <c r="M38" s="224">
        <v>55.97</v>
      </c>
      <c r="N38" s="224">
        <v>91.9</v>
      </c>
      <c r="O38" s="224">
        <v>0</v>
      </c>
      <c r="P38" s="224">
        <v>0.53</v>
      </c>
      <c r="Q38" s="224">
        <v>7.7</v>
      </c>
      <c r="R38" s="13"/>
      <c r="S38" s="13"/>
      <c r="T38" s="213"/>
      <c r="U38" s="13"/>
    </row>
    <row r="39" customFormat="1" spans="1:21">
      <c r="A39" s="13" t="s">
        <v>2580</v>
      </c>
      <c r="B39" s="224">
        <v>25.16</v>
      </c>
      <c r="C39" s="224">
        <v>63.16</v>
      </c>
      <c r="D39" s="224">
        <v>54.53</v>
      </c>
      <c r="E39" s="224">
        <v>6.66</v>
      </c>
      <c r="F39" s="224">
        <v>3.94</v>
      </c>
      <c r="G39" s="224">
        <v>32.97</v>
      </c>
      <c r="H39" s="224">
        <v>13.63</v>
      </c>
      <c r="I39" s="224">
        <v>4.49</v>
      </c>
      <c r="J39" s="224">
        <v>0.34</v>
      </c>
      <c r="K39" s="224">
        <v>280.39</v>
      </c>
      <c r="L39" s="224">
        <v>25.59</v>
      </c>
      <c r="M39" s="224">
        <v>55.07</v>
      </c>
      <c r="N39" s="224">
        <v>83.3</v>
      </c>
      <c r="O39" s="224">
        <v>0</v>
      </c>
      <c r="P39" s="224">
        <v>0.54</v>
      </c>
      <c r="Q39" s="224">
        <v>7.76</v>
      </c>
      <c r="R39" s="13"/>
      <c r="S39" s="13"/>
      <c r="T39" s="213"/>
      <c r="U39" s="13"/>
    </row>
    <row r="40" customFormat="1" spans="1:21">
      <c r="A40" s="13" t="s">
        <v>2581</v>
      </c>
      <c r="B40" s="224">
        <v>24.84</v>
      </c>
      <c r="C40" s="224">
        <v>63.96</v>
      </c>
      <c r="D40" s="224">
        <v>54.69</v>
      </c>
      <c r="E40" s="224">
        <v>6.2</v>
      </c>
      <c r="F40" s="224">
        <v>4.62</v>
      </c>
      <c r="G40" s="224">
        <v>41.85</v>
      </c>
      <c r="H40" s="224">
        <v>14.19</v>
      </c>
      <c r="I40" s="224">
        <v>4.54</v>
      </c>
      <c r="J40" s="224">
        <v>0.58</v>
      </c>
      <c r="K40" s="224">
        <v>238.1</v>
      </c>
      <c r="L40" s="224">
        <v>25.77</v>
      </c>
      <c r="M40" s="224">
        <v>54.57</v>
      </c>
      <c r="N40" s="224">
        <v>120.3</v>
      </c>
      <c r="O40" s="224">
        <v>0</v>
      </c>
      <c r="P40" s="224">
        <v>0.54</v>
      </c>
      <c r="Q40" s="224">
        <v>7.81</v>
      </c>
      <c r="R40" s="13"/>
      <c r="S40" s="13"/>
      <c r="T40" s="213"/>
      <c r="U40" s="13"/>
    </row>
    <row r="41" customFormat="1" spans="1:21">
      <c r="A41" s="13" t="s">
        <v>2582</v>
      </c>
      <c r="B41" s="224">
        <v>24.23</v>
      </c>
      <c r="C41" s="224">
        <v>64.03</v>
      </c>
      <c r="D41" s="224">
        <v>54.23</v>
      </c>
      <c r="E41" s="224">
        <v>6.09</v>
      </c>
      <c r="F41" s="224">
        <v>4.82</v>
      </c>
      <c r="G41" s="224">
        <v>42.27</v>
      </c>
      <c r="H41" s="224">
        <v>14.19</v>
      </c>
      <c r="I41" s="224">
        <v>4.56</v>
      </c>
      <c r="J41" s="224">
        <v>1.43</v>
      </c>
      <c r="K41" s="224">
        <v>283.45</v>
      </c>
      <c r="L41" s="224">
        <v>25.76</v>
      </c>
      <c r="M41" s="224">
        <v>55.33</v>
      </c>
      <c r="N41" s="224">
        <v>137</v>
      </c>
      <c r="O41" s="224">
        <v>0</v>
      </c>
      <c r="P41" s="224">
        <v>0.54</v>
      </c>
      <c r="Q41" s="224">
        <v>7.75</v>
      </c>
      <c r="R41" s="13"/>
      <c r="S41" s="13"/>
      <c r="T41" s="213"/>
      <c r="U41" s="13"/>
    </row>
    <row r="42" customFormat="1" spans="1:21">
      <c r="A42" s="13" t="s">
        <v>2583</v>
      </c>
      <c r="B42" s="224">
        <v>23.6</v>
      </c>
      <c r="C42" s="224">
        <v>63.9</v>
      </c>
      <c r="D42" s="224">
        <v>53.67</v>
      </c>
      <c r="E42" s="224">
        <v>6</v>
      </c>
      <c r="F42" s="224">
        <v>3.91</v>
      </c>
      <c r="G42" s="224">
        <v>42.27</v>
      </c>
      <c r="H42" s="224">
        <v>14.19</v>
      </c>
      <c r="I42" s="224">
        <v>4.58</v>
      </c>
      <c r="J42" s="224">
        <v>1.33</v>
      </c>
      <c r="K42" s="224">
        <v>286.92</v>
      </c>
      <c r="L42" s="224">
        <v>25.45</v>
      </c>
      <c r="M42" s="224">
        <v>54.5</v>
      </c>
      <c r="N42" s="224">
        <v>118.1</v>
      </c>
      <c r="O42" s="224">
        <v>0</v>
      </c>
      <c r="P42" s="224">
        <v>0.54</v>
      </c>
      <c r="Q42" s="224">
        <v>7.71</v>
      </c>
      <c r="R42" s="13"/>
      <c r="S42" s="13"/>
      <c r="T42" s="213"/>
      <c r="U42" s="13"/>
    </row>
    <row r="43" customFormat="1" spans="1:21">
      <c r="A43" s="13" t="s">
        <v>2584</v>
      </c>
      <c r="B43" s="224">
        <v>22.74</v>
      </c>
      <c r="C43" s="224">
        <v>64.72</v>
      </c>
      <c r="D43" s="224">
        <v>53.4</v>
      </c>
      <c r="E43" s="224">
        <v>6.15</v>
      </c>
      <c r="F43" s="224">
        <v>4.07</v>
      </c>
      <c r="G43" s="224">
        <v>42.27</v>
      </c>
      <c r="H43" s="224">
        <v>14.19</v>
      </c>
      <c r="I43" s="224">
        <v>4.57</v>
      </c>
      <c r="J43" s="224">
        <v>0.81</v>
      </c>
      <c r="K43" s="224">
        <v>245.64</v>
      </c>
      <c r="L43" s="224">
        <v>25.37</v>
      </c>
      <c r="M43" s="224">
        <v>55.77</v>
      </c>
      <c r="N43" s="224">
        <v>85.7</v>
      </c>
      <c r="O43" s="224">
        <v>0</v>
      </c>
      <c r="P43" s="224">
        <v>0.54</v>
      </c>
      <c r="Q43" s="224">
        <v>7.68</v>
      </c>
      <c r="R43" s="13"/>
      <c r="S43" s="13"/>
      <c r="T43" s="213"/>
      <c r="U43" s="13"/>
    </row>
    <row r="44" customFormat="1" spans="1:21">
      <c r="A44" s="13" t="s">
        <v>2585</v>
      </c>
      <c r="B44" s="224">
        <v>21.63</v>
      </c>
      <c r="C44" s="224">
        <v>65.29</v>
      </c>
      <c r="D44" s="224">
        <v>52.81</v>
      </c>
      <c r="E44" s="224">
        <v>6.02</v>
      </c>
      <c r="F44" s="224">
        <v>4.1</v>
      </c>
      <c r="G44" s="224">
        <v>41.51</v>
      </c>
      <c r="H44" s="224">
        <v>12.66</v>
      </c>
      <c r="I44" s="224">
        <v>4.55</v>
      </c>
      <c r="J44" s="224">
        <v>0.79</v>
      </c>
      <c r="K44" s="224">
        <v>253.14</v>
      </c>
      <c r="L44" s="224">
        <v>25.37</v>
      </c>
      <c r="M44" s="224">
        <v>56.35</v>
      </c>
      <c r="N44" s="224">
        <v>82.7</v>
      </c>
      <c r="O44" s="224">
        <v>0</v>
      </c>
      <c r="P44" s="224">
        <v>0.54</v>
      </c>
      <c r="Q44" s="224">
        <v>7.67</v>
      </c>
      <c r="R44" s="13"/>
      <c r="S44" s="13"/>
      <c r="T44" s="213"/>
      <c r="U44" s="13"/>
    </row>
    <row r="45" customFormat="1" spans="1:21">
      <c r="A45" s="13" t="s">
        <v>2586</v>
      </c>
      <c r="B45" s="224">
        <v>20.87</v>
      </c>
      <c r="C45" s="224">
        <v>65.22</v>
      </c>
      <c r="D45" s="224">
        <v>52.16</v>
      </c>
      <c r="E45" s="224">
        <v>6.33</v>
      </c>
      <c r="F45" s="224">
        <v>4.05</v>
      </c>
      <c r="G45" s="224">
        <v>41.48</v>
      </c>
      <c r="H45" s="224">
        <v>12.66</v>
      </c>
      <c r="I45" s="224">
        <v>4.48</v>
      </c>
      <c r="J45" s="224">
        <v>0.53</v>
      </c>
      <c r="K45" s="224">
        <v>252.93</v>
      </c>
      <c r="L45" s="224">
        <v>25.38</v>
      </c>
      <c r="M45" s="224">
        <v>57.56</v>
      </c>
      <c r="N45" s="224">
        <v>76.1</v>
      </c>
      <c r="O45" s="224">
        <v>0</v>
      </c>
      <c r="P45" s="224">
        <v>0.57</v>
      </c>
      <c r="Q45" s="224">
        <v>7.6</v>
      </c>
      <c r="R45" s="13"/>
      <c r="S45" s="13"/>
      <c r="T45" s="213"/>
      <c r="U45" s="13"/>
    </row>
    <row r="46" customFormat="1" spans="1:21">
      <c r="A46" s="13" t="s">
        <v>2587</v>
      </c>
      <c r="B46" s="224">
        <v>20.46</v>
      </c>
      <c r="C46" s="224">
        <v>65.52</v>
      </c>
      <c r="D46" s="224">
        <v>51.99</v>
      </c>
      <c r="E46" s="224">
        <v>5.77</v>
      </c>
      <c r="F46" s="224">
        <v>4.03</v>
      </c>
      <c r="G46" s="224">
        <v>41.48</v>
      </c>
      <c r="H46" s="224">
        <v>12.66</v>
      </c>
      <c r="I46" s="224">
        <v>4.51</v>
      </c>
      <c r="J46" s="224">
        <v>0.67</v>
      </c>
      <c r="K46" s="224">
        <v>225.22</v>
      </c>
      <c r="L46" s="224">
        <v>25.64</v>
      </c>
      <c r="M46" s="224">
        <v>56.25</v>
      </c>
      <c r="N46" s="224">
        <v>69.9</v>
      </c>
      <c r="O46" s="224">
        <v>0</v>
      </c>
      <c r="P46" s="224">
        <v>0.63</v>
      </c>
      <c r="Q46" s="224">
        <v>7.58</v>
      </c>
      <c r="R46" s="13"/>
      <c r="S46" s="13"/>
      <c r="T46" s="213"/>
      <c r="U46" s="13"/>
    </row>
    <row r="47" customFormat="1" spans="1:21">
      <c r="A47" s="13" t="s">
        <v>2588</v>
      </c>
      <c r="B47" s="224">
        <v>20.14</v>
      </c>
      <c r="C47" s="224">
        <v>66.39</v>
      </c>
      <c r="D47" s="224">
        <v>52.19</v>
      </c>
      <c r="E47" s="224">
        <v>6.1</v>
      </c>
      <c r="F47" s="224">
        <v>3.93</v>
      </c>
      <c r="G47" s="224">
        <v>41.48</v>
      </c>
      <c r="H47" s="224">
        <v>12.66</v>
      </c>
      <c r="I47" s="224">
        <v>5.01</v>
      </c>
      <c r="J47" s="224">
        <v>0.82</v>
      </c>
      <c r="K47" s="224">
        <v>265.87</v>
      </c>
      <c r="L47" s="224">
        <v>25.44</v>
      </c>
      <c r="M47" s="224">
        <v>56.26</v>
      </c>
      <c r="N47" s="224">
        <v>86.1</v>
      </c>
      <c r="O47" s="224">
        <v>0</v>
      </c>
      <c r="P47" s="224">
        <v>0.67</v>
      </c>
      <c r="Q47" s="224">
        <v>7.57</v>
      </c>
      <c r="R47" s="13"/>
      <c r="S47" s="13"/>
      <c r="T47" s="213"/>
      <c r="U47" s="13"/>
    </row>
    <row r="48" customFormat="1" spans="1:21">
      <c r="A48" s="13" t="s">
        <v>2589</v>
      </c>
      <c r="B48" s="224">
        <v>20.1</v>
      </c>
      <c r="C48" s="224">
        <v>66.46</v>
      </c>
      <c r="D48" s="224">
        <v>52.19</v>
      </c>
      <c r="E48" s="224">
        <v>6.14</v>
      </c>
      <c r="F48" s="224">
        <v>3.93</v>
      </c>
      <c r="G48" s="224">
        <v>46.09</v>
      </c>
      <c r="H48" s="224">
        <v>15.15</v>
      </c>
      <c r="I48" s="224">
        <v>5.87</v>
      </c>
      <c r="J48" s="224">
        <v>0.28</v>
      </c>
      <c r="K48" s="224">
        <v>357.81</v>
      </c>
      <c r="L48" s="224">
        <v>25.72</v>
      </c>
      <c r="M48" s="224">
        <v>55.91</v>
      </c>
      <c r="N48" s="224">
        <v>176.9</v>
      </c>
      <c r="O48" s="224">
        <v>0</v>
      </c>
      <c r="P48" s="224">
        <v>0.68</v>
      </c>
      <c r="Q48" s="224">
        <v>7.58</v>
      </c>
      <c r="R48" s="13"/>
      <c r="S48" s="13"/>
      <c r="T48" s="213"/>
      <c r="U48" s="13"/>
    </row>
    <row r="49" customFormat="1" spans="1:21">
      <c r="A49" s="13" t="s">
        <v>2590</v>
      </c>
      <c r="B49" s="224">
        <v>20</v>
      </c>
      <c r="C49" s="224">
        <v>66.65</v>
      </c>
      <c r="D49" s="224">
        <v>52.21</v>
      </c>
      <c r="E49" s="224">
        <v>7.58</v>
      </c>
      <c r="F49" s="224">
        <v>3.88</v>
      </c>
      <c r="G49" s="224">
        <v>46.3</v>
      </c>
      <c r="H49" s="224">
        <v>15.15</v>
      </c>
      <c r="I49" s="224">
        <v>6.32</v>
      </c>
      <c r="J49" s="224">
        <v>0.14</v>
      </c>
      <c r="K49" s="224">
        <v>52.6</v>
      </c>
      <c r="L49" s="224">
        <v>26.5</v>
      </c>
      <c r="M49" s="224">
        <v>53.4</v>
      </c>
      <c r="N49" s="224">
        <v>243.2</v>
      </c>
      <c r="O49" s="224">
        <v>0</v>
      </c>
      <c r="P49" s="224">
        <v>0.67</v>
      </c>
      <c r="Q49" s="224">
        <v>7.58</v>
      </c>
      <c r="R49" s="13"/>
      <c r="S49" s="13"/>
      <c r="T49" s="213"/>
      <c r="U49" s="13"/>
    </row>
    <row r="50" customFormat="1" spans="1:21">
      <c r="A50" s="13" t="s">
        <v>2591</v>
      </c>
      <c r="B50" s="224">
        <v>19.49</v>
      </c>
      <c r="C50" s="224">
        <v>66.65</v>
      </c>
      <c r="D50" s="224">
        <v>51.8</v>
      </c>
      <c r="E50" s="224">
        <v>8.62</v>
      </c>
      <c r="F50" s="224">
        <v>4.04</v>
      </c>
      <c r="G50" s="224">
        <v>46.3</v>
      </c>
      <c r="H50" s="224">
        <v>15.15</v>
      </c>
      <c r="I50" s="224">
        <v>6.3</v>
      </c>
      <c r="J50" s="224">
        <v>0.26</v>
      </c>
      <c r="K50" s="224">
        <v>76.37</v>
      </c>
      <c r="L50" s="224">
        <v>27.34</v>
      </c>
      <c r="M50" s="224">
        <v>52.06</v>
      </c>
      <c r="N50" s="224">
        <v>241.1</v>
      </c>
      <c r="O50" s="224">
        <v>0</v>
      </c>
      <c r="P50" s="224">
        <v>0.66</v>
      </c>
      <c r="Q50" s="224">
        <v>7.57</v>
      </c>
      <c r="R50" s="13"/>
      <c r="S50" s="13"/>
      <c r="T50" s="213"/>
      <c r="U50" s="13"/>
    </row>
    <row r="51" customFormat="1" spans="1:21">
      <c r="A51" s="13" t="s">
        <v>2592</v>
      </c>
      <c r="B51" s="224">
        <v>18.64</v>
      </c>
      <c r="C51" s="224">
        <v>66.75</v>
      </c>
      <c r="D51" s="224">
        <v>51.17</v>
      </c>
      <c r="E51" s="224">
        <v>8.02</v>
      </c>
      <c r="F51" s="224">
        <v>4.12</v>
      </c>
      <c r="G51" s="224">
        <v>46.3</v>
      </c>
      <c r="H51" s="224">
        <v>15.15</v>
      </c>
      <c r="I51" s="224">
        <v>6.18</v>
      </c>
      <c r="J51" s="224">
        <v>0.26</v>
      </c>
      <c r="K51" s="224">
        <v>220.91</v>
      </c>
      <c r="L51" s="224">
        <v>27.46</v>
      </c>
      <c r="M51" s="224">
        <v>51.38</v>
      </c>
      <c r="N51" s="224">
        <v>206</v>
      </c>
      <c r="O51" s="224">
        <v>0</v>
      </c>
      <c r="P51" s="224">
        <v>0.65</v>
      </c>
      <c r="Q51" s="224">
        <v>7.52</v>
      </c>
      <c r="R51" s="13"/>
      <c r="S51" s="13"/>
      <c r="T51" s="213"/>
      <c r="U51" s="13"/>
    </row>
    <row r="52" customFormat="1" spans="1:21">
      <c r="A52" s="13" t="s">
        <v>2593</v>
      </c>
      <c r="B52" s="224">
        <v>17.87</v>
      </c>
      <c r="C52" s="224">
        <v>66.81</v>
      </c>
      <c r="D52" s="224">
        <v>50.59</v>
      </c>
      <c r="E52" s="224">
        <v>8.15</v>
      </c>
      <c r="F52" s="224">
        <v>4.03</v>
      </c>
      <c r="G52" s="224">
        <v>40.05</v>
      </c>
      <c r="H52" s="224">
        <v>14.19</v>
      </c>
      <c r="I52" s="224">
        <v>6.06</v>
      </c>
      <c r="J52" s="224">
        <v>0.53</v>
      </c>
      <c r="K52" s="224">
        <v>244.2</v>
      </c>
      <c r="L52" s="224">
        <v>27.32</v>
      </c>
      <c r="M52" s="224">
        <v>51.06</v>
      </c>
      <c r="N52" s="224">
        <v>316.8</v>
      </c>
      <c r="O52" s="224">
        <v>0</v>
      </c>
      <c r="P52" s="224">
        <v>0.65</v>
      </c>
      <c r="Q52" s="224">
        <v>7.51</v>
      </c>
      <c r="R52" s="13"/>
      <c r="S52" s="13"/>
      <c r="T52" s="213"/>
      <c r="U52" s="13"/>
    </row>
    <row r="53" customFormat="1" spans="1:21">
      <c r="A53" s="13" t="s">
        <v>2594</v>
      </c>
      <c r="B53" s="224">
        <v>16.98</v>
      </c>
      <c r="C53" s="224">
        <v>66.42</v>
      </c>
      <c r="D53" s="224">
        <v>49.67</v>
      </c>
      <c r="E53" s="224">
        <v>8.12</v>
      </c>
      <c r="F53" s="224">
        <v>4.2</v>
      </c>
      <c r="G53" s="224">
        <v>39.76</v>
      </c>
      <c r="H53" s="224">
        <v>14.19</v>
      </c>
      <c r="I53" s="224">
        <v>5.93</v>
      </c>
      <c r="J53" s="224">
        <v>0.35</v>
      </c>
      <c r="K53" s="224">
        <v>189.59</v>
      </c>
      <c r="L53" s="224">
        <v>28.2</v>
      </c>
      <c r="M53" s="224">
        <v>47.99</v>
      </c>
      <c r="N53" s="224">
        <v>427.7</v>
      </c>
      <c r="O53" s="224">
        <v>0</v>
      </c>
      <c r="P53" s="224">
        <v>0.62</v>
      </c>
      <c r="Q53" s="224">
        <v>7.45</v>
      </c>
      <c r="R53" s="13"/>
      <c r="S53" s="13"/>
      <c r="T53" s="213"/>
      <c r="U53" s="13"/>
    </row>
    <row r="54" customFormat="1" spans="1:21">
      <c r="A54" s="13" t="s">
        <v>2595</v>
      </c>
      <c r="B54" s="224">
        <v>15.99</v>
      </c>
      <c r="C54" s="224">
        <v>66.11</v>
      </c>
      <c r="D54" s="224">
        <v>48.71</v>
      </c>
      <c r="E54" s="224">
        <v>8.26</v>
      </c>
      <c r="F54" s="224">
        <v>4.32</v>
      </c>
      <c r="G54" s="224">
        <v>39.76</v>
      </c>
      <c r="H54" s="224">
        <v>14.19</v>
      </c>
      <c r="I54" s="224">
        <v>5.82</v>
      </c>
      <c r="J54" s="224">
        <v>0.89</v>
      </c>
      <c r="K54" s="224">
        <v>69.62</v>
      </c>
      <c r="L54" s="224">
        <v>28.89</v>
      </c>
      <c r="M54" s="224">
        <v>46.87</v>
      </c>
      <c r="N54" s="224">
        <v>433.5</v>
      </c>
      <c r="O54" s="224">
        <v>0</v>
      </c>
      <c r="P54" s="224">
        <v>0.61</v>
      </c>
      <c r="Q54" s="224">
        <v>7.39</v>
      </c>
      <c r="R54" s="13"/>
      <c r="S54" s="13"/>
      <c r="T54" s="213"/>
      <c r="U54" s="13"/>
    </row>
    <row r="55" customFormat="1" spans="1:21">
      <c r="A55" s="13" t="s">
        <v>2596</v>
      </c>
      <c r="B55" s="224">
        <v>15</v>
      </c>
      <c r="C55" s="224">
        <v>66.36</v>
      </c>
      <c r="D55" s="224">
        <v>48.05</v>
      </c>
      <c r="E55" s="224">
        <v>8.59</v>
      </c>
      <c r="F55" s="224">
        <v>4.33</v>
      </c>
      <c r="G55" s="224">
        <v>39.76</v>
      </c>
      <c r="H55" s="224">
        <v>14.19</v>
      </c>
      <c r="I55" s="224">
        <v>5.68</v>
      </c>
      <c r="J55" s="224">
        <v>0.38</v>
      </c>
      <c r="K55" s="224">
        <v>173.21</v>
      </c>
      <c r="L55" s="224">
        <v>29.19</v>
      </c>
      <c r="M55" s="224">
        <v>45.22</v>
      </c>
      <c r="N55" s="224">
        <v>333.9</v>
      </c>
      <c r="O55" s="224">
        <v>0</v>
      </c>
      <c r="P55" s="224">
        <v>0.6</v>
      </c>
      <c r="Q55" s="224">
        <v>7.3</v>
      </c>
      <c r="R55" s="13"/>
      <c r="S55" s="13"/>
      <c r="T55" s="213"/>
      <c r="U55" s="13"/>
    </row>
    <row r="56" customFormat="1" spans="1:21">
      <c r="A56" s="13" t="s">
        <v>2597</v>
      </c>
      <c r="B56" s="224">
        <v>14.54</v>
      </c>
      <c r="C56" s="224">
        <v>64.15</v>
      </c>
      <c r="D56" s="224">
        <v>46.53</v>
      </c>
      <c r="E56" s="224">
        <v>8.58</v>
      </c>
      <c r="F56" s="224">
        <v>5.16</v>
      </c>
      <c r="G56" s="224">
        <v>37.8</v>
      </c>
      <c r="H56" s="224">
        <v>11.17</v>
      </c>
      <c r="I56" s="224">
        <v>5.52</v>
      </c>
      <c r="J56" s="224">
        <v>0.39</v>
      </c>
      <c r="K56" s="224">
        <v>260.29</v>
      </c>
      <c r="L56" s="224">
        <v>29.76</v>
      </c>
      <c r="M56" s="224">
        <v>43.26</v>
      </c>
      <c r="N56" s="224">
        <v>474.7</v>
      </c>
      <c r="O56" s="224">
        <v>0</v>
      </c>
      <c r="P56" s="224">
        <v>0.58</v>
      </c>
      <c r="Q56" s="224">
        <v>7.21</v>
      </c>
      <c r="R56" s="13"/>
      <c r="S56" s="13"/>
      <c r="T56" s="213"/>
      <c r="U56" s="13"/>
    </row>
    <row r="57" customFormat="1" spans="1:21">
      <c r="A57" s="13" t="s">
        <v>2598</v>
      </c>
      <c r="B57" s="224">
        <v>14.33</v>
      </c>
      <c r="C57" s="224">
        <v>57.3</v>
      </c>
      <c r="D57" s="224">
        <v>42.78</v>
      </c>
      <c r="E57" s="224">
        <v>8.32</v>
      </c>
      <c r="F57" s="224">
        <v>5.51</v>
      </c>
      <c r="G57" s="224">
        <v>37.71</v>
      </c>
      <c r="H57" s="224">
        <v>11.17</v>
      </c>
      <c r="I57" s="224">
        <v>5.41</v>
      </c>
      <c r="J57" s="224">
        <v>0.34</v>
      </c>
      <c r="K57" s="224">
        <v>164.55</v>
      </c>
      <c r="L57" s="224">
        <v>29.63</v>
      </c>
      <c r="M57" s="224">
        <v>42.45</v>
      </c>
      <c r="N57" s="224">
        <v>315.5</v>
      </c>
      <c r="O57" s="224">
        <v>0</v>
      </c>
      <c r="P57" s="224">
        <v>0.55</v>
      </c>
      <c r="Q57" s="224">
        <v>6.88</v>
      </c>
      <c r="R57" s="13"/>
      <c r="S57" s="13"/>
      <c r="T57" s="213"/>
      <c r="U57" s="13"/>
    </row>
    <row r="58" customFormat="1" spans="1:21">
      <c r="A58" s="13" t="s">
        <v>2599</v>
      </c>
      <c r="B58" s="224">
        <v>13.45</v>
      </c>
      <c r="C58" s="224">
        <v>56.93</v>
      </c>
      <c r="D58" s="224">
        <v>41.88</v>
      </c>
      <c r="E58" s="224">
        <v>8.33</v>
      </c>
      <c r="F58" s="224">
        <v>6.56</v>
      </c>
      <c r="G58" s="224">
        <v>37.71</v>
      </c>
      <c r="H58" s="224">
        <v>11.17</v>
      </c>
      <c r="I58" s="224">
        <v>5.33</v>
      </c>
      <c r="J58" s="224">
        <v>0.12</v>
      </c>
      <c r="K58" s="224">
        <v>120.86</v>
      </c>
      <c r="L58" s="224">
        <v>30.34</v>
      </c>
      <c r="M58" s="224">
        <v>40.79</v>
      </c>
      <c r="N58" s="224">
        <v>469.9</v>
      </c>
      <c r="O58" s="224">
        <v>0</v>
      </c>
      <c r="P58" s="224">
        <v>0.54</v>
      </c>
      <c r="Q58" s="224">
        <v>6.74</v>
      </c>
      <c r="R58" s="13"/>
      <c r="S58" s="13"/>
      <c r="T58" s="213"/>
      <c r="U58" s="13"/>
    </row>
    <row r="59" customFormat="1" spans="1:21">
      <c r="A59" s="13" t="s">
        <v>2600</v>
      </c>
      <c r="B59" s="224">
        <v>12.79</v>
      </c>
      <c r="C59" s="224">
        <v>57.5</v>
      </c>
      <c r="D59" s="224">
        <v>41.65</v>
      </c>
      <c r="E59" s="224">
        <v>8.42</v>
      </c>
      <c r="F59" s="224">
        <v>8.12</v>
      </c>
      <c r="G59" s="224">
        <v>37.71</v>
      </c>
      <c r="H59" s="224">
        <v>11.17</v>
      </c>
      <c r="I59" s="224">
        <v>5.26</v>
      </c>
      <c r="J59" s="224">
        <v>0.24</v>
      </c>
      <c r="K59" s="224">
        <v>253.42</v>
      </c>
      <c r="L59" s="224">
        <v>30.79</v>
      </c>
      <c r="M59" s="224">
        <v>39.76</v>
      </c>
      <c r="N59" s="224">
        <v>521.1</v>
      </c>
      <c r="O59" s="224">
        <v>0</v>
      </c>
      <c r="P59" s="224">
        <v>0.54</v>
      </c>
      <c r="Q59" s="224">
        <v>6.83</v>
      </c>
      <c r="R59" s="13"/>
      <c r="S59" s="13"/>
      <c r="T59" s="213"/>
      <c r="U59" s="13"/>
    </row>
    <row r="60" customFormat="1" spans="1:21">
      <c r="A60" s="13" t="s">
        <v>2601</v>
      </c>
      <c r="B60" s="224">
        <v>12.31</v>
      </c>
      <c r="C60" s="224">
        <v>58.97</v>
      </c>
      <c r="D60" s="224">
        <v>42.03</v>
      </c>
      <c r="E60" s="224">
        <v>8.62</v>
      </c>
      <c r="F60" s="224">
        <v>7.14</v>
      </c>
      <c r="G60" s="224">
        <v>29.79</v>
      </c>
      <c r="H60" s="224">
        <v>10.29</v>
      </c>
      <c r="I60" s="224">
        <v>5.17</v>
      </c>
      <c r="J60" s="224">
        <v>0.58</v>
      </c>
      <c r="K60" s="224">
        <v>258.34</v>
      </c>
      <c r="L60" s="224">
        <v>30.79</v>
      </c>
      <c r="M60" s="224">
        <v>38.97</v>
      </c>
      <c r="N60" s="224">
        <v>726.8</v>
      </c>
      <c r="O60" s="224">
        <v>0</v>
      </c>
      <c r="P60" s="224">
        <v>0.53</v>
      </c>
      <c r="Q60" s="224">
        <v>6.8</v>
      </c>
      <c r="R60" s="13"/>
      <c r="S60" s="13"/>
      <c r="T60" s="213"/>
      <c r="U60" s="13"/>
    </row>
    <row r="61" customFormat="1" spans="1:21">
      <c r="A61" s="13" t="s">
        <v>2602</v>
      </c>
      <c r="B61" s="224">
        <v>12.33</v>
      </c>
      <c r="C61" s="224">
        <v>61.22</v>
      </c>
      <c r="D61" s="224">
        <v>43.23</v>
      </c>
      <c r="E61" s="224">
        <v>8.43</v>
      </c>
      <c r="F61" s="224">
        <v>6.48</v>
      </c>
      <c r="G61" s="224">
        <v>29.42</v>
      </c>
      <c r="H61" s="224">
        <v>10.29</v>
      </c>
      <c r="I61" s="224">
        <v>5.07</v>
      </c>
      <c r="J61" s="224">
        <v>0.24</v>
      </c>
      <c r="K61" s="224">
        <v>194.12</v>
      </c>
      <c r="L61" s="224">
        <v>32.24</v>
      </c>
      <c r="M61" s="224">
        <v>35.69</v>
      </c>
      <c r="N61" s="224">
        <v>802.6</v>
      </c>
      <c r="O61" s="224">
        <v>0</v>
      </c>
      <c r="P61" s="224">
        <v>0.52</v>
      </c>
      <c r="Q61" s="224">
        <v>6.85</v>
      </c>
      <c r="R61" s="13"/>
      <c r="S61" s="13"/>
      <c r="T61" s="213"/>
      <c r="U61" s="13"/>
    </row>
    <row r="62" customFormat="1" spans="1:21">
      <c r="A62" s="13" t="s">
        <v>2603</v>
      </c>
      <c r="B62" s="224">
        <v>11.18</v>
      </c>
      <c r="C62" s="224">
        <v>51.27</v>
      </c>
      <c r="D62" s="224">
        <v>37.11</v>
      </c>
      <c r="E62" s="224">
        <v>8.4</v>
      </c>
      <c r="F62" s="224">
        <v>9.02</v>
      </c>
      <c r="G62" s="224">
        <v>29.42</v>
      </c>
      <c r="H62" s="224">
        <v>10.29</v>
      </c>
      <c r="I62" s="224">
        <v>5.06</v>
      </c>
      <c r="J62" s="224">
        <v>0.68</v>
      </c>
      <c r="K62" s="224">
        <v>244.72</v>
      </c>
      <c r="L62" s="224">
        <v>32.35</v>
      </c>
      <c r="M62" s="224">
        <v>35.05</v>
      </c>
      <c r="N62" s="224">
        <v>858.9</v>
      </c>
      <c r="O62" s="224">
        <v>0</v>
      </c>
      <c r="P62" s="224">
        <v>0.5</v>
      </c>
      <c r="Q62" s="224">
        <v>6.63</v>
      </c>
      <c r="R62" s="13"/>
      <c r="S62" s="13"/>
      <c r="T62" s="213"/>
      <c r="U62" s="13"/>
    </row>
    <row r="63" customFormat="1" spans="1:21">
      <c r="A63" s="13" t="s">
        <v>2604</v>
      </c>
      <c r="B63" s="224">
        <v>10.92</v>
      </c>
      <c r="C63" s="224">
        <v>61.01</v>
      </c>
      <c r="D63" s="224">
        <v>41.99</v>
      </c>
      <c r="E63" s="224">
        <v>8.26</v>
      </c>
      <c r="F63" s="224">
        <v>6.05</v>
      </c>
      <c r="G63" s="224">
        <v>29.42</v>
      </c>
      <c r="H63" s="224">
        <v>10.29</v>
      </c>
      <c r="I63" s="224">
        <v>4.96</v>
      </c>
      <c r="J63" s="224">
        <v>0.38</v>
      </c>
      <c r="K63" s="224">
        <v>204.62</v>
      </c>
      <c r="L63" s="224">
        <v>33.18</v>
      </c>
      <c r="M63" s="224">
        <v>32.91</v>
      </c>
      <c r="N63" s="224">
        <v>789.2</v>
      </c>
      <c r="O63" s="224">
        <v>0</v>
      </c>
      <c r="P63" s="224">
        <v>0.51</v>
      </c>
      <c r="Q63" s="224">
        <v>6.69</v>
      </c>
      <c r="R63" s="13"/>
      <c r="S63" s="13"/>
      <c r="T63" s="213"/>
      <c r="U63" s="13"/>
    </row>
    <row r="64" customFormat="1" spans="1:21">
      <c r="A64" s="13" t="s">
        <v>2605</v>
      </c>
      <c r="B64" s="224">
        <v>10.62</v>
      </c>
      <c r="C64" s="224">
        <v>57.49</v>
      </c>
      <c r="D64" s="224">
        <v>39.9</v>
      </c>
      <c r="E64" s="224">
        <v>8.55</v>
      </c>
      <c r="F64" s="224">
        <v>8.47</v>
      </c>
      <c r="G64" s="224">
        <v>20.42</v>
      </c>
      <c r="H64" s="224">
        <v>7.32</v>
      </c>
      <c r="I64" s="224">
        <v>4.83</v>
      </c>
      <c r="J64" s="224">
        <v>0.49</v>
      </c>
      <c r="K64" s="224">
        <v>228.15</v>
      </c>
      <c r="L64" s="224">
        <v>33.89</v>
      </c>
      <c r="M64" s="224">
        <v>30.85</v>
      </c>
      <c r="N64" s="224">
        <v>813.2</v>
      </c>
      <c r="O64" s="224">
        <v>0</v>
      </c>
      <c r="P64" s="224">
        <v>0.5</v>
      </c>
      <c r="Q64" s="224">
        <v>6.73</v>
      </c>
      <c r="R64" s="13"/>
      <c r="S64" s="13"/>
      <c r="T64" s="213"/>
      <c r="U64" s="13"/>
    </row>
    <row r="65" customFormat="1" spans="1:21">
      <c r="A65" s="13" t="s">
        <v>2606</v>
      </c>
      <c r="B65" s="224">
        <v>10.43</v>
      </c>
      <c r="C65" s="224">
        <v>52.54</v>
      </c>
      <c r="D65" s="224">
        <v>37.16</v>
      </c>
      <c r="E65" s="224">
        <v>8.68</v>
      </c>
      <c r="F65" s="224">
        <v>8.56</v>
      </c>
      <c r="G65" s="224">
        <v>20</v>
      </c>
      <c r="H65" s="224">
        <v>7.32</v>
      </c>
      <c r="I65" s="224">
        <v>4.8</v>
      </c>
      <c r="J65" s="224">
        <v>0.67</v>
      </c>
      <c r="K65" s="224">
        <v>243.28</v>
      </c>
      <c r="L65" s="224">
        <v>33.91</v>
      </c>
      <c r="M65" s="224">
        <v>30.71</v>
      </c>
      <c r="N65" s="224">
        <v>767.4</v>
      </c>
      <c r="O65" s="224">
        <v>0</v>
      </c>
      <c r="P65" s="224">
        <v>0.53</v>
      </c>
      <c r="Q65" s="224">
        <v>6.49</v>
      </c>
      <c r="R65" s="13"/>
      <c r="S65" s="13"/>
      <c r="T65" s="213"/>
      <c r="U65" s="13"/>
    </row>
    <row r="66" customFormat="1" spans="1:21">
      <c r="A66" s="13" t="s">
        <v>2607</v>
      </c>
      <c r="B66" s="224">
        <v>10.03</v>
      </c>
      <c r="C66" s="224">
        <v>52.68</v>
      </c>
      <c r="D66" s="224">
        <v>36.92</v>
      </c>
      <c r="E66" s="224">
        <v>8.25</v>
      </c>
      <c r="F66" s="224">
        <v>6.65</v>
      </c>
      <c r="G66" s="224">
        <v>20</v>
      </c>
      <c r="H66" s="224">
        <v>7.32</v>
      </c>
      <c r="I66" s="224">
        <v>4.77</v>
      </c>
      <c r="J66" s="224">
        <v>0.82</v>
      </c>
      <c r="K66" s="224">
        <v>243.1</v>
      </c>
      <c r="L66" s="224">
        <v>33.83</v>
      </c>
      <c r="M66" s="224">
        <v>29.44</v>
      </c>
      <c r="N66" s="224">
        <v>723.2</v>
      </c>
      <c r="O66" s="224">
        <v>0</v>
      </c>
      <c r="P66" s="224">
        <v>0.55</v>
      </c>
      <c r="Q66" s="224">
        <v>6.32</v>
      </c>
      <c r="R66" s="13"/>
      <c r="S66" s="13"/>
      <c r="T66" s="213"/>
      <c r="U66" s="13"/>
    </row>
    <row r="67" customFormat="1" spans="1:21">
      <c r="A67" s="13" t="s">
        <v>2608</v>
      </c>
      <c r="B67" s="224">
        <v>9.36</v>
      </c>
      <c r="C67" s="224">
        <v>56.62</v>
      </c>
      <c r="D67" s="224">
        <v>38.43</v>
      </c>
      <c r="E67" s="224">
        <v>8.42</v>
      </c>
      <c r="F67" s="224">
        <v>9.6</v>
      </c>
      <c r="G67" s="224">
        <v>20</v>
      </c>
      <c r="H67" s="224">
        <v>7.32</v>
      </c>
      <c r="I67" s="224">
        <v>4.69</v>
      </c>
      <c r="J67" s="224">
        <v>0.76</v>
      </c>
      <c r="K67" s="224">
        <v>286.57</v>
      </c>
      <c r="L67" s="224">
        <v>33.89</v>
      </c>
      <c r="M67" s="224">
        <v>29.88</v>
      </c>
      <c r="N67" s="224">
        <v>662.5</v>
      </c>
      <c r="O67" s="224">
        <v>0</v>
      </c>
      <c r="P67" s="224">
        <v>0.56</v>
      </c>
      <c r="Q67" s="224">
        <v>6.37</v>
      </c>
      <c r="R67" s="13"/>
      <c r="S67" s="13"/>
      <c r="T67" s="213"/>
      <c r="U67" s="13"/>
    </row>
    <row r="68" customFormat="1" spans="1:21">
      <c r="A68" s="13" t="s">
        <v>2609</v>
      </c>
      <c r="B68" s="224">
        <v>9.37</v>
      </c>
      <c r="C68" s="224">
        <v>60.95</v>
      </c>
      <c r="D68" s="224">
        <v>40.71</v>
      </c>
      <c r="E68" s="224">
        <v>8.74</v>
      </c>
      <c r="F68" s="224">
        <v>8.12</v>
      </c>
      <c r="G68" s="224">
        <v>19.67</v>
      </c>
      <c r="H68" s="224">
        <v>6.15</v>
      </c>
      <c r="I68" s="224">
        <v>4.63</v>
      </c>
      <c r="J68" s="224">
        <v>0.72</v>
      </c>
      <c r="K68" s="224">
        <v>273.68</v>
      </c>
      <c r="L68" s="224">
        <v>33.12</v>
      </c>
      <c r="M68" s="224">
        <v>31.97</v>
      </c>
      <c r="N68" s="224">
        <v>418</v>
      </c>
      <c r="O68" s="224">
        <v>0</v>
      </c>
      <c r="P68" s="224">
        <v>0.56</v>
      </c>
      <c r="Q68" s="224">
        <v>6.67</v>
      </c>
      <c r="R68" s="13"/>
      <c r="S68" s="13"/>
      <c r="T68" s="213"/>
      <c r="U68" s="13"/>
    </row>
    <row r="69" customFormat="1" spans="1:21">
      <c r="A69" s="13" t="s">
        <v>2610</v>
      </c>
      <c r="B69" s="224">
        <v>9.29</v>
      </c>
      <c r="C69" s="224">
        <v>55.94</v>
      </c>
      <c r="D69" s="224">
        <v>38.03</v>
      </c>
      <c r="E69" s="224">
        <v>8.57</v>
      </c>
      <c r="F69" s="224">
        <v>9.01</v>
      </c>
      <c r="G69" s="224">
        <v>19.65</v>
      </c>
      <c r="H69" s="224">
        <v>6.15</v>
      </c>
      <c r="I69" s="224">
        <v>4.54</v>
      </c>
      <c r="J69" s="224">
        <v>0.62</v>
      </c>
      <c r="K69" s="224">
        <v>262.2</v>
      </c>
      <c r="L69" s="224">
        <v>33.4</v>
      </c>
      <c r="M69" s="224">
        <v>31.86</v>
      </c>
      <c r="N69" s="224">
        <v>375.5</v>
      </c>
      <c r="O69" s="224">
        <v>0</v>
      </c>
      <c r="P69" s="224">
        <v>0.54</v>
      </c>
      <c r="Q69" s="224">
        <v>6.49</v>
      </c>
      <c r="R69" s="13"/>
      <c r="S69" s="13"/>
      <c r="T69" s="213"/>
      <c r="U69" s="13"/>
    </row>
    <row r="70" customFormat="1" spans="1:21">
      <c r="A70" s="13" t="s">
        <v>2611</v>
      </c>
      <c r="B70" s="224">
        <v>8.92</v>
      </c>
      <c r="C70" s="224">
        <v>50.45</v>
      </c>
      <c r="D70" s="224">
        <v>34.86</v>
      </c>
      <c r="E70" s="224">
        <v>8.49</v>
      </c>
      <c r="F70" s="224">
        <v>11.4</v>
      </c>
      <c r="G70" s="224">
        <v>19.65</v>
      </c>
      <c r="H70" s="224">
        <v>6.15</v>
      </c>
      <c r="I70" s="224">
        <v>4.48</v>
      </c>
      <c r="J70" s="224">
        <v>0.34</v>
      </c>
      <c r="K70" s="224">
        <v>260.45</v>
      </c>
      <c r="L70" s="224">
        <v>32.64</v>
      </c>
      <c r="M70" s="224">
        <v>33.43</v>
      </c>
      <c r="N70" s="224">
        <v>192.2</v>
      </c>
      <c r="O70" s="224">
        <v>0</v>
      </c>
      <c r="P70" s="224">
        <v>0.52</v>
      </c>
      <c r="Q70" s="224">
        <v>6.28</v>
      </c>
      <c r="R70" s="13"/>
      <c r="S70" s="13"/>
      <c r="T70" s="213"/>
      <c r="U70" s="13"/>
    </row>
    <row r="71" customFormat="1" spans="1:21">
      <c r="A71" s="13" t="s">
        <v>2612</v>
      </c>
      <c r="B71" s="224">
        <v>8.96</v>
      </c>
      <c r="C71" s="224">
        <v>58.16</v>
      </c>
      <c r="D71" s="224">
        <v>38.92</v>
      </c>
      <c r="E71" s="224">
        <v>8.67</v>
      </c>
      <c r="F71" s="224">
        <v>12.14</v>
      </c>
      <c r="G71" s="224">
        <v>19.65</v>
      </c>
      <c r="H71" s="224">
        <v>6.15</v>
      </c>
      <c r="I71" s="224">
        <v>4.36</v>
      </c>
      <c r="J71" s="224">
        <v>0.08</v>
      </c>
      <c r="K71" s="224">
        <v>278.12</v>
      </c>
      <c r="L71" s="224">
        <v>33.39</v>
      </c>
      <c r="M71" s="224">
        <v>32.2</v>
      </c>
      <c r="N71" s="224">
        <v>476.1</v>
      </c>
      <c r="O71" s="224">
        <v>0</v>
      </c>
      <c r="P71" s="224">
        <v>0.55</v>
      </c>
      <c r="Q71" s="224">
        <v>6.48</v>
      </c>
      <c r="R71" s="13"/>
      <c r="S71" s="13"/>
      <c r="T71" s="213"/>
      <c r="U71" s="13"/>
    </row>
    <row r="72" customFormat="1" spans="1:21">
      <c r="A72" s="13" t="s">
        <v>2613</v>
      </c>
      <c r="B72" s="224">
        <v>8.85</v>
      </c>
      <c r="C72" s="224">
        <v>54.94</v>
      </c>
      <c r="D72" s="224">
        <v>37.15</v>
      </c>
      <c r="E72" s="224">
        <v>8.46</v>
      </c>
      <c r="F72" s="224">
        <v>12.33</v>
      </c>
      <c r="G72" s="224">
        <v>20.66</v>
      </c>
      <c r="H72" s="224">
        <v>7.29</v>
      </c>
      <c r="I72" s="224">
        <v>4.28</v>
      </c>
      <c r="J72" s="224">
        <v>0.4</v>
      </c>
      <c r="K72" s="224">
        <v>236.93</v>
      </c>
      <c r="L72" s="224">
        <v>33.94</v>
      </c>
      <c r="M72" s="224">
        <v>31.02</v>
      </c>
      <c r="N72" s="224">
        <v>460.4</v>
      </c>
      <c r="O72" s="224">
        <v>0</v>
      </c>
      <c r="P72" s="224">
        <v>0.53</v>
      </c>
      <c r="Q72" s="224">
        <v>6.55</v>
      </c>
      <c r="R72" s="13"/>
      <c r="S72" s="13"/>
      <c r="T72" s="213"/>
      <c r="U72" s="13"/>
    </row>
    <row r="73" customFormat="1" spans="1:21">
      <c r="A73" s="13" t="s">
        <v>2614</v>
      </c>
      <c r="B73" s="224">
        <v>8.77</v>
      </c>
      <c r="C73" s="224">
        <v>51.06</v>
      </c>
      <c r="D73" s="224">
        <v>35.06</v>
      </c>
      <c r="E73" s="224">
        <v>8.46</v>
      </c>
      <c r="F73" s="224">
        <v>13.81</v>
      </c>
      <c r="G73" s="224">
        <v>20.71</v>
      </c>
      <c r="H73" s="224">
        <v>7.29</v>
      </c>
      <c r="I73" s="224">
        <v>4.16</v>
      </c>
      <c r="J73" s="224">
        <v>0.18</v>
      </c>
      <c r="K73" s="224">
        <v>228.05</v>
      </c>
      <c r="L73" s="224">
        <v>34.47</v>
      </c>
      <c r="M73" s="224">
        <v>30.41</v>
      </c>
      <c r="N73" s="224">
        <v>414.8</v>
      </c>
      <c r="O73" s="224">
        <v>0</v>
      </c>
      <c r="P73" s="224">
        <v>0.51</v>
      </c>
      <c r="Q73" s="224">
        <v>6.31</v>
      </c>
      <c r="R73" s="13"/>
      <c r="S73" s="13"/>
      <c r="T73" s="213"/>
      <c r="U73" s="13"/>
    </row>
    <row r="74" customFormat="1" spans="1:21">
      <c r="A74" s="13" t="s">
        <v>2615</v>
      </c>
      <c r="B74" s="224">
        <v>9.1</v>
      </c>
      <c r="C74" s="224">
        <v>60.65</v>
      </c>
      <c r="D74" s="224">
        <v>40.34</v>
      </c>
      <c r="E74" s="224">
        <v>8.42</v>
      </c>
      <c r="F74" s="224">
        <v>11.82</v>
      </c>
      <c r="G74" s="224">
        <v>20.71</v>
      </c>
      <c r="H74" s="224">
        <v>7.29</v>
      </c>
      <c r="I74" s="224">
        <v>4.16</v>
      </c>
      <c r="J74" s="224">
        <v>0.42</v>
      </c>
      <c r="K74" s="224">
        <v>288.92</v>
      </c>
      <c r="L74" s="224">
        <v>34.37</v>
      </c>
      <c r="M74" s="224">
        <v>30.64</v>
      </c>
      <c r="N74" s="224">
        <v>356.5</v>
      </c>
      <c r="O74" s="224">
        <v>0</v>
      </c>
      <c r="P74" s="224">
        <v>0.54</v>
      </c>
      <c r="Q74" s="224">
        <v>6.5</v>
      </c>
      <c r="R74" s="13"/>
      <c r="S74" s="13"/>
      <c r="T74" s="213"/>
      <c r="U74" s="13"/>
    </row>
    <row r="75" customFormat="1" spans="1:21">
      <c r="A75" s="13" t="s">
        <v>2616</v>
      </c>
      <c r="B75" s="224">
        <v>9.11</v>
      </c>
      <c r="C75" s="224">
        <v>57.32</v>
      </c>
      <c r="D75" s="224">
        <v>38.61</v>
      </c>
      <c r="E75" s="224">
        <v>9.19</v>
      </c>
      <c r="F75" s="224">
        <v>14.06</v>
      </c>
      <c r="G75" s="224">
        <v>20.71</v>
      </c>
      <c r="H75" s="224">
        <v>7.29</v>
      </c>
      <c r="I75" s="224">
        <v>4.17</v>
      </c>
      <c r="J75" s="224">
        <v>0.52</v>
      </c>
      <c r="K75" s="224">
        <v>315.76</v>
      </c>
      <c r="L75" s="224">
        <v>34.39</v>
      </c>
      <c r="M75" s="224">
        <v>30.31</v>
      </c>
      <c r="N75" s="224">
        <v>292.2</v>
      </c>
      <c r="O75" s="224">
        <v>0</v>
      </c>
      <c r="P75" s="224">
        <v>0.55</v>
      </c>
      <c r="Q75" s="224">
        <v>6.55</v>
      </c>
      <c r="R75" s="13"/>
      <c r="S75" s="13"/>
      <c r="T75" s="213"/>
      <c r="U75" s="13"/>
    </row>
    <row r="76" customFormat="1" spans="1:21">
      <c r="A76" s="13" t="s">
        <v>2617</v>
      </c>
      <c r="B76" s="224">
        <v>9.38</v>
      </c>
      <c r="C76" s="224">
        <v>55.91</v>
      </c>
      <c r="D76" s="224">
        <v>38.09</v>
      </c>
      <c r="E76" s="224">
        <v>9.36</v>
      </c>
      <c r="F76" s="224">
        <v>13.29</v>
      </c>
      <c r="G76" s="224">
        <v>21.11</v>
      </c>
      <c r="H76" s="224">
        <v>9.83</v>
      </c>
      <c r="I76" s="224">
        <v>4.13</v>
      </c>
      <c r="J76" s="224">
        <v>0.38</v>
      </c>
      <c r="K76" s="224">
        <v>14.85</v>
      </c>
      <c r="L76" s="224">
        <v>34.41</v>
      </c>
      <c r="M76" s="224">
        <v>30.25</v>
      </c>
      <c r="N76" s="224">
        <v>217.6</v>
      </c>
      <c r="O76" s="224">
        <v>0</v>
      </c>
      <c r="P76" s="224">
        <v>0.58</v>
      </c>
      <c r="Q76" s="224">
        <v>6.61</v>
      </c>
      <c r="R76" s="13"/>
      <c r="S76" s="13"/>
      <c r="T76" s="213"/>
      <c r="U76" s="13"/>
    </row>
    <row r="77" customFormat="1" spans="1:21">
      <c r="A77" s="13" t="s">
        <v>2618</v>
      </c>
      <c r="B77" s="224">
        <v>9.19</v>
      </c>
      <c r="C77" s="224">
        <v>57.73</v>
      </c>
      <c r="D77" s="224">
        <v>38.88</v>
      </c>
      <c r="E77" s="224">
        <v>9.66</v>
      </c>
      <c r="F77" s="224">
        <v>11.14</v>
      </c>
      <c r="G77" s="224">
        <v>21.13</v>
      </c>
      <c r="H77" s="224">
        <v>9.83</v>
      </c>
      <c r="I77" s="224">
        <v>4.19</v>
      </c>
      <c r="J77" s="224">
        <v>0.49</v>
      </c>
      <c r="K77" s="224">
        <v>44.25</v>
      </c>
      <c r="L77" s="224">
        <v>34.17</v>
      </c>
      <c r="M77" s="224">
        <v>30.92</v>
      </c>
      <c r="N77" s="224">
        <v>131.5</v>
      </c>
      <c r="O77" s="224">
        <v>0</v>
      </c>
      <c r="P77" s="224">
        <v>0.59</v>
      </c>
      <c r="Q77" s="224">
        <v>6.66</v>
      </c>
      <c r="R77" s="13"/>
      <c r="S77" s="13"/>
      <c r="T77" s="213"/>
      <c r="U77" s="13"/>
    </row>
    <row r="78" customFormat="1" spans="1:21">
      <c r="A78" s="13" t="s">
        <v>2619</v>
      </c>
      <c r="B78" s="224">
        <v>9.62</v>
      </c>
      <c r="C78" s="224">
        <v>59.3</v>
      </c>
      <c r="D78" s="224">
        <v>40.04</v>
      </c>
      <c r="E78" s="224">
        <v>9.27</v>
      </c>
      <c r="F78" s="224">
        <v>9.39</v>
      </c>
      <c r="G78" s="224">
        <v>21.13</v>
      </c>
      <c r="H78" s="224">
        <v>9.83</v>
      </c>
      <c r="I78" s="224">
        <v>4.28</v>
      </c>
      <c r="J78" s="224">
        <v>0.56</v>
      </c>
      <c r="K78" s="224">
        <v>56.58</v>
      </c>
      <c r="L78" s="224">
        <v>33.76</v>
      </c>
      <c r="M78" s="224">
        <v>31.74</v>
      </c>
      <c r="N78" s="224">
        <v>119.7</v>
      </c>
      <c r="O78" s="224">
        <v>0</v>
      </c>
      <c r="P78" s="224">
        <v>0.6</v>
      </c>
      <c r="Q78" s="224">
        <v>6.69</v>
      </c>
      <c r="R78" s="13"/>
      <c r="S78" s="13"/>
      <c r="T78" s="213"/>
      <c r="U78" s="13"/>
    </row>
    <row r="79" customFormat="1" spans="1:21">
      <c r="A79" s="13" t="s">
        <v>2620</v>
      </c>
      <c r="B79" s="224">
        <v>9.26</v>
      </c>
      <c r="C79" s="224">
        <v>60.25</v>
      </c>
      <c r="D79" s="224">
        <v>40.26</v>
      </c>
      <c r="E79" s="224">
        <v>9.08</v>
      </c>
      <c r="F79" s="224">
        <v>12.45</v>
      </c>
      <c r="G79" s="224">
        <v>21.13</v>
      </c>
      <c r="H79" s="224">
        <v>9.83</v>
      </c>
      <c r="I79" s="224">
        <v>4.37</v>
      </c>
      <c r="J79" s="224">
        <v>0.14</v>
      </c>
      <c r="K79" s="224">
        <v>156.99</v>
      </c>
      <c r="L79" s="224">
        <v>33.66</v>
      </c>
      <c r="M79" s="224">
        <v>33.56</v>
      </c>
      <c r="N79" s="224">
        <v>68</v>
      </c>
      <c r="O79" s="224">
        <v>0</v>
      </c>
      <c r="P79" s="224">
        <v>0.62</v>
      </c>
      <c r="Q79" s="224">
        <v>6.77</v>
      </c>
      <c r="R79" s="13"/>
      <c r="S79" s="13"/>
      <c r="T79" s="213"/>
      <c r="U79" s="13"/>
    </row>
    <row r="80" customFormat="1" spans="1:21">
      <c r="A80" s="13" t="s">
        <v>2621</v>
      </c>
      <c r="B80" s="224">
        <v>8.72</v>
      </c>
      <c r="C80" s="224">
        <v>59.42</v>
      </c>
      <c r="D80" s="224">
        <v>39.38</v>
      </c>
      <c r="E80" s="224">
        <v>9.09</v>
      </c>
      <c r="F80" s="224">
        <v>13.98</v>
      </c>
      <c r="G80" s="224">
        <v>37.06</v>
      </c>
      <c r="H80" s="224">
        <v>12.52</v>
      </c>
      <c r="I80" s="224">
        <v>4.47</v>
      </c>
      <c r="J80" s="224">
        <v>0.22</v>
      </c>
      <c r="K80" s="224">
        <v>160.27</v>
      </c>
      <c r="L80" s="224">
        <v>32.57</v>
      </c>
      <c r="M80" s="224">
        <v>35.45</v>
      </c>
      <c r="N80" s="224">
        <v>11</v>
      </c>
      <c r="O80" s="224">
        <v>0</v>
      </c>
      <c r="P80" s="224">
        <v>0.6</v>
      </c>
      <c r="Q80" s="224">
        <v>6.81</v>
      </c>
      <c r="R80" s="13"/>
      <c r="S80" s="13"/>
      <c r="T80" s="213"/>
      <c r="U80" s="13"/>
    </row>
    <row r="81" customFormat="1" spans="1:21">
      <c r="A81" s="13" t="s">
        <v>2622</v>
      </c>
      <c r="B81" s="224">
        <v>8.34</v>
      </c>
      <c r="C81" s="224">
        <v>60</v>
      </c>
      <c r="D81" s="224">
        <v>39.39</v>
      </c>
      <c r="E81" s="224">
        <v>7.91</v>
      </c>
      <c r="F81" s="224">
        <v>11.48</v>
      </c>
      <c r="G81" s="224">
        <v>37.8</v>
      </c>
      <c r="H81" s="224">
        <v>12.52</v>
      </c>
      <c r="I81" s="224">
        <v>4.45</v>
      </c>
      <c r="J81" s="224">
        <v>0.28</v>
      </c>
      <c r="K81" s="224">
        <v>158</v>
      </c>
      <c r="L81" s="224">
        <v>31.83</v>
      </c>
      <c r="M81" s="224">
        <v>36.47</v>
      </c>
      <c r="N81" s="224">
        <v>0.2</v>
      </c>
      <c r="O81" s="224">
        <v>0</v>
      </c>
      <c r="P81" s="224">
        <v>0.6</v>
      </c>
      <c r="Q81" s="224">
        <v>6.77</v>
      </c>
      <c r="R81" s="13"/>
      <c r="S81" s="13"/>
      <c r="T81" s="213"/>
      <c r="U81" s="13"/>
    </row>
    <row r="82" customFormat="1" spans="1:21">
      <c r="A82" s="13" t="s">
        <v>2623</v>
      </c>
      <c r="B82" s="224">
        <v>8.25</v>
      </c>
      <c r="C82" s="224">
        <v>61.34</v>
      </c>
      <c r="D82" s="224">
        <v>40.01</v>
      </c>
      <c r="E82" s="224">
        <v>8.17</v>
      </c>
      <c r="F82" s="224">
        <v>8.38</v>
      </c>
      <c r="G82" s="224">
        <v>37.8</v>
      </c>
      <c r="H82" s="224">
        <v>12.52</v>
      </c>
      <c r="I82" s="224">
        <v>4.39</v>
      </c>
      <c r="J82" s="224">
        <v>0.26</v>
      </c>
      <c r="K82" s="224">
        <v>153.45</v>
      </c>
      <c r="L82" s="224">
        <v>31.13</v>
      </c>
      <c r="M82" s="224">
        <v>39.61</v>
      </c>
      <c r="N82" s="224">
        <v>0</v>
      </c>
      <c r="O82" s="224">
        <v>0</v>
      </c>
      <c r="P82" s="224">
        <v>0.61</v>
      </c>
      <c r="Q82" s="224">
        <v>6.71</v>
      </c>
      <c r="R82" s="13"/>
      <c r="S82" s="13"/>
      <c r="T82" s="213"/>
      <c r="U82" s="13"/>
    </row>
    <row r="83" customFormat="1" spans="1:21">
      <c r="A83" s="13" t="s">
        <v>2624</v>
      </c>
      <c r="B83" s="224">
        <v>8.36</v>
      </c>
      <c r="C83" s="224">
        <v>62.39</v>
      </c>
      <c r="D83" s="224">
        <v>40.66</v>
      </c>
      <c r="E83" s="224">
        <v>7.69</v>
      </c>
      <c r="F83" s="224">
        <v>7.67</v>
      </c>
      <c r="G83" s="224">
        <v>37.8</v>
      </c>
      <c r="H83" s="224">
        <v>12.52</v>
      </c>
      <c r="I83" s="224">
        <v>4.38</v>
      </c>
      <c r="J83" s="224">
        <v>0.25</v>
      </c>
      <c r="K83" s="224">
        <v>157.86</v>
      </c>
      <c r="L83" s="224">
        <v>30.27</v>
      </c>
      <c r="M83" s="224">
        <v>43.78</v>
      </c>
      <c r="N83" s="224">
        <v>0</v>
      </c>
      <c r="O83" s="224">
        <v>0</v>
      </c>
      <c r="P83" s="224">
        <v>0.62</v>
      </c>
      <c r="Q83" s="224">
        <v>6.68</v>
      </c>
      <c r="R83" s="13"/>
      <c r="S83" s="13"/>
      <c r="T83" s="213"/>
      <c r="U83" s="13"/>
    </row>
    <row r="84" customFormat="1" spans="1:21">
      <c r="A84" s="13" t="s">
        <v>2625</v>
      </c>
      <c r="B84" s="224">
        <v>8.54</v>
      </c>
      <c r="C84" s="224">
        <v>62.41</v>
      </c>
      <c r="D84" s="224">
        <v>40.8</v>
      </c>
      <c r="E84" s="224">
        <v>8.2</v>
      </c>
      <c r="F84" s="224">
        <v>7.84</v>
      </c>
      <c r="G84" s="224">
        <v>27.89</v>
      </c>
      <c r="H84" s="224">
        <v>11.76</v>
      </c>
      <c r="I84" s="224">
        <v>4.47</v>
      </c>
      <c r="J84" s="224">
        <v>0.22</v>
      </c>
      <c r="K84" s="224">
        <v>136.2</v>
      </c>
      <c r="L84" s="224">
        <v>29.73</v>
      </c>
      <c r="M84" s="224">
        <v>44.79</v>
      </c>
      <c r="N84" s="224">
        <v>0</v>
      </c>
      <c r="O84" s="224">
        <v>0</v>
      </c>
      <c r="P84" s="224">
        <v>0.64</v>
      </c>
      <c r="Q84" s="224">
        <v>6.8</v>
      </c>
      <c r="R84" s="13"/>
      <c r="S84" s="13"/>
      <c r="T84" s="213"/>
      <c r="U84" s="13"/>
    </row>
    <row r="85" customFormat="1" spans="1:21">
      <c r="A85" s="13" t="s">
        <v>2626</v>
      </c>
      <c r="B85" s="224">
        <v>9.23</v>
      </c>
      <c r="C85" s="224">
        <v>63.78</v>
      </c>
      <c r="D85" s="224">
        <v>42.08</v>
      </c>
      <c r="E85" s="224">
        <v>7.7</v>
      </c>
      <c r="F85" s="224">
        <v>6.44</v>
      </c>
      <c r="G85" s="224">
        <v>27.43</v>
      </c>
      <c r="H85" s="224">
        <v>11.76</v>
      </c>
      <c r="I85" s="224">
        <v>4.59</v>
      </c>
      <c r="J85" s="224">
        <v>0.19</v>
      </c>
      <c r="K85" s="224">
        <v>149.35</v>
      </c>
      <c r="L85" s="224">
        <v>29.55</v>
      </c>
      <c r="M85" s="224">
        <v>45.48</v>
      </c>
      <c r="N85" s="224">
        <v>0</v>
      </c>
      <c r="O85" s="224">
        <v>0</v>
      </c>
      <c r="P85" s="224">
        <v>0.66</v>
      </c>
      <c r="Q85" s="224">
        <v>6.85</v>
      </c>
      <c r="R85" s="13"/>
      <c r="S85" s="13"/>
      <c r="T85" s="213"/>
      <c r="U85" s="13"/>
    </row>
    <row r="86" customFormat="1" spans="1:21">
      <c r="A86" s="13" t="s">
        <v>2627</v>
      </c>
      <c r="B86" s="224">
        <v>9.98</v>
      </c>
      <c r="C86" s="224">
        <v>64.7</v>
      </c>
      <c r="D86" s="224">
        <v>43.16</v>
      </c>
      <c r="E86" s="224">
        <v>7.52</v>
      </c>
      <c r="F86" s="224">
        <v>5.13</v>
      </c>
      <c r="G86" s="224">
        <v>27.43</v>
      </c>
      <c r="H86" s="224">
        <v>11.76</v>
      </c>
      <c r="I86" s="224">
        <v>4.71</v>
      </c>
      <c r="J86" s="224">
        <v>0.26</v>
      </c>
      <c r="K86" s="224">
        <v>175.62</v>
      </c>
      <c r="L86" s="224">
        <v>29.28</v>
      </c>
      <c r="M86" s="224">
        <v>47.26</v>
      </c>
      <c r="N86" s="224">
        <v>0</v>
      </c>
      <c r="O86" s="224">
        <v>0</v>
      </c>
      <c r="P86" s="224">
        <v>0.66</v>
      </c>
      <c r="Q86" s="224">
        <v>6.88</v>
      </c>
      <c r="R86" s="13"/>
      <c r="S86" s="13"/>
      <c r="T86" s="213"/>
      <c r="U86" s="13"/>
    </row>
    <row r="87" customFormat="1" spans="1:21">
      <c r="A87" s="13" t="s">
        <v>2628</v>
      </c>
      <c r="B87" s="224">
        <v>10.81</v>
      </c>
      <c r="C87" s="224">
        <v>65.64</v>
      </c>
      <c r="D87" s="224">
        <v>44.32</v>
      </c>
      <c r="E87" s="224">
        <v>7.51</v>
      </c>
      <c r="F87" s="224">
        <v>4.49</v>
      </c>
      <c r="G87" s="224">
        <v>27.43</v>
      </c>
      <c r="H87" s="224">
        <v>11.76</v>
      </c>
      <c r="I87" s="224">
        <v>4.88</v>
      </c>
      <c r="J87" s="224">
        <v>0.24</v>
      </c>
      <c r="K87" s="224">
        <v>194.88</v>
      </c>
      <c r="L87" s="224">
        <v>28.79</v>
      </c>
      <c r="M87" s="224">
        <v>48.16</v>
      </c>
      <c r="N87" s="224">
        <v>0</v>
      </c>
      <c r="O87" s="224">
        <v>0</v>
      </c>
      <c r="P87" s="224">
        <v>0.67</v>
      </c>
      <c r="Q87" s="224">
        <v>6.95</v>
      </c>
      <c r="R87" s="13"/>
      <c r="S87" s="13"/>
      <c r="T87" s="213"/>
      <c r="U87" s="13"/>
    </row>
    <row r="88" customFormat="1" spans="1:21">
      <c r="A88" s="13" t="s">
        <v>2629</v>
      </c>
      <c r="B88" s="224">
        <v>11.36</v>
      </c>
      <c r="C88" s="224">
        <v>65.97</v>
      </c>
      <c r="D88" s="224">
        <v>44.93</v>
      </c>
      <c r="E88" s="224">
        <v>7.32</v>
      </c>
      <c r="F88" s="224">
        <v>4.58</v>
      </c>
      <c r="G88" s="224">
        <v>57.19</v>
      </c>
      <c r="H88" s="224">
        <v>11.97</v>
      </c>
      <c r="I88" s="224">
        <v>4.99</v>
      </c>
      <c r="J88" s="224">
        <v>0.13</v>
      </c>
      <c r="K88" s="224">
        <v>163.56</v>
      </c>
      <c r="L88" s="224">
        <v>28.51</v>
      </c>
      <c r="M88" s="224">
        <v>48.58</v>
      </c>
      <c r="N88" s="224">
        <v>0</v>
      </c>
      <c r="O88" s="224">
        <v>0</v>
      </c>
      <c r="P88" s="224">
        <v>0.69</v>
      </c>
      <c r="Q88" s="224">
        <v>7.03</v>
      </c>
      <c r="R88" s="13"/>
      <c r="S88" s="13"/>
      <c r="T88" s="213"/>
      <c r="U88" s="13"/>
    </row>
    <row r="89" customFormat="1" spans="1:21">
      <c r="A89" s="13" t="s">
        <v>2630</v>
      </c>
      <c r="B89" s="224">
        <v>11.98</v>
      </c>
      <c r="C89" s="224">
        <v>66.34</v>
      </c>
      <c r="D89" s="224">
        <v>45.62</v>
      </c>
      <c r="E89" s="224">
        <v>7.29</v>
      </c>
      <c r="F89" s="224">
        <v>4.11</v>
      </c>
      <c r="G89" s="224">
        <v>58.57</v>
      </c>
      <c r="H89" s="224">
        <v>11.97</v>
      </c>
      <c r="I89" s="224">
        <v>5.08</v>
      </c>
      <c r="J89" s="224">
        <v>0.22</v>
      </c>
      <c r="K89" s="224">
        <v>199.87</v>
      </c>
      <c r="L89" s="224">
        <v>28.4</v>
      </c>
      <c r="M89" s="224">
        <v>49.22</v>
      </c>
      <c r="N89" s="224">
        <v>0</v>
      </c>
      <c r="O89" s="224">
        <v>0</v>
      </c>
      <c r="P89" s="224">
        <v>0.7</v>
      </c>
      <c r="Q89" s="224">
        <v>7.08</v>
      </c>
      <c r="R89" s="13"/>
      <c r="S89" s="13"/>
      <c r="T89" s="213"/>
      <c r="U89" s="13"/>
    </row>
    <row r="90" customFormat="1" spans="1:21">
      <c r="A90" s="13" t="s">
        <v>2631</v>
      </c>
      <c r="B90" s="224">
        <v>12.75</v>
      </c>
      <c r="C90" s="224">
        <v>66.58</v>
      </c>
      <c r="D90" s="224">
        <v>46.36</v>
      </c>
      <c r="E90" s="224">
        <v>7.82</v>
      </c>
      <c r="F90" s="224">
        <v>3.82</v>
      </c>
      <c r="G90" s="224">
        <v>58.57</v>
      </c>
      <c r="H90" s="224">
        <v>11.97</v>
      </c>
      <c r="I90" s="224">
        <v>5.16</v>
      </c>
      <c r="J90" s="224">
        <v>0.14</v>
      </c>
      <c r="K90" s="224">
        <v>162.53</v>
      </c>
      <c r="L90" s="224">
        <v>28.21</v>
      </c>
      <c r="M90" s="224">
        <v>48.82</v>
      </c>
      <c r="N90" s="224">
        <v>0</v>
      </c>
      <c r="O90" s="224">
        <v>0</v>
      </c>
      <c r="P90" s="224">
        <v>0.71</v>
      </c>
      <c r="Q90" s="224">
        <v>7.13</v>
      </c>
      <c r="R90" s="13"/>
      <c r="S90" s="13"/>
      <c r="T90" s="213"/>
      <c r="U90" s="13"/>
    </row>
    <row r="91" customFormat="1" spans="1:21">
      <c r="A91" s="13" t="s">
        <v>2632</v>
      </c>
      <c r="B91" s="224">
        <v>13.27</v>
      </c>
      <c r="C91" s="224">
        <v>66.79</v>
      </c>
      <c r="D91" s="224">
        <v>46.89</v>
      </c>
      <c r="E91" s="224">
        <v>7.62</v>
      </c>
      <c r="F91" s="224">
        <v>3.82</v>
      </c>
      <c r="G91" s="224">
        <v>58.57</v>
      </c>
      <c r="H91" s="224">
        <v>11.97</v>
      </c>
      <c r="I91" s="224">
        <v>5.27</v>
      </c>
      <c r="J91" s="224">
        <v>0.04</v>
      </c>
      <c r="K91" s="224">
        <v>61.42</v>
      </c>
      <c r="L91" s="224">
        <v>28.13</v>
      </c>
      <c r="M91" s="224">
        <v>49.54</v>
      </c>
      <c r="N91" s="224">
        <v>0</v>
      </c>
      <c r="O91" s="224">
        <v>0</v>
      </c>
      <c r="P91" s="224">
        <v>0.72</v>
      </c>
      <c r="Q91" s="224">
        <v>7.18</v>
      </c>
      <c r="R91" s="13"/>
      <c r="S91" s="13"/>
      <c r="T91" s="213"/>
      <c r="U91" s="13"/>
    </row>
    <row r="92" customFormat="1" spans="1:21">
      <c r="A92" s="13" t="s">
        <v>2633</v>
      </c>
      <c r="B92" s="224">
        <v>14.54</v>
      </c>
      <c r="C92" s="224">
        <v>67.35</v>
      </c>
      <c r="D92" s="224">
        <v>48.2</v>
      </c>
      <c r="E92" s="224">
        <v>7.63</v>
      </c>
      <c r="F92" s="224">
        <v>3.62</v>
      </c>
      <c r="G92" s="224">
        <v>64.19</v>
      </c>
      <c r="H92" s="224">
        <v>13.84</v>
      </c>
      <c r="I92" s="224">
        <v>5.35</v>
      </c>
      <c r="J92" s="224">
        <v>0.25</v>
      </c>
      <c r="K92" s="224">
        <v>177.89</v>
      </c>
      <c r="L92" s="224">
        <v>28.09</v>
      </c>
      <c r="M92" s="224">
        <v>53.38</v>
      </c>
      <c r="N92" s="224">
        <v>0</v>
      </c>
      <c r="O92" s="224">
        <v>0</v>
      </c>
      <c r="P92" s="224">
        <v>0.73</v>
      </c>
      <c r="Q92" s="224">
        <v>7.28</v>
      </c>
      <c r="R92" s="13"/>
      <c r="S92" s="13"/>
      <c r="T92" s="213"/>
      <c r="U92" s="13"/>
    </row>
    <row r="93" customFormat="1" spans="1:21">
      <c r="A93" s="13" t="s">
        <v>2634</v>
      </c>
      <c r="B93" s="224">
        <v>15.85</v>
      </c>
      <c r="C93" s="224">
        <v>67.83</v>
      </c>
      <c r="D93" s="224">
        <v>49.5</v>
      </c>
      <c r="E93" s="224">
        <v>7.68</v>
      </c>
      <c r="F93" s="224">
        <v>3.46</v>
      </c>
      <c r="G93" s="224">
        <v>64.45</v>
      </c>
      <c r="H93" s="224">
        <v>13.84</v>
      </c>
      <c r="I93" s="224">
        <v>5.44</v>
      </c>
      <c r="J93" s="224">
        <v>0.09</v>
      </c>
      <c r="K93" s="224">
        <v>207.91</v>
      </c>
      <c r="L93" s="224">
        <v>27.62</v>
      </c>
      <c r="M93" s="224">
        <v>53.36</v>
      </c>
      <c r="N93" s="224">
        <v>0</v>
      </c>
      <c r="O93" s="224">
        <v>0</v>
      </c>
      <c r="P93" s="224">
        <v>0.75</v>
      </c>
      <c r="Q93" s="224">
        <v>7.41</v>
      </c>
      <c r="R93" s="13"/>
      <c r="S93" s="13"/>
      <c r="T93" s="213"/>
      <c r="U93" s="13"/>
    </row>
    <row r="94" customFormat="1" spans="1:21">
      <c r="A94" s="13" t="s">
        <v>2635</v>
      </c>
      <c r="B94" s="224">
        <v>18.37</v>
      </c>
      <c r="C94" s="224">
        <v>68.58</v>
      </c>
      <c r="D94" s="224">
        <v>51.91</v>
      </c>
      <c r="E94" s="224">
        <v>7.4</v>
      </c>
      <c r="F94" s="224">
        <v>3.62</v>
      </c>
      <c r="G94" s="224">
        <v>64.45</v>
      </c>
      <c r="H94" s="224">
        <v>13.84</v>
      </c>
      <c r="I94" s="224">
        <v>5.57</v>
      </c>
      <c r="J94" s="224">
        <v>0.27</v>
      </c>
      <c r="K94" s="224">
        <v>170.78</v>
      </c>
      <c r="L94" s="224">
        <v>27.91</v>
      </c>
      <c r="M94" s="224">
        <v>53.82</v>
      </c>
      <c r="N94" s="224">
        <v>0</v>
      </c>
      <c r="O94" s="224">
        <v>0</v>
      </c>
      <c r="P94" s="224">
        <v>0.78</v>
      </c>
      <c r="Q94" s="224">
        <v>7.54</v>
      </c>
      <c r="R94" s="13"/>
      <c r="S94" s="13"/>
      <c r="T94" s="213"/>
      <c r="U94" s="13"/>
    </row>
    <row r="95" customFormat="1" spans="1:21">
      <c r="A95" s="13" t="s">
        <v>2636</v>
      </c>
      <c r="B95" s="224">
        <v>20.06</v>
      </c>
      <c r="C95" s="224">
        <v>66.55</v>
      </c>
      <c r="D95" s="224">
        <v>52.21</v>
      </c>
      <c r="E95" s="224">
        <v>7.44</v>
      </c>
      <c r="F95" s="224">
        <v>3.92</v>
      </c>
      <c r="G95" s="224">
        <v>64.45</v>
      </c>
      <c r="H95" s="224">
        <v>13.84</v>
      </c>
      <c r="I95" s="224">
        <v>5.7</v>
      </c>
      <c r="J95" s="224">
        <v>0.24</v>
      </c>
      <c r="K95" s="224">
        <v>169.13</v>
      </c>
      <c r="L95" s="224">
        <v>27.27</v>
      </c>
      <c r="M95" s="224">
        <v>56.27</v>
      </c>
      <c r="N95" s="224">
        <v>0</v>
      </c>
      <c r="O95" s="224">
        <v>0</v>
      </c>
      <c r="P95" s="224">
        <v>0.8</v>
      </c>
      <c r="Q95" s="224">
        <v>7.63</v>
      </c>
      <c r="R95" s="13"/>
      <c r="S95" s="13"/>
      <c r="T95" s="213"/>
      <c r="U95" s="13"/>
    </row>
    <row r="96" customFormat="1" spans="1:26">
      <c r="A96" s="13" t="s">
        <v>2637</v>
      </c>
      <c r="B96" s="224">
        <v>20.4</v>
      </c>
      <c r="C96" s="224">
        <v>58.06</v>
      </c>
      <c r="D96" s="224">
        <v>48.04</v>
      </c>
      <c r="E96" s="224">
        <v>7.26</v>
      </c>
      <c r="F96" s="224">
        <v>4.61</v>
      </c>
      <c r="G96" s="224">
        <v>81.26</v>
      </c>
      <c r="H96" s="224">
        <v>18.2</v>
      </c>
      <c r="I96" s="224">
        <v>5.86</v>
      </c>
      <c r="J96" s="224">
        <v>0.25</v>
      </c>
      <c r="K96" s="224">
        <v>232.55</v>
      </c>
      <c r="L96" s="224">
        <v>26.89</v>
      </c>
      <c r="M96" s="224">
        <v>56.31</v>
      </c>
      <c r="N96" s="224">
        <v>0</v>
      </c>
      <c r="O96" s="224">
        <v>0</v>
      </c>
      <c r="P96" s="224">
        <v>0.78</v>
      </c>
      <c r="Q96" s="224">
        <v>7.43</v>
      </c>
      <c r="R96" s="13"/>
      <c r="S96" s="13"/>
      <c r="T96" s="213"/>
      <c r="U96" s="13"/>
      <c r="Z96" s="222"/>
    </row>
    <row r="97" customFormat="1" spans="1:21">
      <c r="A97" s="13" t="s">
        <v>2638</v>
      </c>
      <c r="B97" s="224">
        <v>27.84</v>
      </c>
      <c r="C97" s="224">
        <v>67.48</v>
      </c>
      <c r="D97" s="224">
        <v>58.93</v>
      </c>
      <c r="E97" s="224">
        <v>7.31</v>
      </c>
      <c r="F97" s="224">
        <v>3.69</v>
      </c>
      <c r="G97" s="224">
        <v>82.04</v>
      </c>
      <c r="H97" s="224">
        <v>18.2</v>
      </c>
      <c r="I97" s="224">
        <v>6.01</v>
      </c>
      <c r="J97" s="224">
        <v>0.1</v>
      </c>
      <c r="K97" s="224">
        <v>249.75</v>
      </c>
      <c r="L97" s="224">
        <v>27.23</v>
      </c>
      <c r="M97" s="224">
        <v>54.21</v>
      </c>
      <c r="N97" s="224">
        <v>0</v>
      </c>
      <c r="O97" s="224">
        <v>0</v>
      </c>
      <c r="P97" s="224">
        <v>0.83</v>
      </c>
      <c r="Q97" s="224">
        <v>7.5</v>
      </c>
      <c r="R97" s="13"/>
      <c r="S97" s="13"/>
      <c r="T97" s="213"/>
      <c r="U97" s="13"/>
    </row>
    <row r="98" customFormat="1" spans="1:21">
      <c r="A98" s="13" t="s">
        <v>2639</v>
      </c>
      <c r="B98" s="224">
        <v>35.4</v>
      </c>
      <c r="C98" s="224">
        <v>66.52</v>
      </c>
      <c r="D98" s="224">
        <v>64.5</v>
      </c>
      <c r="E98" s="224">
        <v>7.84</v>
      </c>
      <c r="F98" s="224">
        <v>3.64</v>
      </c>
      <c r="G98" s="224">
        <v>82.04</v>
      </c>
      <c r="H98" s="224">
        <v>18.2</v>
      </c>
      <c r="I98" s="224">
        <v>6.07</v>
      </c>
      <c r="J98" s="224">
        <v>0.13</v>
      </c>
      <c r="K98" s="224">
        <v>23.76</v>
      </c>
      <c r="L98" s="224">
        <v>27.64</v>
      </c>
      <c r="M98" s="224">
        <v>52.53</v>
      </c>
      <c r="N98" s="224">
        <v>0</v>
      </c>
      <c r="O98" s="224">
        <v>0</v>
      </c>
      <c r="P98" s="224">
        <v>0.88</v>
      </c>
      <c r="Q98" s="224">
        <v>7.73</v>
      </c>
      <c r="R98" s="13"/>
      <c r="S98" s="13"/>
      <c r="T98" s="213"/>
      <c r="U98" s="13"/>
    </row>
    <row r="99" customFormat="1" spans="1:21">
      <c r="A99" s="13" t="s">
        <v>2640</v>
      </c>
      <c r="B99" s="224">
        <v>37.85</v>
      </c>
      <c r="C99" s="224">
        <v>64.85</v>
      </c>
      <c r="D99" s="224">
        <v>65.58</v>
      </c>
      <c r="E99" s="224">
        <v>8.3</v>
      </c>
      <c r="F99" s="224">
        <v>3.68</v>
      </c>
      <c r="G99" s="224">
        <v>82.04</v>
      </c>
      <c r="H99" s="224">
        <v>18.2</v>
      </c>
      <c r="I99" s="224">
        <v>6.46</v>
      </c>
      <c r="J99" s="224">
        <v>0.15</v>
      </c>
      <c r="K99" s="224">
        <v>170.3</v>
      </c>
      <c r="L99" s="224">
        <v>27.77</v>
      </c>
      <c r="M99" s="224">
        <v>54.54</v>
      </c>
      <c r="N99" s="224">
        <v>0</v>
      </c>
      <c r="O99" s="224">
        <v>0</v>
      </c>
      <c r="P99" s="224">
        <v>0.9</v>
      </c>
      <c r="Q99" s="224">
        <v>8.1</v>
      </c>
      <c r="R99" s="13"/>
      <c r="S99" s="13"/>
      <c r="T99" s="213"/>
      <c r="U99" s="13"/>
    </row>
    <row r="100" customFormat="1" spans="1:33">
      <c r="A100" s="13" t="s">
        <v>2641</v>
      </c>
      <c r="B100" s="224">
        <v>36.39</v>
      </c>
      <c r="C100" s="224">
        <v>66.91</v>
      </c>
      <c r="D100" s="224">
        <v>65.5</v>
      </c>
      <c r="E100" s="224">
        <v>7.89</v>
      </c>
      <c r="F100" s="224">
        <v>3.44</v>
      </c>
      <c r="G100" s="224">
        <v>103.5</v>
      </c>
      <c r="H100" s="224">
        <v>27.02</v>
      </c>
      <c r="I100" s="224">
        <v>6.86</v>
      </c>
      <c r="J100" s="224">
        <v>0.23</v>
      </c>
      <c r="K100" s="224">
        <v>234.88</v>
      </c>
      <c r="L100" s="224">
        <v>27.66</v>
      </c>
      <c r="M100" s="224">
        <v>54.25</v>
      </c>
      <c r="N100" s="224">
        <v>0</v>
      </c>
      <c r="O100" s="224">
        <v>0</v>
      </c>
      <c r="P100" s="224">
        <v>0.88</v>
      </c>
      <c r="Q100" s="224">
        <v>8.36</v>
      </c>
      <c r="R100" s="13"/>
      <c r="S100" s="13"/>
      <c r="T100" s="213"/>
      <c r="U100" s="13"/>
      <c r="AB100" s="223"/>
      <c r="AG100" s="222"/>
    </row>
    <row r="101" customFormat="1" spans="1:21">
      <c r="A101" s="13" t="s">
        <v>2642</v>
      </c>
      <c r="B101" s="224">
        <v>37.64</v>
      </c>
      <c r="C101" s="224">
        <v>69.12</v>
      </c>
      <c r="D101" s="224">
        <v>67.65</v>
      </c>
      <c r="E101" s="224">
        <v>8.38</v>
      </c>
      <c r="F101" s="224">
        <v>3.53</v>
      </c>
      <c r="G101" s="224">
        <v>104.5</v>
      </c>
      <c r="H101" s="224">
        <v>27.02</v>
      </c>
      <c r="I101" s="224">
        <v>6.93</v>
      </c>
      <c r="J101" s="224">
        <v>0.22</v>
      </c>
      <c r="K101" s="224">
        <v>207.36</v>
      </c>
      <c r="L101" s="224">
        <v>27.61</v>
      </c>
      <c r="M101" s="224">
        <v>54.84</v>
      </c>
      <c r="N101" s="224">
        <v>0</v>
      </c>
      <c r="O101" s="224">
        <v>0</v>
      </c>
      <c r="P101" s="224">
        <v>0.91</v>
      </c>
      <c r="Q101" s="224">
        <v>8.57</v>
      </c>
      <c r="R101" s="13"/>
      <c r="S101" s="13"/>
      <c r="T101" s="213"/>
      <c r="U101" s="13"/>
    </row>
    <row r="102" customFormat="1" spans="1:21">
      <c r="A102" s="13" t="s">
        <v>2643</v>
      </c>
      <c r="B102" s="224">
        <v>43.44</v>
      </c>
      <c r="C102" s="224">
        <v>63.23</v>
      </c>
      <c r="D102" s="224">
        <v>69.22</v>
      </c>
      <c r="E102" s="224">
        <v>8.47</v>
      </c>
      <c r="F102" s="224">
        <v>3.76</v>
      </c>
      <c r="G102" s="224">
        <v>104.5</v>
      </c>
      <c r="H102" s="224">
        <v>27.02</v>
      </c>
      <c r="I102" s="224">
        <v>7.02</v>
      </c>
      <c r="J102" s="224">
        <v>0</v>
      </c>
      <c r="K102" s="224">
        <v>296.25</v>
      </c>
      <c r="L102" s="224">
        <v>27.3</v>
      </c>
      <c r="M102" s="224">
        <v>57.83</v>
      </c>
      <c r="N102" s="224">
        <v>0</v>
      </c>
      <c r="O102" s="224">
        <v>0</v>
      </c>
      <c r="P102" s="224">
        <v>0.94</v>
      </c>
      <c r="Q102" s="224">
        <v>8.63</v>
      </c>
      <c r="R102" s="13"/>
      <c r="S102" s="13"/>
      <c r="T102" s="213"/>
      <c r="U102" s="13"/>
    </row>
    <row r="103" customFormat="1" spans="1:21">
      <c r="A103" s="13" t="s">
        <v>2644</v>
      </c>
      <c r="B103" s="224">
        <v>41.29</v>
      </c>
      <c r="C103" s="224">
        <v>66.49</v>
      </c>
      <c r="D103" s="224">
        <v>69.2</v>
      </c>
      <c r="E103" s="224">
        <v>8.32</v>
      </c>
      <c r="F103" s="224">
        <v>3.78</v>
      </c>
      <c r="G103" s="224">
        <v>104.5</v>
      </c>
      <c r="H103" s="224">
        <v>27.02</v>
      </c>
      <c r="I103" s="224">
        <v>7.21</v>
      </c>
      <c r="J103" s="224">
        <v>0.21</v>
      </c>
      <c r="K103" s="224">
        <v>219.92</v>
      </c>
      <c r="L103" s="224">
        <v>26.57</v>
      </c>
      <c r="M103" s="224">
        <v>65.34</v>
      </c>
      <c r="N103" s="224">
        <v>0</v>
      </c>
      <c r="O103" s="224">
        <v>0</v>
      </c>
      <c r="P103" s="224">
        <v>0.92</v>
      </c>
      <c r="Q103" s="224">
        <v>8.82</v>
      </c>
      <c r="R103" s="13"/>
      <c r="S103" s="13"/>
      <c r="T103" s="213"/>
      <c r="U103" s="13"/>
    </row>
    <row r="104" customFormat="1" spans="1:21">
      <c r="A104" s="13" t="s">
        <v>2645</v>
      </c>
      <c r="B104" s="224">
        <v>39.3</v>
      </c>
      <c r="C104" s="224">
        <v>65.06</v>
      </c>
      <c r="D104" s="224">
        <v>66.86</v>
      </c>
      <c r="E104" s="224">
        <v>8.68</v>
      </c>
      <c r="F104" s="224">
        <v>4.43</v>
      </c>
      <c r="G104" s="224">
        <v>108.35</v>
      </c>
      <c r="H104" s="224">
        <v>27.19</v>
      </c>
      <c r="I104" s="224">
        <v>7.32</v>
      </c>
      <c r="J104" s="224">
        <v>0.54</v>
      </c>
      <c r="K104" s="224">
        <v>245.36</v>
      </c>
      <c r="L104" s="224">
        <v>26.75</v>
      </c>
      <c r="M104" s="224">
        <v>60.67</v>
      </c>
      <c r="N104" s="224">
        <v>0</v>
      </c>
      <c r="O104" s="224">
        <v>0</v>
      </c>
      <c r="P104" s="224">
        <v>0.93</v>
      </c>
      <c r="Q104" s="224">
        <v>8.84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8.25</v>
      </c>
      <c r="C106" s="215">
        <f>MIN(C9:C104)</f>
        <v>50.45</v>
      </c>
      <c r="D106" s="215">
        <f t="shared" ref="D106:Q106" si="0">MIN(D9:D104)</f>
        <v>34.86</v>
      </c>
      <c r="E106" s="215">
        <f t="shared" si="0"/>
        <v>5.77</v>
      </c>
      <c r="F106" s="215">
        <f t="shared" si="0"/>
        <v>3.44</v>
      </c>
      <c r="G106" s="215">
        <f t="shared" si="0"/>
        <v>19.65</v>
      </c>
      <c r="H106" s="215">
        <f t="shared" si="0"/>
        <v>6.15</v>
      </c>
      <c r="I106" s="215">
        <f t="shared" si="0"/>
        <v>4.13</v>
      </c>
      <c r="J106" s="215">
        <f t="shared" si="0"/>
        <v>0</v>
      </c>
      <c r="K106" s="215">
        <f t="shared" si="0"/>
        <v>4.54</v>
      </c>
      <c r="L106" s="215">
        <f t="shared" si="0"/>
        <v>24.12</v>
      </c>
      <c r="M106" s="215">
        <f t="shared" si="0"/>
        <v>29.44</v>
      </c>
      <c r="N106" s="215">
        <f t="shared" si="0"/>
        <v>0</v>
      </c>
      <c r="O106" s="215">
        <f t="shared" si="0"/>
        <v>0</v>
      </c>
      <c r="P106" s="215">
        <f t="shared" si="0"/>
        <v>0.47</v>
      </c>
      <c r="Q106" s="215">
        <f t="shared" si="0"/>
        <v>6.28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43.44</v>
      </c>
      <c r="C107" s="216">
        <f t="shared" ref="C107:Q107" si="1">MAX(C9:C104)</f>
        <v>69.12</v>
      </c>
      <c r="D107" s="216">
        <f t="shared" si="1"/>
        <v>69.22</v>
      </c>
      <c r="E107" s="216">
        <f t="shared" si="1"/>
        <v>9.66</v>
      </c>
      <c r="F107" s="216">
        <f t="shared" si="1"/>
        <v>14.06</v>
      </c>
      <c r="G107" s="216">
        <f t="shared" si="1"/>
        <v>108.35</v>
      </c>
      <c r="H107" s="216">
        <f t="shared" si="1"/>
        <v>27.19</v>
      </c>
      <c r="I107" s="216">
        <f t="shared" si="1"/>
        <v>7.32</v>
      </c>
      <c r="J107" s="216">
        <f t="shared" si="1"/>
        <v>1.66</v>
      </c>
      <c r="K107" s="216">
        <f t="shared" si="1"/>
        <v>357.81</v>
      </c>
      <c r="L107" s="216">
        <f t="shared" si="1"/>
        <v>34.47</v>
      </c>
      <c r="M107" s="216">
        <f t="shared" si="1"/>
        <v>65.34</v>
      </c>
      <c r="N107" s="216">
        <f t="shared" si="1"/>
        <v>858.9</v>
      </c>
      <c r="O107" s="216">
        <f t="shared" si="1"/>
        <v>0</v>
      </c>
      <c r="P107" s="216">
        <f t="shared" si="1"/>
        <v>0.94</v>
      </c>
      <c r="Q107" s="216">
        <f t="shared" si="1"/>
        <v>8.84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18.326875</v>
      </c>
      <c r="C108" s="215">
        <f t="shared" ref="C108:Q108" si="2">AVERAGE(C9:C104)</f>
        <v>61.534375</v>
      </c>
      <c r="D108" s="215">
        <f t="shared" si="2"/>
        <v>48.1975</v>
      </c>
      <c r="E108" s="215">
        <f t="shared" si="2"/>
        <v>7.72197916666667</v>
      </c>
      <c r="F108" s="215">
        <f t="shared" si="2"/>
        <v>5.88979166666667</v>
      </c>
      <c r="G108" s="215">
        <f t="shared" si="2"/>
        <v>39.1023958333333</v>
      </c>
      <c r="H108" s="215">
        <f t="shared" si="2"/>
        <v>12.5159375</v>
      </c>
      <c r="I108" s="215">
        <f t="shared" si="2"/>
        <v>5.01145833333333</v>
      </c>
      <c r="J108" s="215">
        <f t="shared" si="2"/>
        <v>0.47375</v>
      </c>
      <c r="K108" s="215">
        <f t="shared" si="2"/>
        <v>213.278645833333</v>
      </c>
      <c r="L108" s="215">
        <f t="shared" si="2"/>
        <v>28.485625</v>
      </c>
      <c r="M108" s="215">
        <f t="shared" si="2"/>
        <v>49.2822916666667</v>
      </c>
      <c r="N108" s="215">
        <f t="shared" si="2"/>
        <v>158.085416666667</v>
      </c>
      <c r="O108" s="215">
        <f t="shared" si="2"/>
        <v>0</v>
      </c>
      <c r="P108" s="215">
        <f t="shared" si="2"/>
        <v>0.5996875</v>
      </c>
      <c r="Q108" s="215">
        <f t="shared" si="2"/>
        <v>7.25625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8.04044844422315</v>
      </c>
      <c r="C109" s="215">
        <f t="shared" ref="C109:Q109" si="3">STDEV(C9:C104)</f>
        <v>4.56322134888802</v>
      </c>
      <c r="D109" s="215">
        <f t="shared" si="3"/>
        <v>7.63053188461363</v>
      </c>
      <c r="E109" s="215">
        <f t="shared" si="3"/>
        <v>0.90474494200726</v>
      </c>
      <c r="F109" s="215">
        <f t="shared" si="3"/>
        <v>2.89034435361189</v>
      </c>
      <c r="G109" s="215">
        <f t="shared" si="3"/>
        <v>21.5190197754056</v>
      </c>
      <c r="H109" s="215">
        <f t="shared" si="3"/>
        <v>4.33377520562555</v>
      </c>
      <c r="I109" s="215">
        <f t="shared" si="3"/>
        <v>0.743289954284565</v>
      </c>
      <c r="J109" s="215">
        <f t="shared" si="3"/>
        <v>0.339390320241583</v>
      </c>
      <c r="K109" s="215">
        <f t="shared" si="3"/>
        <v>82.3805971614266</v>
      </c>
      <c r="L109" s="215">
        <f t="shared" si="3"/>
        <v>3.08796332555942</v>
      </c>
      <c r="M109" s="215">
        <f t="shared" si="3"/>
        <v>10.5838878021629</v>
      </c>
      <c r="N109" s="215">
        <f t="shared" si="3"/>
        <v>236.775565052943</v>
      </c>
      <c r="O109" s="215">
        <f t="shared" si="3"/>
        <v>0</v>
      </c>
      <c r="P109" s="215">
        <f t="shared" si="3"/>
        <v>0.118272238367341</v>
      </c>
      <c r="Q109" s="215">
        <f t="shared" si="3"/>
        <v>0.529431174394796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6" activePane="bottomRight" state="frozen"/>
      <selection/>
      <selection pane="topRight"/>
      <selection pane="bottomLeft"/>
      <selection pane="bottomRight" activeCell="G110" sqref="G110:H110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28/04/2023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2646</v>
      </c>
      <c r="B9" s="165">
        <v>39.3</v>
      </c>
      <c r="C9" s="165">
        <v>65.06</v>
      </c>
      <c r="D9" s="165">
        <v>66.86</v>
      </c>
      <c r="E9" s="165">
        <v>8.68</v>
      </c>
      <c r="F9" s="165">
        <v>4.43</v>
      </c>
      <c r="G9" s="165">
        <v>108.35</v>
      </c>
      <c r="H9" s="165">
        <v>27.19</v>
      </c>
      <c r="I9" s="165">
        <v>7.32</v>
      </c>
      <c r="J9" s="165">
        <v>0.54</v>
      </c>
      <c r="K9" s="165">
        <v>245.36</v>
      </c>
      <c r="L9" s="165">
        <v>26.75</v>
      </c>
      <c r="M9" s="165">
        <v>60.67</v>
      </c>
      <c r="N9" s="165">
        <v>0</v>
      </c>
      <c r="O9" s="165">
        <v>0</v>
      </c>
      <c r="P9" s="165">
        <v>0.93</v>
      </c>
      <c r="Q9" s="165">
        <v>8.84</v>
      </c>
      <c r="R9" s="13"/>
      <c r="S9" s="13"/>
      <c r="T9" s="213"/>
      <c r="U9" s="13"/>
    </row>
    <row r="10" customFormat="1" spans="1:21">
      <c r="A10" s="142" t="s">
        <v>2647</v>
      </c>
      <c r="B10" s="165">
        <v>40.86</v>
      </c>
      <c r="C10" s="165">
        <v>62.36</v>
      </c>
      <c r="D10" s="165">
        <v>66.7</v>
      </c>
      <c r="E10" s="165">
        <v>8.36</v>
      </c>
      <c r="F10" s="165">
        <v>4.64</v>
      </c>
      <c r="G10" s="165">
        <v>108.52</v>
      </c>
      <c r="H10" s="165">
        <v>27.19</v>
      </c>
      <c r="I10" s="165">
        <v>7.34</v>
      </c>
      <c r="J10" s="165">
        <v>2.09</v>
      </c>
      <c r="K10" s="165">
        <v>246.79</v>
      </c>
      <c r="L10" s="165">
        <v>26.51</v>
      </c>
      <c r="M10" s="165">
        <v>59.38</v>
      </c>
      <c r="N10" s="165">
        <v>0</v>
      </c>
      <c r="O10" s="165">
        <v>0</v>
      </c>
      <c r="P10" s="165">
        <v>0.93</v>
      </c>
      <c r="Q10" s="165">
        <v>8.78</v>
      </c>
      <c r="R10" s="13"/>
      <c r="S10" s="13"/>
      <c r="T10" s="213"/>
      <c r="U10" s="13"/>
    </row>
    <row r="11" customFormat="1" spans="1:21">
      <c r="A11" s="142" t="s">
        <v>2648</v>
      </c>
      <c r="B11" s="165">
        <v>38</v>
      </c>
      <c r="C11" s="165">
        <v>62.64</v>
      </c>
      <c r="D11" s="165">
        <v>64.55</v>
      </c>
      <c r="E11" s="165">
        <v>8.72</v>
      </c>
      <c r="F11" s="165">
        <v>4.95</v>
      </c>
      <c r="G11" s="165">
        <v>108.52</v>
      </c>
      <c r="H11" s="165">
        <v>27.19</v>
      </c>
      <c r="I11" s="165">
        <v>7.37</v>
      </c>
      <c r="J11" s="165">
        <v>3.15</v>
      </c>
      <c r="K11" s="165">
        <v>264.28</v>
      </c>
      <c r="L11" s="165">
        <v>21.65</v>
      </c>
      <c r="M11" s="165">
        <v>82.78</v>
      </c>
      <c r="N11" s="165">
        <v>0.3</v>
      </c>
      <c r="O11" s="165">
        <v>0</v>
      </c>
      <c r="P11" s="165">
        <v>0.91</v>
      </c>
      <c r="Q11" s="165">
        <v>8.72</v>
      </c>
      <c r="R11" s="13"/>
      <c r="S11" s="13"/>
      <c r="T11" s="213"/>
      <c r="U11" s="13"/>
    </row>
    <row r="12" customFormat="1" spans="1:21">
      <c r="A12" s="101">
        <v>45044.0416666667</v>
      </c>
      <c r="B12" s="165">
        <v>35.34</v>
      </c>
      <c r="C12" s="165">
        <v>63.33</v>
      </c>
      <c r="D12" s="165">
        <v>62.78</v>
      </c>
      <c r="E12" s="165">
        <v>8</v>
      </c>
      <c r="F12" s="165">
        <v>4.36</v>
      </c>
      <c r="G12" s="165">
        <v>108.52</v>
      </c>
      <c r="H12" s="165">
        <v>27.19</v>
      </c>
      <c r="I12" s="165">
        <v>7.4</v>
      </c>
      <c r="J12" s="165">
        <v>1.19</v>
      </c>
      <c r="K12" s="165">
        <v>241.96</v>
      </c>
      <c r="L12" s="165">
        <v>20.49</v>
      </c>
      <c r="M12" s="165">
        <v>91.34</v>
      </c>
      <c r="N12" s="165">
        <v>0</v>
      </c>
      <c r="O12" s="165">
        <v>0</v>
      </c>
      <c r="P12" s="165">
        <v>0.89</v>
      </c>
      <c r="Q12" s="165">
        <v>8.48</v>
      </c>
      <c r="R12" s="13"/>
      <c r="S12" s="13"/>
      <c r="T12" s="213"/>
      <c r="U12" s="13"/>
    </row>
    <row r="13" customFormat="1" spans="1:21">
      <c r="A13" s="142" t="s">
        <v>2649</v>
      </c>
      <c r="B13" s="165">
        <v>33.35</v>
      </c>
      <c r="C13" s="165">
        <v>66.25</v>
      </c>
      <c r="D13" s="165">
        <v>62.71</v>
      </c>
      <c r="E13" s="165">
        <v>7.86</v>
      </c>
      <c r="F13" s="165">
        <v>3.86</v>
      </c>
      <c r="G13" s="165">
        <v>90.39</v>
      </c>
      <c r="H13" s="165">
        <v>24.2</v>
      </c>
      <c r="I13" s="165">
        <v>7.29</v>
      </c>
      <c r="J13" s="165">
        <v>-1.51</v>
      </c>
      <c r="K13" s="165">
        <v>-0.62</v>
      </c>
      <c r="L13" s="165">
        <v>20.22</v>
      </c>
      <c r="M13" s="165">
        <v>94.47</v>
      </c>
      <c r="N13" s="165">
        <v>0</v>
      </c>
      <c r="O13" s="165">
        <v>0</v>
      </c>
      <c r="P13" s="165">
        <v>0.89</v>
      </c>
      <c r="Q13" s="165">
        <v>8.4</v>
      </c>
      <c r="R13" s="13"/>
      <c r="S13" s="13"/>
      <c r="T13" s="213"/>
      <c r="U13" s="13"/>
    </row>
    <row r="14" customFormat="1" spans="1:21">
      <c r="A14" s="142" t="s">
        <v>2650</v>
      </c>
      <c r="B14" s="199" t="s">
        <v>14</v>
      </c>
      <c r="C14" s="199" t="s">
        <v>14</v>
      </c>
      <c r="D14" s="199" t="s">
        <v>14</v>
      </c>
      <c r="E14" s="199" t="s">
        <v>14</v>
      </c>
      <c r="F14" s="199" t="s">
        <v>14</v>
      </c>
      <c r="G14" s="165">
        <v>89.55</v>
      </c>
      <c r="H14" s="165">
        <v>24.2</v>
      </c>
      <c r="I14" s="165">
        <v>0</v>
      </c>
      <c r="J14" s="165">
        <v>1.54</v>
      </c>
      <c r="K14" s="165">
        <v>242.7</v>
      </c>
      <c r="L14" s="165">
        <v>20.25</v>
      </c>
      <c r="M14" s="165">
        <v>94.65</v>
      </c>
      <c r="N14" s="165">
        <v>0</v>
      </c>
      <c r="O14" s="165">
        <v>0</v>
      </c>
      <c r="P14" s="165">
        <v>0.33</v>
      </c>
      <c r="Q14" s="199" t="s">
        <v>14</v>
      </c>
      <c r="R14" s="13"/>
      <c r="S14" s="13"/>
      <c r="T14" s="213"/>
      <c r="U14" s="13"/>
    </row>
    <row r="15" customFormat="1" spans="1:21">
      <c r="A15" s="142" t="s">
        <v>2651</v>
      </c>
      <c r="B15" s="165">
        <v>28.39</v>
      </c>
      <c r="C15" s="165">
        <v>67.79</v>
      </c>
      <c r="D15" s="165">
        <v>59.54</v>
      </c>
      <c r="E15" s="165">
        <v>5.78</v>
      </c>
      <c r="F15" s="165">
        <v>1</v>
      </c>
      <c r="G15" s="165">
        <v>89.55</v>
      </c>
      <c r="H15" s="165">
        <v>24.2</v>
      </c>
      <c r="I15" s="165">
        <v>0</v>
      </c>
      <c r="J15" s="165">
        <v>0.72</v>
      </c>
      <c r="K15" s="165">
        <v>230.34</v>
      </c>
      <c r="L15" s="165">
        <v>20.23</v>
      </c>
      <c r="M15" s="165">
        <v>94.87</v>
      </c>
      <c r="N15" s="165">
        <v>0</v>
      </c>
      <c r="O15" s="165">
        <v>0</v>
      </c>
      <c r="P15" s="165">
        <v>0.81</v>
      </c>
      <c r="Q15" s="165">
        <v>5.15</v>
      </c>
      <c r="R15" s="13"/>
      <c r="S15" s="13"/>
      <c r="T15" s="213"/>
      <c r="U15" s="13"/>
    </row>
    <row r="16" customFormat="1" spans="1:21">
      <c r="A16" s="142" t="s">
        <v>2652</v>
      </c>
      <c r="B16" s="165">
        <v>28.57</v>
      </c>
      <c r="C16" s="165">
        <v>66.05</v>
      </c>
      <c r="D16" s="165">
        <v>58.77</v>
      </c>
      <c r="E16" s="165">
        <v>5.85</v>
      </c>
      <c r="F16" s="165">
        <v>1.01</v>
      </c>
      <c r="G16" s="165">
        <v>89.55</v>
      </c>
      <c r="H16" s="165">
        <v>24.2</v>
      </c>
      <c r="I16" s="165">
        <v>3.85</v>
      </c>
      <c r="J16" s="165">
        <v>0.21</v>
      </c>
      <c r="K16" s="165">
        <v>108.71</v>
      </c>
      <c r="L16" s="165">
        <v>20.38</v>
      </c>
      <c r="M16" s="165">
        <v>95.61</v>
      </c>
      <c r="N16" s="165">
        <v>0</v>
      </c>
      <c r="O16" s="165">
        <v>0</v>
      </c>
      <c r="P16" s="165">
        <v>0.84</v>
      </c>
      <c r="Q16" s="165">
        <v>4.83</v>
      </c>
      <c r="R16" s="13"/>
      <c r="S16" s="13"/>
      <c r="T16" s="213"/>
      <c r="U16" s="13"/>
    </row>
    <row r="17" customFormat="1" spans="1:21">
      <c r="A17" s="142" t="s">
        <v>2653</v>
      </c>
      <c r="B17" s="165">
        <v>28.3</v>
      </c>
      <c r="C17" s="165">
        <v>64.51</v>
      </c>
      <c r="D17" s="165">
        <v>57.75</v>
      </c>
      <c r="E17" s="165">
        <v>5.92</v>
      </c>
      <c r="F17" s="165">
        <v>2.64</v>
      </c>
      <c r="G17" s="165">
        <v>53.47</v>
      </c>
      <c r="H17" s="165">
        <v>18.51</v>
      </c>
      <c r="I17" s="165">
        <v>7</v>
      </c>
      <c r="J17" s="165">
        <v>0.55</v>
      </c>
      <c r="K17" s="165">
        <v>78.32</v>
      </c>
      <c r="L17" s="165">
        <v>20.48</v>
      </c>
      <c r="M17" s="165">
        <v>96.14</v>
      </c>
      <c r="N17" s="165">
        <v>0</v>
      </c>
      <c r="O17" s="165">
        <v>0</v>
      </c>
      <c r="P17" s="165">
        <v>0.84</v>
      </c>
      <c r="Q17" s="165">
        <v>4.71</v>
      </c>
      <c r="R17" s="13"/>
      <c r="S17" s="13"/>
      <c r="T17" s="213"/>
      <c r="U17" s="13"/>
    </row>
    <row r="18" customFormat="1" spans="1:21">
      <c r="A18" s="142" t="s">
        <v>2654</v>
      </c>
      <c r="B18" s="165">
        <v>27.7</v>
      </c>
      <c r="C18" s="165">
        <v>66.21</v>
      </c>
      <c r="D18" s="165">
        <v>58.16</v>
      </c>
      <c r="E18" s="165">
        <v>6.91</v>
      </c>
      <c r="F18" s="165">
        <v>3.48</v>
      </c>
      <c r="G18" s="165">
        <v>51.79</v>
      </c>
      <c r="H18" s="165">
        <v>18.51</v>
      </c>
      <c r="I18" s="165">
        <v>7.01</v>
      </c>
      <c r="J18" s="165">
        <v>0.36</v>
      </c>
      <c r="K18" s="165">
        <v>118.39</v>
      </c>
      <c r="L18" s="165">
        <v>20.58</v>
      </c>
      <c r="M18" s="165">
        <v>96.52</v>
      </c>
      <c r="N18" s="165">
        <v>0</v>
      </c>
      <c r="O18" s="165">
        <v>0</v>
      </c>
      <c r="P18" s="165">
        <v>0.84</v>
      </c>
      <c r="Q18" s="165">
        <v>4.76</v>
      </c>
      <c r="R18" s="13"/>
      <c r="S18" s="13"/>
      <c r="T18" s="213"/>
      <c r="U18" s="13"/>
    </row>
    <row r="19" customFormat="1" spans="1:21">
      <c r="A19" s="142" t="s">
        <v>2655</v>
      </c>
      <c r="B19" s="165">
        <v>27.06</v>
      </c>
      <c r="C19" s="165">
        <v>65.03</v>
      </c>
      <c r="D19" s="165">
        <v>57.03</v>
      </c>
      <c r="E19" s="165">
        <v>7.81</v>
      </c>
      <c r="F19" s="165">
        <v>3.86</v>
      </c>
      <c r="G19" s="165">
        <v>51.79</v>
      </c>
      <c r="H19" s="165">
        <v>18.51</v>
      </c>
      <c r="I19" s="165">
        <v>7.01</v>
      </c>
      <c r="J19" s="165">
        <v>0.22</v>
      </c>
      <c r="K19" s="165">
        <v>135.97</v>
      </c>
      <c r="L19" s="165">
        <v>20.76</v>
      </c>
      <c r="M19" s="165">
        <v>97.08</v>
      </c>
      <c r="N19" s="165">
        <v>0</v>
      </c>
      <c r="O19" s="165">
        <v>0</v>
      </c>
      <c r="P19" s="165">
        <v>0.82</v>
      </c>
      <c r="Q19" s="165">
        <v>4.69</v>
      </c>
      <c r="R19" s="13"/>
      <c r="S19" s="13"/>
      <c r="T19" s="213"/>
      <c r="U19" s="13"/>
    </row>
    <row r="20" customFormat="1" spans="1:21">
      <c r="A20" s="142" t="s">
        <v>2656</v>
      </c>
      <c r="B20" s="165">
        <v>26.65</v>
      </c>
      <c r="C20" s="165">
        <v>64.06</v>
      </c>
      <c r="D20" s="165">
        <v>56.19</v>
      </c>
      <c r="E20" s="165">
        <v>7.63</v>
      </c>
      <c r="F20" s="165">
        <v>3.88</v>
      </c>
      <c r="G20" s="165">
        <v>51.79</v>
      </c>
      <c r="H20" s="165">
        <v>18.51</v>
      </c>
      <c r="I20" s="165">
        <v>6.91</v>
      </c>
      <c r="J20" s="165">
        <v>0.36</v>
      </c>
      <c r="K20" s="165">
        <v>147.41</v>
      </c>
      <c r="L20" s="165">
        <v>20.91</v>
      </c>
      <c r="M20" s="165">
        <v>96.38</v>
      </c>
      <c r="N20" s="165">
        <v>0</v>
      </c>
      <c r="O20" s="165">
        <v>0</v>
      </c>
      <c r="P20" s="165">
        <v>0.8</v>
      </c>
      <c r="Q20" s="165">
        <v>4.64</v>
      </c>
      <c r="R20" s="13"/>
      <c r="S20" s="13"/>
      <c r="T20" s="213"/>
      <c r="U20" s="13"/>
    </row>
    <row r="21" customFormat="1" spans="1:21">
      <c r="A21" s="142" t="s">
        <v>2657</v>
      </c>
      <c r="B21" s="165">
        <v>26.02</v>
      </c>
      <c r="C21" s="165">
        <v>64.93</v>
      </c>
      <c r="D21" s="165">
        <v>56.14</v>
      </c>
      <c r="E21" s="165">
        <v>7.69</v>
      </c>
      <c r="F21" s="165">
        <v>3.73</v>
      </c>
      <c r="G21" s="165">
        <v>28.59</v>
      </c>
      <c r="H21" s="165">
        <v>14.33</v>
      </c>
      <c r="I21" s="165">
        <v>6.77</v>
      </c>
      <c r="J21" s="165">
        <v>0.52</v>
      </c>
      <c r="K21" s="165">
        <v>94.47</v>
      </c>
      <c r="L21" s="165">
        <v>21.06</v>
      </c>
      <c r="M21" s="165">
        <v>93.77</v>
      </c>
      <c r="N21" s="165">
        <v>0</v>
      </c>
      <c r="O21" s="165">
        <v>0</v>
      </c>
      <c r="P21" s="165">
        <v>0.77</v>
      </c>
      <c r="Q21" s="165">
        <v>4.67</v>
      </c>
      <c r="R21" s="13"/>
      <c r="S21" s="13"/>
      <c r="T21" s="213"/>
      <c r="U21" s="13"/>
    </row>
    <row r="22" customFormat="1" spans="1:21">
      <c r="A22" s="142" t="s">
        <v>2658</v>
      </c>
      <c r="B22" s="165">
        <v>25.02</v>
      </c>
      <c r="C22" s="165">
        <v>63.99</v>
      </c>
      <c r="D22" s="165">
        <v>54.85</v>
      </c>
      <c r="E22" s="165">
        <v>7.46</v>
      </c>
      <c r="F22" s="165">
        <v>3.42</v>
      </c>
      <c r="G22" s="165">
        <v>27.51</v>
      </c>
      <c r="H22" s="165">
        <v>14.33</v>
      </c>
      <c r="I22" s="165">
        <v>6.64</v>
      </c>
      <c r="J22" s="165">
        <v>0.52</v>
      </c>
      <c r="K22" s="165">
        <v>90.1</v>
      </c>
      <c r="L22" s="165">
        <v>21.25</v>
      </c>
      <c r="M22" s="165">
        <v>89.33</v>
      </c>
      <c r="N22" s="165">
        <v>0</v>
      </c>
      <c r="O22" s="165">
        <v>0</v>
      </c>
      <c r="P22" s="165">
        <v>0.75</v>
      </c>
      <c r="Q22" s="165">
        <v>4.64</v>
      </c>
      <c r="R22" s="13"/>
      <c r="S22" s="13"/>
      <c r="T22" s="213"/>
      <c r="U22" s="13"/>
    </row>
    <row r="23" customFormat="1" spans="1:21">
      <c r="A23" s="142" t="s">
        <v>2659</v>
      </c>
      <c r="B23" s="165">
        <v>24.25</v>
      </c>
      <c r="C23" s="165">
        <v>63.15</v>
      </c>
      <c r="D23" s="165">
        <v>53.79</v>
      </c>
      <c r="E23" s="165">
        <v>7.34</v>
      </c>
      <c r="F23" s="165">
        <v>3.96</v>
      </c>
      <c r="G23" s="165">
        <v>27.51</v>
      </c>
      <c r="H23" s="165">
        <v>14.33</v>
      </c>
      <c r="I23" s="165">
        <v>6.44</v>
      </c>
      <c r="J23" s="165">
        <v>0.32</v>
      </c>
      <c r="K23" s="165">
        <v>116.81</v>
      </c>
      <c r="L23" s="165">
        <v>21.42</v>
      </c>
      <c r="M23" s="165">
        <v>84.84</v>
      </c>
      <c r="N23" s="165">
        <v>0</v>
      </c>
      <c r="O23" s="165">
        <v>0</v>
      </c>
      <c r="P23" s="165">
        <v>0.72</v>
      </c>
      <c r="Q23" s="165">
        <v>4.67</v>
      </c>
      <c r="R23" s="13"/>
      <c r="S23" s="13"/>
      <c r="T23" s="213"/>
      <c r="U23" s="13"/>
    </row>
    <row r="24" customFormat="1" spans="1:21">
      <c r="A24" s="142" t="s">
        <v>2660</v>
      </c>
      <c r="B24" s="165">
        <v>23.47</v>
      </c>
      <c r="C24" s="165">
        <v>64.38</v>
      </c>
      <c r="D24" s="165">
        <v>53.81</v>
      </c>
      <c r="E24" s="165">
        <v>7.32</v>
      </c>
      <c r="F24" s="165">
        <v>3.56</v>
      </c>
      <c r="G24" s="165">
        <v>27.51</v>
      </c>
      <c r="H24" s="165">
        <v>14.33</v>
      </c>
      <c r="I24" s="165">
        <v>6.23</v>
      </c>
      <c r="J24" s="165">
        <v>0.3</v>
      </c>
      <c r="K24" s="165">
        <v>97.48</v>
      </c>
      <c r="L24" s="165">
        <v>21.63</v>
      </c>
      <c r="M24" s="165">
        <v>80.82</v>
      </c>
      <c r="N24" s="165">
        <v>0</v>
      </c>
      <c r="O24" s="165">
        <v>0</v>
      </c>
      <c r="P24" s="165">
        <v>0.7</v>
      </c>
      <c r="Q24" s="165">
        <v>4.63</v>
      </c>
      <c r="R24" s="13"/>
      <c r="S24" s="13"/>
      <c r="T24" s="213"/>
      <c r="U24" s="13"/>
    </row>
    <row r="25" customFormat="1" spans="1:21">
      <c r="A25" s="142" t="s">
        <v>2661</v>
      </c>
      <c r="B25" s="165">
        <v>22.97</v>
      </c>
      <c r="C25" s="165">
        <v>64.29</v>
      </c>
      <c r="D25" s="165">
        <v>53.36</v>
      </c>
      <c r="E25" s="165">
        <v>7.03</v>
      </c>
      <c r="F25" s="165">
        <v>3.57</v>
      </c>
      <c r="G25" s="165">
        <v>19.11</v>
      </c>
      <c r="H25" s="165">
        <v>10.4</v>
      </c>
      <c r="I25" s="165">
        <v>6</v>
      </c>
      <c r="J25" s="165">
        <v>0.32</v>
      </c>
      <c r="K25" s="165">
        <v>110.59</v>
      </c>
      <c r="L25" s="165">
        <v>21.87</v>
      </c>
      <c r="M25" s="165">
        <v>76.44</v>
      </c>
      <c r="N25" s="165">
        <v>0</v>
      </c>
      <c r="O25" s="165">
        <v>0</v>
      </c>
      <c r="P25" s="165">
        <v>0.68</v>
      </c>
      <c r="Q25" s="165">
        <v>4.67</v>
      </c>
      <c r="R25" s="13"/>
      <c r="S25" s="13"/>
      <c r="T25" s="213"/>
      <c r="U25" s="13"/>
    </row>
    <row r="26" customFormat="1" spans="1:21">
      <c r="A26" s="142" t="s">
        <v>2662</v>
      </c>
      <c r="B26" s="165">
        <v>22.55</v>
      </c>
      <c r="C26" s="165">
        <v>64.46</v>
      </c>
      <c r="D26" s="165">
        <v>53.11</v>
      </c>
      <c r="E26" s="165">
        <v>7.38</v>
      </c>
      <c r="F26" s="165">
        <v>3.59</v>
      </c>
      <c r="G26" s="165">
        <v>18.72</v>
      </c>
      <c r="H26" s="165">
        <v>10.4</v>
      </c>
      <c r="I26" s="165">
        <v>5.83</v>
      </c>
      <c r="J26" s="165">
        <v>0.26</v>
      </c>
      <c r="K26" s="165">
        <v>-0.21</v>
      </c>
      <c r="L26" s="165">
        <v>21.93</v>
      </c>
      <c r="M26" s="165">
        <v>75.7</v>
      </c>
      <c r="N26" s="165">
        <v>0</v>
      </c>
      <c r="O26" s="165">
        <v>0</v>
      </c>
      <c r="P26" s="165">
        <v>0.66</v>
      </c>
      <c r="Q26" s="165">
        <v>4.67</v>
      </c>
      <c r="R26" s="13"/>
      <c r="S26" s="13"/>
      <c r="T26" s="213"/>
      <c r="U26" s="13"/>
    </row>
    <row r="27" customFormat="1" spans="1:21">
      <c r="A27" s="142" t="s">
        <v>2663</v>
      </c>
      <c r="B27" s="180" t="s">
        <v>4</v>
      </c>
      <c r="C27" s="180" t="s">
        <v>4</v>
      </c>
      <c r="D27" s="180" t="s">
        <v>4</v>
      </c>
      <c r="E27" s="180" t="s">
        <v>4</v>
      </c>
      <c r="F27" s="180" t="s">
        <v>4</v>
      </c>
      <c r="G27" s="180" t="s">
        <v>4</v>
      </c>
      <c r="H27" s="180" t="s">
        <v>4</v>
      </c>
      <c r="I27" s="180" t="s">
        <v>4</v>
      </c>
      <c r="J27" s="180" t="s">
        <v>4</v>
      </c>
      <c r="K27" s="180" t="s">
        <v>4</v>
      </c>
      <c r="L27" s="180" t="s">
        <v>4</v>
      </c>
      <c r="M27" s="180" t="s">
        <v>4</v>
      </c>
      <c r="N27" s="180" t="s">
        <v>4</v>
      </c>
      <c r="O27" s="180" t="s">
        <v>4</v>
      </c>
      <c r="P27" s="180" t="s">
        <v>4</v>
      </c>
      <c r="Q27" s="180" t="s">
        <v>4</v>
      </c>
      <c r="R27" s="13"/>
      <c r="S27" s="13"/>
      <c r="T27" s="213"/>
      <c r="U27" s="13"/>
    </row>
    <row r="28" customFormat="1" spans="1:21">
      <c r="A28" s="142" t="s">
        <v>2664</v>
      </c>
      <c r="B28" s="180" t="s">
        <v>4</v>
      </c>
      <c r="C28" s="180" t="s">
        <v>4</v>
      </c>
      <c r="D28" s="180" t="s">
        <v>4</v>
      </c>
      <c r="E28" s="180" t="s">
        <v>4</v>
      </c>
      <c r="F28" s="180" t="s">
        <v>4</v>
      </c>
      <c r="G28" s="180" t="s">
        <v>4</v>
      </c>
      <c r="H28" s="180" t="s">
        <v>4</v>
      </c>
      <c r="I28" s="180" t="s">
        <v>4</v>
      </c>
      <c r="J28" s="180" t="s">
        <v>4</v>
      </c>
      <c r="K28" s="180" t="s">
        <v>4</v>
      </c>
      <c r="L28" s="180" t="s">
        <v>4</v>
      </c>
      <c r="M28" s="180" t="s">
        <v>4</v>
      </c>
      <c r="N28" s="180" t="s">
        <v>4</v>
      </c>
      <c r="O28" s="180" t="s">
        <v>4</v>
      </c>
      <c r="P28" s="180" t="s">
        <v>4</v>
      </c>
      <c r="Q28" s="180" t="s">
        <v>4</v>
      </c>
      <c r="R28" s="13"/>
      <c r="S28" s="13"/>
      <c r="T28" s="213"/>
      <c r="U28" s="13"/>
    </row>
    <row r="29" customFormat="1" spans="1:21">
      <c r="A29" s="142" t="s">
        <v>2665</v>
      </c>
      <c r="B29" s="180" t="s">
        <v>4</v>
      </c>
      <c r="C29" s="180" t="s">
        <v>4</v>
      </c>
      <c r="D29" s="180" t="s">
        <v>4</v>
      </c>
      <c r="E29" s="180" t="s">
        <v>4</v>
      </c>
      <c r="F29" s="180" t="s">
        <v>4</v>
      </c>
      <c r="G29" s="180" t="s">
        <v>4</v>
      </c>
      <c r="H29" s="180" t="s">
        <v>4</v>
      </c>
      <c r="I29" s="180" t="s">
        <v>4</v>
      </c>
      <c r="J29" s="180" t="s">
        <v>4</v>
      </c>
      <c r="K29" s="180" t="s">
        <v>4</v>
      </c>
      <c r="L29" s="180" t="s">
        <v>4</v>
      </c>
      <c r="M29" s="180" t="s">
        <v>4</v>
      </c>
      <c r="N29" s="180" t="s">
        <v>4</v>
      </c>
      <c r="O29" s="180" t="s">
        <v>4</v>
      </c>
      <c r="P29" s="180" t="s">
        <v>4</v>
      </c>
      <c r="Q29" s="180" t="s">
        <v>4</v>
      </c>
      <c r="R29" s="13"/>
      <c r="S29" s="13"/>
      <c r="T29" s="213"/>
      <c r="U29" s="13"/>
    </row>
    <row r="30" customFormat="1" spans="1:21">
      <c r="A30" s="142" t="s">
        <v>2666</v>
      </c>
      <c r="B30" s="180" t="s">
        <v>4</v>
      </c>
      <c r="C30" s="180" t="s">
        <v>4</v>
      </c>
      <c r="D30" s="180" t="s">
        <v>4</v>
      </c>
      <c r="E30" s="180" t="s">
        <v>4</v>
      </c>
      <c r="F30" s="180" t="s">
        <v>4</v>
      </c>
      <c r="G30" s="180" t="s">
        <v>4</v>
      </c>
      <c r="H30" s="180" t="s">
        <v>4</v>
      </c>
      <c r="I30" s="180" t="s">
        <v>4</v>
      </c>
      <c r="J30" s="180" t="s">
        <v>4</v>
      </c>
      <c r="K30" s="180" t="s">
        <v>4</v>
      </c>
      <c r="L30" s="180" t="s">
        <v>4</v>
      </c>
      <c r="M30" s="180" t="s">
        <v>4</v>
      </c>
      <c r="N30" s="180" t="s">
        <v>4</v>
      </c>
      <c r="O30" s="180" t="s">
        <v>4</v>
      </c>
      <c r="P30" s="180" t="s">
        <v>4</v>
      </c>
      <c r="Q30" s="180" t="s">
        <v>4</v>
      </c>
      <c r="R30" s="13"/>
      <c r="S30" s="13"/>
      <c r="T30" s="213"/>
      <c r="U30" s="13"/>
    </row>
    <row r="31" customFormat="1" spans="1:21">
      <c r="A31" s="142" t="s">
        <v>2667</v>
      </c>
      <c r="B31" s="180" t="s">
        <v>4</v>
      </c>
      <c r="C31" s="180" t="s">
        <v>4</v>
      </c>
      <c r="D31" s="180" t="s">
        <v>4</v>
      </c>
      <c r="E31" s="180" t="s">
        <v>4</v>
      </c>
      <c r="F31" s="180" t="s">
        <v>4</v>
      </c>
      <c r="G31" s="180" t="s">
        <v>4</v>
      </c>
      <c r="H31" s="180" t="s">
        <v>4</v>
      </c>
      <c r="I31" s="180" t="s">
        <v>4</v>
      </c>
      <c r="J31" s="180" t="s">
        <v>4</v>
      </c>
      <c r="K31" s="180" t="s">
        <v>4</v>
      </c>
      <c r="L31" s="180" t="s">
        <v>4</v>
      </c>
      <c r="M31" s="180" t="s">
        <v>4</v>
      </c>
      <c r="N31" s="180" t="s">
        <v>4</v>
      </c>
      <c r="O31" s="180" t="s">
        <v>4</v>
      </c>
      <c r="P31" s="180" t="s">
        <v>4</v>
      </c>
      <c r="Q31" s="180" t="s">
        <v>4</v>
      </c>
      <c r="R31" s="13"/>
      <c r="S31" s="13"/>
      <c r="T31" s="213"/>
      <c r="U31" s="13"/>
    </row>
    <row r="32" customFormat="1" spans="1:21">
      <c r="A32" s="142" t="s">
        <v>2668</v>
      </c>
      <c r="B32" s="180" t="s">
        <v>4</v>
      </c>
      <c r="C32" s="180" t="s">
        <v>4</v>
      </c>
      <c r="D32" s="180" t="s">
        <v>4</v>
      </c>
      <c r="E32" s="180" t="s">
        <v>4</v>
      </c>
      <c r="F32" s="180" t="s">
        <v>4</v>
      </c>
      <c r="G32" s="180" t="s">
        <v>4</v>
      </c>
      <c r="H32" s="180" t="s">
        <v>4</v>
      </c>
      <c r="I32" s="180" t="s">
        <v>4</v>
      </c>
      <c r="J32" s="180" t="s">
        <v>4</v>
      </c>
      <c r="K32" s="180" t="s">
        <v>4</v>
      </c>
      <c r="L32" s="180" t="s">
        <v>4</v>
      </c>
      <c r="M32" s="180" t="s">
        <v>4</v>
      </c>
      <c r="N32" s="180" t="s">
        <v>4</v>
      </c>
      <c r="O32" s="180" t="s">
        <v>4</v>
      </c>
      <c r="P32" s="180" t="s">
        <v>4</v>
      </c>
      <c r="Q32" s="180" t="s">
        <v>4</v>
      </c>
      <c r="R32" s="13"/>
      <c r="S32" s="13"/>
      <c r="T32" s="213"/>
      <c r="U32" s="13"/>
    </row>
    <row r="33" customFormat="1" spans="1:21">
      <c r="A33" s="142" t="s">
        <v>2669</v>
      </c>
      <c r="B33" s="180" t="s">
        <v>4</v>
      </c>
      <c r="C33" s="180" t="s">
        <v>4</v>
      </c>
      <c r="D33" s="180" t="s">
        <v>4</v>
      </c>
      <c r="E33" s="180" t="s">
        <v>4</v>
      </c>
      <c r="F33" s="180" t="s">
        <v>4</v>
      </c>
      <c r="G33" s="180" t="s">
        <v>4</v>
      </c>
      <c r="H33" s="180" t="s">
        <v>4</v>
      </c>
      <c r="I33" s="180" t="s">
        <v>4</v>
      </c>
      <c r="J33" s="180" t="s">
        <v>4</v>
      </c>
      <c r="K33" s="180" t="s">
        <v>4</v>
      </c>
      <c r="L33" s="180" t="s">
        <v>4</v>
      </c>
      <c r="M33" s="180" t="s">
        <v>4</v>
      </c>
      <c r="N33" s="180" t="s">
        <v>4</v>
      </c>
      <c r="O33" s="180" t="s">
        <v>4</v>
      </c>
      <c r="P33" s="180" t="s">
        <v>4</v>
      </c>
      <c r="Q33" s="180" t="s">
        <v>4</v>
      </c>
      <c r="R33" s="13"/>
      <c r="S33" s="13"/>
      <c r="T33" s="213"/>
      <c r="U33" s="13"/>
    </row>
    <row r="34" customFormat="1" spans="1:21">
      <c r="A34" s="142" t="s">
        <v>2670</v>
      </c>
      <c r="B34" s="180" t="s">
        <v>4</v>
      </c>
      <c r="C34" s="180" t="s">
        <v>4</v>
      </c>
      <c r="D34" s="180" t="s">
        <v>4</v>
      </c>
      <c r="E34" s="180" t="s">
        <v>4</v>
      </c>
      <c r="F34" s="180" t="s">
        <v>4</v>
      </c>
      <c r="G34" s="180" t="s">
        <v>4</v>
      </c>
      <c r="H34" s="180" t="s">
        <v>4</v>
      </c>
      <c r="I34" s="180" t="s">
        <v>4</v>
      </c>
      <c r="J34" s="180" t="s">
        <v>4</v>
      </c>
      <c r="K34" s="180" t="s">
        <v>4</v>
      </c>
      <c r="L34" s="180" t="s">
        <v>4</v>
      </c>
      <c r="M34" s="180" t="s">
        <v>4</v>
      </c>
      <c r="N34" s="180" t="s">
        <v>4</v>
      </c>
      <c r="O34" s="180" t="s">
        <v>4</v>
      </c>
      <c r="P34" s="180" t="s">
        <v>4</v>
      </c>
      <c r="Q34" s="180" t="s">
        <v>4</v>
      </c>
      <c r="R34" s="13"/>
      <c r="S34" s="13"/>
      <c r="T34" s="213"/>
      <c r="U34" s="13"/>
    </row>
    <row r="35" customFormat="1" spans="1:21">
      <c r="A35" s="142" t="s">
        <v>2671</v>
      </c>
      <c r="B35" s="180" t="s">
        <v>4</v>
      </c>
      <c r="C35" s="180" t="s">
        <v>4</v>
      </c>
      <c r="D35" s="180" t="s">
        <v>4</v>
      </c>
      <c r="E35" s="180" t="s">
        <v>4</v>
      </c>
      <c r="F35" s="180" t="s">
        <v>4</v>
      </c>
      <c r="G35" s="180" t="s">
        <v>4</v>
      </c>
      <c r="H35" s="180" t="s">
        <v>4</v>
      </c>
      <c r="I35" s="180" t="s">
        <v>4</v>
      </c>
      <c r="J35" s="180" t="s">
        <v>4</v>
      </c>
      <c r="K35" s="180" t="s">
        <v>4</v>
      </c>
      <c r="L35" s="180" t="s">
        <v>4</v>
      </c>
      <c r="M35" s="180" t="s">
        <v>4</v>
      </c>
      <c r="N35" s="180" t="s">
        <v>4</v>
      </c>
      <c r="O35" s="180" t="s">
        <v>4</v>
      </c>
      <c r="P35" s="180" t="s">
        <v>4</v>
      </c>
      <c r="Q35" s="180" t="s">
        <v>4</v>
      </c>
      <c r="R35" s="13"/>
      <c r="S35" s="13"/>
      <c r="T35" s="213"/>
      <c r="U35" s="13"/>
    </row>
    <row r="36" customFormat="1" spans="1:21">
      <c r="A36" s="142" t="s">
        <v>2672</v>
      </c>
      <c r="B36" s="180" t="s">
        <v>4</v>
      </c>
      <c r="C36" s="180" t="s">
        <v>4</v>
      </c>
      <c r="D36" s="180" t="s">
        <v>4</v>
      </c>
      <c r="E36" s="180" t="s">
        <v>4</v>
      </c>
      <c r="F36" s="180" t="s">
        <v>4</v>
      </c>
      <c r="G36" s="180" t="s">
        <v>4</v>
      </c>
      <c r="H36" s="180" t="s">
        <v>4</v>
      </c>
      <c r="I36" s="180" t="s">
        <v>4</v>
      </c>
      <c r="J36" s="180" t="s">
        <v>4</v>
      </c>
      <c r="K36" s="180" t="s">
        <v>4</v>
      </c>
      <c r="L36" s="180" t="s">
        <v>4</v>
      </c>
      <c r="M36" s="180" t="s">
        <v>4</v>
      </c>
      <c r="N36" s="180" t="s">
        <v>4</v>
      </c>
      <c r="O36" s="180" t="s">
        <v>4</v>
      </c>
      <c r="P36" s="180" t="s">
        <v>4</v>
      </c>
      <c r="Q36" s="180" t="s">
        <v>4</v>
      </c>
      <c r="R36" s="13"/>
      <c r="S36" s="13"/>
      <c r="T36" s="213"/>
      <c r="U36" s="13"/>
    </row>
    <row r="37" customFormat="1" spans="1:21">
      <c r="A37" s="142" t="s">
        <v>2673</v>
      </c>
      <c r="B37" s="180" t="s">
        <v>4</v>
      </c>
      <c r="C37" s="180" t="s">
        <v>4</v>
      </c>
      <c r="D37" s="180" t="s">
        <v>4</v>
      </c>
      <c r="E37" s="180" t="s">
        <v>4</v>
      </c>
      <c r="F37" s="180" t="s">
        <v>4</v>
      </c>
      <c r="G37" s="180" t="s">
        <v>4</v>
      </c>
      <c r="H37" s="180" t="s">
        <v>4</v>
      </c>
      <c r="I37" s="180" t="s">
        <v>4</v>
      </c>
      <c r="J37" s="180" t="s">
        <v>4</v>
      </c>
      <c r="K37" s="180" t="s">
        <v>4</v>
      </c>
      <c r="L37" s="180" t="s">
        <v>4</v>
      </c>
      <c r="M37" s="180" t="s">
        <v>4</v>
      </c>
      <c r="N37" s="180" t="s">
        <v>4</v>
      </c>
      <c r="O37" s="180" t="s">
        <v>4</v>
      </c>
      <c r="P37" s="180" t="s">
        <v>4</v>
      </c>
      <c r="Q37" s="180" t="s">
        <v>4</v>
      </c>
      <c r="R37" s="13"/>
      <c r="S37" s="13"/>
      <c r="T37" s="213"/>
      <c r="U37" s="13"/>
    </row>
    <row r="38" customFormat="1" spans="1:21">
      <c r="A38" s="142" t="s">
        <v>2674</v>
      </c>
      <c r="B38" s="180" t="s">
        <v>4</v>
      </c>
      <c r="C38" s="180" t="s">
        <v>4</v>
      </c>
      <c r="D38" s="180" t="s">
        <v>4</v>
      </c>
      <c r="E38" s="180" t="s">
        <v>4</v>
      </c>
      <c r="F38" s="180" t="s">
        <v>4</v>
      </c>
      <c r="G38" s="180" t="s">
        <v>4</v>
      </c>
      <c r="H38" s="180" t="s">
        <v>4</v>
      </c>
      <c r="I38" s="180" t="s">
        <v>4</v>
      </c>
      <c r="J38" s="180" t="s">
        <v>4</v>
      </c>
      <c r="K38" s="180" t="s">
        <v>4</v>
      </c>
      <c r="L38" s="180" t="s">
        <v>4</v>
      </c>
      <c r="M38" s="180" t="s">
        <v>4</v>
      </c>
      <c r="N38" s="180" t="s">
        <v>4</v>
      </c>
      <c r="O38" s="180" t="s">
        <v>4</v>
      </c>
      <c r="P38" s="180" t="s">
        <v>4</v>
      </c>
      <c r="Q38" s="180" t="s">
        <v>4</v>
      </c>
      <c r="R38" s="13"/>
      <c r="S38" s="13"/>
      <c r="T38" s="213"/>
      <c r="U38" s="13"/>
    </row>
    <row r="39" customFormat="1" spans="1:21">
      <c r="A39" s="142" t="s">
        <v>2675</v>
      </c>
      <c r="B39" s="180" t="s">
        <v>4</v>
      </c>
      <c r="C39" s="180" t="s">
        <v>4</v>
      </c>
      <c r="D39" s="180" t="s">
        <v>4</v>
      </c>
      <c r="E39" s="180" t="s">
        <v>4</v>
      </c>
      <c r="F39" s="180" t="s">
        <v>4</v>
      </c>
      <c r="G39" s="180" t="s">
        <v>4</v>
      </c>
      <c r="H39" s="180" t="s">
        <v>4</v>
      </c>
      <c r="I39" s="180" t="s">
        <v>4</v>
      </c>
      <c r="J39" s="180" t="s">
        <v>4</v>
      </c>
      <c r="K39" s="180" t="s">
        <v>4</v>
      </c>
      <c r="L39" s="180" t="s">
        <v>4</v>
      </c>
      <c r="M39" s="180" t="s">
        <v>4</v>
      </c>
      <c r="N39" s="180" t="s">
        <v>4</v>
      </c>
      <c r="O39" s="180" t="s">
        <v>4</v>
      </c>
      <c r="P39" s="180" t="s">
        <v>4</v>
      </c>
      <c r="Q39" s="180" t="s">
        <v>4</v>
      </c>
      <c r="R39" s="13"/>
      <c r="S39" s="13"/>
      <c r="T39" s="213"/>
      <c r="U39" s="13"/>
    </row>
    <row r="40" customFormat="1" spans="1:21">
      <c r="A40" s="142" t="s">
        <v>2676</v>
      </c>
      <c r="B40" s="180" t="s">
        <v>4</v>
      </c>
      <c r="C40" s="180" t="s">
        <v>4</v>
      </c>
      <c r="D40" s="180" t="s">
        <v>4</v>
      </c>
      <c r="E40" s="180" t="s">
        <v>4</v>
      </c>
      <c r="F40" s="180" t="s">
        <v>4</v>
      </c>
      <c r="G40" s="180" t="s">
        <v>4</v>
      </c>
      <c r="H40" s="180" t="s">
        <v>4</v>
      </c>
      <c r="I40" s="180" t="s">
        <v>4</v>
      </c>
      <c r="J40" s="180" t="s">
        <v>4</v>
      </c>
      <c r="K40" s="180" t="s">
        <v>4</v>
      </c>
      <c r="L40" s="180" t="s">
        <v>4</v>
      </c>
      <c r="M40" s="180" t="s">
        <v>4</v>
      </c>
      <c r="N40" s="180" t="s">
        <v>4</v>
      </c>
      <c r="O40" s="180" t="s">
        <v>4</v>
      </c>
      <c r="P40" s="180" t="s">
        <v>4</v>
      </c>
      <c r="Q40" s="180" t="s">
        <v>4</v>
      </c>
      <c r="R40" s="13"/>
      <c r="S40" s="13"/>
      <c r="T40" s="213"/>
      <c r="U40" s="13"/>
    </row>
    <row r="41" customFormat="1" spans="1:21">
      <c r="A41" s="142" t="s">
        <v>2677</v>
      </c>
      <c r="B41" s="180" t="s">
        <v>4</v>
      </c>
      <c r="C41" s="180" t="s">
        <v>4</v>
      </c>
      <c r="D41" s="180" t="s">
        <v>4</v>
      </c>
      <c r="E41" s="180" t="s">
        <v>4</v>
      </c>
      <c r="F41" s="180" t="s">
        <v>4</v>
      </c>
      <c r="G41" s="180" t="s">
        <v>4</v>
      </c>
      <c r="H41" s="180" t="s">
        <v>4</v>
      </c>
      <c r="I41" s="180" t="s">
        <v>4</v>
      </c>
      <c r="J41" s="180" t="s">
        <v>4</v>
      </c>
      <c r="K41" s="180" t="s">
        <v>4</v>
      </c>
      <c r="L41" s="180" t="s">
        <v>4</v>
      </c>
      <c r="M41" s="180" t="s">
        <v>4</v>
      </c>
      <c r="N41" s="180" t="s">
        <v>4</v>
      </c>
      <c r="O41" s="180" t="s">
        <v>4</v>
      </c>
      <c r="P41" s="180" t="s">
        <v>4</v>
      </c>
      <c r="Q41" s="180" t="s">
        <v>4</v>
      </c>
      <c r="R41" s="13"/>
      <c r="S41" s="13"/>
      <c r="T41" s="213"/>
      <c r="U41" s="13"/>
    </row>
    <row r="42" customFormat="1" spans="1:21">
      <c r="A42" s="142" t="s">
        <v>2678</v>
      </c>
      <c r="B42" s="180" t="s">
        <v>4</v>
      </c>
      <c r="C42" s="180" t="s">
        <v>4</v>
      </c>
      <c r="D42" s="180" t="s">
        <v>4</v>
      </c>
      <c r="E42" s="180" t="s">
        <v>4</v>
      </c>
      <c r="F42" s="180" t="s">
        <v>4</v>
      </c>
      <c r="G42" s="180" t="s">
        <v>4</v>
      </c>
      <c r="H42" s="180" t="s">
        <v>4</v>
      </c>
      <c r="I42" s="180" t="s">
        <v>4</v>
      </c>
      <c r="J42" s="180" t="s">
        <v>4</v>
      </c>
      <c r="K42" s="180" t="s">
        <v>4</v>
      </c>
      <c r="L42" s="180" t="s">
        <v>4</v>
      </c>
      <c r="M42" s="180" t="s">
        <v>4</v>
      </c>
      <c r="N42" s="180" t="s">
        <v>4</v>
      </c>
      <c r="O42" s="180" t="s">
        <v>4</v>
      </c>
      <c r="P42" s="180" t="s">
        <v>4</v>
      </c>
      <c r="Q42" s="180" t="s">
        <v>4</v>
      </c>
      <c r="R42" s="13"/>
      <c r="S42" s="13"/>
      <c r="T42" s="213"/>
      <c r="U42" s="13"/>
    </row>
    <row r="43" customFormat="1" spans="1:21">
      <c r="A43" s="142" t="s">
        <v>2679</v>
      </c>
      <c r="B43" s="180" t="s">
        <v>4</v>
      </c>
      <c r="C43" s="180" t="s">
        <v>4</v>
      </c>
      <c r="D43" s="180" t="s">
        <v>4</v>
      </c>
      <c r="E43" s="180" t="s">
        <v>4</v>
      </c>
      <c r="F43" s="180" t="s">
        <v>4</v>
      </c>
      <c r="G43" s="180" t="s">
        <v>4</v>
      </c>
      <c r="H43" s="180" t="s">
        <v>4</v>
      </c>
      <c r="I43" s="180" t="s">
        <v>4</v>
      </c>
      <c r="J43" s="180" t="s">
        <v>4</v>
      </c>
      <c r="K43" s="180" t="s">
        <v>4</v>
      </c>
      <c r="L43" s="180" t="s">
        <v>4</v>
      </c>
      <c r="M43" s="180" t="s">
        <v>4</v>
      </c>
      <c r="N43" s="180" t="s">
        <v>4</v>
      </c>
      <c r="O43" s="180" t="s">
        <v>4</v>
      </c>
      <c r="P43" s="180" t="s">
        <v>4</v>
      </c>
      <c r="Q43" s="180" t="s">
        <v>4</v>
      </c>
      <c r="R43" s="13"/>
      <c r="S43" s="13"/>
      <c r="T43" s="213"/>
      <c r="U43" s="13"/>
    </row>
    <row r="44" customFormat="1" spans="1:21">
      <c r="A44" s="142" t="s">
        <v>2680</v>
      </c>
      <c r="B44" s="180" t="s">
        <v>4</v>
      </c>
      <c r="C44" s="180" t="s">
        <v>4</v>
      </c>
      <c r="D44" s="180" t="s">
        <v>4</v>
      </c>
      <c r="E44" s="180" t="s">
        <v>4</v>
      </c>
      <c r="F44" s="180" t="s">
        <v>4</v>
      </c>
      <c r="G44" s="180" t="s">
        <v>4</v>
      </c>
      <c r="H44" s="180" t="s">
        <v>4</v>
      </c>
      <c r="I44" s="180" t="s">
        <v>4</v>
      </c>
      <c r="J44" s="180" t="s">
        <v>4</v>
      </c>
      <c r="K44" s="180" t="s">
        <v>4</v>
      </c>
      <c r="L44" s="180" t="s">
        <v>4</v>
      </c>
      <c r="M44" s="180" t="s">
        <v>4</v>
      </c>
      <c r="N44" s="180" t="s">
        <v>4</v>
      </c>
      <c r="O44" s="180" t="s">
        <v>4</v>
      </c>
      <c r="P44" s="180" t="s">
        <v>4</v>
      </c>
      <c r="Q44" s="180" t="s">
        <v>4</v>
      </c>
      <c r="R44" s="13"/>
      <c r="S44" s="13"/>
      <c r="T44" s="213"/>
      <c r="U44" s="13"/>
    </row>
    <row r="45" customFormat="1" spans="1:21">
      <c r="A45" s="142" t="s">
        <v>2681</v>
      </c>
      <c r="B45" s="180" t="s">
        <v>4</v>
      </c>
      <c r="C45" s="180" t="s">
        <v>4</v>
      </c>
      <c r="D45" s="180" t="s">
        <v>4</v>
      </c>
      <c r="E45" s="180" t="s">
        <v>4</v>
      </c>
      <c r="F45" s="180" t="s">
        <v>4</v>
      </c>
      <c r="G45" s="180" t="s">
        <v>4</v>
      </c>
      <c r="H45" s="180" t="s">
        <v>4</v>
      </c>
      <c r="I45" s="180" t="s">
        <v>4</v>
      </c>
      <c r="J45" s="180" t="s">
        <v>4</v>
      </c>
      <c r="K45" s="180" t="s">
        <v>4</v>
      </c>
      <c r="L45" s="180" t="s">
        <v>4</v>
      </c>
      <c r="M45" s="180" t="s">
        <v>4</v>
      </c>
      <c r="N45" s="180" t="s">
        <v>4</v>
      </c>
      <c r="O45" s="180" t="s">
        <v>4</v>
      </c>
      <c r="P45" s="180" t="s">
        <v>4</v>
      </c>
      <c r="Q45" s="180" t="s">
        <v>4</v>
      </c>
      <c r="R45" s="13"/>
      <c r="S45" s="13"/>
      <c r="T45" s="213"/>
      <c r="U45" s="13"/>
    </row>
    <row r="46" customFormat="1" spans="1:21">
      <c r="A46" s="142" t="s">
        <v>2682</v>
      </c>
      <c r="B46" s="180" t="s">
        <v>4</v>
      </c>
      <c r="C46" s="180" t="s">
        <v>4</v>
      </c>
      <c r="D46" s="180" t="s">
        <v>4</v>
      </c>
      <c r="E46" s="180" t="s">
        <v>4</v>
      </c>
      <c r="F46" s="180" t="s">
        <v>4</v>
      </c>
      <c r="G46" s="180" t="s">
        <v>4</v>
      </c>
      <c r="H46" s="180" t="s">
        <v>4</v>
      </c>
      <c r="I46" s="180" t="s">
        <v>4</v>
      </c>
      <c r="J46" s="180" t="s">
        <v>4</v>
      </c>
      <c r="K46" s="180" t="s">
        <v>4</v>
      </c>
      <c r="L46" s="180" t="s">
        <v>4</v>
      </c>
      <c r="M46" s="180" t="s">
        <v>4</v>
      </c>
      <c r="N46" s="180" t="s">
        <v>4</v>
      </c>
      <c r="O46" s="180" t="s">
        <v>4</v>
      </c>
      <c r="P46" s="180" t="s">
        <v>4</v>
      </c>
      <c r="Q46" s="180" t="s">
        <v>4</v>
      </c>
      <c r="R46" s="13"/>
      <c r="S46" s="13"/>
      <c r="T46" s="213"/>
      <c r="U46" s="13"/>
    </row>
    <row r="47" customFormat="1" spans="1:21">
      <c r="A47" s="142" t="s">
        <v>2683</v>
      </c>
      <c r="B47" s="180" t="s">
        <v>4</v>
      </c>
      <c r="C47" s="180" t="s">
        <v>4</v>
      </c>
      <c r="D47" s="180" t="s">
        <v>4</v>
      </c>
      <c r="E47" s="180" t="s">
        <v>4</v>
      </c>
      <c r="F47" s="180" t="s">
        <v>4</v>
      </c>
      <c r="G47" s="180" t="s">
        <v>4</v>
      </c>
      <c r="H47" s="180" t="s">
        <v>4</v>
      </c>
      <c r="I47" s="180" t="s">
        <v>4</v>
      </c>
      <c r="J47" s="180" t="s">
        <v>4</v>
      </c>
      <c r="K47" s="180" t="s">
        <v>4</v>
      </c>
      <c r="L47" s="180" t="s">
        <v>4</v>
      </c>
      <c r="M47" s="180" t="s">
        <v>4</v>
      </c>
      <c r="N47" s="180" t="s">
        <v>4</v>
      </c>
      <c r="O47" s="180" t="s">
        <v>4</v>
      </c>
      <c r="P47" s="180" t="s">
        <v>4</v>
      </c>
      <c r="Q47" s="180" t="s">
        <v>4</v>
      </c>
      <c r="R47" s="13"/>
      <c r="S47" s="13"/>
      <c r="T47" s="213"/>
      <c r="U47" s="13"/>
    </row>
    <row r="48" customFormat="1" spans="1:21">
      <c r="A48" s="142" t="s">
        <v>2684</v>
      </c>
      <c r="B48" s="180" t="s">
        <v>4</v>
      </c>
      <c r="C48" s="180" t="s">
        <v>4</v>
      </c>
      <c r="D48" s="180" t="s">
        <v>4</v>
      </c>
      <c r="E48" s="180" t="s">
        <v>4</v>
      </c>
      <c r="F48" s="180" t="s">
        <v>4</v>
      </c>
      <c r="G48" s="180" t="s">
        <v>4</v>
      </c>
      <c r="H48" s="180" t="s">
        <v>4</v>
      </c>
      <c r="I48" s="180" t="s">
        <v>4</v>
      </c>
      <c r="J48" s="180" t="s">
        <v>4</v>
      </c>
      <c r="K48" s="180" t="s">
        <v>4</v>
      </c>
      <c r="L48" s="180" t="s">
        <v>4</v>
      </c>
      <c r="M48" s="180" t="s">
        <v>4</v>
      </c>
      <c r="N48" s="180" t="s">
        <v>4</v>
      </c>
      <c r="O48" s="180" t="s">
        <v>4</v>
      </c>
      <c r="P48" s="180" t="s">
        <v>4</v>
      </c>
      <c r="Q48" s="180" t="s">
        <v>4</v>
      </c>
      <c r="R48" s="13"/>
      <c r="S48" s="13"/>
      <c r="T48" s="213"/>
      <c r="U48" s="13"/>
    </row>
    <row r="49" customFormat="1" spans="1:21">
      <c r="A49" s="142" t="s">
        <v>2685</v>
      </c>
      <c r="B49" s="180" t="s">
        <v>4</v>
      </c>
      <c r="C49" s="180" t="s">
        <v>4</v>
      </c>
      <c r="D49" s="180" t="s">
        <v>4</v>
      </c>
      <c r="E49" s="180" t="s">
        <v>4</v>
      </c>
      <c r="F49" s="180" t="s">
        <v>4</v>
      </c>
      <c r="G49" s="180" t="s">
        <v>4</v>
      </c>
      <c r="H49" s="180" t="s">
        <v>4</v>
      </c>
      <c r="I49" s="180" t="s">
        <v>4</v>
      </c>
      <c r="J49" s="180" t="s">
        <v>4</v>
      </c>
      <c r="K49" s="180" t="s">
        <v>4</v>
      </c>
      <c r="L49" s="180" t="s">
        <v>4</v>
      </c>
      <c r="M49" s="180" t="s">
        <v>4</v>
      </c>
      <c r="N49" s="180" t="s">
        <v>4</v>
      </c>
      <c r="O49" s="180" t="s">
        <v>4</v>
      </c>
      <c r="P49" s="180" t="s">
        <v>4</v>
      </c>
      <c r="Q49" s="180" t="s">
        <v>4</v>
      </c>
      <c r="R49" s="13"/>
      <c r="S49" s="13"/>
      <c r="T49" s="213"/>
      <c r="U49" s="13"/>
    </row>
    <row r="50" customFormat="1" spans="1:21">
      <c r="A50" s="142" t="s">
        <v>2686</v>
      </c>
      <c r="B50" s="180" t="s">
        <v>4</v>
      </c>
      <c r="C50" s="180" t="s">
        <v>4</v>
      </c>
      <c r="D50" s="180" t="s">
        <v>4</v>
      </c>
      <c r="E50" s="180" t="s">
        <v>4</v>
      </c>
      <c r="F50" s="180" t="s">
        <v>4</v>
      </c>
      <c r="G50" s="180" t="s">
        <v>4</v>
      </c>
      <c r="H50" s="180" t="s">
        <v>4</v>
      </c>
      <c r="I50" s="180" t="s">
        <v>4</v>
      </c>
      <c r="J50" s="180" t="s">
        <v>4</v>
      </c>
      <c r="K50" s="180" t="s">
        <v>4</v>
      </c>
      <c r="L50" s="180" t="s">
        <v>4</v>
      </c>
      <c r="M50" s="180" t="s">
        <v>4</v>
      </c>
      <c r="N50" s="180" t="s">
        <v>4</v>
      </c>
      <c r="O50" s="180" t="s">
        <v>4</v>
      </c>
      <c r="P50" s="180" t="s">
        <v>4</v>
      </c>
      <c r="Q50" s="180" t="s">
        <v>4</v>
      </c>
      <c r="R50" s="13"/>
      <c r="S50" s="13"/>
      <c r="T50" s="213"/>
      <c r="U50" s="13"/>
    </row>
    <row r="51" customFormat="1" spans="1:21">
      <c r="A51" s="142" t="s">
        <v>2687</v>
      </c>
      <c r="B51" s="180" t="s">
        <v>4</v>
      </c>
      <c r="C51" s="180" t="s">
        <v>4</v>
      </c>
      <c r="D51" s="180" t="s">
        <v>4</v>
      </c>
      <c r="E51" s="180" t="s">
        <v>4</v>
      </c>
      <c r="F51" s="180" t="s">
        <v>4</v>
      </c>
      <c r="G51" s="180" t="s">
        <v>4</v>
      </c>
      <c r="H51" s="180" t="s">
        <v>4</v>
      </c>
      <c r="I51" s="180" t="s">
        <v>4</v>
      </c>
      <c r="J51" s="180" t="s">
        <v>4</v>
      </c>
      <c r="K51" s="180" t="s">
        <v>4</v>
      </c>
      <c r="L51" s="180" t="s">
        <v>4</v>
      </c>
      <c r="M51" s="180" t="s">
        <v>4</v>
      </c>
      <c r="N51" s="180" t="s">
        <v>4</v>
      </c>
      <c r="O51" s="180" t="s">
        <v>4</v>
      </c>
      <c r="P51" s="180" t="s">
        <v>4</v>
      </c>
      <c r="Q51" s="180" t="s">
        <v>4</v>
      </c>
      <c r="R51" s="13"/>
      <c r="S51" s="13"/>
      <c r="T51" s="213"/>
      <c r="U51" s="13"/>
    </row>
    <row r="52" customFormat="1" spans="1:21">
      <c r="A52" s="142" t="s">
        <v>2688</v>
      </c>
      <c r="B52" s="180" t="s">
        <v>4</v>
      </c>
      <c r="C52" s="180" t="s">
        <v>4</v>
      </c>
      <c r="D52" s="180" t="s">
        <v>4</v>
      </c>
      <c r="E52" s="180" t="s">
        <v>4</v>
      </c>
      <c r="F52" s="180" t="s">
        <v>4</v>
      </c>
      <c r="G52" s="180" t="s">
        <v>4</v>
      </c>
      <c r="H52" s="180" t="s">
        <v>4</v>
      </c>
      <c r="I52" s="180" t="s">
        <v>4</v>
      </c>
      <c r="J52" s="180" t="s">
        <v>4</v>
      </c>
      <c r="K52" s="180" t="s">
        <v>4</v>
      </c>
      <c r="L52" s="180" t="s">
        <v>4</v>
      </c>
      <c r="M52" s="180" t="s">
        <v>4</v>
      </c>
      <c r="N52" s="180" t="s">
        <v>4</v>
      </c>
      <c r="O52" s="180" t="s">
        <v>4</v>
      </c>
      <c r="P52" s="180" t="s">
        <v>4</v>
      </c>
      <c r="Q52" s="180" t="s">
        <v>4</v>
      </c>
      <c r="R52" s="13"/>
      <c r="S52" s="13"/>
      <c r="T52" s="213"/>
      <c r="U52" s="13"/>
    </row>
    <row r="53" customFormat="1" spans="1:21">
      <c r="A53" s="142" t="s">
        <v>2689</v>
      </c>
      <c r="B53" s="180" t="s">
        <v>4</v>
      </c>
      <c r="C53" s="180" t="s">
        <v>4</v>
      </c>
      <c r="D53" s="180" t="s">
        <v>4</v>
      </c>
      <c r="E53" s="180" t="s">
        <v>4</v>
      </c>
      <c r="F53" s="180" t="s">
        <v>4</v>
      </c>
      <c r="G53" s="180" t="s">
        <v>4</v>
      </c>
      <c r="H53" s="180" t="s">
        <v>4</v>
      </c>
      <c r="I53" s="180" t="s">
        <v>4</v>
      </c>
      <c r="J53" s="180" t="s">
        <v>4</v>
      </c>
      <c r="K53" s="180" t="s">
        <v>4</v>
      </c>
      <c r="L53" s="180" t="s">
        <v>4</v>
      </c>
      <c r="M53" s="180" t="s">
        <v>4</v>
      </c>
      <c r="N53" s="180" t="s">
        <v>4</v>
      </c>
      <c r="O53" s="180" t="s">
        <v>4</v>
      </c>
      <c r="P53" s="180" t="s">
        <v>4</v>
      </c>
      <c r="Q53" s="180" t="s">
        <v>4</v>
      </c>
      <c r="R53" s="13"/>
      <c r="S53" s="13"/>
      <c r="T53" s="213"/>
      <c r="U53" s="13"/>
    </row>
    <row r="54" customFormat="1" spans="1:21">
      <c r="A54" s="142" t="s">
        <v>2690</v>
      </c>
      <c r="B54" s="180" t="s">
        <v>4</v>
      </c>
      <c r="C54" s="180" t="s">
        <v>4</v>
      </c>
      <c r="D54" s="180" t="s">
        <v>4</v>
      </c>
      <c r="E54" s="180" t="s">
        <v>4</v>
      </c>
      <c r="F54" s="180" t="s">
        <v>4</v>
      </c>
      <c r="G54" s="180" t="s">
        <v>4</v>
      </c>
      <c r="H54" s="180" t="s">
        <v>4</v>
      </c>
      <c r="I54" s="180" t="s">
        <v>4</v>
      </c>
      <c r="J54" s="180" t="s">
        <v>4</v>
      </c>
      <c r="K54" s="180" t="s">
        <v>4</v>
      </c>
      <c r="L54" s="180" t="s">
        <v>4</v>
      </c>
      <c r="M54" s="180" t="s">
        <v>4</v>
      </c>
      <c r="N54" s="180" t="s">
        <v>4</v>
      </c>
      <c r="O54" s="180" t="s">
        <v>4</v>
      </c>
      <c r="P54" s="180" t="s">
        <v>4</v>
      </c>
      <c r="Q54" s="180" t="s">
        <v>4</v>
      </c>
      <c r="R54" s="13"/>
      <c r="S54" s="13"/>
      <c r="T54" s="213"/>
      <c r="U54" s="13"/>
    </row>
    <row r="55" customFormat="1" spans="1:21">
      <c r="A55" s="142" t="s">
        <v>2691</v>
      </c>
      <c r="B55" s="180" t="s">
        <v>4</v>
      </c>
      <c r="C55" s="180" t="s">
        <v>4</v>
      </c>
      <c r="D55" s="180" t="s">
        <v>4</v>
      </c>
      <c r="E55" s="180" t="s">
        <v>4</v>
      </c>
      <c r="F55" s="180" t="s">
        <v>4</v>
      </c>
      <c r="G55" s="180" t="s">
        <v>4</v>
      </c>
      <c r="H55" s="180" t="s">
        <v>4</v>
      </c>
      <c r="I55" s="180" t="s">
        <v>4</v>
      </c>
      <c r="J55" s="180" t="s">
        <v>4</v>
      </c>
      <c r="K55" s="180" t="s">
        <v>4</v>
      </c>
      <c r="L55" s="180" t="s">
        <v>4</v>
      </c>
      <c r="M55" s="180" t="s">
        <v>4</v>
      </c>
      <c r="N55" s="180" t="s">
        <v>4</v>
      </c>
      <c r="O55" s="180" t="s">
        <v>4</v>
      </c>
      <c r="P55" s="180" t="s">
        <v>4</v>
      </c>
      <c r="Q55" s="180" t="s">
        <v>4</v>
      </c>
      <c r="R55" s="13"/>
      <c r="S55" s="13"/>
      <c r="T55" s="213"/>
      <c r="U55" s="13"/>
    </row>
    <row r="56" customFormat="1" spans="1:21">
      <c r="A56" s="142" t="s">
        <v>2692</v>
      </c>
      <c r="B56" s="165">
        <v>6.65</v>
      </c>
      <c r="C56" s="165">
        <v>35.46</v>
      </c>
      <c r="D56" s="165">
        <v>25.21</v>
      </c>
      <c r="E56" s="165">
        <v>4.58</v>
      </c>
      <c r="F56" s="165">
        <v>28.3</v>
      </c>
      <c r="G56" s="165">
        <v>7.53</v>
      </c>
      <c r="H56" s="165">
        <v>3.34</v>
      </c>
      <c r="I56" s="165">
        <v>4.47</v>
      </c>
      <c r="J56" s="165">
        <v>0.66</v>
      </c>
      <c r="K56" s="165">
        <v>255.37</v>
      </c>
      <c r="L56" s="165">
        <v>32.58</v>
      </c>
      <c r="M56" s="165">
        <v>46</v>
      </c>
      <c r="N56" s="165">
        <v>730</v>
      </c>
      <c r="O56" s="165">
        <v>0</v>
      </c>
      <c r="P56" s="165">
        <v>0.19</v>
      </c>
      <c r="Q56" s="165">
        <v>5</v>
      </c>
      <c r="R56" s="13"/>
      <c r="S56" s="13"/>
      <c r="T56" s="213"/>
      <c r="U56" s="13"/>
    </row>
    <row r="57" customFormat="1" spans="1:21">
      <c r="A57" s="142" t="s">
        <v>2693</v>
      </c>
      <c r="B57" s="182" t="s">
        <v>12</v>
      </c>
      <c r="C57" s="182" t="s">
        <v>12</v>
      </c>
      <c r="D57" s="182" t="s">
        <v>12</v>
      </c>
      <c r="E57" s="182" t="s">
        <v>12</v>
      </c>
      <c r="F57" s="165">
        <v>27.88</v>
      </c>
      <c r="G57" s="182" t="s">
        <v>12</v>
      </c>
      <c r="H57" s="182" t="s">
        <v>12</v>
      </c>
      <c r="I57" s="165">
        <v>4.22</v>
      </c>
      <c r="J57" s="165">
        <v>0.89</v>
      </c>
      <c r="K57" s="165">
        <v>253.85</v>
      </c>
      <c r="L57" s="165">
        <v>32.2</v>
      </c>
      <c r="M57" s="165">
        <v>45.58</v>
      </c>
      <c r="N57" s="165">
        <v>544.9</v>
      </c>
      <c r="O57" s="165">
        <v>0</v>
      </c>
      <c r="P57" s="182" t="s">
        <v>12</v>
      </c>
      <c r="Q57" s="165">
        <v>4.66</v>
      </c>
      <c r="R57" s="13"/>
      <c r="S57" s="13"/>
      <c r="T57" s="213"/>
      <c r="U57" s="13"/>
    </row>
    <row r="58" customFormat="1" spans="1:21">
      <c r="A58" s="142" t="s">
        <v>2694</v>
      </c>
      <c r="B58" s="182" t="s">
        <v>12</v>
      </c>
      <c r="C58" s="182" t="s">
        <v>12</v>
      </c>
      <c r="D58" s="182" t="s">
        <v>12</v>
      </c>
      <c r="E58" s="182" t="s">
        <v>12</v>
      </c>
      <c r="F58" s="165">
        <v>23.68</v>
      </c>
      <c r="G58" s="182" t="s">
        <v>12</v>
      </c>
      <c r="H58" s="182" t="s">
        <v>12</v>
      </c>
      <c r="I58" s="165">
        <v>3.44</v>
      </c>
      <c r="J58" s="165">
        <v>0.87</v>
      </c>
      <c r="K58" s="165">
        <v>248.33</v>
      </c>
      <c r="L58" s="165">
        <v>32.16</v>
      </c>
      <c r="M58" s="165">
        <v>46.09</v>
      </c>
      <c r="N58" s="165">
        <v>482.1</v>
      </c>
      <c r="O58" s="165">
        <v>0</v>
      </c>
      <c r="P58" s="182" t="s">
        <v>12</v>
      </c>
      <c r="Q58" s="165">
        <v>4.4</v>
      </c>
      <c r="R58" s="13"/>
      <c r="S58" s="13"/>
      <c r="T58" s="213"/>
      <c r="U58" s="13"/>
    </row>
    <row r="59" customFormat="1" spans="1:21">
      <c r="A59" s="142" t="s">
        <v>2695</v>
      </c>
      <c r="B59" s="182" t="s">
        <v>12</v>
      </c>
      <c r="C59" s="182" t="s">
        <v>12</v>
      </c>
      <c r="D59" s="182" t="s">
        <v>12</v>
      </c>
      <c r="E59" s="182" t="s">
        <v>12</v>
      </c>
      <c r="F59" s="165">
        <v>24.11</v>
      </c>
      <c r="G59" s="182" t="s">
        <v>12</v>
      </c>
      <c r="H59" s="182" t="s">
        <v>12</v>
      </c>
      <c r="I59" s="165">
        <v>5.07</v>
      </c>
      <c r="J59" s="165">
        <v>0.63</v>
      </c>
      <c r="K59" s="165">
        <v>229.1</v>
      </c>
      <c r="L59" s="165">
        <v>32.15</v>
      </c>
      <c r="M59" s="165">
        <v>46.72</v>
      </c>
      <c r="N59" s="165">
        <v>579.8</v>
      </c>
      <c r="O59" s="165">
        <v>0</v>
      </c>
      <c r="P59" s="182" t="s">
        <v>12</v>
      </c>
      <c r="Q59" s="165">
        <v>4.4</v>
      </c>
      <c r="R59" s="13"/>
      <c r="S59" s="13"/>
      <c r="T59" s="213"/>
      <c r="U59" s="13"/>
    </row>
    <row r="60" customFormat="1" spans="1:21">
      <c r="A60" s="142" t="s">
        <v>2696</v>
      </c>
      <c r="B60" s="182" t="s">
        <v>12</v>
      </c>
      <c r="C60" s="182" t="s">
        <v>12</v>
      </c>
      <c r="D60" s="182" t="s">
        <v>12</v>
      </c>
      <c r="E60" s="182" t="s">
        <v>12</v>
      </c>
      <c r="F60" s="165">
        <v>22.65</v>
      </c>
      <c r="G60" s="182" t="s">
        <v>12</v>
      </c>
      <c r="H60" s="182" t="s">
        <v>12</v>
      </c>
      <c r="I60" s="165">
        <v>7.89</v>
      </c>
      <c r="J60" s="165">
        <v>0.72</v>
      </c>
      <c r="K60" s="165">
        <v>266.44</v>
      </c>
      <c r="L60" s="165">
        <v>32.52</v>
      </c>
      <c r="M60" s="165">
        <v>45.91</v>
      </c>
      <c r="N60" s="165">
        <v>481.7</v>
      </c>
      <c r="O60" s="165">
        <v>0</v>
      </c>
      <c r="P60" s="165">
        <v>0.36</v>
      </c>
      <c r="Q60" s="165">
        <v>4.61</v>
      </c>
      <c r="R60" s="13"/>
      <c r="S60" s="13"/>
      <c r="T60" s="213"/>
      <c r="U60" s="13"/>
    </row>
    <row r="61" customFormat="1" spans="1:21">
      <c r="A61" s="142" t="s">
        <v>2697</v>
      </c>
      <c r="B61" s="182" t="s">
        <v>12</v>
      </c>
      <c r="C61" s="182" t="s">
        <v>12</v>
      </c>
      <c r="D61" s="182" t="s">
        <v>12</v>
      </c>
      <c r="E61" s="182" t="s">
        <v>12</v>
      </c>
      <c r="F61" s="165">
        <v>25.78</v>
      </c>
      <c r="G61" s="182" t="s">
        <v>12</v>
      </c>
      <c r="H61" s="182" t="s">
        <v>12</v>
      </c>
      <c r="I61" s="165">
        <v>8.02</v>
      </c>
      <c r="J61" s="165">
        <v>0.51</v>
      </c>
      <c r="K61" s="165">
        <v>245.61</v>
      </c>
      <c r="L61" s="165">
        <v>32.74</v>
      </c>
      <c r="M61" s="165">
        <v>45.7</v>
      </c>
      <c r="N61" s="165">
        <v>529.8</v>
      </c>
      <c r="O61" s="165">
        <v>0</v>
      </c>
      <c r="P61" s="165">
        <v>0.39</v>
      </c>
      <c r="Q61" s="165">
        <v>4.61</v>
      </c>
      <c r="R61" s="13"/>
      <c r="S61" s="13"/>
      <c r="T61" s="213"/>
      <c r="U61" s="13"/>
    </row>
    <row r="62" customFormat="1" spans="1:21">
      <c r="A62" s="142" t="s">
        <v>2698</v>
      </c>
      <c r="B62" s="165">
        <v>3.33</v>
      </c>
      <c r="C62" s="165">
        <v>33.88</v>
      </c>
      <c r="D62" s="165">
        <v>21.72</v>
      </c>
      <c r="E62" s="182" t="s">
        <v>12</v>
      </c>
      <c r="F62" s="165">
        <v>27.65</v>
      </c>
      <c r="G62" s="182" t="s">
        <v>12</v>
      </c>
      <c r="H62" s="182" t="s">
        <v>12</v>
      </c>
      <c r="I62" s="165">
        <v>10.93</v>
      </c>
      <c r="J62" s="165">
        <v>0.58</v>
      </c>
      <c r="K62" s="165">
        <v>232.55</v>
      </c>
      <c r="L62" s="165">
        <v>33.3</v>
      </c>
      <c r="M62" s="165">
        <v>44.52</v>
      </c>
      <c r="N62" s="165">
        <v>644.7</v>
      </c>
      <c r="O62" s="165">
        <v>0</v>
      </c>
      <c r="P62" s="165">
        <v>0.38</v>
      </c>
      <c r="Q62" s="165">
        <v>4.61</v>
      </c>
      <c r="R62" s="13"/>
      <c r="S62" s="13"/>
      <c r="T62" s="213"/>
      <c r="U62" s="13"/>
    </row>
    <row r="63" customFormat="1" spans="1:21">
      <c r="A63" s="142" t="s">
        <v>2699</v>
      </c>
      <c r="B63" s="165">
        <v>10.93</v>
      </c>
      <c r="C63" s="165">
        <v>28.59</v>
      </c>
      <c r="D63" s="165">
        <v>25.05</v>
      </c>
      <c r="E63" s="182" t="s">
        <v>12</v>
      </c>
      <c r="F63" s="165">
        <v>38.21</v>
      </c>
      <c r="G63" s="182" t="s">
        <v>12</v>
      </c>
      <c r="H63" s="182" t="s">
        <v>12</v>
      </c>
      <c r="I63" s="165">
        <v>15.48</v>
      </c>
      <c r="J63" s="165">
        <v>0.85</v>
      </c>
      <c r="K63" s="165">
        <v>254.37</v>
      </c>
      <c r="L63" s="165">
        <v>32.84</v>
      </c>
      <c r="M63" s="165">
        <v>43.79</v>
      </c>
      <c r="N63" s="165">
        <v>451.8</v>
      </c>
      <c r="O63" s="165">
        <v>0</v>
      </c>
      <c r="P63" s="165">
        <v>0.38</v>
      </c>
      <c r="Q63" s="165">
        <v>4.64</v>
      </c>
      <c r="R63" s="13"/>
      <c r="S63" s="13"/>
      <c r="T63" s="213"/>
      <c r="U63" s="13"/>
    </row>
    <row r="64" customFormat="1" spans="1:21">
      <c r="A64" s="142" t="s">
        <v>2700</v>
      </c>
      <c r="B64" s="165">
        <v>6.6</v>
      </c>
      <c r="C64" s="165">
        <v>27.28</v>
      </c>
      <c r="D64" s="165">
        <v>20.9</v>
      </c>
      <c r="E64" s="182" t="s">
        <v>12</v>
      </c>
      <c r="F64" s="165">
        <v>37.32</v>
      </c>
      <c r="G64" s="182" t="s">
        <v>12</v>
      </c>
      <c r="H64" s="182" t="s">
        <v>12</v>
      </c>
      <c r="I64" s="165">
        <v>19.14</v>
      </c>
      <c r="J64" s="165">
        <v>1.01</v>
      </c>
      <c r="K64" s="165">
        <v>284.87</v>
      </c>
      <c r="L64" s="165">
        <v>32.41</v>
      </c>
      <c r="M64" s="165">
        <v>43.49</v>
      </c>
      <c r="N64" s="165">
        <v>260.1</v>
      </c>
      <c r="O64" s="165">
        <v>0</v>
      </c>
      <c r="P64" s="165">
        <v>0.45</v>
      </c>
      <c r="Q64" s="165">
        <v>4.75</v>
      </c>
      <c r="R64" s="13"/>
      <c r="S64" s="13"/>
      <c r="T64" s="213"/>
      <c r="U64" s="13"/>
    </row>
    <row r="65" customFormat="1" spans="1:21">
      <c r="A65" s="142" t="s">
        <v>2701</v>
      </c>
      <c r="B65" s="165">
        <v>4.74</v>
      </c>
      <c r="C65" s="165">
        <v>33.55</v>
      </c>
      <c r="D65" s="165">
        <v>22.68</v>
      </c>
      <c r="E65" s="182" t="s">
        <v>12</v>
      </c>
      <c r="F65" s="165">
        <v>29.35</v>
      </c>
      <c r="G65" s="182" t="s">
        <v>12</v>
      </c>
      <c r="H65" s="182" t="s">
        <v>12</v>
      </c>
      <c r="I65" s="165">
        <v>19.22</v>
      </c>
      <c r="J65" s="165">
        <v>0.57</v>
      </c>
      <c r="K65" s="165">
        <v>269.68</v>
      </c>
      <c r="L65" s="165">
        <v>33.04</v>
      </c>
      <c r="M65" s="165">
        <v>43.71</v>
      </c>
      <c r="N65" s="165">
        <v>484.3</v>
      </c>
      <c r="O65" s="165">
        <v>0</v>
      </c>
      <c r="P65" s="165">
        <v>0.51</v>
      </c>
      <c r="Q65" s="165">
        <v>4.42</v>
      </c>
      <c r="R65" s="13"/>
      <c r="S65" s="13"/>
      <c r="T65" s="213"/>
      <c r="U65" s="13"/>
    </row>
    <row r="66" customFormat="1" spans="1:21">
      <c r="A66" s="142" t="s">
        <v>2702</v>
      </c>
      <c r="B66" s="165">
        <v>10.32</v>
      </c>
      <c r="C66" s="165">
        <v>32.49</v>
      </c>
      <c r="D66" s="165">
        <v>26.6</v>
      </c>
      <c r="E66" s="165">
        <v>7.82</v>
      </c>
      <c r="F66" s="165">
        <v>32.72</v>
      </c>
      <c r="G66" s="165">
        <v>8.48</v>
      </c>
      <c r="H66" s="165">
        <v>0.63</v>
      </c>
      <c r="I66" s="165">
        <v>26.09</v>
      </c>
      <c r="J66" s="165">
        <v>0.53</v>
      </c>
      <c r="K66" s="165">
        <v>266.4</v>
      </c>
      <c r="L66" s="165">
        <v>33.68</v>
      </c>
      <c r="M66" s="165">
        <v>42.88</v>
      </c>
      <c r="N66" s="165">
        <v>462.2</v>
      </c>
      <c r="O66" s="165">
        <v>0</v>
      </c>
      <c r="P66" s="165">
        <v>0.58</v>
      </c>
      <c r="Q66" s="165">
        <v>4.46</v>
      </c>
      <c r="R66" s="13"/>
      <c r="S66" s="13"/>
      <c r="T66" s="213"/>
      <c r="U66" s="13"/>
    </row>
    <row r="67" customFormat="1" spans="1:21">
      <c r="A67" s="142" t="s">
        <v>2703</v>
      </c>
      <c r="B67" s="165">
        <v>4.47</v>
      </c>
      <c r="C67" s="165">
        <v>32.64</v>
      </c>
      <c r="D67" s="165">
        <v>21.99</v>
      </c>
      <c r="E67" s="165">
        <v>11.01</v>
      </c>
      <c r="F67" s="165">
        <v>32.29</v>
      </c>
      <c r="G67" s="165">
        <v>8.48</v>
      </c>
      <c r="H67" s="165">
        <v>0.63</v>
      </c>
      <c r="I67" s="165">
        <v>2.99</v>
      </c>
      <c r="J67" s="165">
        <v>0.76</v>
      </c>
      <c r="K67" s="165">
        <v>261.38</v>
      </c>
      <c r="L67" s="165">
        <v>33.9</v>
      </c>
      <c r="M67" s="165">
        <v>42.31</v>
      </c>
      <c r="N67" s="165">
        <v>709.6</v>
      </c>
      <c r="O67" s="165">
        <v>0</v>
      </c>
      <c r="P67" s="165">
        <v>0.65</v>
      </c>
      <c r="Q67" s="165">
        <v>4.41</v>
      </c>
      <c r="R67" s="13"/>
      <c r="S67" s="13"/>
      <c r="T67" s="213"/>
      <c r="U67" s="13"/>
    </row>
    <row r="68" customFormat="1" spans="1:21">
      <c r="A68" s="142" t="s">
        <v>2704</v>
      </c>
      <c r="B68" s="165">
        <v>3.18</v>
      </c>
      <c r="C68" s="165">
        <v>37</v>
      </c>
      <c r="D68" s="165">
        <v>23.23</v>
      </c>
      <c r="E68" s="165">
        <v>9.25</v>
      </c>
      <c r="F68" s="165">
        <v>13.87</v>
      </c>
      <c r="G68" s="165">
        <v>8.48</v>
      </c>
      <c r="H68" s="165">
        <v>0.63</v>
      </c>
      <c r="I68" s="165">
        <v>37.45</v>
      </c>
      <c r="J68" s="165">
        <v>1.09</v>
      </c>
      <c r="K68" s="165">
        <v>291.73</v>
      </c>
      <c r="L68" s="165">
        <v>33.82</v>
      </c>
      <c r="M68" s="165">
        <v>42.37</v>
      </c>
      <c r="N68" s="165">
        <v>429.4</v>
      </c>
      <c r="O68" s="165">
        <v>0</v>
      </c>
      <c r="P68" s="165">
        <v>0.65</v>
      </c>
      <c r="Q68" s="165">
        <v>4.59</v>
      </c>
      <c r="R68" s="13"/>
      <c r="S68" s="13"/>
      <c r="T68" s="213"/>
      <c r="U68" s="13"/>
    </row>
    <row r="69" customFormat="1" spans="1:21">
      <c r="A69" s="142" t="s">
        <v>2705</v>
      </c>
      <c r="B69" s="165">
        <v>3.4</v>
      </c>
      <c r="C69" s="165">
        <v>39.62</v>
      </c>
      <c r="D69" s="165">
        <v>24.78</v>
      </c>
      <c r="E69" s="165">
        <v>7.99</v>
      </c>
      <c r="F69" s="165">
        <v>11.78</v>
      </c>
      <c r="G69" s="165">
        <v>8.48</v>
      </c>
      <c r="H69" s="165">
        <v>0.63</v>
      </c>
      <c r="I69" s="165">
        <v>37.76</v>
      </c>
      <c r="J69" s="165">
        <v>0.79</v>
      </c>
      <c r="K69" s="165">
        <v>266.25</v>
      </c>
      <c r="L69" s="165">
        <v>33.54</v>
      </c>
      <c r="M69" s="165">
        <v>42.75</v>
      </c>
      <c r="N69" s="165">
        <v>434.7</v>
      </c>
      <c r="O69" s="165">
        <v>0</v>
      </c>
      <c r="P69" s="165">
        <v>0.68</v>
      </c>
      <c r="Q69" s="165">
        <v>4.74</v>
      </c>
      <c r="R69" s="13"/>
      <c r="S69" s="13"/>
      <c r="T69" s="213"/>
      <c r="U69" s="13"/>
    </row>
    <row r="70" customFormat="1" spans="1:21">
      <c r="A70" s="142" t="s">
        <v>2706</v>
      </c>
      <c r="B70" s="165">
        <v>3.89</v>
      </c>
      <c r="C70" s="165">
        <v>40.67</v>
      </c>
      <c r="D70" s="165">
        <v>25.72</v>
      </c>
      <c r="E70" s="165">
        <v>8.52</v>
      </c>
      <c r="F70" s="165">
        <v>15.74</v>
      </c>
      <c r="G70" s="165">
        <v>14.05</v>
      </c>
      <c r="H70" s="165">
        <v>5.05</v>
      </c>
      <c r="I70" s="165">
        <v>38.01</v>
      </c>
      <c r="J70" s="165">
        <v>0.99</v>
      </c>
      <c r="K70" s="165">
        <v>291</v>
      </c>
      <c r="L70" s="165">
        <v>33.08</v>
      </c>
      <c r="M70" s="165">
        <v>42.99</v>
      </c>
      <c r="N70" s="165">
        <v>224</v>
      </c>
      <c r="O70" s="165">
        <v>0</v>
      </c>
      <c r="P70" s="165">
        <v>0.68</v>
      </c>
      <c r="Q70" s="165">
        <v>4.79</v>
      </c>
      <c r="R70" s="13"/>
      <c r="S70" s="13"/>
      <c r="T70" s="213"/>
      <c r="U70" s="13"/>
    </row>
    <row r="71" customFormat="1" spans="1:21">
      <c r="A71" s="142" t="s">
        <v>2707</v>
      </c>
      <c r="B71" s="165">
        <v>4.31</v>
      </c>
      <c r="C71" s="165">
        <v>43.45</v>
      </c>
      <c r="D71" s="165">
        <v>27.5</v>
      </c>
      <c r="E71" s="165">
        <v>7.66</v>
      </c>
      <c r="F71" s="165">
        <v>9.64</v>
      </c>
      <c r="G71" s="165">
        <v>23.67</v>
      </c>
      <c r="H71" s="165">
        <v>9.6</v>
      </c>
      <c r="I71" s="165">
        <v>35.9</v>
      </c>
      <c r="J71" s="165">
        <v>1.01</v>
      </c>
      <c r="K71" s="165">
        <v>277.61</v>
      </c>
      <c r="L71" s="165">
        <v>33.07</v>
      </c>
      <c r="M71" s="165">
        <v>43.4</v>
      </c>
      <c r="N71" s="165">
        <v>313.5</v>
      </c>
      <c r="O71" s="165">
        <v>0</v>
      </c>
      <c r="P71" s="165">
        <v>0.68</v>
      </c>
      <c r="Q71" s="165">
        <v>4.74</v>
      </c>
      <c r="R71" s="13"/>
      <c r="S71" s="13"/>
      <c r="T71" s="213"/>
      <c r="U71" s="13"/>
    </row>
    <row r="72" customFormat="1" spans="1:21">
      <c r="A72" s="142" t="s">
        <v>2708</v>
      </c>
      <c r="B72" s="165">
        <v>4.88</v>
      </c>
      <c r="C72" s="165">
        <v>48.96</v>
      </c>
      <c r="D72" s="165">
        <v>30.84</v>
      </c>
      <c r="E72" s="165">
        <v>8.16</v>
      </c>
      <c r="F72" s="165">
        <v>10.21</v>
      </c>
      <c r="G72" s="165">
        <v>23.67</v>
      </c>
      <c r="H72" s="165">
        <v>9.6</v>
      </c>
      <c r="I72" s="165">
        <v>32.38</v>
      </c>
      <c r="J72" s="165">
        <v>0.66</v>
      </c>
      <c r="K72" s="165">
        <v>283.69</v>
      </c>
      <c r="L72" s="165">
        <v>33.42</v>
      </c>
      <c r="M72" s="165">
        <v>43.66</v>
      </c>
      <c r="N72" s="165">
        <v>318.8</v>
      </c>
      <c r="O72" s="165">
        <v>0</v>
      </c>
      <c r="P72" s="165">
        <v>0.69</v>
      </c>
      <c r="Q72" s="165">
        <v>4.55</v>
      </c>
      <c r="R72" s="13"/>
      <c r="S72" s="13"/>
      <c r="T72" s="213"/>
      <c r="U72" s="13"/>
    </row>
    <row r="73" customFormat="1" spans="1:21">
      <c r="A73" s="142" t="s">
        <v>2709</v>
      </c>
      <c r="B73" s="165">
        <v>5.39</v>
      </c>
      <c r="C73" s="165">
        <v>50.39</v>
      </c>
      <c r="D73" s="165">
        <v>32</v>
      </c>
      <c r="E73" s="165">
        <v>8.04</v>
      </c>
      <c r="F73" s="165">
        <v>12.24</v>
      </c>
      <c r="G73" s="165">
        <v>23.67</v>
      </c>
      <c r="H73" s="165">
        <v>9.6</v>
      </c>
      <c r="I73" s="165">
        <v>31.95</v>
      </c>
      <c r="J73" s="165">
        <v>0.52</v>
      </c>
      <c r="K73" s="165">
        <v>288.78</v>
      </c>
      <c r="L73" s="165">
        <v>34.35</v>
      </c>
      <c r="M73" s="165">
        <v>39.42</v>
      </c>
      <c r="N73" s="165">
        <v>457.6</v>
      </c>
      <c r="O73" s="165">
        <v>0</v>
      </c>
      <c r="P73" s="165">
        <v>0.68</v>
      </c>
      <c r="Q73" s="165">
        <v>4.59</v>
      </c>
      <c r="R73" s="13"/>
      <c r="S73" s="13"/>
      <c r="T73" s="213"/>
      <c r="U73" s="13"/>
    </row>
    <row r="74" customFormat="1" spans="1:21">
      <c r="A74" s="142" t="s">
        <v>2710</v>
      </c>
      <c r="B74" s="165">
        <v>5.35</v>
      </c>
      <c r="C74" s="165">
        <v>48.31</v>
      </c>
      <c r="D74" s="165">
        <v>30.89</v>
      </c>
      <c r="E74" s="165">
        <v>9.1</v>
      </c>
      <c r="F74" s="165">
        <v>17.41</v>
      </c>
      <c r="G74" s="165">
        <v>24.81</v>
      </c>
      <c r="H74" s="165">
        <v>11.49</v>
      </c>
      <c r="I74" s="165">
        <v>29.13</v>
      </c>
      <c r="J74" s="165">
        <v>0.61</v>
      </c>
      <c r="K74" s="165">
        <v>242.16</v>
      </c>
      <c r="L74" s="165">
        <v>34.61</v>
      </c>
      <c r="M74" s="165">
        <v>41.26</v>
      </c>
      <c r="N74" s="165">
        <v>343.7</v>
      </c>
      <c r="O74" s="165">
        <v>0</v>
      </c>
      <c r="P74" s="165">
        <v>0.69</v>
      </c>
      <c r="Q74" s="165">
        <v>4.58</v>
      </c>
      <c r="R74" s="13"/>
      <c r="S74" s="13"/>
      <c r="T74" s="213"/>
      <c r="U74" s="13"/>
    </row>
    <row r="75" customFormat="1" spans="1:21">
      <c r="A75" s="142" t="s">
        <v>2711</v>
      </c>
      <c r="B75" s="165">
        <v>5.63</v>
      </c>
      <c r="C75" s="165">
        <v>53.4</v>
      </c>
      <c r="D75" s="165">
        <v>33.77</v>
      </c>
      <c r="E75" s="165">
        <v>8.44</v>
      </c>
      <c r="F75" s="165">
        <v>7.36</v>
      </c>
      <c r="G75" s="165">
        <v>26.8</v>
      </c>
      <c r="H75" s="165">
        <v>13.48</v>
      </c>
      <c r="I75" s="165">
        <v>28.03</v>
      </c>
      <c r="J75" s="165">
        <v>0.65</v>
      </c>
      <c r="K75" s="165">
        <v>235.44</v>
      </c>
      <c r="L75" s="165">
        <v>34.28</v>
      </c>
      <c r="M75" s="165">
        <v>41.8</v>
      </c>
      <c r="N75" s="165">
        <v>352.2</v>
      </c>
      <c r="O75" s="165">
        <v>0</v>
      </c>
      <c r="P75" s="165">
        <v>0.72</v>
      </c>
      <c r="Q75" s="165">
        <v>4.75</v>
      </c>
      <c r="R75" s="13"/>
      <c r="S75" s="13"/>
      <c r="T75" s="213"/>
      <c r="U75" s="13"/>
    </row>
    <row r="76" customFormat="1" spans="1:21">
      <c r="A76" s="142" t="s">
        <v>2712</v>
      </c>
      <c r="B76" s="165">
        <v>6.07</v>
      </c>
      <c r="C76" s="165">
        <v>54.89</v>
      </c>
      <c r="D76" s="165">
        <v>34.9</v>
      </c>
      <c r="E76" s="165">
        <v>9.44</v>
      </c>
      <c r="F76" s="165">
        <v>9.33</v>
      </c>
      <c r="G76" s="165">
        <v>26.8</v>
      </c>
      <c r="H76" s="165">
        <v>13.48</v>
      </c>
      <c r="I76" s="165">
        <v>25.32</v>
      </c>
      <c r="J76" s="165">
        <v>0.55</v>
      </c>
      <c r="K76" s="165">
        <v>220.86</v>
      </c>
      <c r="L76" s="165">
        <v>34.15</v>
      </c>
      <c r="M76" s="165">
        <v>42.19</v>
      </c>
      <c r="N76" s="165">
        <v>230.1</v>
      </c>
      <c r="O76" s="165">
        <v>0</v>
      </c>
      <c r="P76" s="165">
        <v>0.73</v>
      </c>
      <c r="Q76" s="165">
        <v>4.82</v>
      </c>
      <c r="R76" s="13"/>
      <c r="S76" s="13"/>
      <c r="T76" s="213"/>
      <c r="U76" s="13"/>
    </row>
    <row r="77" customFormat="1" spans="1:21">
      <c r="A77" s="142" t="s">
        <v>2713</v>
      </c>
      <c r="B77" s="165">
        <v>6.09</v>
      </c>
      <c r="C77" s="165">
        <v>52.38</v>
      </c>
      <c r="D77" s="165">
        <v>33.6</v>
      </c>
      <c r="E77" s="165">
        <v>8.15</v>
      </c>
      <c r="F77" s="165">
        <v>9.74</v>
      </c>
      <c r="G77" s="165">
        <v>26.8</v>
      </c>
      <c r="H77" s="165">
        <v>13.48</v>
      </c>
      <c r="I77" s="165">
        <v>25.49</v>
      </c>
      <c r="J77" s="165">
        <v>0.76</v>
      </c>
      <c r="K77" s="165">
        <v>227.98</v>
      </c>
      <c r="L77" s="165">
        <v>33.16</v>
      </c>
      <c r="M77" s="165">
        <v>44.29</v>
      </c>
      <c r="N77" s="165">
        <v>157</v>
      </c>
      <c r="O77" s="165">
        <v>0</v>
      </c>
      <c r="P77" s="165">
        <v>0.7</v>
      </c>
      <c r="Q77" s="165">
        <v>4.76</v>
      </c>
      <c r="R77" s="13"/>
      <c r="S77" s="13"/>
      <c r="T77" s="213"/>
      <c r="U77" s="13"/>
    </row>
    <row r="78" customFormat="1" spans="1:21">
      <c r="A78" s="142" t="s">
        <v>2714</v>
      </c>
      <c r="B78" s="165">
        <v>6.3</v>
      </c>
      <c r="C78" s="165">
        <v>55.61</v>
      </c>
      <c r="D78" s="165">
        <v>35.46</v>
      </c>
      <c r="E78" s="165">
        <v>7.6</v>
      </c>
      <c r="F78" s="165">
        <v>10.05</v>
      </c>
      <c r="G78" s="165">
        <v>28.37</v>
      </c>
      <c r="H78" s="165">
        <v>14.13</v>
      </c>
      <c r="I78" s="165">
        <v>24.56</v>
      </c>
      <c r="J78" s="165">
        <v>0.49</v>
      </c>
      <c r="K78" s="165">
        <v>217.59</v>
      </c>
      <c r="L78" s="165">
        <v>32.66</v>
      </c>
      <c r="M78" s="165">
        <v>45.2</v>
      </c>
      <c r="N78" s="165">
        <v>115.8</v>
      </c>
      <c r="O78" s="165">
        <v>0</v>
      </c>
      <c r="P78" s="165">
        <v>0.69</v>
      </c>
      <c r="Q78" s="165">
        <v>4.88</v>
      </c>
      <c r="R78" s="13"/>
      <c r="S78" s="13"/>
      <c r="T78" s="213"/>
      <c r="U78" s="13"/>
    </row>
    <row r="79" customFormat="1" spans="1:21">
      <c r="A79" s="142" t="s">
        <v>2715</v>
      </c>
      <c r="B79" s="165">
        <v>6.37</v>
      </c>
      <c r="C79" s="165">
        <v>50.9</v>
      </c>
      <c r="D79" s="165">
        <v>33.05</v>
      </c>
      <c r="E79" s="165">
        <v>7.68</v>
      </c>
      <c r="F79" s="165">
        <v>14.86</v>
      </c>
      <c r="G79" s="165">
        <v>31.09</v>
      </c>
      <c r="H79" s="165">
        <v>14.79</v>
      </c>
      <c r="I79" s="165">
        <v>23.2</v>
      </c>
      <c r="J79" s="165">
        <v>0.32</v>
      </c>
      <c r="K79" s="165">
        <v>223.87</v>
      </c>
      <c r="L79" s="165">
        <v>32.35</v>
      </c>
      <c r="M79" s="165">
        <v>47.03</v>
      </c>
      <c r="N79" s="165">
        <v>63.9</v>
      </c>
      <c r="O79" s="165">
        <v>0</v>
      </c>
      <c r="P79" s="165">
        <v>0.63</v>
      </c>
      <c r="Q79" s="165">
        <v>4.82</v>
      </c>
      <c r="R79" s="13"/>
      <c r="S79" s="13"/>
      <c r="T79" s="213"/>
      <c r="U79" s="13"/>
    </row>
    <row r="80" customFormat="1" spans="1:21">
      <c r="A80" s="142" t="s">
        <v>2716</v>
      </c>
      <c r="B80" s="165">
        <v>6.43</v>
      </c>
      <c r="C80" s="165">
        <v>49.32</v>
      </c>
      <c r="D80" s="165">
        <v>32.28</v>
      </c>
      <c r="E80" s="165">
        <v>7.77</v>
      </c>
      <c r="F80" s="165">
        <v>22.25</v>
      </c>
      <c r="G80" s="165">
        <v>31.09</v>
      </c>
      <c r="H80" s="165">
        <v>14.79</v>
      </c>
      <c r="I80" s="165">
        <v>21.74</v>
      </c>
      <c r="J80" s="165">
        <v>0.17</v>
      </c>
      <c r="K80" s="165">
        <v>190.7</v>
      </c>
      <c r="L80" s="165">
        <v>31.75</v>
      </c>
      <c r="M80" s="165">
        <v>49.54</v>
      </c>
      <c r="N80" s="165">
        <v>27</v>
      </c>
      <c r="O80" s="165">
        <v>0</v>
      </c>
      <c r="P80" s="165">
        <v>0.6</v>
      </c>
      <c r="Q80" s="165">
        <v>4.78</v>
      </c>
      <c r="R80" s="13"/>
      <c r="S80" s="13"/>
      <c r="T80" s="213"/>
      <c r="U80" s="13"/>
    </row>
    <row r="81" customFormat="1" spans="1:21">
      <c r="A81" s="142" t="s">
        <v>2717</v>
      </c>
      <c r="B81" s="165">
        <v>6.25</v>
      </c>
      <c r="C81" s="165">
        <v>42.92</v>
      </c>
      <c r="D81" s="165">
        <v>28.79</v>
      </c>
      <c r="E81" s="165">
        <v>8.74</v>
      </c>
      <c r="F81" s="165">
        <v>28.45</v>
      </c>
      <c r="G81" s="165">
        <v>31.09</v>
      </c>
      <c r="H81" s="165">
        <v>14.79</v>
      </c>
      <c r="I81" s="165">
        <v>19.85</v>
      </c>
      <c r="J81" s="165">
        <v>0.16</v>
      </c>
      <c r="K81" s="165">
        <v>185.39</v>
      </c>
      <c r="L81" s="165">
        <v>30.87</v>
      </c>
      <c r="M81" s="165">
        <v>53.28</v>
      </c>
      <c r="N81" s="165">
        <v>0.5</v>
      </c>
      <c r="O81" s="165">
        <v>0</v>
      </c>
      <c r="P81" s="165">
        <v>0.55</v>
      </c>
      <c r="Q81" s="165">
        <v>4.75</v>
      </c>
      <c r="R81" s="13"/>
      <c r="S81" s="13"/>
      <c r="T81" s="213"/>
      <c r="U81" s="13"/>
    </row>
    <row r="82" customFormat="1" spans="1:21">
      <c r="A82" s="142" t="s">
        <v>2718</v>
      </c>
      <c r="B82" s="165">
        <v>6.5</v>
      </c>
      <c r="C82" s="165">
        <v>39.82</v>
      </c>
      <c r="D82" s="165">
        <v>27.37</v>
      </c>
      <c r="E82" s="165">
        <v>9.35</v>
      </c>
      <c r="F82" s="165">
        <v>29.74</v>
      </c>
      <c r="G82" s="165">
        <v>29.02</v>
      </c>
      <c r="H82" s="165">
        <v>14.2</v>
      </c>
      <c r="I82" s="165">
        <v>16.68</v>
      </c>
      <c r="J82" s="165">
        <v>0.16</v>
      </c>
      <c r="K82" s="165">
        <v>192.12</v>
      </c>
      <c r="L82" s="165">
        <v>30.12</v>
      </c>
      <c r="M82" s="165">
        <v>56.15</v>
      </c>
      <c r="N82" s="165">
        <v>0</v>
      </c>
      <c r="O82" s="165">
        <v>0</v>
      </c>
      <c r="P82" s="165">
        <v>0.53</v>
      </c>
      <c r="Q82" s="165">
        <v>4.59</v>
      </c>
      <c r="R82" s="13"/>
      <c r="S82" s="13"/>
      <c r="T82" s="213"/>
      <c r="U82" s="13"/>
    </row>
    <row r="83" customFormat="1" spans="1:21">
      <c r="A83" s="142" t="s">
        <v>2719</v>
      </c>
      <c r="B83" s="165">
        <v>7.85</v>
      </c>
      <c r="C83" s="165">
        <v>50.32</v>
      </c>
      <c r="D83" s="165">
        <v>33.94</v>
      </c>
      <c r="E83" s="165">
        <v>9.29</v>
      </c>
      <c r="F83" s="165">
        <v>16.76</v>
      </c>
      <c r="G83" s="165">
        <v>25.45</v>
      </c>
      <c r="H83" s="165">
        <v>12.37</v>
      </c>
      <c r="I83" s="165">
        <v>14.76</v>
      </c>
      <c r="J83" s="165">
        <v>0.15</v>
      </c>
      <c r="K83" s="165">
        <v>196.84</v>
      </c>
      <c r="L83" s="165">
        <v>29.58</v>
      </c>
      <c r="M83" s="165">
        <v>58.59</v>
      </c>
      <c r="N83" s="165">
        <v>0</v>
      </c>
      <c r="O83" s="165">
        <v>0</v>
      </c>
      <c r="P83" s="165">
        <v>0.59</v>
      </c>
      <c r="Q83" s="165">
        <v>4.77</v>
      </c>
      <c r="R83" s="13"/>
      <c r="S83" s="13"/>
      <c r="T83" s="213"/>
      <c r="U83" s="13"/>
    </row>
    <row r="84" customFormat="1" spans="1:21">
      <c r="A84" s="142" t="s">
        <v>2720</v>
      </c>
      <c r="B84" s="165">
        <v>7.63</v>
      </c>
      <c r="C84" s="165">
        <v>45.9</v>
      </c>
      <c r="D84" s="165">
        <v>31.45</v>
      </c>
      <c r="E84" s="165">
        <v>10.02</v>
      </c>
      <c r="F84" s="165">
        <v>25.76</v>
      </c>
      <c r="G84" s="165">
        <v>25.45</v>
      </c>
      <c r="H84" s="165">
        <v>12.37</v>
      </c>
      <c r="I84" s="165">
        <v>13.83</v>
      </c>
      <c r="J84" s="165">
        <v>0.19</v>
      </c>
      <c r="K84" s="165">
        <v>192.54</v>
      </c>
      <c r="L84" s="165">
        <v>29.25</v>
      </c>
      <c r="M84" s="165">
        <v>59.45</v>
      </c>
      <c r="N84" s="165">
        <v>0</v>
      </c>
      <c r="O84" s="165">
        <v>0</v>
      </c>
      <c r="P84" s="165">
        <v>0.54</v>
      </c>
      <c r="Q84" s="165">
        <v>4.87</v>
      </c>
      <c r="R84" s="13"/>
      <c r="S84" s="13"/>
      <c r="T84" s="213"/>
      <c r="U84" s="13"/>
    </row>
    <row r="85" customFormat="1" spans="1:21">
      <c r="A85" s="142" t="s">
        <v>2721</v>
      </c>
      <c r="B85" s="165">
        <v>7.91</v>
      </c>
      <c r="C85" s="165">
        <v>42.35</v>
      </c>
      <c r="D85" s="165">
        <v>29.82</v>
      </c>
      <c r="E85" s="165">
        <v>9.69</v>
      </c>
      <c r="F85" s="165">
        <v>22.02</v>
      </c>
      <c r="G85" s="165">
        <v>25.45</v>
      </c>
      <c r="H85" s="165">
        <v>12.37</v>
      </c>
      <c r="I85" s="165">
        <v>15.56</v>
      </c>
      <c r="J85" s="165">
        <v>0.19</v>
      </c>
      <c r="K85" s="165">
        <v>154.05</v>
      </c>
      <c r="L85" s="165">
        <v>29</v>
      </c>
      <c r="M85" s="165">
        <v>60.67</v>
      </c>
      <c r="N85" s="165">
        <v>0</v>
      </c>
      <c r="O85" s="165">
        <v>0</v>
      </c>
      <c r="P85" s="165">
        <v>0.53</v>
      </c>
      <c r="Q85" s="165">
        <v>4.68</v>
      </c>
      <c r="R85" s="13"/>
      <c r="S85" s="13"/>
      <c r="T85" s="213"/>
      <c r="U85" s="13"/>
    </row>
    <row r="86" customFormat="1" spans="1:21">
      <c r="A86" s="142" t="s">
        <v>2722</v>
      </c>
      <c r="B86" s="165">
        <v>9.28</v>
      </c>
      <c r="C86" s="165">
        <v>52.56</v>
      </c>
      <c r="D86" s="165">
        <v>36.25</v>
      </c>
      <c r="E86" s="165">
        <v>9.57</v>
      </c>
      <c r="F86" s="165">
        <v>15.6</v>
      </c>
      <c r="G86" s="165">
        <v>24.8</v>
      </c>
      <c r="H86" s="165">
        <v>12.85</v>
      </c>
      <c r="I86" s="165">
        <v>13.84</v>
      </c>
      <c r="J86" s="165">
        <v>0.16</v>
      </c>
      <c r="K86" s="165">
        <v>147.39</v>
      </c>
      <c r="L86" s="165">
        <v>28.55</v>
      </c>
      <c r="M86" s="165">
        <v>63.83</v>
      </c>
      <c r="N86" s="165">
        <v>0</v>
      </c>
      <c r="O86" s="165">
        <v>0</v>
      </c>
      <c r="P86" s="165">
        <v>0.59</v>
      </c>
      <c r="Q86" s="165">
        <v>4.8</v>
      </c>
      <c r="R86" s="13"/>
      <c r="S86" s="13"/>
      <c r="T86" s="213"/>
      <c r="U86" s="13"/>
    </row>
    <row r="87" customFormat="1" spans="1:21">
      <c r="A87" s="142" t="s">
        <v>2723</v>
      </c>
      <c r="B87" s="165">
        <v>9.24</v>
      </c>
      <c r="C87" s="165">
        <v>47.45</v>
      </c>
      <c r="D87" s="165">
        <v>33.55</v>
      </c>
      <c r="E87" s="165">
        <v>10.17</v>
      </c>
      <c r="F87" s="165">
        <v>16.76</v>
      </c>
      <c r="G87" s="165">
        <v>23.68</v>
      </c>
      <c r="H87" s="165">
        <v>13.36</v>
      </c>
      <c r="I87" s="165">
        <v>14.28</v>
      </c>
      <c r="J87" s="165">
        <v>0.13</v>
      </c>
      <c r="K87" s="165">
        <v>159.06</v>
      </c>
      <c r="L87" s="165">
        <v>28.12</v>
      </c>
      <c r="M87" s="165">
        <v>67.22</v>
      </c>
      <c r="N87" s="165">
        <v>0</v>
      </c>
      <c r="O87" s="165">
        <v>0</v>
      </c>
      <c r="P87" s="165">
        <v>0.56</v>
      </c>
      <c r="Q87" s="165">
        <v>4.97</v>
      </c>
      <c r="R87" s="13"/>
      <c r="S87" s="13"/>
      <c r="T87" s="213"/>
      <c r="U87" s="13"/>
    </row>
    <row r="88" customFormat="1" spans="1:21">
      <c r="A88" s="142" t="s">
        <v>2724</v>
      </c>
      <c r="B88" s="165">
        <v>10.86</v>
      </c>
      <c r="C88" s="165">
        <v>53.8</v>
      </c>
      <c r="D88" s="165">
        <v>38.17</v>
      </c>
      <c r="E88" s="165">
        <v>10.49</v>
      </c>
      <c r="F88" s="165">
        <v>7.76</v>
      </c>
      <c r="G88" s="165">
        <v>23.68</v>
      </c>
      <c r="H88" s="165">
        <v>13.36</v>
      </c>
      <c r="I88" s="165">
        <v>14.59</v>
      </c>
      <c r="J88" s="165">
        <v>0.14</v>
      </c>
      <c r="K88" s="165">
        <v>148.32</v>
      </c>
      <c r="L88" s="165">
        <v>27.95</v>
      </c>
      <c r="M88" s="165">
        <v>66.11</v>
      </c>
      <c r="N88" s="165">
        <v>0</v>
      </c>
      <c r="O88" s="165">
        <v>0</v>
      </c>
      <c r="P88" s="165">
        <v>0.6</v>
      </c>
      <c r="Q88" s="165">
        <v>4.98</v>
      </c>
      <c r="R88" s="13"/>
      <c r="S88" s="13"/>
      <c r="T88" s="213"/>
      <c r="U88" s="13"/>
    </row>
    <row r="89" customFormat="1" spans="1:21">
      <c r="A89" s="142" t="s">
        <v>2725</v>
      </c>
      <c r="B89" s="165">
        <v>10.49</v>
      </c>
      <c r="C89" s="165">
        <v>49.2</v>
      </c>
      <c r="D89" s="165">
        <v>35.47</v>
      </c>
      <c r="E89" s="165">
        <v>10.36</v>
      </c>
      <c r="F89" s="165">
        <v>18.26</v>
      </c>
      <c r="G89" s="165">
        <v>23.68</v>
      </c>
      <c r="H89" s="165">
        <v>13.36</v>
      </c>
      <c r="I89" s="165">
        <v>13.91</v>
      </c>
      <c r="J89" s="165">
        <v>0.09</v>
      </c>
      <c r="K89" s="165">
        <v>146.39</v>
      </c>
      <c r="L89" s="165">
        <v>27.91</v>
      </c>
      <c r="M89" s="165">
        <v>66.02</v>
      </c>
      <c r="N89" s="165">
        <v>0</v>
      </c>
      <c r="O89" s="165">
        <v>0</v>
      </c>
      <c r="P89" s="165">
        <v>0.57</v>
      </c>
      <c r="Q89" s="165">
        <v>5.13</v>
      </c>
      <c r="R89" s="13"/>
      <c r="S89" s="13"/>
      <c r="T89" s="213"/>
      <c r="U89" s="13"/>
    </row>
    <row r="90" customFormat="1" spans="1:21">
      <c r="A90" s="142" t="s">
        <v>2726</v>
      </c>
      <c r="B90" s="165">
        <v>10.79</v>
      </c>
      <c r="C90" s="165">
        <v>45.19</v>
      </c>
      <c r="D90" s="165">
        <v>33.61</v>
      </c>
      <c r="E90" s="165">
        <v>10.43</v>
      </c>
      <c r="F90" s="165">
        <v>14.92</v>
      </c>
      <c r="G90" s="165">
        <v>27.21</v>
      </c>
      <c r="H90" s="165">
        <v>13.83</v>
      </c>
      <c r="I90" s="165">
        <v>14.93</v>
      </c>
      <c r="J90" s="165">
        <v>0.11</v>
      </c>
      <c r="K90" s="165">
        <v>162.11</v>
      </c>
      <c r="L90" s="165">
        <v>27.78</v>
      </c>
      <c r="M90" s="165">
        <v>66.71</v>
      </c>
      <c r="N90" s="165">
        <v>0</v>
      </c>
      <c r="O90" s="165">
        <v>0</v>
      </c>
      <c r="P90" s="165">
        <v>0.56</v>
      </c>
      <c r="Q90" s="165">
        <v>4.97</v>
      </c>
      <c r="R90" s="13"/>
      <c r="S90" s="13"/>
      <c r="T90" s="213"/>
      <c r="U90" s="13"/>
    </row>
    <row r="91" customFormat="1" spans="1:21">
      <c r="A91" s="142" t="s">
        <v>2727</v>
      </c>
      <c r="B91" s="165">
        <v>12.78</v>
      </c>
      <c r="C91" s="165">
        <v>55.07</v>
      </c>
      <c r="D91" s="165">
        <v>40.37</v>
      </c>
      <c r="E91" s="165">
        <v>9.93</v>
      </c>
      <c r="F91" s="165">
        <v>8.67</v>
      </c>
      <c r="G91" s="165">
        <v>33.32</v>
      </c>
      <c r="H91" s="165">
        <v>14.32</v>
      </c>
      <c r="I91" s="165">
        <v>12.65</v>
      </c>
      <c r="J91" s="165">
        <v>0.13</v>
      </c>
      <c r="K91" s="165">
        <v>215.85</v>
      </c>
      <c r="L91" s="165">
        <v>27.7</v>
      </c>
      <c r="M91" s="165">
        <v>64.97</v>
      </c>
      <c r="N91" s="165">
        <v>0</v>
      </c>
      <c r="O91" s="165">
        <v>0</v>
      </c>
      <c r="P91" s="165">
        <v>0.6</v>
      </c>
      <c r="Q91" s="165">
        <v>5.15</v>
      </c>
      <c r="R91" s="13"/>
      <c r="S91" s="13"/>
      <c r="T91" s="213"/>
      <c r="U91" s="13"/>
    </row>
    <row r="92" customFormat="1" spans="1:21">
      <c r="A92" s="142" t="s">
        <v>2728</v>
      </c>
      <c r="B92" s="165">
        <v>12.41</v>
      </c>
      <c r="C92" s="165">
        <v>49.64</v>
      </c>
      <c r="D92" s="165">
        <v>37.24</v>
      </c>
      <c r="E92" s="165">
        <v>10.55</v>
      </c>
      <c r="F92" s="165">
        <v>14.05</v>
      </c>
      <c r="G92" s="165">
        <v>33.32</v>
      </c>
      <c r="H92" s="165">
        <v>14.32</v>
      </c>
      <c r="I92" s="165">
        <v>13.16</v>
      </c>
      <c r="J92" s="165">
        <v>0.14</v>
      </c>
      <c r="K92" s="165">
        <v>181.17</v>
      </c>
      <c r="L92" s="165">
        <v>27.68</v>
      </c>
      <c r="M92" s="165">
        <v>67.2</v>
      </c>
      <c r="N92" s="165">
        <v>0</v>
      </c>
      <c r="O92" s="165">
        <v>0</v>
      </c>
      <c r="P92" s="165">
        <v>0.57</v>
      </c>
      <c r="Q92" s="165">
        <v>5.27</v>
      </c>
      <c r="R92" s="13"/>
      <c r="S92" s="13"/>
      <c r="T92" s="213"/>
      <c r="U92" s="13"/>
    </row>
    <row r="93" customFormat="1" spans="1:21">
      <c r="A93" s="142" t="s">
        <v>2729</v>
      </c>
      <c r="B93" s="165">
        <v>14.29</v>
      </c>
      <c r="C93" s="165">
        <v>55.13</v>
      </c>
      <c r="D93" s="165">
        <v>41.61</v>
      </c>
      <c r="E93" s="165">
        <v>10.59</v>
      </c>
      <c r="F93" s="165">
        <v>5.78</v>
      </c>
      <c r="G93" s="165">
        <v>33.32</v>
      </c>
      <c r="H93" s="165">
        <v>14.32</v>
      </c>
      <c r="I93" s="165">
        <v>13.41</v>
      </c>
      <c r="J93" s="165">
        <v>0.16</v>
      </c>
      <c r="K93" s="165">
        <v>214.39</v>
      </c>
      <c r="L93" s="165">
        <v>27.16</v>
      </c>
      <c r="M93" s="165">
        <v>70.06</v>
      </c>
      <c r="N93" s="165">
        <v>0</v>
      </c>
      <c r="O93" s="165">
        <v>0</v>
      </c>
      <c r="P93" s="165">
        <v>0.6</v>
      </c>
      <c r="Q93" s="165">
        <v>5.25</v>
      </c>
      <c r="R93" s="13"/>
      <c r="S93" s="13"/>
      <c r="T93" s="213"/>
      <c r="U93" s="13"/>
    </row>
    <row r="94" customFormat="1" spans="1:21">
      <c r="A94" s="142" t="s">
        <v>2730</v>
      </c>
      <c r="B94" s="165">
        <v>14.14</v>
      </c>
      <c r="C94" s="165">
        <v>51.78</v>
      </c>
      <c r="D94" s="165">
        <v>39.75</v>
      </c>
      <c r="E94" s="165">
        <v>10.48</v>
      </c>
      <c r="F94" s="165">
        <v>9.06</v>
      </c>
      <c r="G94" s="165">
        <v>32.04</v>
      </c>
      <c r="H94" s="165">
        <v>14.94</v>
      </c>
      <c r="I94" s="165">
        <v>12.71</v>
      </c>
      <c r="J94" s="165">
        <v>0.1</v>
      </c>
      <c r="K94" s="165">
        <v>172.76</v>
      </c>
      <c r="L94" s="165">
        <v>27.01</v>
      </c>
      <c r="M94" s="165">
        <v>71.67</v>
      </c>
      <c r="N94" s="165">
        <v>0</v>
      </c>
      <c r="O94" s="165">
        <v>0</v>
      </c>
      <c r="P94" s="165">
        <v>0.58</v>
      </c>
      <c r="Q94" s="165">
        <v>5.37</v>
      </c>
      <c r="R94" s="13"/>
      <c r="S94" s="13"/>
      <c r="T94" s="213"/>
      <c r="U94" s="13"/>
    </row>
    <row r="95" customFormat="1" spans="1:21">
      <c r="A95" s="142" t="s">
        <v>2731</v>
      </c>
      <c r="B95" s="165">
        <v>15.67</v>
      </c>
      <c r="C95" s="165">
        <v>55.34</v>
      </c>
      <c r="D95" s="165">
        <v>42.83</v>
      </c>
      <c r="E95" s="165">
        <v>10.81</v>
      </c>
      <c r="F95" s="165">
        <v>6.52</v>
      </c>
      <c r="G95" s="165">
        <v>29.83</v>
      </c>
      <c r="H95" s="165">
        <v>15.59</v>
      </c>
      <c r="I95" s="165">
        <v>13.66</v>
      </c>
      <c r="J95" s="165">
        <v>0.13</v>
      </c>
      <c r="K95" s="165">
        <v>220.18</v>
      </c>
      <c r="L95" s="165">
        <v>26.97</v>
      </c>
      <c r="M95" s="165">
        <v>68.14</v>
      </c>
      <c r="N95" s="165">
        <v>0</v>
      </c>
      <c r="O95" s="165">
        <v>0</v>
      </c>
      <c r="P95" s="165">
        <v>0.6</v>
      </c>
      <c r="Q95" s="165">
        <v>5.42</v>
      </c>
      <c r="R95" s="13"/>
      <c r="S95" s="13"/>
      <c r="T95" s="213"/>
      <c r="U95" s="13"/>
    </row>
    <row r="96" customFormat="1" spans="1:26">
      <c r="A96" s="142" t="s">
        <v>2732</v>
      </c>
      <c r="B96" s="165">
        <v>14.9</v>
      </c>
      <c r="C96" s="165">
        <v>50.21</v>
      </c>
      <c r="D96" s="165">
        <v>39.54</v>
      </c>
      <c r="E96" s="165">
        <v>10.2</v>
      </c>
      <c r="F96" s="165">
        <v>11.81</v>
      </c>
      <c r="G96" s="165">
        <v>29.83</v>
      </c>
      <c r="H96" s="165">
        <v>15.59</v>
      </c>
      <c r="I96" s="165">
        <v>12.34</v>
      </c>
      <c r="J96" s="165">
        <v>0.11</v>
      </c>
      <c r="K96" s="165">
        <v>216.34</v>
      </c>
      <c r="L96" s="165">
        <v>27.2</v>
      </c>
      <c r="M96" s="165">
        <v>66.57</v>
      </c>
      <c r="N96" s="165">
        <v>0</v>
      </c>
      <c r="O96" s="165">
        <v>0</v>
      </c>
      <c r="P96" s="165">
        <v>0.57</v>
      </c>
      <c r="Q96" s="165">
        <v>5.45</v>
      </c>
      <c r="R96" s="13"/>
      <c r="S96" s="13"/>
      <c r="T96" s="213"/>
      <c r="U96" s="13"/>
      <c r="Z96" s="222"/>
    </row>
    <row r="97" customFormat="1" spans="1:21">
      <c r="A97" s="142" t="s">
        <v>2733</v>
      </c>
      <c r="B97" s="165">
        <v>15.23</v>
      </c>
      <c r="C97" s="165">
        <v>46.59</v>
      </c>
      <c r="D97" s="165">
        <v>37.91</v>
      </c>
      <c r="E97" s="165">
        <v>10.56</v>
      </c>
      <c r="F97" s="165">
        <v>10.9</v>
      </c>
      <c r="G97" s="165">
        <v>29.83</v>
      </c>
      <c r="H97" s="165">
        <v>15.59</v>
      </c>
      <c r="I97" s="165">
        <v>12.61</v>
      </c>
      <c r="J97" s="165">
        <v>0.17</v>
      </c>
      <c r="K97" s="165">
        <v>223.09</v>
      </c>
      <c r="L97" s="165">
        <v>27.33</v>
      </c>
      <c r="M97" s="165">
        <v>65.06</v>
      </c>
      <c r="N97" s="165">
        <v>0</v>
      </c>
      <c r="O97" s="165">
        <v>0</v>
      </c>
      <c r="P97" s="165">
        <v>0.56</v>
      </c>
      <c r="Q97" s="165">
        <v>5.24</v>
      </c>
      <c r="R97" s="13"/>
      <c r="S97" s="13"/>
      <c r="T97" s="213"/>
      <c r="U97" s="13"/>
    </row>
    <row r="98" customFormat="1" spans="1:21">
      <c r="A98" s="142" t="s">
        <v>2734</v>
      </c>
      <c r="B98" s="165">
        <v>16.93</v>
      </c>
      <c r="C98" s="165">
        <v>55.27</v>
      </c>
      <c r="D98" s="165">
        <v>43.8</v>
      </c>
      <c r="E98" s="165">
        <v>10.59</v>
      </c>
      <c r="F98" s="165">
        <v>8.95</v>
      </c>
      <c r="G98" s="165">
        <v>31.09</v>
      </c>
      <c r="H98" s="165">
        <v>15.9</v>
      </c>
      <c r="I98" s="165">
        <v>10.87</v>
      </c>
      <c r="J98" s="165">
        <v>0.19</v>
      </c>
      <c r="K98" s="165">
        <v>186.13</v>
      </c>
      <c r="L98" s="165">
        <v>27.41</v>
      </c>
      <c r="M98" s="165">
        <v>65.52</v>
      </c>
      <c r="N98" s="165">
        <v>0</v>
      </c>
      <c r="O98" s="165">
        <v>0</v>
      </c>
      <c r="P98" s="165">
        <v>0.59</v>
      </c>
      <c r="Q98" s="165">
        <v>5.46</v>
      </c>
      <c r="R98" s="13"/>
      <c r="S98" s="13"/>
      <c r="T98" s="213"/>
      <c r="U98" s="13"/>
    </row>
    <row r="99" customFormat="1" spans="1:21">
      <c r="A99" s="142" t="s">
        <v>2735</v>
      </c>
      <c r="B99" s="165">
        <v>17.43</v>
      </c>
      <c r="C99" s="165">
        <v>54.05</v>
      </c>
      <c r="D99" s="165">
        <v>43.56</v>
      </c>
      <c r="E99" s="165">
        <v>10.8</v>
      </c>
      <c r="F99" s="165">
        <v>8.66</v>
      </c>
      <c r="G99" s="165">
        <v>33.28</v>
      </c>
      <c r="H99" s="165">
        <v>16.29</v>
      </c>
      <c r="I99" s="165">
        <v>11.73</v>
      </c>
      <c r="J99" s="165">
        <v>0.25</v>
      </c>
      <c r="K99" s="165">
        <v>167.75</v>
      </c>
      <c r="L99" s="165">
        <v>27.16</v>
      </c>
      <c r="M99" s="165">
        <v>68.76</v>
      </c>
      <c r="N99" s="165">
        <v>0</v>
      </c>
      <c r="O99" s="165">
        <v>0</v>
      </c>
      <c r="P99" s="165">
        <v>0.58</v>
      </c>
      <c r="Q99" s="165">
        <v>5.52</v>
      </c>
      <c r="R99" s="13"/>
      <c r="S99" s="13"/>
      <c r="T99" s="213"/>
      <c r="U99" s="13"/>
    </row>
    <row r="100" customFormat="1" spans="1:33">
      <c r="A100" s="142" t="s">
        <v>2736</v>
      </c>
      <c r="B100" s="165">
        <v>19.04</v>
      </c>
      <c r="C100" s="165">
        <v>68.78</v>
      </c>
      <c r="D100" s="165">
        <v>52.56</v>
      </c>
      <c r="E100" s="165">
        <v>10.6</v>
      </c>
      <c r="F100" s="165">
        <v>4.47</v>
      </c>
      <c r="G100" s="165">
        <v>33.28</v>
      </c>
      <c r="H100" s="165">
        <v>16.29</v>
      </c>
      <c r="I100" s="165">
        <v>11.46</v>
      </c>
      <c r="J100" s="165">
        <v>0.16</v>
      </c>
      <c r="K100" s="165">
        <v>158.47</v>
      </c>
      <c r="L100" s="165">
        <v>26.67</v>
      </c>
      <c r="M100" s="165">
        <v>72.53</v>
      </c>
      <c r="N100" s="165">
        <v>0</v>
      </c>
      <c r="O100" s="165">
        <v>0</v>
      </c>
      <c r="P100" s="165">
        <v>0.61</v>
      </c>
      <c r="Q100" s="165">
        <v>5.91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2737</v>
      </c>
      <c r="B101" s="165">
        <v>19.8</v>
      </c>
      <c r="C101" s="165">
        <v>72.38</v>
      </c>
      <c r="D101" s="165">
        <v>55.04</v>
      </c>
      <c r="E101" s="165">
        <v>10.69</v>
      </c>
      <c r="F101" s="165">
        <v>3.78</v>
      </c>
      <c r="G101" s="165">
        <v>33.28</v>
      </c>
      <c r="H101" s="165">
        <v>16.29</v>
      </c>
      <c r="I101" s="165">
        <v>11.81</v>
      </c>
      <c r="J101" s="165">
        <v>0.11</v>
      </c>
      <c r="K101" s="165">
        <v>165.76</v>
      </c>
      <c r="L101" s="165">
        <v>26.41</v>
      </c>
      <c r="M101" s="165">
        <v>72.27</v>
      </c>
      <c r="N101" s="165">
        <v>0</v>
      </c>
      <c r="O101" s="165">
        <v>0</v>
      </c>
      <c r="P101" s="165">
        <v>0.62</v>
      </c>
      <c r="Q101" s="165">
        <v>6.19</v>
      </c>
      <c r="R101" s="13"/>
      <c r="S101" s="13"/>
      <c r="T101" s="213"/>
      <c r="U101" s="13"/>
    </row>
    <row r="102" customFormat="1" spans="1:21">
      <c r="A102" s="142" t="s">
        <v>2738</v>
      </c>
      <c r="B102" s="165">
        <v>20.45</v>
      </c>
      <c r="C102" s="165">
        <v>69.87</v>
      </c>
      <c r="D102" s="165">
        <v>54.25</v>
      </c>
      <c r="E102" s="165">
        <v>10.09</v>
      </c>
      <c r="F102" s="165">
        <v>4.09</v>
      </c>
      <c r="G102" s="165">
        <v>34.12</v>
      </c>
      <c r="H102" s="165">
        <v>18.64</v>
      </c>
      <c r="I102" s="165">
        <v>11.92</v>
      </c>
      <c r="J102" s="165">
        <v>0.17</v>
      </c>
      <c r="K102" s="165">
        <v>177.96</v>
      </c>
      <c r="L102" s="165">
        <v>26.57</v>
      </c>
      <c r="M102" s="165">
        <v>70.55</v>
      </c>
      <c r="N102" s="165">
        <v>0</v>
      </c>
      <c r="O102" s="165">
        <v>0</v>
      </c>
      <c r="P102" s="165">
        <v>0.62</v>
      </c>
      <c r="Q102" s="165">
        <v>6.22</v>
      </c>
      <c r="R102" s="13"/>
      <c r="S102" s="13"/>
      <c r="T102" s="213"/>
      <c r="U102" s="13"/>
    </row>
    <row r="103" customFormat="1" spans="1:21">
      <c r="A103" s="142" t="s">
        <v>2739</v>
      </c>
      <c r="B103" s="165">
        <v>20.98</v>
      </c>
      <c r="C103" s="165">
        <v>69.9</v>
      </c>
      <c r="D103" s="165">
        <v>54.7</v>
      </c>
      <c r="E103" s="165">
        <v>10.27</v>
      </c>
      <c r="F103" s="165">
        <v>3.8</v>
      </c>
      <c r="G103" s="165">
        <v>35.57</v>
      </c>
      <c r="H103" s="165">
        <v>21.06</v>
      </c>
      <c r="I103" s="165">
        <v>11.65</v>
      </c>
      <c r="J103" s="165">
        <v>0.28</v>
      </c>
      <c r="K103" s="165">
        <v>168.7</v>
      </c>
      <c r="L103" s="165">
        <v>26.75</v>
      </c>
      <c r="M103" s="165">
        <v>73.19</v>
      </c>
      <c r="N103" s="165">
        <v>0</v>
      </c>
      <c r="O103" s="165">
        <v>0</v>
      </c>
      <c r="P103" s="165">
        <v>0.61</v>
      </c>
      <c r="Q103" s="165">
        <v>6.32</v>
      </c>
      <c r="R103" s="13"/>
      <c r="S103" s="13"/>
      <c r="T103" s="213"/>
      <c r="U103" s="13"/>
    </row>
    <row r="104" customFormat="1" spans="1:21">
      <c r="A104" s="142" t="s">
        <v>2740</v>
      </c>
      <c r="B104" s="165">
        <v>21.56</v>
      </c>
      <c r="C104" s="165">
        <v>69.54</v>
      </c>
      <c r="D104" s="165">
        <v>54.97</v>
      </c>
      <c r="E104" s="165">
        <v>10.29</v>
      </c>
      <c r="F104" s="165">
        <v>3.71</v>
      </c>
      <c r="G104" s="165">
        <v>35.57</v>
      </c>
      <c r="H104" s="165">
        <v>21.06</v>
      </c>
      <c r="I104" s="165">
        <v>11.31</v>
      </c>
      <c r="J104" s="165">
        <v>0.19</v>
      </c>
      <c r="K104" s="165">
        <v>171.91</v>
      </c>
      <c r="L104" s="165">
        <v>26.05</v>
      </c>
      <c r="M104" s="165">
        <v>76.61</v>
      </c>
      <c r="N104" s="165">
        <v>0</v>
      </c>
      <c r="O104" s="165">
        <v>0</v>
      </c>
      <c r="P104" s="165">
        <v>0.61</v>
      </c>
      <c r="Q104" s="165">
        <v>6.29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3.18</v>
      </c>
      <c r="C106" s="215">
        <f>MIN(C9:C104)</f>
        <v>27.28</v>
      </c>
      <c r="D106" s="215">
        <f t="shared" ref="D106:Q106" si="0">MIN(D9:D104)</f>
        <v>20.9</v>
      </c>
      <c r="E106" s="215">
        <f t="shared" si="0"/>
        <v>4.58</v>
      </c>
      <c r="F106" s="215">
        <f t="shared" si="0"/>
        <v>1</v>
      </c>
      <c r="G106" s="215">
        <f t="shared" si="0"/>
        <v>7.53</v>
      </c>
      <c r="H106" s="215">
        <f t="shared" si="0"/>
        <v>0.63</v>
      </c>
      <c r="I106" s="215">
        <f t="shared" si="0"/>
        <v>0</v>
      </c>
      <c r="J106" s="215">
        <f t="shared" si="0"/>
        <v>-1.51</v>
      </c>
      <c r="K106" s="215">
        <f t="shared" si="0"/>
        <v>-0.62</v>
      </c>
      <c r="L106" s="215">
        <f t="shared" si="0"/>
        <v>20.22</v>
      </c>
      <c r="M106" s="215">
        <f t="shared" si="0"/>
        <v>39.42</v>
      </c>
      <c r="N106" s="215">
        <f t="shared" si="0"/>
        <v>0</v>
      </c>
      <c r="O106" s="215">
        <f t="shared" si="0"/>
        <v>0</v>
      </c>
      <c r="P106" s="215">
        <f t="shared" si="0"/>
        <v>0.19</v>
      </c>
      <c r="Q106" s="215">
        <f t="shared" si="0"/>
        <v>4.4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40.86</v>
      </c>
      <c r="C107" s="216">
        <f t="shared" ref="C107:Q107" si="1">MAX(C9:C104)</f>
        <v>72.38</v>
      </c>
      <c r="D107" s="216">
        <f t="shared" si="1"/>
        <v>66.86</v>
      </c>
      <c r="E107" s="216">
        <f t="shared" si="1"/>
        <v>11.01</v>
      </c>
      <c r="F107" s="216">
        <f t="shared" si="1"/>
        <v>38.21</v>
      </c>
      <c r="G107" s="216">
        <f t="shared" si="1"/>
        <v>108.52</v>
      </c>
      <c r="H107" s="216">
        <f t="shared" si="1"/>
        <v>27.19</v>
      </c>
      <c r="I107" s="216">
        <f t="shared" si="1"/>
        <v>38.01</v>
      </c>
      <c r="J107" s="216">
        <f t="shared" si="1"/>
        <v>3.15</v>
      </c>
      <c r="K107" s="216">
        <f t="shared" si="1"/>
        <v>291.73</v>
      </c>
      <c r="L107" s="216">
        <f t="shared" si="1"/>
        <v>34.61</v>
      </c>
      <c r="M107" s="216">
        <f t="shared" si="1"/>
        <v>97.08</v>
      </c>
      <c r="N107" s="216">
        <f t="shared" si="1"/>
        <v>730</v>
      </c>
      <c r="O107" s="216">
        <f t="shared" si="1"/>
        <v>0</v>
      </c>
      <c r="P107" s="216">
        <f t="shared" si="1"/>
        <v>0.93</v>
      </c>
      <c r="Q107" s="216">
        <f t="shared" si="1"/>
        <v>8.84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15.3203278688525</v>
      </c>
      <c r="C108" s="215">
        <f t="shared" ref="C108:Q108" si="2">AVERAGE(C9:C104)</f>
        <v>53.1203278688525</v>
      </c>
      <c r="D108" s="215">
        <f t="shared" si="2"/>
        <v>41.3904918032787</v>
      </c>
      <c r="E108" s="215">
        <f t="shared" si="2"/>
        <v>8.79842105263158</v>
      </c>
      <c r="F108" s="215">
        <f t="shared" si="2"/>
        <v>13.2521212121212</v>
      </c>
      <c r="G108" s="215">
        <f t="shared" si="2"/>
        <v>37.7620689655172</v>
      </c>
      <c r="H108" s="215">
        <f t="shared" si="2"/>
        <v>14.7608620689655</v>
      </c>
      <c r="I108" s="215">
        <f t="shared" si="2"/>
        <v>14.1464179104478</v>
      </c>
      <c r="J108" s="215">
        <f t="shared" si="2"/>
        <v>0.486865671641791</v>
      </c>
      <c r="K108" s="215">
        <f t="shared" si="2"/>
        <v>197.300447761194</v>
      </c>
      <c r="L108" s="215">
        <f t="shared" si="2"/>
        <v>28.1094029850746</v>
      </c>
      <c r="M108" s="215">
        <f t="shared" si="2"/>
        <v>63.5002985074627</v>
      </c>
      <c r="N108" s="215">
        <f t="shared" si="2"/>
        <v>146.708955223881</v>
      </c>
      <c r="O108" s="215">
        <f t="shared" si="2"/>
        <v>0</v>
      </c>
      <c r="P108" s="215">
        <f t="shared" si="2"/>
        <v>0.636875</v>
      </c>
      <c r="Q108" s="215">
        <f t="shared" si="2"/>
        <v>5.21030303030303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10.3383246494477</v>
      </c>
      <c r="C109" s="215">
        <f t="shared" ref="C109:Q109" si="3">STDEV(C9:C104)</f>
        <v>11.7793642962616</v>
      </c>
      <c r="D109" s="215">
        <f t="shared" si="3"/>
        <v>13.5872754720767</v>
      </c>
      <c r="E109" s="215">
        <f t="shared" si="3"/>
        <v>1.52787760059699</v>
      </c>
      <c r="F109" s="215">
        <f t="shared" si="3"/>
        <v>10.0751512323296</v>
      </c>
      <c r="G109" s="215">
        <f t="shared" si="3"/>
        <v>26.7644019770318</v>
      </c>
      <c r="H109" s="215">
        <f t="shared" si="3"/>
        <v>6.38250742249354</v>
      </c>
      <c r="I109" s="215">
        <f t="shared" si="3"/>
        <v>9.471838594917</v>
      </c>
      <c r="J109" s="215">
        <f t="shared" si="3"/>
        <v>0.55689944948259</v>
      </c>
      <c r="K109" s="215">
        <f t="shared" si="3"/>
        <v>66.0761577922351</v>
      </c>
      <c r="L109" s="215">
        <f t="shared" si="3"/>
        <v>4.7792692736116</v>
      </c>
      <c r="M109" s="215">
        <f t="shared" si="3"/>
        <v>18.4896015797045</v>
      </c>
      <c r="N109" s="215">
        <f t="shared" si="3"/>
        <v>222.894259977035</v>
      </c>
      <c r="O109" s="215">
        <f t="shared" si="3"/>
        <v>0</v>
      </c>
      <c r="P109" s="215">
        <f t="shared" si="3"/>
        <v>0.14796905510897</v>
      </c>
      <c r="Q109" s="215">
        <f t="shared" si="3"/>
        <v>1.0895390270088</v>
      </c>
      <c r="R109" s="220"/>
      <c r="S109" s="220"/>
      <c r="T109" s="220"/>
      <c r="U109" s="220"/>
    </row>
    <row r="110" spans="1:22">
      <c r="A110" s="214" t="s">
        <v>146</v>
      </c>
      <c r="B110" s="216">
        <v>66</v>
      </c>
      <c r="C110" s="216">
        <v>66</v>
      </c>
      <c r="D110" s="216">
        <v>66</v>
      </c>
      <c r="E110" s="216">
        <v>66</v>
      </c>
      <c r="F110" s="216">
        <f>COUNT(F9:F104)</f>
        <v>66</v>
      </c>
      <c r="G110" s="216">
        <v>67</v>
      </c>
      <c r="H110" s="216">
        <v>67</v>
      </c>
      <c r="I110" s="216">
        <f t="shared" ref="B110:Q110" si="4">COUNT(I9:I104)</f>
        <v>67</v>
      </c>
      <c r="J110" s="216">
        <f t="shared" si="4"/>
        <v>67</v>
      </c>
      <c r="K110" s="216">
        <f t="shared" si="4"/>
        <v>67</v>
      </c>
      <c r="L110" s="216">
        <f t="shared" si="4"/>
        <v>67</v>
      </c>
      <c r="M110" s="216">
        <f t="shared" si="4"/>
        <v>67</v>
      </c>
      <c r="N110" s="216">
        <f t="shared" si="4"/>
        <v>67</v>
      </c>
      <c r="O110" s="216">
        <f t="shared" si="4"/>
        <v>67</v>
      </c>
      <c r="P110" s="216">
        <f t="shared" si="4"/>
        <v>64</v>
      </c>
      <c r="Q110" s="216">
        <f t="shared" si="4"/>
        <v>66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7"/>
  <sheetViews>
    <sheetView topLeftCell="A103" workbookViewId="0">
      <selection activeCell="A9" sqref="A9:Q104"/>
    </sheetView>
  </sheetViews>
  <sheetFormatPr defaultColWidth="9" defaultRowHeight="15"/>
  <cols>
    <col min="1" max="1" width="14.7142857142857" customWidth="1"/>
    <col min="2" max="2" width="11" customWidth="1"/>
  </cols>
  <sheetData>
    <row r="1" ht="25.5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18">
      <c r="A2" s="184" t="s">
        <v>2</v>
      </c>
      <c r="B2" s="179" t="str">
        <f>$A$9</f>
        <v>29/04/2023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R2" s="2"/>
    </row>
    <row r="3" spans="1:18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L3" s="199" t="s">
        <v>14</v>
      </c>
      <c r="M3" s="178"/>
      <c r="N3" s="212" t="s">
        <v>15</v>
      </c>
      <c r="O3" s="178"/>
      <c r="P3" s="205" t="s">
        <v>15</v>
      </c>
      <c r="Q3" s="178"/>
      <c r="R3" s="2"/>
    </row>
    <row r="4" spans="1:18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N4" s="2"/>
      <c r="O4" s="178"/>
      <c r="P4" s="178"/>
      <c r="Q4" s="178"/>
      <c r="R4" s="178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0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spans="1:21">
      <c r="A9" s="142" t="s">
        <v>2741</v>
      </c>
      <c r="B9" s="165">
        <v>23.66</v>
      </c>
      <c r="C9" s="165">
        <v>67.65</v>
      </c>
      <c r="D9" s="165">
        <v>55.67</v>
      </c>
      <c r="E9" s="165">
        <v>9.97</v>
      </c>
      <c r="F9" s="165">
        <v>3.85</v>
      </c>
      <c r="G9" s="165">
        <v>35.57</v>
      </c>
      <c r="H9" s="165">
        <v>21.06</v>
      </c>
      <c r="I9" s="165">
        <v>11.04</v>
      </c>
      <c r="J9" s="165">
        <v>0.15</v>
      </c>
      <c r="K9" s="165">
        <v>31.94</v>
      </c>
      <c r="L9" s="165">
        <v>26.03</v>
      </c>
      <c r="M9" s="165">
        <v>74.94</v>
      </c>
      <c r="N9" s="165">
        <v>0</v>
      </c>
      <c r="O9" s="165">
        <v>0</v>
      </c>
      <c r="P9" s="165">
        <v>0.6</v>
      </c>
      <c r="Q9" s="165">
        <v>6.24</v>
      </c>
      <c r="R9" s="13"/>
      <c r="S9" s="13"/>
      <c r="T9" s="213"/>
      <c r="U9" s="13"/>
    </row>
    <row r="10" spans="1:21">
      <c r="A10" s="142" t="s">
        <v>2742</v>
      </c>
      <c r="B10" s="165">
        <v>24.91</v>
      </c>
      <c r="C10" s="165">
        <v>63.02</v>
      </c>
      <c r="D10" s="165">
        <v>54.25</v>
      </c>
      <c r="E10" s="165">
        <v>10.57</v>
      </c>
      <c r="F10" s="165">
        <v>4.52</v>
      </c>
      <c r="G10" s="165">
        <v>39.34</v>
      </c>
      <c r="H10" s="165">
        <v>20.73</v>
      </c>
      <c r="I10" s="165">
        <v>10.71</v>
      </c>
      <c r="J10" s="165">
        <v>0.81</v>
      </c>
      <c r="K10" s="165">
        <v>354.72</v>
      </c>
      <c r="L10" s="165">
        <v>27.07</v>
      </c>
      <c r="M10" s="165">
        <v>63.71</v>
      </c>
      <c r="N10" s="165">
        <v>0</v>
      </c>
      <c r="O10" s="165">
        <v>0</v>
      </c>
      <c r="P10" s="165">
        <v>0.6</v>
      </c>
      <c r="Q10" s="165">
        <v>6.34</v>
      </c>
      <c r="R10" s="13"/>
      <c r="S10" s="13"/>
      <c r="T10" s="213"/>
      <c r="U10" s="13"/>
    </row>
    <row r="11" spans="1:21">
      <c r="A11" s="142" t="s">
        <v>2743</v>
      </c>
      <c r="B11" s="165">
        <v>24.92</v>
      </c>
      <c r="C11" s="165">
        <v>63.33</v>
      </c>
      <c r="D11" s="165">
        <v>54.43</v>
      </c>
      <c r="E11" s="165">
        <v>10.16</v>
      </c>
      <c r="F11" s="165">
        <v>6.88</v>
      </c>
      <c r="G11" s="165">
        <v>45.86</v>
      </c>
      <c r="H11" s="165">
        <v>19.71</v>
      </c>
      <c r="I11" s="165">
        <v>10.43</v>
      </c>
      <c r="J11" s="165">
        <v>1.12</v>
      </c>
      <c r="K11" s="165">
        <v>353.46</v>
      </c>
      <c r="L11" s="165">
        <v>26.93</v>
      </c>
      <c r="M11" s="165">
        <v>56.57</v>
      </c>
      <c r="N11" s="165">
        <v>0</v>
      </c>
      <c r="O11" s="165">
        <v>0</v>
      </c>
      <c r="P11" s="165">
        <v>0.6</v>
      </c>
      <c r="Q11" s="165">
        <v>6.52</v>
      </c>
      <c r="R11" s="13"/>
      <c r="S11" s="13"/>
      <c r="T11" s="213"/>
      <c r="U11" s="13"/>
    </row>
    <row r="12" spans="1:21">
      <c r="A12" s="142" t="s">
        <v>2744</v>
      </c>
      <c r="B12" s="165">
        <v>24.36</v>
      </c>
      <c r="C12" s="165">
        <v>63.39</v>
      </c>
      <c r="D12" s="165">
        <v>54.01</v>
      </c>
      <c r="E12" s="165">
        <v>10.23</v>
      </c>
      <c r="F12" s="165">
        <v>7.01</v>
      </c>
      <c r="G12" s="165">
        <v>45.86</v>
      </c>
      <c r="H12" s="165">
        <v>19.71</v>
      </c>
      <c r="I12" s="165">
        <v>10.68</v>
      </c>
      <c r="J12" s="165">
        <v>1.45</v>
      </c>
      <c r="K12" s="165">
        <v>11.78</v>
      </c>
      <c r="L12" s="165">
        <v>25.91</v>
      </c>
      <c r="M12" s="165">
        <v>52.73</v>
      </c>
      <c r="N12" s="165">
        <v>0</v>
      </c>
      <c r="O12" s="165">
        <v>0</v>
      </c>
      <c r="P12" s="165">
        <v>0.59</v>
      </c>
      <c r="Q12" s="165">
        <v>6.46</v>
      </c>
      <c r="R12" s="13"/>
      <c r="S12" s="13"/>
      <c r="T12" s="213"/>
      <c r="U12" s="13"/>
    </row>
    <row r="13" spans="1:21">
      <c r="A13" s="142" t="s">
        <v>2745</v>
      </c>
      <c r="B13" s="165">
        <v>24.28</v>
      </c>
      <c r="C13" s="165">
        <v>63.98</v>
      </c>
      <c r="D13" s="165">
        <v>54.25</v>
      </c>
      <c r="E13" s="165">
        <v>10.27</v>
      </c>
      <c r="F13" s="165">
        <v>6.42</v>
      </c>
      <c r="G13" s="165">
        <v>45.86</v>
      </c>
      <c r="H13" s="165">
        <v>19.71</v>
      </c>
      <c r="I13" s="165">
        <v>9.79</v>
      </c>
      <c r="J13" s="165">
        <v>0.91</v>
      </c>
      <c r="K13" s="165">
        <v>333.29</v>
      </c>
      <c r="L13" s="165">
        <v>25.25</v>
      </c>
      <c r="M13" s="165">
        <v>55.64</v>
      </c>
      <c r="N13" s="165">
        <v>0</v>
      </c>
      <c r="O13" s="165">
        <v>0</v>
      </c>
      <c r="P13" s="165">
        <v>0.58</v>
      </c>
      <c r="Q13" s="165">
        <v>6.37</v>
      </c>
      <c r="R13" s="13"/>
      <c r="S13" s="13"/>
      <c r="T13" s="213"/>
      <c r="U13" s="13"/>
    </row>
    <row r="14" spans="1:21">
      <c r="A14" s="142" t="s">
        <v>2746</v>
      </c>
      <c r="B14" s="165">
        <v>23.22</v>
      </c>
      <c r="C14" s="165">
        <v>60.02</v>
      </c>
      <c r="D14" s="165">
        <v>51.33</v>
      </c>
      <c r="E14" s="165">
        <v>9.93</v>
      </c>
      <c r="F14" s="165">
        <v>6.91</v>
      </c>
      <c r="G14" s="165">
        <v>44.42</v>
      </c>
      <c r="H14" s="165">
        <v>16.8</v>
      </c>
      <c r="I14" s="165">
        <v>9.34</v>
      </c>
      <c r="J14" s="165">
        <v>1.05</v>
      </c>
      <c r="K14" s="165">
        <v>2.97</v>
      </c>
      <c r="L14" s="165">
        <v>24.77</v>
      </c>
      <c r="M14" s="165">
        <v>58.56</v>
      </c>
      <c r="N14" s="165">
        <v>0</v>
      </c>
      <c r="O14" s="165">
        <v>0</v>
      </c>
      <c r="P14" s="165">
        <v>0.57</v>
      </c>
      <c r="Q14" s="165">
        <v>6.36</v>
      </c>
      <c r="R14" s="13"/>
      <c r="S14" s="13"/>
      <c r="T14" s="213"/>
      <c r="U14" s="13"/>
    </row>
    <row r="15" spans="1:21">
      <c r="A15" s="142" t="s">
        <v>2747</v>
      </c>
      <c r="B15" s="165">
        <v>23.23</v>
      </c>
      <c r="C15" s="165">
        <v>64.03</v>
      </c>
      <c r="D15" s="165">
        <v>53.43</v>
      </c>
      <c r="E15" s="165">
        <v>10.07</v>
      </c>
      <c r="F15" s="165">
        <v>5.09</v>
      </c>
      <c r="G15" s="165">
        <v>41.95</v>
      </c>
      <c r="H15" s="165">
        <v>13.8</v>
      </c>
      <c r="I15" s="165">
        <v>9.09</v>
      </c>
      <c r="J15" s="165">
        <v>1.27</v>
      </c>
      <c r="K15" s="165">
        <v>323.95</v>
      </c>
      <c r="L15" s="165">
        <v>24.44</v>
      </c>
      <c r="M15" s="165">
        <v>61.07</v>
      </c>
      <c r="N15" s="165">
        <v>0</v>
      </c>
      <c r="O15" s="165">
        <v>0</v>
      </c>
      <c r="P15" s="165">
        <v>0.56</v>
      </c>
      <c r="Q15" s="165">
        <v>6.33</v>
      </c>
      <c r="R15" s="13"/>
      <c r="S15" s="13"/>
      <c r="T15" s="213"/>
      <c r="U15" s="13"/>
    </row>
    <row r="16" spans="1:21">
      <c r="A16" s="142" t="s">
        <v>2748</v>
      </c>
      <c r="B16" s="165">
        <v>22.54</v>
      </c>
      <c r="C16" s="165">
        <v>64.93</v>
      </c>
      <c r="D16" s="165">
        <v>53.35</v>
      </c>
      <c r="E16" s="165">
        <v>9.73</v>
      </c>
      <c r="F16" s="165">
        <v>5.66</v>
      </c>
      <c r="G16" s="165">
        <v>41.95</v>
      </c>
      <c r="H16" s="165">
        <v>13.8</v>
      </c>
      <c r="I16" s="165">
        <v>8.61</v>
      </c>
      <c r="J16" s="165">
        <v>2.44</v>
      </c>
      <c r="K16" s="165">
        <v>302.29</v>
      </c>
      <c r="L16" s="165">
        <v>24.41</v>
      </c>
      <c r="M16" s="165">
        <v>62</v>
      </c>
      <c r="N16" s="165">
        <v>0</v>
      </c>
      <c r="O16" s="165">
        <v>0</v>
      </c>
      <c r="P16" s="165">
        <v>0.55</v>
      </c>
      <c r="Q16" s="165">
        <v>6.33</v>
      </c>
      <c r="R16" s="13"/>
      <c r="S16" s="13"/>
      <c r="T16" s="213"/>
      <c r="U16" s="13"/>
    </row>
    <row r="17" spans="1:21">
      <c r="A17" s="142" t="s">
        <v>2749</v>
      </c>
      <c r="B17" s="165">
        <v>21.48</v>
      </c>
      <c r="C17" s="165">
        <v>65.38</v>
      </c>
      <c r="D17" s="165">
        <v>52.74</v>
      </c>
      <c r="E17" s="165">
        <v>7.03</v>
      </c>
      <c r="F17" s="165">
        <v>5.32</v>
      </c>
      <c r="G17" s="165">
        <v>41.95</v>
      </c>
      <c r="H17" s="165">
        <v>13.8</v>
      </c>
      <c r="I17" s="165">
        <v>8.37</v>
      </c>
      <c r="J17" s="165">
        <v>2.2</v>
      </c>
      <c r="K17" s="165">
        <v>311.19</v>
      </c>
      <c r="L17" s="165">
        <v>24.09</v>
      </c>
      <c r="M17" s="165">
        <v>62.76</v>
      </c>
      <c r="N17" s="165">
        <v>0</v>
      </c>
      <c r="O17" s="165">
        <v>0</v>
      </c>
      <c r="P17" s="165">
        <v>0.54</v>
      </c>
      <c r="Q17" s="165">
        <v>6.22</v>
      </c>
      <c r="R17" s="13"/>
      <c r="S17" s="13"/>
      <c r="T17" s="213"/>
      <c r="U17" s="13"/>
    </row>
    <row r="18" spans="1:21">
      <c r="A18" s="142" t="s">
        <v>2750</v>
      </c>
      <c r="B18" s="165">
        <v>20.41</v>
      </c>
      <c r="C18" s="165">
        <v>64.13</v>
      </c>
      <c r="D18" s="165">
        <v>51.23</v>
      </c>
      <c r="E18" s="165">
        <v>7.07</v>
      </c>
      <c r="F18" s="165">
        <v>4.94</v>
      </c>
      <c r="G18" s="165">
        <v>39.12</v>
      </c>
      <c r="H18" s="165">
        <v>13.93</v>
      </c>
      <c r="I18" s="165">
        <v>7.97</v>
      </c>
      <c r="J18" s="165">
        <v>1.1</v>
      </c>
      <c r="K18" s="165">
        <v>338.7</v>
      </c>
      <c r="L18" s="165">
        <v>23.12</v>
      </c>
      <c r="M18" s="165">
        <v>68.57</v>
      </c>
      <c r="N18" s="165">
        <v>0</v>
      </c>
      <c r="O18" s="165">
        <v>0</v>
      </c>
      <c r="P18" s="165">
        <v>0.53</v>
      </c>
      <c r="Q18" s="165">
        <v>6.09</v>
      </c>
      <c r="R18" s="13"/>
      <c r="S18" s="13"/>
      <c r="T18" s="213"/>
      <c r="U18" s="13"/>
    </row>
    <row r="19" spans="1:21">
      <c r="A19" s="142" t="s">
        <v>2751</v>
      </c>
      <c r="B19" s="165">
        <v>19.99</v>
      </c>
      <c r="C19" s="165">
        <v>64.55</v>
      </c>
      <c r="D19" s="165">
        <v>51.11</v>
      </c>
      <c r="E19" s="165">
        <v>7.6</v>
      </c>
      <c r="F19" s="165">
        <v>4.7</v>
      </c>
      <c r="G19" s="165">
        <v>34.23</v>
      </c>
      <c r="H19" s="165">
        <v>14.08</v>
      </c>
      <c r="I19" s="165">
        <v>7.57</v>
      </c>
      <c r="J19" s="165">
        <v>0.79</v>
      </c>
      <c r="K19" s="165">
        <v>345.02</v>
      </c>
      <c r="L19" s="165">
        <v>22.75</v>
      </c>
      <c r="M19" s="165">
        <v>71.4</v>
      </c>
      <c r="N19" s="165">
        <v>0</v>
      </c>
      <c r="O19" s="165">
        <v>0</v>
      </c>
      <c r="P19" s="165">
        <v>0.51</v>
      </c>
      <c r="Q19" s="165">
        <v>6.02</v>
      </c>
      <c r="R19" s="13"/>
      <c r="S19" s="13"/>
      <c r="T19" s="213"/>
      <c r="U19" s="13"/>
    </row>
    <row r="20" spans="1:21">
      <c r="A20" s="142" t="s">
        <v>2752</v>
      </c>
      <c r="B20" s="165">
        <v>19.78</v>
      </c>
      <c r="C20" s="165">
        <v>65.91</v>
      </c>
      <c r="D20" s="165">
        <v>51.65</v>
      </c>
      <c r="E20" s="165">
        <v>7.83</v>
      </c>
      <c r="F20" s="165">
        <v>4.48</v>
      </c>
      <c r="G20" s="165">
        <v>34.23</v>
      </c>
      <c r="H20" s="165">
        <v>14.08</v>
      </c>
      <c r="I20" s="165">
        <v>7.17</v>
      </c>
      <c r="J20" s="165">
        <v>1.05</v>
      </c>
      <c r="K20" s="165">
        <v>1.5</v>
      </c>
      <c r="L20" s="165">
        <v>22.42</v>
      </c>
      <c r="M20" s="165">
        <v>74.35</v>
      </c>
      <c r="N20" s="165">
        <v>0</v>
      </c>
      <c r="O20" s="165">
        <v>0</v>
      </c>
      <c r="P20" s="165">
        <v>0.51</v>
      </c>
      <c r="Q20" s="165">
        <v>6.03</v>
      </c>
      <c r="R20" s="13"/>
      <c r="S20" s="13"/>
      <c r="T20" s="213"/>
      <c r="U20" s="13"/>
    </row>
    <row r="21" spans="1:21">
      <c r="A21" s="142" t="s">
        <v>2753</v>
      </c>
      <c r="B21" s="165">
        <v>19.64</v>
      </c>
      <c r="C21" s="165">
        <v>66.22</v>
      </c>
      <c r="D21" s="165">
        <v>51.7</v>
      </c>
      <c r="E21" s="165">
        <v>7.15</v>
      </c>
      <c r="F21" s="165">
        <v>4.01</v>
      </c>
      <c r="G21" s="165">
        <v>34.23</v>
      </c>
      <c r="H21" s="165">
        <v>14.08</v>
      </c>
      <c r="I21" s="165">
        <v>6.94</v>
      </c>
      <c r="J21" s="165">
        <v>0.74</v>
      </c>
      <c r="K21" s="165">
        <v>334.63</v>
      </c>
      <c r="L21" s="165">
        <v>22.31</v>
      </c>
      <c r="M21" s="165">
        <v>75.85</v>
      </c>
      <c r="N21" s="165">
        <v>0</v>
      </c>
      <c r="O21" s="165">
        <v>0</v>
      </c>
      <c r="P21" s="165">
        <v>0.51</v>
      </c>
      <c r="Q21" s="165">
        <v>6.02</v>
      </c>
      <c r="R21" s="13"/>
      <c r="S21" s="13"/>
      <c r="T21" s="213"/>
      <c r="U21" s="13"/>
    </row>
    <row r="22" spans="1:21">
      <c r="A22" s="142" t="s">
        <v>2754</v>
      </c>
      <c r="B22" s="165">
        <v>19.69</v>
      </c>
      <c r="C22" s="165">
        <v>66.63</v>
      </c>
      <c r="D22" s="165">
        <v>51.95</v>
      </c>
      <c r="E22" s="165">
        <v>7.63</v>
      </c>
      <c r="F22" s="165">
        <v>3.7</v>
      </c>
      <c r="G22" s="165">
        <v>34.08</v>
      </c>
      <c r="H22" s="165">
        <v>14.29</v>
      </c>
      <c r="I22" s="165">
        <v>6.66</v>
      </c>
      <c r="J22" s="165">
        <v>1.05</v>
      </c>
      <c r="K22" s="165">
        <v>314.44</v>
      </c>
      <c r="L22" s="165">
        <v>22.4</v>
      </c>
      <c r="M22" s="165">
        <v>74.4</v>
      </c>
      <c r="N22" s="165">
        <v>0</v>
      </c>
      <c r="O22" s="165">
        <v>0</v>
      </c>
      <c r="P22" s="165">
        <v>0.51</v>
      </c>
      <c r="Q22" s="165">
        <v>6.05</v>
      </c>
      <c r="R22" s="13"/>
      <c r="S22" s="13"/>
      <c r="T22" s="213"/>
      <c r="U22" s="13"/>
    </row>
    <row r="23" spans="1:21">
      <c r="A23" s="142" t="s">
        <v>2755</v>
      </c>
      <c r="B23" s="165">
        <v>19.81</v>
      </c>
      <c r="C23" s="165">
        <v>63.35</v>
      </c>
      <c r="D23" s="165">
        <v>50.34</v>
      </c>
      <c r="E23" s="165">
        <v>7.36</v>
      </c>
      <c r="F23" s="165">
        <v>4.14</v>
      </c>
      <c r="G23" s="165">
        <v>33.81</v>
      </c>
      <c r="H23" s="165">
        <v>14.51</v>
      </c>
      <c r="I23" s="165">
        <v>6.51</v>
      </c>
      <c r="J23" s="165">
        <v>0.83</v>
      </c>
      <c r="K23" s="165">
        <v>319.94</v>
      </c>
      <c r="L23" s="165">
        <v>22.42</v>
      </c>
      <c r="M23" s="165">
        <v>73.68</v>
      </c>
      <c r="N23" s="165">
        <v>0</v>
      </c>
      <c r="O23" s="165">
        <v>0</v>
      </c>
      <c r="P23" s="165">
        <v>0.49</v>
      </c>
      <c r="Q23" s="165">
        <v>5.97</v>
      </c>
      <c r="R23" s="13"/>
      <c r="S23" s="13"/>
      <c r="T23" s="213"/>
      <c r="U23" s="13"/>
    </row>
    <row r="24" spans="1:21">
      <c r="A24" s="142" t="s">
        <v>2756</v>
      </c>
      <c r="B24" s="165">
        <v>20.08</v>
      </c>
      <c r="C24" s="165">
        <v>53.81</v>
      </c>
      <c r="D24" s="165">
        <v>45.56</v>
      </c>
      <c r="E24" s="165">
        <v>6.97</v>
      </c>
      <c r="F24" s="165">
        <v>4.82</v>
      </c>
      <c r="G24" s="165">
        <v>33.81</v>
      </c>
      <c r="H24" s="165">
        <v>14.51</v>
      </c>
      <c r="I24" s="165">
        <v>6.31</v>
      </c>
      <c r="J24" s="165">
        <v>0.77</v>
      </c>
      <c r="K24" s="165">
        <v>346.4</v>
      </c>
      <c r="L24" s="165">
        <v>22.55</v>
      </c>
      <c r="M24" s="165">
        <v>72.6</v>
      </c>
      <c r="N24" s="165">
        <v>0</v>
      </c>
      <c r="O24" s="165">
        <v>0</v>
      </c>
      <c r="P24" s="165">
        <v>0.45</v>
      </c>
      <c r="Q24" s="165">
        <v>5.68</v>
      </c>
      <c r="R24" s="13"/>
      <c r="S24" s="13"/>
      <c r="T24" s="213"/>
      <c r="U24" s="13"/>
    </row>
    <row r="25" spans="1:21">
      <c r="A25" s="142" t="s">
        <v>2757</v>
      </c>
      <c r="B25" s="165">
        <v>20.07</v>
      </c>
      <c r="C25" s="165">
        <v>60.18</v>
      </c>
      <c r="D25" s="165">
        <v>48.89</v>
      </c>
      <c r="E25" s="165">
        <v>6.79</v>
      </c>
      <c r="F25" s="165">
        <v>3.99</v>
      </c>
      <c r="G25" s="165">
        <v>33.81</v>
      </c>
      <c r="H25" s="165">
        <v>14.51</v>
      </c>
      <c r="I25" s="165">
        <v>6.13</v>
      </c>
      <c r="J25" s="165">
        <v>0.7</v>
      </c>
      <c r="K25" s="165">
        <v>0.19</v>
      </c>
      <c r="L25" s="165">
        <v>22.6</v>
      </c>
      <c r="M25" s="165">
        <v>72.58</v>
      </c>
      <c r="N25" s="165">
        <v>0</v>
      </c>
      <c r="O25" s="165">
        <v>0</v>
      </c>
      <c r="P25" s="165">
        <v>0.47</v>
      </c>
      <c r="Q25" s="165">
        <v>5.65</v>
      </c>
      <c r="R25" s="13"/>
      <c r="S25" s="13"/>
      <c r="T25" s="213"/>
      <c r="U25" s="13"/>
    </row>
    <row r="26" spans="1:21">
      <c r="A26" s="142" t="s">
        <v>2758</v>
      </c>
      <c r="B26" s="165">
        <v>20.5</v>
      </c>
      <c r="C26" s="165">
        <v>59.51</v>
      </c>
      <c r="D26" s="165">
        <v>48.89</v>
      </c>
      <c r="E26" s="165">
        <v>6.81</v>
      </c>
      <c r="F26" s="165">
        <v>4.43</v>
      </c>
      <c r="G26" s="165">
        <v>31.94</v>
      </c>
      <c r="H26" s="165">
        <v>12.58</v>
      </c>
      <c r="I26" s="165">
        <v>5.94</v>
      </c>
      <c r="J26" s="165">
        <v>1.18</v>
      </c>
      <c r="K26" s="165">
        <v>303.19</v>
      </c>
      <c r="L26" s="165">
        <v>22.6</v>
      </c>
      <c r="M26" s="165">
        <v>73.4</v>
      </c>
      <c r="N26" s="165">
        <v>0</v>
      </c>
      <c r="O26" s="165">
        <v>0</v>
      </c>
      <c r="P26" s="165">
        <v>0.45</v>
      </c>
      <c r="Q26" s="165">
        <v>5.65</v>
      </c>
      <c r="R26" s="13"/>
      <c r="S26" s="13"/>
      <c r="T26" s="213"/>
      <c r="U26" s="13"/>
    </row>
    <row r="27" spans="1:21">
      <c r="A27" s="142" t="s">
        <v>2759</v>
      </c>
      <c r="B27" s="165">
        <v>20.74</v>
      </c>
      <c r="C27" s="165">
        <v>62.74</v>
      </c>
      <c r="D27" s="165">
        <v>50.76</v>
      </c>
      <c r="E27" s="165">
        <v>7.28</v>
      </c>
      <c r="F27" s="165">
        <v>3.87</v>
      </c>
      <c r="G27" s="165">
        <v>28.71</v>
      </c>
      <c r="H27" s="165">
        <v>10.53</v>
      </c>
      <c r="I27" s="165">
        <v>5.9</v>
      </c>
      <c r="J27" s="165">
        <v>0.79</v>
      </c>
      <c r="K27" s="165">
        <v>296.53</v>
      </c>
      <c r="L27" s="165">
        <v>19.09</v>
      </c>
      <c r="M27" s="165">
        <v>79.47</v>
      </c>
      <c r="N27" s="165">
        <v>0.1</v>
      </c>
      <c r="O27" s="165">
        <v>0</v>
      </c>
      <c r="P27" s="165">
        <v>0.46</v>
      </c>
      <c r="Q27" s="165">
        <v>5.9</v>
      </c>
      <c r="R27" s="13"/>
      <c r="S27" s="13"/>
      <c r="T27" s="213"/>
      <c r="U27" s="13"/>
    </row>
    <row r="28" spans="1:21">
      <c r="A28" s="142" t="s">
        <v>2760</v>
      </c>
      <c r="B28" s="165">
        <v>21.21</v>
      </c>
      <c r="C28" s="165">
        <v>63.64</v>
      </c>
      <c r="D28" s="165">
        <v>51.61</v>
      </c>
      <c r="E28" s="165">
        <v>7.26</v>
      </c>
      <c r="F28" s="165">
        <v>3.68</v>
      </c>
      <c r="G28" s="165">
        <v>28.71</v>
      </c>
      <c r="H28" s="165">
        <v>10.53</v>
      </c>
      <c r="I28" s="165">
        <v>5.73</v>
      </c>
      <c r="J28" s="165">
        <v>0.94</v>
      </c>
      <c r="K28" s="165">
        <v>5.63</v>
      </c>
      <c r="L28" s="165">
        <v>19.92</v>
      </c>
      <c r="M28" s="165">
        <v>95.59</v>
      </c>
      <c r="N28" s="165">
        <v>0</v>
      </c>
      <c r="O28" s="165">
        <v>0</v>
      </c>
      <c r="P28" s="165">
        <v>0.46</v>
      </c>
      <c r="Q28" s="165">
        <v>5.98</v>
      </c>
      <c r="R28" s="13"/>
      <c r="S28" s="13"/>
      <c r="T28" s="213"/>
      <c r="U28" s="13"/>
    </row>
    <row r="29" spans="1:21">
      <c r="A29" s="142" t="s">
        <v>2761</v>
      </c>
      <c r="B29" s="165">
        <v>21.64</v>
      </c>
      <c r="C29" s="165">
        <v>60.38</v>
      </c>
      <c r="D29" s="165">
        <v>50.25</v>
      </c>
      <c r="E29" s="165">
        <v>7.1</v>
      </c>
      <c r="F29" s="165">
        <v>4.38</v>
      </c>
      <c r="G29" s="165">
        <v>28.71</v>
      </c>
      <c r="H29" s="165">
        <v>10.53</v>
      </c>
      <c r="I29" s="165">
        <v>5.64</v>
      </c>
      <c r="J29" s="165">
        <v>1.09</v>
      </c>
      <c r="K29" s="165">
        <v>324.02</v>
      </c>
      <c r="L29" s="165">
        <v>20.4</v>
      </c>
      <c r="M29" s="165">
        <v>96.39</v>
      </c>
      <c r="N29" s="165">
        <v>0</v>
      </c>
      <c r="O29" s="165">
        <v>0</v>
      </c>
      <c r="P29" s="165">
        <v>0.44</v>
      </c>
      <c r="Q29" s="165">
        <v>5.8</v>
      </c>
      <c r="R29" s="13"/>
      <c r="S29" s="13"/>
      <c r="T29" s="213"/>
      <c r="U29" s="13"/>
    </row>
    <row r="30" spans="1:21">
      <c r="A30" s="142" t="s">
        <v>2762</v>
      </c>
      <c r="B30" s="165">
        <v>21.75</v>
      </c>
      <c r="C30" s="165">
        <v>62.62</v>
      </c>
      <c r="D30" s="165">
        <v>51.51</v>
      </c>
      <c r="E30" s="165">
        <v>6.66</v>
      </c>
      <c r="F30" s="165">
        <v>4.07</v>
      </c>
      <c r="G30" s="165">
        <v>29.81</v>
      </c>
      <c r="H30" s="165">
        <v>11.48</v>
      </c>
      <c r="I30" s="165">
        <v>5.53</v>
      </c>
      <c r="J30" s="165">
        <v>0.71</v>
      </c>
      <c r="K30" s="165">
        <v>356.06</v>
      </c>
      <c r="L30" s="165">
        <v>20.81</v>
      </c>
      <c r="M30" s="165">
        <v>94.29</v>
      </c>
      <c r="N30" s="165">
        <v>0</v>
      </c>
      <c r="O30" s="165">
        <v>0</v>
      </c>
      <c r="P30" s="165">
        <v>0.45</v>
      </c>
      <c r="Q30" s="165">
        <v>5.89</v>
      </c>
      <c r="R30" s="13"/>
      <c r="S30" s="13"/>
      <c r="T30" s="213"/>
      <c r="U30" s="13"/>
    </row>
    <row r="31" spans="1:21">
      <c r="A31" s="142" t="s">
        <v>2763</v>
      </c>
      <c r="B31" s="165">
        <v>22.24</v>
      </c>
      <c r="C31" s="165">
        <v>63.1</v>
      </c>
      <c r="D31" s="165">
        <v>52.16</v>
      </c>
      <c r="E31" s="165">
        <v>7.06</v>
      </c>
      <c r="F31" s="165">
        <v>4.15</v>
      </c>
      <c r="G31" s="165">
        <v>31.7</v>
      </c>
      <c r="H31" s="165">
        <v>13.13</v>
      </c>
      <c r="I31" s="165">
        <v>5.36</v>
      </c>
      <c r="J31" s="165">
        <v>1.6</v>
      </c>
      <c r="K31" s="165">
        <v>309.09</v>
      </c>
      <c r="L31" s="165">
        <v>21.05</v>
      </c>
      <c r="M31" s="165">
        <v>88.5</v>
      </c>
      <c r="N31" s="165">
        <v>0</v>
      </c>
      <c r="O31" s="165">
        <v>0</v>
      </c>
      <c r="P31" s="165">
        <v>0.46</v>
      </c>
      <c r="Q31" s="165">
        <v>5.98</v>
      </c>
      <c r="R31" s="13"/>
      <c r="S31" s="13"/>
      <c r="T31" s="213"/>
      <c r="U31" s="13"/>
    </row>
    <row r="32" spans="1:21">
      <c r="A32" s="142" t="s">
        <v>2764</v>
      </c>
      <c r="B32" s="165">
        <v>22.38</v>
      </c>
      <c r="C32" s="165">
        <v>59.1</v>
      </c>
      <c r="D32" s="165">
        <v>50.18</v>
      </c>
      <c r="E32" s="165">
        <v>7.17</v>
      </c>
      <c r="F32" s="165">
        <v>4.64</v>
      </c>
      <c r="G32" s="165">
        <v>31.7</v>
      </c>
      <c r="H32" s="165">
        <v>13.13</v>
      </c>
      <c r="I32" s="165">
        <v>5.3</v>
      </c>
      <c r="J32" s="165">
        <v>0.64</v>
      </c>
      <c r="K32" s="165">
        <v>275.5</v>
      </c>
      <c r="L32" s="165">
        <v>21.17</v>
      </c>
      <c r="M32" s="165">
        <v>87.94</v>
      </c>
      <c r="N32" s="165">
        <v>0</v>
      </c>
      <c r="O32" s="165">
        <v>0</v>
      </c>
      <c r="P32" s="165">
        <v>0.44</v>
      </c>
      <c r="Q32" s="165">
        <v>5.82</v>
      </c>
      <c r="R32" s="13"/>
      <c r="S32" s="13"/>
      <c r="T32" s="213"/>
      <c r="U32" s="13"/>
    </row>
    <row r="33" spans="1:21">
      <c r="A33" s="142" t="s">
        <v>2765</v>
      </c>
      <c r="B33" s="165">
        <v>22.33</v>
      </c>
      <c r="C33" s="165">
        <v>61.97</v>
      </c>
      <c r="D33" s="165">
        <v>51.64</v>
      </c>
      <c r="E33" s="165">
        <v>6.66</v>
      </c>
      <c r="F33" s="165">
        <v>3.75</v>
      </c>
      <c r="G33" s="165">
        <v>31.7</v>
      </c>
      <c r="H33" s="165">
        <v>13.13</v>
      </c>
      <c r="I33" s="165">
        <v>5.27</v>
      </c>
      <c r="J33" s="165">
        <v>0.63</v>
      </c>
      <c r="K33" s="165">
        <v>74.56</v>
      </c>
      <c r="L33" s="165">
        <v>21.02</v>
      </c>
      <c r="M33" s="165">
        <v>91.65</v>
      </c>
      <c r="N33" s="165">
        <v>0.3</v>
      </c>
      <c r="O33" s="165">
        <v>0</v>
      </c>
      <c r="P33" s="165">
        <v>0.45</v>
      </c>
      <c r="Q33" s="165">
        <v>5.92</v>
      </c>
      <c r="R33" s="13"/>
      <c r="S33" s="13"/>
      <c r="T33" s="213"/>
      <c r="U33" s="13"/>
    </row>
    <row r="34" spans="1:21">
      <c r="A34" s="142" t="s">
        <v>2766</v>
      </c>
      <c r="B34" s="165">
        <v>22.56</v>
      </c>
      <c r="C34" s="165">
        <v>58.37</v>
      </c>
      <c r="D34" s="165">
        <v>49.94</v>
      </c>
      <c r="E34" s="165">
        <v>6.67</v>
      </c>
      <c r="F34" s="165">
        <v>4.04</v>
      </c>
      <c r="G34" s="165">
        <v>29.47</v>
      </c>
      <c r="H34" s="165">
        <v>12.43</v>
      </c>
      <c r="I34" s="165">
        <v>5.16</v>
      </c>
      <c r="J34" s="165">
        <v>1.28</v>
      </c>
      <c r="K34" s="165">
        <v>64.74</v>
      </c>
      <c r="L34" s="165">
        <v>20.81</v>
      </c>
      <c r="M34" s="165">
        <v>92.71</v>
      </c>
      <c r="N34" s="165">
        <v>16.3</v>
      </c>
      <c r="O34" s="165">
        <v>0</v>
      </c>
      <c r="P34" s="165">
        <v>0.43</v>
      </c>
      <c r="Q34" s="165">
        <v>5.75</v>
      </c>
      <c r="R34" s="13"/>
      <c r="S34" s="13"/>
      <c r="T34" s="213"/>
      <c r="U34" s="13"/>
    </row>
    <row r="35" spans="1:21">
      <c r="A35" s="142" t="s">
        <v>2767</v>
      </c>
      <c r="B35" s="165">
        <v>23.07</v>
      </c>
      <c r="C35" s="165">
        <v>63.35</v>
      </c>
      <c r="D35" s="165">
        <v>52.95</v>
      </c>
      <c r="E35" s="165">
        <v>6.81</v>
      </c>
      <c r="F35" s="165">
        <v>3.4</v>
      </c>
      <c r="G35" s="165">
        <v>25.62</v>
      </c>
      <c r="H35" s="165">
        <v>11.21</v>
      </c>
      <c r="I35" s="165">
        <v>5.03</v>
      </c>
      <c r="J35" s="165">
        <v>0.79</v>
      </c>
      <c r="K35" s="165">
        <v>73.79</v>
      </c>
      <c r="L35" s="165">
        <v>20.95</v>
      </c>
      <c r="M35" s="165">
        <v>91.96</v>
      </c>
      <c r="N35" s="165">
        <v>49.1</v>
      </c>
      <c r="O35" s="165">
        <v>0</v>
      </c>
      <c r="P35" s="165">
        <v>0.45</v>
      </c>
      <c r="Q35" s="165">
        <v>6.02</v>
      </c>
      <c r="R35" s="13"/>
      <c r="S35" s="13"/>
      <c r="T35" s="213"/>
      <c r="U35" s="13"/>
    </row>
    <row r="36" spans="1:21">
      <c r="A36" s="142" t="s">
        <v>2768</v>
      </c>
      <c r="B36" s="165">
        <v>23.67</v>
      </c>
      <c r="C36" s="165">
        <v>60.03</v>
      </c>
      <c r="D36" s="165">
        <v>51.69</v>
      </c>
      <c r="E36" s="165">
        <v>6.85</v>
      </c>
      <c r="F36" s="165">
        <v>3.93</v>
      </c>
      <c r="G36" s="165">
        <v>25.62</v>
      </c>
      <c r="H36" s="165">
        <v>11.21</v>
      </c>
      <c r="I36" s="165">
        <v>4.99</v>
      </c>
      <c r="J36" s="165">
        <v>0.26</v>
      </c>
      <c r="K36" s="165">
        <v>100.55</v>
      </c>
      <c r="L36" s="165">
        <v>21.29</v>
      </c>
      <c r="M36" s="165">
        <v>92.73</v>
      </c>
      <c r="N36" s="165">
        <v>63.7</v>
      </c>
      <c r="O36" s="165">
        <v>0</v>
      </c>
      <c r="P36" s="165">
        <v>0.45</v>
      </c>
      <c r="Q36" s="165">
        <v>5.93</v>
      </c>
      <c r="R36" s="13"/>
      <c r="S36" s="13"/>
      <c r="T36" s="213"/>
      <c r="U36" s="13"/>
    </row>
    <row r="37" spans="1:21">
      <c r="A37" s="142" t="s">
        <v>2769</v>
      </c>
      <c r="B37" s="165">
        <v>24.09</v>
      </c>
      <c r="C37" s="165">
        <v>61.77</v>
      </c>
      <c r="D37" s="165">
        <v>52.95</v>
      </c>
      <c r="E37" s="165">
        <v>6.61</v>
      </c>
      <c r="F37" s="165">
        <v>3.68</v>
      </c>
      <c r="G37" s="165">
        <v>25.62</v>
      </c>
      <c r="H37" s="165">
        <v>11.21</v>
      </c>
      <c r="I37" s="165">
        <v>4.96</v>
      </c>
      <c r="J37" s="165">
        <v>0.62</v>
      </c>
      <c r="K37" s="165">
        <v>78.2</v>
      </c>
      <c r="L37" s="165">
        <v>21.52</v>
      </c>
      <c r="M37" s="165">
        <v>91.89</v>
      </c>
      <c r="N37" s="165">
        <v>75.5</v>
      </c>
      <c r="O37" s="165">
        <v>0</v>
      </c>
      <c r="P37" s="165">
        <v>0.46</v>
      </c>
      <c r="Q37" s="165">
        <v>6.01</v>
      </c>
      <c r="R37" s="13"/>
      <c r="S37" s="13"/>
      <c r="T37" s="213"/>
      <c r="U37" s="13"/>
    </row>
    <row r="38" spans="1:21">
      <c r="A38" s="142" t="s">
        <v>2770</v>
      </c>
      <c r="B38" s="165">
        <v>24.54</v>
      </c>
      <c r="C38" s="165">
        <v>61.94</v>
      </c>
      <c r="D38" s="165">
        <v>53.39</v>
      </c>
      <c r="E38" s="165">
        <v>6.55</v>
      </c>
      <c r="F38" s="165">
        <v>3.54</v>
      </c>
      <c r="G38" s="165">
        <v>25.93</v>
      </c>
      <c r="H38" s="165">
        <v>10.49</v>
      </c>
      <c r="I38" s="165">
        <v>4.93</v>
      </c>
      <c r="J38" s="165">
        <v>0.24</v>
      </c>
      <c r="K38" s="165">
        <v>101.77</v>
      </c>
      <c r="L38" s="165">
        <v>21.91</v>
      </c>
      <c r="M38" s="165">
        <v>91.1</v>
      </c>
      <c r="N38" s="165">
        <v>110.4</v>
      </c>
      <c r="O38" s="165">
        <v>0</v>
      </c>
      <c r="P38" s="165">
        <v>0.47</v>
      </c>
      <c r="Q38" s="165">
        <v>6.05</v>
      </c>
      <c r="R38" s="13"/>
      <c r="S38" s="13"/>
      <c r="T38" s="213"/>
      <c r="U38" s="13"/>
    </row>
    <row r="39" spans="1:21">
      <c r="A39" s="142" t="s">
        <v>2771</v>
      </c>
      <c r="B39" s="165">
        <v>25.15</v>
      </c>
      <c r="C39" s="165">
        <v>60.33</v>
      </c>
      <c r="D39" s="165">
        <v>53.04</v>
      </c>
      <c r="E39" s="165">
        <v>6.73</v>
      </c>
      <c r="F39" s="165">
        <v>3.72</v>
      </c>
      <c r="G39" s="165">
        <v>26.46</v>
      </c>
      <c r="H39" s="165">
        <v>9.23</v>
      </c>
      <c r="I39" s="165">
        <v>4.82</v>
      </c>
      <c r="J39" s="165">
        <v>0.17</v>
      </c>
      <c r="K39" s="165">
        <v>182.7</v>
      </c>
      <c r="L39" s="165">
        <v>22.41</v>
      </c>
      <c r="M39" s="165">
        <v>90.54</v>
      </c>
      <c r="N39" s="165">
        <v>144.1</v>
      </c>
      <c r="O39" s="165">
        <v>0</v>
      </c>
      <c r="P39" s="165">
        <v>0.45</v>
      </c>
      <c r="Q39" s="165">
        <v>6</v>
      </c>
      <c r="R39" s="13"/>
      <c r="S39" s="13"/>
      <c r="T39" s="213"/>
      <c r="U39" s="13"/>
    </row>
    <row r="40" spans="1:21">
      <c r="A40" s="142" t="s">
        <v>2772</v>
      </c>
      <c r="B40" s="165">
        <v>25.86</v>
      </c>
      <c r="C40" s="165">
        <v>59.45</v>
      </c>
      <c r="D40" s="165">
        <v>53.15</v>
      </c>
      <c r="E40" s="165">
        <v>7.07</v>
      </c>
      <c r="F40" s="165">
        <v>3.84</v>
      </c>
      <c r="G40" s="165">
        <v>26.46</v>
      </c>
      <c r="H40" s="165">
        <v>9.23</v>
      </c>
      <c r="I40" s="165">
        <v>4.8</v>
      </c>
      <c r="J40" s="165">
        <v>0.11</v>
      </c>
      <c r="K40" s="165">
        <v>180.29</v>
      </c>
      <c r="L40" s="165">
        <v>22.78</v>
      </c>
      <c r="M40" s="165">
        <v>89.31</v>
      </c>
      <c r="N40" s="165">
        <v>146.1</v>
      </c>
      <c r="O40" s="165">
        <v>0</v>
      </c>
      <c r="P40" s="165">
        <v>0.45</v>
      </c>
      <c r="Q40" s="165">
        <v>6.02</v>
      </c>
      <c r="R40" s="13"/>
      <c r="S40" s="13"/>
      <c r="T40" s="213"/>
      <c r="U40" s="13"/>
    </row>
    <row r="41" spans="1:21">
      <c r="A41" s="142" t="s">
        <v>2773</v>
      </c>
      <c r="B41" s="165">
        <v>26.14</v>
      </c>
      <c r="C41" s="165">
        <v>59.96</v>
      </c>
      <c r="D41" s="165">
        <v>53.64</v>
      </c>
      <c r="E41" s="165">
        <v>6.85</v>
      </c>
      <c r="F41" s="165">
        <v>3.68</v>
      </c>
      <c r="G41" s="165">
        <v>26.46</v>
      </c>
      <c r="H41" s="165">
        <v>9.23</v>
      </c>
      <c r="I41" s="165">
        <v>4.8</v>
      </c>
      <c r="J41" s="165">
        <v>0.24</v>
      </c>
      <c r="K41" s="165">
        <v>232.16</v>
      </c>
      <c r="L41" s="165">
        <v>23.17</v>
      </c>
      <c r="M41" s="165">
        <v>89.37</v>
      </c>
      <c r="N41" s="165">
        <v>133.6</v>
      </c>
      <c r="O41" s="165">
        <v>0</v>
      </c>
      <c r="P41" s="165">
        <v>0.46</v>
      </c>
      <c r="Q41" s="165">
        <v>6.02</v>
      </c>
      <c r="R41" s="13"/>
      <c r="S41" s="13"/>
      <c r="T41" s="213"/>
      <c r="U41" s="13"/>
    </row>
    <row r="42" spans="1:21">
      <c r="A42" s="142" t="s">
        <v>2774</v>
      </c>
      <c r="B42" s="165">
        <v>26.71</v>
      </c>
      <c r="C42" s="165">
        <v>58.04</v>
      </c>
      <c r="D42" s="165">
        <v>53.09</v>
      </c>
      <c r="E42" s="165">
        <v>7.05</v>
      </c>
      <c r="F42" s="165">
        <v>3.99</v>
      </c>
      <c r="G42" s="165">
        <v>25.19</v>
      </c>
      <c r="H42" s="165">
        <v>9.29</v>
      </c>
      <c r="I42" s="165">
        <v>4.73</v>
      </c>
      <c r="J42" s="165">
        <v>0.36</v>
      </c>
      <c r="K42" s="165">
        <v>240.7</v>
      </c>
      <c r="L42" s="165">
        <v>23.42</v>
      </c>
      <c r="M42" s="165">
        <v>88.52</v>
      </c>
      <c r="N42" s="165">
        <v>149.8</v>
      </c>
      <c r="O42" s="165">
        <v>0</v>
      </c>
      <c r="P42" s="165">
        <v>0.45</v>
      </c>
      <c r="Q42" s="165">
        <v>6.02</v>
      </c>
      <c r="R42" s="13"/>
      <c r="S42" s="13"/>
      <c r="T42" s="213"/>
      <c r="U42" s="13"/>
    </row>
    <row r="43" spans="1:21">
      <c r="A43" s="142" t="s">
        <v>2775</v>
      </c>
      <c r="B43" s="165">
        <v>26.56</v>
      </c>
      <c r="C43" s="165">
        <v>66.6</v>
      </c>
      <c r="D43" s="165">
        <v>57.44</v>
      </c>
      <c r="E43" s="165">
        <v>6.88</v>
      </c>
      <c r="F43" s="165">
        <v>3.62</v>
      </c>
      <c r="G43" s="165">
        <v>22.99</v>
      </c>
      <c r="H43" s="165">
        <v>9.38</v>
      </c>
      <c r="I43" s="165">
        <v>4.8</v>
      </c>
      <c r="J43" s="165">
        <v>0.4</v>
      </c>
      <c r="K43" s="165">
        <v>261.8</v>
      </c>
      <c r="L43" s="165">
        <v>23.8</v>
      </c>
      <c r="M43" s="165">
        <v>85.97</v>
      </c>
      <c r="N43" s="165">
        <v>199.3</v>
      </c>
      <c r="O43" s="165">
        <v>0</v>
      </c>
      <c r="P43" s="165">
        <v>0.48</v>
      </c>
      <c r="Q43" s="165">
        <v>6.28</v>
      </c>
      <c r="R43" s="13"/>
      <c r="S43" s="13"/>
      <c r="T43" s="213"/>
      <c r="U43" s="13"/>
    </row>
    <row r="44" spans="1:21">
      <c r="A44" s="142" t="s">
        <v>2776</v>
      </c>
      <c r="B44" s="165">
        <v>26.39</v>
      </c>
      <c r="C44" s="165">
        <v>70.16</v>
      </c>
      <c r="D44" s="165">
        <v>59.17</v>
      </c>
      <c r="E44" s="165">
        <v>6.81</v>
      </c>
      <c r="F44" s="165">
        <v>3.64</v>
      </c>
      <c r="G44" s="165">
        <v>22.99</v>
      </c>
      <c r="H44" s="165">
        <v>9.38</v>
      </c>
      <c r="I44" s="165">
        <v>4.78</v>
      </c>
      <c r="J44" s="165">
        <v>0.36</v>
      </c>
      <c r="K44" s="165">
        <v>228.99</v>
      </c>
      <c r="L44" s="165">
        <v>24.6</v>
      </c>
      <c r="M44" s="165">
        <v>83.37</v>
      </c>
      <c r="N44" s="165">
        <v>226.5</v>
      </c>
      <c r="O44" s="165">
        <v>0</v>
      </c>
      <c r="P44" s="165">
        <v>0.48</v>
      </c>
      <c r="Q44" s="165">
        <v>6.51</v>
      </c>
      <c r="R44" s="13"/>
      <c r="S44" s="13"/>
      <c r="T44" s="213"/>
      <c r="U44" s="13"/>
    </row>
    <row r="45" spans="1:21">
      <c r="A45" s="142" t="s">
        <v>2777</v>
      </c>
      <c r="B45" s="165">
        <v>26.02</v>
      </c>
      <c r="C45" s="165">
        <v>69.83</v>
      </c>
      <c r="D45" s="165">
        <v>58.7</v>
      </c>
      <c r="E45" s="165">
        <v>6.98</v>
      </c>
      <c r="F45" s="165">
        <v>3.77</v>
      </c>
      <c r="G45" s="165">
        <v>22.99</v>
      </c>
      <c r="H45" s="165">
        <v>9.38</v>
      </c>
      <c r="I45" s="165">
        <v>4.77</v>
      </c>
      <c r="J45" s="165">
        <v>0.55</v>
      </c>
      <c r="K45" s="165">
        <v>242.35</v>
      </c>
      <c r="L45" s="165">
        <v>24.98</v>
      </c>
      <c r="M45" s="165">
        <v>82.16</v>
      </c>
      <c r="N45" s="165">
        <v>262.7</v>
      </c>
      <c r="O45" s="165">
        <v>0</v>
      </c>
      <c r="P45" s="165">
        <v>0.48</v>
      </c>
      <c r="Q45" s="165">
        <v>6.55</v>
      </c>
      <c r="R45" s="13"/>
      <c r="S45" s="13"/>
      <c r="T45" s="213"/>
      <c r="U45" s="13"/>
    </row>
    <row r="46" spans="1:21">
      <c r="A46" s="142" t="s">
        <v>2778</v>
      </c>
      <c r="B46" s="165">
        <v>25.44</v>
      </c>
      <c r="C46" s="165">
        <v>69.11</v>
      </c>
      <c r="D46" s="165">
        <v>57.86</v>
      </c>
      <c r="E46" s="165">
        <v>6.76</v>
      </c>
      <c r="F46" s="165">
        <v>4.05</v>
      </c>
      <c r="G46" s="165">
        <v>21.7</v>
      </c>
      <c r="H46" s="165">
        <v>9.45</v>
      </c>
      <c r="I46" s="165">
        <v>4.74</v>
      </c>
      <c r="J46" s="165">
        <v>0.58</v>
      </c>
      <c r="K46" s="165">
        <v>230.11</v>
      </c>
      <c r="L46" s="165">
        <v>25.32</v>
      </c>
      <c r="M46" s="165">
        <v>79.43</v>
      </c>
      <c r="N46" s="165">
        <v>324.8</v>
      </c>
      <c r="O46" s="165">
        <v>0</v>
      </c>
      <c r="P46" s="165">
        <v>0.48</v>
      </c>
      <c r="Q46" s="165">
        <v>6.53</v>
      </c>
      <c r="R46" s="13"/>
      <c r="S46" s="13"/>
      <c r="T46" s="213"/>
      <c r="U46" s="13"/>
    </row>
    <row r="47" spans="1:21">
      <c r="A47" s="142" t="s">
        <v>2779</v>
      </c>
      <c r="B47" s="165">
        <v>25</v>
      </c>
      <c r="C47" s="165">
        <v>67.22</v>
      </c>
      <c r="D47" s="165">
        <v>56.52</v>
      </c>
      <c r="E47" s="165">
        <v>6.71</v>
      </c>
      <c r="F47" s="165">
        <v>4.04</v>
      </c>
      <c r="G47" s="165">
        <v>19.47</v>
      </c>
      <c r="H47" s="165">
        <v>9.56</v>
      </c>
      <c r="I47" s="165">
        <v>4.66</v>
      </c>
      <c r="J47" s="165">
        <v>0.38</v>
      </c>
      <c r="K47" s="165">
        <v>240.05</v>
      </c>
      <c r="L47" s="165">
        <v>26.35</v>
      </c>
      <c r="M47" s="165">
        <v>75.65</v>
      </c>
      <c r="N47" s="165">
        <v>360.5</v>
      </c>
      <c r="O47" s="165">
        <v>0</v>
      </c>
      <c r="P47" s="165">
        <v>0.48</v>
      </c>
      <c r="Q47" s="165">
        <v>6.44</v>
      </c>
      <c r="R47" s="13"/>
      <c r="S47" s="13"/>
      <c r="T47" s="213"/>
      <c r="U47" s="13"/>
    </row>
    <row r="48" spans="1:21">
      <c r="A48" s="142" t="s">
        <v>2780</v>
      </c>
      <c r="B48" s="165">
        <v>24.35</v>
      </c>
      <c r="C48" s="165">
        <v>66.99</v>
      </c>
      <c r="D48" s="165">
        <v>55.88</v>
      </c>
      <c r="E48" s="165">
        <v>6.23</v>
      </c>
      <c r="F48" s="165">
        <v>4.24</v>
      </c>
      <c r="G48" s="165">
        <v>19.47</v>
      </c>
      <c r="H48" s="165">
        <v>9.56</v>
      </c>
      <c r="I48" s="165">
        <v>4.64</v>
      </c>
      <c r="J48" s="165">
        <v>0.57</v>
      </c>
      <c r="K48" s="165">
        <v>238.11</v>
      </c>
      <c r="L48" s="165">
        <v>26.6</v>
      </c>
      <c r="M48" s="165">
        <v>74.97</v>
      </c>
      <c r="N48" s="165">
        <v>325.3</v>
      </c>
      <c r="O48" s="165">
        <v>0</v>
      </c>
      <c r="P48" s="165">
        <v>0.47</v>
      </c>
      <c r="Q48" s="165">
        <v>6.41</v>
      </c>
      <c r="R48" s="13"/>
      <c r="S48" s="13"/>
      <c r="T48" s="213"/>
      <c r="U48" s="13"/>
    </row>
    <row r="49" spans="1:21">
      <c r="A49" s="142" t="s">
        <v>2781</v>
      </c>
      <c r="B49" s="165">
        <v>23.64</v>
      </c>
      <c r="C49" s="165">
        <v>66.98</v>
      </c>
      <c r="D49" s="165">
        <v>55.31</v>
      </c>
      <c r="E49" s="165">
        <v>6.27</v>
      </c>
      <c r="F49" s="165">
        <v>4.08</v>
      </c>
      <c r="G49" s="165">
        <v>19.47</v>
      </c>
      <c r="H49" s="165">
        <v>9.56</v>
      </c>
      <c r="I49" s="165">
        <v>4.54</v>
      </c>
      <c r="J49" s="165">
        <v>0.3</v>
      </c>
      <c r="K49" s="165">
        <v>256.37</v>
      </c>
      <c r="L49" s="165">
        <v>26.96</v>
      </c>
      <c r="M49" s="165">
        <v>72.6</v>
      </c>
      <c r="N49" s="165">
        <v>335.5</v>
      </c>
      <c r="O49" s="165">
        <v>0</v>
      </c>
      <c r="P49" s="165">
        <v>0.47</v>
      </c>
      <c r="Q49" s="165">
        <v>6.37</v>
      </c>
      <c r="R49" s="13"/>
      <c r="S49" s="13"/>
      <c r="T49" s="213"/>
      <c r="U49" s="13"/>
    </row>
    <row r="50" spans="1:21">
      <c r="A50" s="142" t="s">
        <v>2782</v>
      </c>
      <c r="B50" s="165">
        <v>23.01</v>
      </c>
      <c r="C50" s="165">
        <v>64.57</v>
      </c>
      <c r="D50" s="165">
        <v>53.54</v>
      </c>
      <c r="E50" s="165">
        <v>7.25</v>
      </c>
      <c r="F50" s="165">
        <v>4.16</v>
      </c>
      <c r="G50" s="165">
        <v>19.51</v>
      </c>
      <c r="H50" s="165">
        <v>8.87</v>
      </c>
      <c r="I50" s="165">
        <v>4.44</v>
      </c>
      <c r="J50" s="165">
        <v>0.39</v>
      </c>
      <c r="K50" s="165">
        <v>239.56</v>
      </c>
      <c r="L50" s="165">
        <v>27.4</v>
      </c>
      <c r="M50" s="165">
        <v>70.76</v>
      </c>
      <c r="N50" s="165">
        <v>347.7</v>
      </c>
      <c r="O50" s="165">
        <v>0</v>
      </c>
      <c r="P50" s="165">
        <v>0.47</v>
      </c>
      <c r="Q50" s="165">
        <v>6.2</v>
      </c>
      <c r="R50" s="13"/>
      <c r="S50" s="13"/>
      <c r="T50" s="213"/>
      <c r="U50" s="13"/>
    </row>
    <row r="51" spans="1:21">
      <c r="A51" s="142" t="s">
        <v>2783</v>
      </c>
      <c r="B51" s="165">
        <v>22.48</v>
      </c>
      <c r="C51" s="165">
        <v>64.9</v>
      </c>
      <c r="D51" s="165">
        <v>53.28</v>
      </c>
      <c r="E51" s="165">
        <v>7.1</v>
      </c>
      <c r="F51" s="165">
        <v>4.13</v>
      </c>
      <c r="G51" s="165">
        <v>19.58</v>
      </c>
      <c r="H51" s="165">
        <v>7.67</v>
      </c>
      <c r="I51" s="165">
        <v>4.41</v>
      </c>
      <c r="J51" s="165">
        <v>0.55</v>
      </c>
      <c r="K51" s="165">
        <v>235.9</v>
      </c>
      <c r="L51" s="165">
        <v>27.74</v>
      </c>
      <c r="M51" s="165">
        <v>69.23</v>
      </c>
      <c r="N51" s="165">
        <v>561.1</v>
      </c>
      <c r="O51" s="165">
        <v>0</v>
      </c>
      <c r="P51" s="165">
        <v>0.45</v>
      </c>
      <c r="Q51" s="165">
        <v>6.25</v>
      </c>
      <c r="R51" s="13"/>
      <c r="S51" s="13"/>
      <c r="T51" s="213"/>
      <c r="U51" s="13"/>
    </row>
    <row r="52" spans="1:21">
      <c r="A52" s="142" t="s">
        <v>2784</v>
      </c>
      <c r="B52" s="165">
        <v>21.64</v>
      </c>
      <c r="C52" s="165">
        <v>64.37</v>
      </c>
      <c r="D52" s="165">
        <v>52.34</v>
      </c>
      <c r="E52" s="165">
        <v>7.82</v>
      </c>
      <c r="F52" s="165">
        <v>4.16</v>
      </c>
      <c r="G52" s="165">
        <v>19.58</v>
      </c>
      <c r="H52" s="165">
        <v>7.67</v>
      </c>
      <c r="I52" s="165">
        <v>4.44</v>
      </c>
      <c r="J52" s="165">
        <v>0.54</v>
      </c>
      <c r="K52" s="165">
        <v>251.21</v>
      </c>
      <c r="L52" s="165">
        <v>28.55</v>
      </c>
      <c r="M52" s="165">
        <v>65.75</v>
      </c>
      <c r="N52" s="165">
        <v>711.6</v>
      </c>
      <c r="O52" s="165">
        <v>0</v>
      </c>
      <c r="P52" s="165">
        <v>0.45</v>
      </c>
      <c r="Q52" s="165">
        <v>6.18</v>
      </c>
      <c r="R52" s="13"/>
      <c r="S52" s="13"/>
      <c r="T52" s="213"/>
      <c r="U52" s="13"/>
    </row>
    <row r="53" spans="1:21">
      <c r="A53" s="142" t="s">
        <v>2785</v>
      </c>
      <c r="B53" s="165">
        <v>20.72</v>
      </c>
      <c r="C53" s="165">
        <v>60.82</v>
      </c>
      <c r="D53" s="165">
        <v>49.75</v>
      </c>
      <c r="E53" s="165">
        <v>7.19</v>
      </c>
      <c r="F53" s="165">
        <v>4.7</v>
      </c>
      <c r="G53" s="165">
        <v>19.58</v>
      </c>
      <c r="H53" s="165">
        <v>7.67</v>
      </c>
      <c r="I53" s="165">
        <v>4.29</v>
      </c>
      <c r="J53" s="165">
        <v>0.67</v>
      </c>
      <c r="K53" s="165">
        <v>246.05</v>
      </c>
      <c r="L53" s="165">
        <v>29.26</v>
      </c>
      <c r="M53" s="165">
        <v>63.14</v>
      </c>
      <c r="N53" s="165">
        <v>565.9</v>
      </c>
      <c r="O53" s="165">
        <v>0</v>
      </c>
      <c r="P53" s="165">
        <v>0.44</v>
      </c>
      <c r="Q53" s="165">
        <v>5.94</v>
      </c>
      <c r="R53" s="13"/>
      <c r="S53" s="13"/>
      <c r="T53" s="213"/>
      <c r="U53" s="13"/>
    </row>
    <row r="54" spans="1:21">
      <c r="A54" s="142" t="s">
        <v>2786</v>
      </c>
      <c r="B54" s="165">
        <v>19.73</v>
      </c>
      <c r="C54" s="165">
        <v>62.29</v>
      </c>
      <c r="D54" s="165">
        <v>49.72</v>
      </c>
      <c r="E54" s="165">
        <v>6.68</v>
      </c>
      <c r="F54" s="165">
        <v>4.32</v>
      </c>
      <c r="G54" s="165">
        <v>17.52</v>
      </c>
      <c r="H54" s="165">
        <v>9.25</v>
      </c>
      <c r="I54" s="165">
        <v>4.25</v>
      </c>
      <c r="J54" s="165">
        <v>0.66</v>
      </c>
      <c r="K54" s="165">
        <v>240.71</v>
      </c>
      <c r="L54" s="165">
        <v>29.19</v>
      </c>
      <c r="M54" s="165">
        <v>63.3</v>
      </c>
      <c r="N54" s="165">
        <v>457.2</v>
      </c>
      <c r="O54" s="165">
        <v>0</v>
      </c>
      <c r="P54" s="165">
        <v>0.45</v>
      </c>
      <c r="Q54" s="165">
        <v>5.97</v>
      </c>
      <c r="R54" s="13"/>
      <c r="S54" s="13"/>
      <c r="T54" s="213"/>
      <c r="U54" s="13"/>
    </row>
    <row r="55" spans="1:21">
      <c r="A55" s="142" t="s">
        <v>2787</v>
      </c>
      <c r="B55" s="165">
        <v>19.07</v>
      </c>
      <c r="C55" s="165">
        <v>61.48</v>
      </c>
      <c r="D55" s="165">
        <v>48.77</v>
      </c>
      <c r="E55" s="165">
        <v>7.39</v>
      </c>
      <c r="F55" s="165">
        <v>4.65</v>
      </c>
      <c r="G55" s="165">
        <v>13.96</v>
      </c>
      <c r="H55" s="165">
        <v>11.98</v>
      </c>
      <c r="I55" s="165">
        <v>4.27</v>
      </c>
      <c r="J55" s="165">
        <v>0.63</v>
      </c>
      <c r="K55" s="165">
        <v>243.14</v>
      </c>
      <c r="L55" s="165">
        <v>29.32</v>
      </c>
      <c r="M55" s="165">
        <v>62.44</v>
      </c>
      <c r="N55" s="165">
        <v>503.6</v>
      </c>
      <c r="O55" s="165">
        <v>0</v>
      </c>
      <c r="P55" s="165">
        <v>0.45</v>
      </c>
      <c r="Q55" s="165">
        <v>5.86</v>
      </c>
      <c r="R55" s="13"/>
      <c r="S55" s="13"/>
      <c r="T55" s="213"/>
      <c r="U55" s="13"/>
    </row>
    <row r="56" spans="1:21">
      <c r="A56" s="142" t="s">
        <v>2788</v>
      </c>
      <c r="B56" s="165">
        <v>18.36</v>
      </c>
      <c r="C56" s="165">
        <v>59.53</v>
      </c>
      <c r="D56" s="165">
        <v>47.17</v>
      </c>
      <c r="E56" s="165">
        <v>7.46</v>
      </c>
      <c r="F56" s="165">
        <v>5.08</v>
      </c>
      <c r="G56" s="165">
        <v>13.96</v>
      </c>
      <c r="H56" s="165">
        <v>11.98</v>
      </c>
      <c r="I56" s="165">
        <v>4.16</v>
      </c>
      <c r="J56" s="165">
        <v>0.49</v>
      </c>
      <c r="K56" s="165">
        <v>240.62</v>
      </c>
      <c r="L56" s="165">
        <v>29.89</v>
      </c>
      <c r="M56" s="165">
        <v>59.7</v>
      </c>
      <c r="N56" s="165">
        <v>605.6</v>
      </c>
      <c r="O56" s="165">
        <v>0</v>
      </c>
      <c r="P56" s="165">
        <v>0.44</v>
      </c>
      <c r="Q56" s="165">
        <v>5.74</v>
      </c>
      <c r="R56" s="13"/>
      <c r="S56" s="13"/>
      <c r="T56" s="213"/>
      <c r="U56" s="13"/>
    </row>
    <row r="57" spans="1:21">
      <c r="A57" s="142" t="s">
        <v>2789</v>
      </c>
      <c r="B57" s="165">
        <v>17.58</v>
      </c>
      <c r="C57" s="165">
        <v>61.06</v>
      </c>
      <c r="D57" s="165">
        <v>47.35</v>
      </c>
      <c r="E57" s="165">
        <v>7.18</v>
      </c>
      <c r="F57" s="165">
        <v>4.77</v>
      </c>
      <c r="G57" s="165">
        <v>13.96</v>
      </c>
      <c r="H57" s="165">
        <v>11.98</v>
      </c>
      <c r="I57" s="165">
        <v>4.19</v>
      </c>
      <c r="J57" s="165">
        <v>0.6</v>
      </c>
      <c r="K57" s="165">
        <v>242.71</v>
      </c>
      <c r="L57" s="165">
        <v>30.41</v>
      </c>
      <c r="M57" s="165">
        <v>58.16</v>
      </c>
      <c r="N57" s="165">
        <v>525</v>
      </c>
      <c r="O57" s="165">
        <v>0</v>
      </c>
      <c r="P57" s="165">
        <v>0.45</v>
      </c>
      <c r="Q57" s="165">
        <v>5.75</v>
      </c>
      <c r="R57" s="13"/>
      <c r="S57" s="13"/>
      <c r="T57" s="213"/>
      <c r="U57" s="13"/>
    </row>
    <row r="58" spans="1:21">
      <c r="A58" s="142" t="s">
        <v>2790</v>
      </c>
      <c r="B58" s="165">
        <v>16.9</v>
      </c>
      <c r="C58" s="165">
        <v>57.35</v>
      </c>
      <c r="D58" s="165">
        <v>44.87</v>
      </c>
      <c r="E58" s="165">
        <v>6.67</v>
      </c>
      <c r="F58" s="165">
        <v>5.36</v>
      </c>
      <c r="G58" s="165">
        <v>13.88</v>
      </c>
      <c r="H58" s="165">
        <v>11.92</v>
      </c>
      <c r="I58" s="165">
        <v>4.14</v>
      </c>
      <c r="J58" s="165">
        <v>0.83</v>
      </c>
      <c r="K58" s="165">
        <v>257.22</v>
      </c>
      <c r="L58" s="165">
        <v>30.02</v>
      </c>
      <c r="M58" s="165">
        <v>58.74</v>
      </c>
      <c r="N58" s="165">
        <v>429.8</v>
      </c>
      <c r="O58" s="165">
        <v>0</v>
      </c>
      <c r="P58" s="165">
        <v>0.44</v>
      </c>
      <c r="Q58" s="165">
        <v>5.53</v>
      </c>
      <c r="R58" s="13"/>
      <c r="S58" s="13"/>
      <c r="T58" s="213"/>
      <c r="U58" s="13"/>
    </row>
    <row r="59" spans="1:21">
      <c r="A59" s="142" t="s">
        <v>2791</v>
      </c>
      <c r="B59" s="165">
        <v>16.27</v>
      </c>
      <c r="C59" s="165">
        <v>60.92</v>
      </c>
      <c r="D59" s="165">
        <v>46.23</v>
      </c>
      <c r="E59" s="165">
        <v>6.86</v>
      </c>
      <c r="F59" s="165">
        <v>4.39</v>
      </c>
      <c r="G59" s="165">
        <v>13.75</v>
      </c>
      <c r="H59" s="165">
        <v>11.73</v>
      </c>
      <c r="I59" s="165">
        <v>4.11</v>
      </c>
      <c r="J59" s="165">
        <v>0.63</v>
      </c>
      <c r="K59" s="165">
        <v>248.2</v>
      </c>
      <c r="L59" s="165">
        <v>30.64</v>
      </c>
      <c r="M59" s="165">
        <v>57.59</v>
      </c>
      <c r="N59" s="165">
        <v>683.8</v>
      </c>
      <c r="O59" s="165">
        <v>0</v>
      </c>
      <c r="P59" s="165">
        <v>0.46</v>
      </c>
      <c r="Q59" s="165">
        <v>5.64</v>
      </c>
      <c r="R59" s="13"/>
      <c r="S59" s="13"/>
      <c r="T59" s="213"/>
      <c r="U59" s="13"/>
    </row>
    <row r="60" spans="1:21">
      <c r="A60" s="142" t="s">
        <v>2792</v>
      </c>
      <c r="B60" s="165">
        <v>15.6</v>
      </c>
      <c r="C60" s="165">
        <v>56.24</v>
      </c>
      <c r="D60" s="165">
        <v>43.24</v>
      </c>
      <c r="E60" s="165">
        <v>6.27</v>
      </c>
      <c r="F60" s="165">
        <v>5.44</v>
      </c>
      <c r="G60" s="165">
        <v>13.75</v>
      </c>
      <c r="H60" s="165">
        <v>11.73</v>
      </c>
      <c r="I60" s="165">
        <v>4.05</v>
      </c>
      <c r="J60" s="165">
        <v>0.53</v>
      </c>
      <c r="K60" s="165">
        <v>225.37</v>
      </c>
      <c r="L60" s="165">
        <v>32.16</v>
      </c>
      <c r="M60" s="165">
        <v>53.57</v>
      </c>
      <c r="N60" s="165">
        <v>859.9</v>
      </c>
      <c r="O60" s="165">
        <v>0</v>
      </c>
      <c r="P60" s="165">
        <v>0.42</v>
      </c>
      <c r="Q60" s="165">
        <v>5.46</v>
      </c>
      <c r="R60" s="13"/>
      <c r="S60" s="13"/>
      <c r="T60" s="213"/>
      <c r="U60" s="13"/>
    </row>
    <row r="61" spans="1:21">
      <c r="A61" s="142" t="s">
        <v>2793</v>
      </c>
      <c r="B61" s="165">
        <v>14.82</v>
      </c>
      <c r="C61" s="165">
        <v>55.66</v>
      </c>
      <c r="D61" s="165">
        <v>42.32</v>
      </c>
      <c r="E61" s="165">
        <v>6.23</v>
      </c>
      <c r="F61" s="165">
        <v>6.27</v>
      </c>
      <c r="G61" s="165">
        <v>13.75</v>
      </c>
      <c r="H61" s="165">
        <v>11.73</v>
      </c>
      <c r="I61" s="165">
        <v>4.03</v>
      </c>
      <c r="J61" s="165">
        <v>0.4</v>
      </c>
      <c r="K61" s="165">
        <v>207.56</v>
      </c>
      <c r="L61" s="165">
        <v>32.84</v>
      </c>
      <c r="M61" s="165">
        <v>50.8</v>
      </c>
      <c r="N61" s="165">
        <v>861.6</v>
      </c>
      <c r="O61" s="165">
        <v>0</v>
      </c>
      <c r="P61" s="165">
        <v>0.42</v>
      </c>
      <c r="Q61" s="165">
        <v>5.27</v>
      </c>
      <c r="R61" s="13"/>
      <c r="S61" s="13"/>
      <c r="T61" s="213"/>
      <c r="U61" s="13"/>
    </row>
    <row r="62" spans="1:21">
      <c r="A62" s="142" t="s">
        <v>2794</v>
      </c>
      <c r="B62" s="165">
        <v>14.08</v>
      </c>
      <c r="C62" s="165">
        <v>60.06</v>
      </c>
      <c r="D62" s="165">
        <v>44.02</v>
      </c>
      <c r="E62" s="165">
        <v>6.83</v>
      </c>
      <c r="F62" s="165">
        <v>7.32</v>
      </c>
      <c r="G62" s="165">
        <v>12.46</v>
      </c>
      <c r="H62" s="165">
        <v>10.33</v>
      </c>
      <c r="I62" s="165">
        <v>3.96</v>
      </c>
      <c r="J62" s="165">
        <v>0.25</v>
      </c>
      <c r="K62" s="165">
        <v>221.02</v>
      </c>
      <c r="L62" s="165">
        <v>33.63</v>
      </c>
      <c r="M62" s="165">
        <v>48.97</v>
      </c>
      <c r="N62" s="165">
        <v>828.1</v>
      </c>
      <c r="O62" s="165">
        <v>0</v>
      </c>
      <c r="P62" s="165">
        <v>0.45</v>
      </c>
      <c r="Q62" s="165">
        <v>5.47</v>
      </c>
      <c r="R62" s="13"/>
      <c r="S62" s="13"/>
      <c r="T62" s="213"/>
      <c r="U62" s="13"/>
    </row>
    <row r="63" spans="1:21">
      <c r="A63" s="142" t="s">
        <v>2795</v>
      </c>
      <c r="B63" s="165">
        <v>13.97</v>
      </c>
      <c r="C63" s="165">
        <v>55.51</v>
      </c>
      <c r="D63" s="165">
        <v>41.56</v>
      </c>
      <c r="E63" s="165">
        <v>6.64</v>
      </c>
      <c r="F63" s="165">
        <v>8.11</v>
      </c>
      <c r="G63" s="165">
        <v>10.23</v>
      </c>
      <c r="H63" s="165">
        <v>8.88</v>
      </c>
      <c r="I63" s="165">
        <v>3.99</v>
      </c>
      <c r="J63" s="165">
        <v>0.63</v>
      </c>
      <c r="K63" s="165">
        <v>239.78</v>
      </c>
      <c r="L63" s="165">
        <v>33.65</v>
      </c>
      <c r="M63" s="165">
        <v>48.1</v>
      </c>
      <c r="N63" s="165">
        <v>771</v>
      </c>
      <c r="O63" s="165">
        <v>0</v>
      </c>
      <c r="P63" s="165">
        <v>0.44</v>
      </c>
      <c r="Q63" s="165">
        <v>5.39</v>
      </c>
      <c r="R63" s="13"/>
      <c r="S63" s="13"/>
      <c r="T63" s="213"/>
      <c r="U63" s="13"/>
    </row>
    <row r="64" spans="1:21">
      <c r="A64" s="142" t="s">
        <v>2796</v>
      </c>
      <c r="B64" s="165">
        <v>13.71</v>
      </c>
      <c r="C64" s="165">
        <v>51.2</v>
      </c>
      <c r="D64" s="165">
        <v>39.1</v>
      </c>
      <c r="E64" s="165">
        <v>6.47</v>
      </c>
      <c r="F64" s="165">
        <v>8.41</v>
      </c>
      <c r="G64" s="165">
        <v>10.23</v>
      </c>
      <c r="H64" s="165">
        <v>8.88</v>
      </c>
      <c r="I64" s="165">
        <v>3.93</v>
      </c>
      <c r="J64" s="165">
        <v>0.66</v>
      </c>
      <c r="K64" s="165">
        <v>255.29</v>
      </c>
      <c r="L64" s="165">
        <v>33.51</v>
      </c>
      <c r="M64" s="165">
        <v>45.86</v>
      </c>
      <c r="N64" s="165">
        <v>770.7</v>
      </c>
      <c r="O64" s="165">
        <v>0</v>
      </c>
      <c r="P64" s="165">
        <v>0.42</v>
      </c>
      <c r="Q64" s="165">
        <v>5.17</v>
      </c>
      <c r="R64" s="13"/>
      <c r="S64" s="13"/>
      <c r="T64" s="213"/>
      <c r="U64" s="13"/>
    </row>
    <row r="65" spans="1:21">
      <c r="A65" s="142" t="s">
        <v>2797</v>
      </c>
      <c r="B65" s="165">
        <v>12.97</v>
      </c>
      <c r="C65" s="165">
        <v>48.09</v>
      </c>
      <c r="D65" s="165">
        <v>36.88</v>
      </c>
      <c r="E65" s="165">
        <v>6.41</v>
      </c>
      <c r="F65" s="165">
        <v>11.2</v>
      </c>
      <c r="G65" s="165">
        <v>10.23</v>
      </c>
      <c r="H65" s="165">
        <v>8.88</v>
      </c>
      <c r="I65" s="165">
        <v>3.99</v>
      </c>
      <c r="J65" s="165">
        <v>0.46</v>
      </c>
      <c r="K65" s="165">
        <v>242.31</v>
      </c>
      <c r="L65" s="165">
        <v>33.64</v>
      </c>
      <c r="M65" s="165">
        <v>45.89</v>
      </c>
      <c r="N65" s="165">
        <v>712.8</v>
      </c>
      <c r="O65" s="165">
        <v>0</v>
      </c>
      <c r="P65" s="165">
        <v>0.4</v>
      </c>
      <c r="Q65" s="165">
        <v>4.97</v>
      </c>
      <c r="R65" s="13"/>
      <c r="S65" s="13"/>
      <c r="T65" s="213"/>
      <c r="U65" s="13"/>
    </row>
    <row r="66" spans="1:21">
      <c r="A66" s="142" t="s">
        <v>2798</v>
      </c>
      <c r="B66" s="165">
        <v>12.16</v>
      </c>
      <c r="C66" s="165">
        <v>43.49</v>
      </c>
      <c r="D66" s="165">
        <v>33.83</v>
      </c>
      <c r="E66" s="165">
        <v>7.16</v>
      </c>
      <c r="F66" s="165">
        <v>13.35</v>
      </c>
      <c r="G66" s="165">
        <v>12.16</v>
      </c>
      <c r="H66" s="165">
        <v>8.9</v>
      </c>
      <c r="I66" s="165">
        <v>3.96</v>
      </c>
      <c r="J66" s="165">
        <v>0.76</v>
      </c>
      <c r="K66" s="165">
        <v>274.28</v>
      </c>
      <c r="L66" s="165">
        <v>33.69</v>
      </c>
      <c r="M66" s="165">
        <v>44.56</v>
      </c>
      <c r="N66" s="165">
        <v>705.3</v>
      </c>
      <c r="O66" s="165">
        <v>0</v>
      </c>
      <c r="P66" s="165">
        <v>0.41</v>
      </c>
      <c r="Q66" s="165">
        <v>4.86</v>
      </c>
      <c r="R66" s="13"/>
      <c r="S66" s="13"/>
      <c r="T66" s="213"/>
      <c r="U66" s="13"/>
    </row>
    <row r="67" spans="1:21">
      <c r="A67" s="142" t="s">
        <v>2799</v>
      </c>
      <c r="B67" s="165">
        <v>11.74</v>
      </c>
      <c r="C67" s="165">
        <v>43.56</v>
      </c>
      <c r="D67" s="165">
        <v>33.52</v>
      </c>
      <c r="E67" s="165">
        <v>6.79</v>
      </c>
      <c r="F67" s="165">
        <v>13.72</v>
      </c>
      <c r="G67" s="165">
        <v>15.5</v>
      </c>
      <c r="H67" s="165">
        <v>8.93</v>
      </c>
      <c r="I67" s="165">
        <v>3.86</v>
      </c>
      <c r="J67" s="165">
        <v>0.28</v>
      </c>
      <c r="K67" s="165">
        <v>219.92</v>
      </c>
      <c r="L67" s="165">
        <v>34.48</v>
      </c>
      <c r="M67" s="165">
        <v>43.28</v>
      </c>
      <c r="N67" s="165">
        <v>684.2</v>
      </c>
      <c r="O67" s="165">
        <v>0</v>
      </c>
      <c r="P67" s="165">
        <v>0.4</v>
      </c>
      <c r="Q67" s="165">
        <v>4.73</v>
      </c>
      <c r="R67" s="13"/>
      <c r="S67" s="13"/>
      <c r="T67" s="213"/>
      <c r="U67" s="13"/>
    </row>
    <row r="68" spans="1:21">
      <c r="A68" s="142" t="s">
        <v>2800</v>
      </c>
      <c r="B68" s="165">
        <v>10.85</v>
      </c>
      <c r="C68" s="165">
        <v>40.7</v>
      </c>
      <c r="D68" s="165">
        <v>31.32</v>
      </c>
      <c r="E68" s="165">
        <v>6.77</v>
      </c>
      <c r="F68" s="165">
        <v>16</v>
      </c>
      <c r="G68" s="165">
        <v>15.5</v>
      </c>
      <c r="H68" s="165">
        <v>8.93</v>
      </c>
      <c r="I68" s="165">
        <v>3.84</v>
      </c>
      <c r="J68" s="165">
        <v>0.38</v>
      </c>
      <c r="K68" s="165">
        <v>263.54</v>
      </c>
      <c r="L68" s="165">
        <v>34.49</v>
      </c>
      <c r="M68" s="165">
        <v>42.58</v>
      </c>
      <c r="N68" s="165">
        <v>558.4</v>
      </c>
      <c r="O68" s="165">
        <v>0</v>
      </c>
      <c r="P68" s="165">
        <v>0.4</v>
      </c>
      <c r="Q68" s="165">
        <v>4.7</v>
      </c>
      <c r="R68" s="13"/>
      <c r="S68" s="13"/>
      <c r="T68" s="213"/>
      <c r="U68" s="13"/>
    </row>
    <row r="69" spans="1:21">
      <c r="A69" s="142" t="s">
        <v>2801</v>
      </c>
      <c r="B69" s="165">
        <v>10.73</v>
      </c>
      <c r="C69" s="165">
        <v>41.45</v>
      </c>
      <c r="D69" s="165">
        <v>31.61</v>
      </c>
      <c r="E69" s="165">
        <v>7.16</v>
      </c>
      <c r="F69" s="165">
        <v>15.78</v>
      </c>
      <c r="G69" s="165">
        <v>15.5</v>
      </c>
      <c r="H69" s="165">
        <v>8.93</v>
      </c>
      <c r="I69" s="165">
        <v>3.74</v>
      </c>
      <c r="J69" s="165">
        <v>0.28</v>
      </c>
      <c r="K69" s="165">
        <v>235.63</v>
      </c>
      <c r="L69" s="165">
        <v>34.03</v>
      </c>
      <c r="M69" s="165">
        <v>43.84</v>
      </c>
      <c r="N69" s="165">
        <v>327.4</v>
      </c>
      <c r="O69" s="165">
        <v>0</v>
      </c>
      <c r="P69" s="165">
        <v>0.39</v>
      </c>
      <c r="Q69" s="165">
        <v>4.61</v>
      </c>
      <c r="R69" s="13"/>
      <c r="S69" s="13"/>
      <c r="T69" s="213"/>
      <c r="U69" s="13"/>
    </row>
    <row r="70" spans="1:21">
      <c r="A70" s="142" t="s">
        <v>2802</v>
      </c>
      <c r="B70" s="165">
        <v>10.89</v>
      </c>
      <c r="C70" s="165">
        <v>44.07</v>
      </c>
      <c r="D70" s="165">
        <v>33.11</v>
      </c>
      <c r="E70" s="165">
        <v>7.5</v>
      </c>
      <c r="F70" s="165">
        <v>10.66</v>
      </c>
      <c r="G70" s="165">
        <v>15.93</v>
      </c>
      <c r="H70" s="165">
        <v>10.29</v>
      </c>
      <c r="I70" s="165">
        <v>3.67</v>
      </c>
      <c r="J70" s="165">
        <v>0.53</v>
      </c>
      <c r="K70" s="165">
        <v>243.47</v>
      </c>
      <c r="L70" s="165">
        <v>33.21</v>
      </c>
      <c r="M70" s="165">
        <v>44.27</v>
      </c>
      <c r="N70" s="165">
        <v>286.4</v>
      </c>
      <c r="O70" s="165">
        <v>0</v>
      </c>
      <c r="P70" s="165">
        <v>0.4</v>
      </c>
      <c r="Q70" s="165">
        <v>4.64</v>
      </c>
      <c r="R70" s="13"/>
      <c r="S70" s="13"/>
      <c r="T70" s="213"/>
      <c r="U70" s="13"/>
    </row>
    <row r="71" spans="1:21">
      <c r="A71" s="142" t="s">
        <v>2803</v>
      </c>
      <c r="B71" s="165">
        <v>11.16</v>
      </c>
      <c r="C71" s="165">
        <v>50.32</v>
      </c>
      <c r="D71" s="165">
        <v>36.59</v>
      </c>
      <c r="E71" s="165">
        <v>7.13</v>
      </c>
      <c r="F71" s="165">
        <v>17.35</v>
      </c>
      <c r="G71" s="165">
        <v>16.68</v>
      </c>
      <c r="H71" s="165">
        <v>11.74</v>
      </c>
      <c r="I71" s="165">
        <v>3.65</v>
      </c>
      <c r="J71" s="165">
        <v>0.38</v>
      </c>
      <c r="K71" s="165">
        <v>236.4</v>
      </c>
      <c r="L71" s="165">
        <v>32.99</v>
      </c>
      <c r="M71" s="165">
        <v>44.47</v>
      </c>
      <c r="N71" s="165">
        <v>319.7</v>
      </c>
      <c r="O71" s="165">
        <v>0</v>
      </c>
      <c r="P71" s="165">
        <v>0.42</v>
      </c>
      <c r="Q71" s="165">
        <v>4.92</v>
      </c>
      <c r="R71" s="13"/>
      <c r="S71" s="13"/>
      <c r="T71" s="213"/>
      <c r="U71" s="13"/>
    </row>
    <row r="72" spans="1:21">
      <c r="A72" s="142" t="s">
        <v>2804</v>
      </c>
      <c r="B72" s="165">
        <v>11.15</v>
      </c>
      <c r="C72" s="165">
        <v>47.34</v>
      </c>
      <c r="D72" s="165">
        <v>35.02</v>
      </c>
      <c r="E72" s="165">
        <v>7.65</v>
      </c>
      <c r="F72" s="165">
        <v>16.4</v>
      </c>
      <c r="G72" s="165">
        <v>16.68</v>
      </c>
      <c r="H72" s="165">
        <v>11.74</v>
      </c>
      <c r="I72" s="165">
        <v>3.79</v>
      </c>
      <c r="J72" s="165">
        <v>0.46</v>
      </c>
      <c r="K72" s="165">
        <v>236.82</v>
      </c>
      <c r="L72" s="165">
        <v>33.14</v>
      </c>
      <c r="M72" s="165">
        <v>43.05</v>
      </c>
      <c r="N72" s="165">
        <v>219.4</v>
      </c>
      <c r="O72" s="165">
        <v>0</v>
      </c>
      <c r="P72" s="165">
        <v>0.41</v>
      </c>
      <c r="Q72" s="165">
        <v>4.9</v>
      </c>
      <c r="R72" s="13"/>
      <c r="S72" s="13"/>
      <c r="T72" s="213"/>
      <c r="U72" s="13"/>
    </row>
    <row r="73" spans="1:21">
      <c r="A73" s="142" t="s">
        <v>2805</v>
      </c>
      <c r="B73" s="165">
        <v>10.59</v>
      </c>
      <c r="C73" s="165">
        <v>43.04</v>
      </c>
      <c r="D73" s="165">
        <v>32.33</v>
      </c>
      <c r="E73" s="165">
        <v>7.83</v>
      </c>
      <c r="F73" s="165">
        <v>22.89</v>
      </c>
      <c r="G73" s="165">
        <v>16.68</v>
      </c>
      <c r="H73" s="165">
        <v>11.74</v>
      </c>
      <c r="I73" s="165">
        <v>3.52</v>
      </c>
      <c r="J73" s="165">
        <v>0.35</v>
      </c>
      <c r="K73" s="165">
        <v>233.1</v>
      </c>
      <c r="L73" s="165">
        <v>32.42</v>
      </c>
      <c r="M73" s="165">
        <v>44</v>
      </c>
      <c r="N73" s="165">
        <v>148.2</v>
      </c>
      <c r="O73" s="165">
        <v>0</v>
      </c>
      <c r="P73" s="165">
        <v>0.39</v>
      </c>
      <c r="Q73" s="165">
        <v>4.73</v>
      </c>
      <c r="R73" s="13"/>
      <c r="S73" s="13"/>
      <c r="T73" s="213"/>
      <c r="U73" s="13"/>
    </row>
    <row r="74" spans="1:21">
      <c r="A74" s="142" t="s">
        <v>2806</v>
      </c>
      <c r="B74" s="165">
        <v>10.32</v>
      </c>
      <c r="C74" s="165">
        <v>40.82</v>
      </c>
      <c r="D74" s="165">
        <v>30.95</v>
      </c>
      <c r="E74" s="165">
        <v>7.6</v>
      </c>
      <c r="F74" s="165">
        <v>20.55</v>
      </c>
      <c r="G74" s="165">
        <v>16.05</v>
      </c>
      <c r="H74" s="165">
        <v>10.98</v>
      </c>
      <c r="I74" s="165">
        <v>3.56</v>
      </c>
      <c r="J74" s="165">
        <v>0.27</v>
      </c>
      <c r="K74" s="165">
        <v>199.62</v>
      </c>
      <c r="L74" s="165">
        <v>32.09</v>
      </c>
      <c r="M74" s="165">
        <v>46.77</v>
      </c>
      <c r="N74" s="165">
        <v>89.7</v>
      </c>
      <c r="O74" s="165">
        <v>0</v>
      </c>
      <c r="P74" s="165">
        <v>0.37</v>
      </c>
      <c r="Q74" s="165">
        <v>4.59</v>
      </c>
      <c r="R74" s="13"/>
      <c r="S74" s="13"/>
      <c r="T74" s="213"/>
      <c r="U74" s="13"/>
    </row>
    <row r="75" spans="1:21">
      <c r="A75" s="142" t="s">
        <v>2807</v>
      </c>
      <c r="B75" s="165">
        <v>11.11</v>
      </c>
      <c r="C75" s="165">
        <v>47.83</v>
      </c>
      <c r="D75" s="165">
        <v>35.25</v>
      </c>
      <c r="E75" s="165">
        <v>7.87</v>
      </c>
      <c r="F75" s="165">
        <v>15.9</v>
      </c>
      <c r="G75" s="165">
        <v>14.97</v>
      </c>
      <c r="H75" s="165">
        <v>10.19</v>
      </c>
      <c r="I75" s="165">
        <v>3.27</v>
      </c>
      <c r="J75" s="165">
        <v>0.18</v>
      </c>
      <c r="K75" s="165">
        <v>188.62</v>
      </c>
      <c r="L75" s="165">
        <v>31.55</v>
      </c>
      <c r="M75" s="165">
        <v>49.66</v>
      </c>
      <c r="N75" s="165">
        <v>46.6</v>
      </c>
      <c r="O75" s="165">
        <v>0</v>
      </c>
      <c r="P75" s="165">
        <v>0.41</v>
      </c>
      <c r="Q75" s="165">
        <v>4.74</v>
      </c>
      <c r="R75" s="13"/>
      <c r="S75" s="13"/>
      <c r="T75" s="213"/>
      <c r="U75" s="13"/>
    </row>
    <row r="76" spans="1:21">
      <c r="A76" s="142" t="s">
        <v>2808</v>
      </c>
      <c r="B76" s="165">
        <v>10.45</v>
      </c>
      <c r="C76" s="165">
        <v>42.48</v>
      </c>
      <c r="D76" s="165">
        <v>31.92</v>
      </c>
      <c r="E76" s="165">
        <v>8.34</v>
      </c>
      <c r="F76" s="165">
        <v>25.68</v>
      </c>
      <c r="G76" s="165">
        <v>14.97</v>
      </c>
      <c r="H76" s="165">
        <v>10.19</v>
      </c>
      <c r="I76" s="165">
        <v>3.2</v>
      </c>
      <c r="J76" s="165">
        <v>0.18</v>
      </c>
      <c r="K76" s="165">
        <v>168.37</v>
      </c>
      <c r="L76" s="165">
        <v>31.11</v>
      </c>
      <c r="M76" s="165">
        <v>52.36</v>
      </c>
      <c r="N76" s="165">
        <v>12.2</v>
      </c>
      <c r="O76" s="165">
        <v>0</v>
      </c>
      <c r="P76" s="165">
        <v>0.39</v>
      </c>
      <c r="Q76" s="165">
        <v>4.85</v>
      </c>
      <c r="R76" s="13"/>
      <c r="S76" s="13"/>
      <c r="T76" s="213"/>
      <c r="U76" s="13"/>
    </row>
    <row r="77" spans="1:21">
      <c r="A77" s="142" t="s">
        <v>2809</v>
      </c>
      <c r="B77" s="165">
        <v>10.13</v>
      </c>
      <c r="C77" s="165">
        <v>38.91</v>
      </c>
      <c r="D77" s="165">
        <v>29.8</v>
      </c>
      <c r="E77" s="165">
        <v>8.56</v>
      </c>
      <c r="F77" s="165">
        <v>26.11</v>
      </c>
      <c r="G77" s="165">
        <v>14.97</v>
      </c>
      <c r="H77" s="165">
        <v>10.19</v>
      </c>
      <c r="I77" s="165">
        <v>3.31</v>
      </c>
      <c r="J77" s="165">
        <v>0.21</v>
      </c>
      <c r="K77" s="165">
        <v>215.92</v>
      </c>
      <c r="L77" s="165">
        <v>30.57</v>
      </c>
      <c r="M77" s="165">
        <v>54.28</v>
      </c>
      <c r="N77" s="165">
        <v>1.5</v>
      </c>
      <c r="O77" s="165">
        <v>0</v>
      </c>
      <c r="P77" s="165">
        <v>0.38</v>
      </c>
      <c r="Q77" s="165">
        <v>4.7</v>
      </c>
      <c r="R77" s="13"/>
      <c r="S77" s="13"/>
      <c r="T77" s="213"/>
      <c r="U77" s="13"/>
    </row>
    <row r="78" spans="1:21">
      <c r="A78" s="142" t="s">
        <v>2810</v>
      </c>
      <c r="B78" s="165">
        <v>10.49</v>
      </c>
      <c r="C78" s="165">
        <v>40.63</v>
      </c>
      <c r="D78" s="165">
        <v>30.99</v>
      </c>
      <c r="E78" s="165">
        <v>8.93</v>
      </c>
      <c r="F78" s="165">
        <v>21.12</v>
      </c>
      <c r="G78" s="165">
        <v>17.44</v>
      </c>
      <c r="H78" s="165">
        <v>11.98</v>
      </c>
      <c r="I78" s="165">
        <v>2.94</v>
      </c>
      <c r="J78" s="165">
        <v>0.18</v>
      </c>
      <c r="K78" s="165">
        <v>172.91</v>
      </c>
      <c r="L78" s="165">
        <v>30.19</v>
      </c>
      <c r="M78" s="165">
        <v>56.07</v>
      </c>
      <c r="N78" s="165">
        <v>0</v>
      </c>
      <c r="O78" s="165">
        <v>0</v>
      </c>
      <c r="P78" s="165">
        <v>0.38</v>
      </c>
      <c r="Q78" s="165">
        <v>4.56</v>
      </c>
      <c r="R78" s="13"/>
      <c r="S78" s="13"/>
      <c r="T78" s="213"/>
      <c r="U78" s="13"/>
    </row>
    <row r="79" spans="1:21">
      <c r="A79" s="142" t="s">
        <v>2811</v>
      </c>
      <c r="B79" s="165">
        <v>11.39</v>
      </c>
      <c r="C79" s="165">
        <v>48.79</v>
      </c>
      <c r="D79" s="165">
        <v>35.98</v>
      </c>
      <c r="E79" s="165">
        <v>8.21</v>
      </c>
      <c r="F79" s="165">
        <v>18.98</v>
      </c>
      <c r="G79" s="165">
        <v>21.72</v>
      </c>
      <c r="H79" s="165">
        <v>13.82</v>
      </c>
      <c r="I79" s="165">
        <v>2.88</v>
      </c>
      <c r="J79" s="165">
        <v>0.2</v>
      </c>
      <c r="K79" s="165">
        <v>209.06</v>
      </c>
      <c r="L79" s="165">
        <v>29.87</v>
      </c>
      <c r="M79" s="165">
        <v>57.31</v>
      </c>
      <c r="N79" s="165">
        <v>0</v>
      </c>
      <c r="O79" s="165">
        <v>0</v>
      </c>
      <c r="P79" s="165">
        <v>0.44</v>
      </c>
      <c r="Q79" s="165">
        <v>4.84</v>
      </c>
      <c r="R79" s="13"/>
      <c r="S79" s="13"/>
      <c r="T79" s="213"/>
      <c r="U79" s="13"/>
    </row>
    <row r="80" spans="1:21">
      <c r="A80" s="142" t="s">
        <v>2812</v>
      </c>
      <c r="B80" s="165">
        <v>11.77</v>
      </c>
      <c r="C80" s="165">
        <v>45.22</v>
      </c>
      <c r="D80" s="165">
        <v>34.41</v>
      </c>
      <c r="E80" s="165">
        <v>8.44</v>
      </c>
      <c r="F80" s="165">
        <v>15.21</v>
      </c>
      <c r="G80" s="165">
        <v>21.72</v>
      </c>
      <c r="H80" s="165">
        <v>13.82</v>
      </c>
      <c r="I80" s="165">
        <v>3.21</v>
      </c>
      <c r="J80" s="165">
        <v>1.55</v>
      </c>
      <c r="K80" s="165">
        <v>239.25</v>
      </c>
      <c r="L80" s="165">
        <v>28.79</v>
      </c>
      <c r="M80" s="165">
        <v>60.29</v>
      </c>
      <c r="N80" s="165">
        <v>0.7</v>
      </c>
      <c r="O80" s="165">
        <v>0</v>
      </c>
      <c r="P80" s="165">
        <v>0.42</v>
      </c>
      <c r="Q80" s="165">
        <v>4.86</v>
      </c>
      <c r="R80" s="13"/>
      <c r="S80" s="13"/>
      <c r="T80" s="213"/>
      <c r="U80" s="13"/>
    </row>
    <row r="81" spans="1:21">
      <c r="A81" s="142" t="s">
        <v>2813</v>
      </c>
      <c r="B81" s="165">
        <v>12.58</v>
      </c>
      <c r="C81" s="165">
        <v>48.68</v>
      </c>
      <c r="D81" s="165">
        <v>36.87</v>
      </c>
      <c r="E81" s="165">
        <v>6.11</v>
      </c>
      <c r="F81" s="165">
        <v>7.48</v>
      </c>
      <c r="G81" s="165">
        <v>21.72</v>
      </c>
      <c r="H81" s="165">
        <v>13.82</v>
      </c>
      <c r="I81" s="165">
        <v>3.65</v>
      </c>
      <c r="J81" s="165">
        <v>1.69</v>
      </c>
      <c r="K81" s="165">
        <v>243.51</v>
      </c>
      <c r="L81" s="165">
        <v>24.32</v>
      </c>
      <c r="M81" s="165">
        <v>77.68</v>
      </c>
      <c r="N81" s="165">
        <v>0.2</v>
      </c>
      <c r="O81" s="165">
        <v>0</v>
      </c>
      <c r="P81" s="165">
        <v>0.39</v>
      </c>
      <c r="Q81" s="165">
        <v>4.64</v>
      </c>
      <c r="R81" s="13"/>
      <c r="S81" s="13"/>
      <c r="T81" s="213"/>
      <c r="U81" s="13"/>
    </row>
    <row r="82" spans="1:21">
      <c r="A82" s="142" t="s">
        <v>2814</v>
      </c>
      <c r="B82" s="165">
        <v>12.18</v>
      </c>
      <c r="C82" s="165">
        <v>61.05</v>
      </c>
      <c r="D82" s="165">
        <v>43.02</v>
      </c>
      <c r="E82" s="165">
        <v>7.14</v>
      </c>
      <c r="F82" s="165">
        <v>4.71</v>
      </c>
      <c r="G82" s="165">
        <v>22.74</v>
      </c>
      <c r="H82" s="165">
        <v>12.94</v>
      </c>
      <c r="I82" s="165">
        <v>3.62</v>
      </c>
      <c r="J82" s="165">
        <v>1.33</v>
      </c>
      <c r="K82" s="165">
        <v>242.54</v>
      </c>
      <c r="L82" s="165">
        <v>23.6</v>
      </c>
      <c r="M82" s="165">
        <v>76.72</v>
      </c>
      <c r="N82" s="165">
        <v>0</v>
      </c>
      <c r="O82" s="165">
        <v>0</v>
      </c>
      <c r="P82" s="165">
        <v>0.44</v>
      </c>
      <c r="Q82" s="165">
        <v>5.07</v>
      </c>
      <c r="R82" s="13"/>
      <c r="S82" s="13"/>
      <c r="T82" s="213"/>
      <c r="U82" s="13"/>
    </row>
    <row r="83" spans="1:21">
      <c r="A83" s="142" t="s">
        <v>2815</v>
      </c>
      <c r="B83" s="165">
        <v>12.11</v>
      </c>
      <c r="C83" s="165">
        <v>67.49</v>
      </c>
      <c r="D83" s="165">
        <v>46.33</v>
      </c>
      <c r="E83" s="165">
        <v>7.35</v>
      </c>
      <c r="F83" s="165">
        <v>4.47</v>
      </c>
      <c r="G83" s="165">
        <v>24.5</v>
      </c>
      <c r="H83" s="165">
        <v>10.24</v>
      </c>
      <c r="I83" s="165">
        <v>3.61</v>
      </c>
      <c r="J83" s="165">
        <v>0.95</v>
      </c>
      <c r="K83" s="165">
        <v>236.74</v>
      </c>
      <c r="L83" s="165">
        <v>24</v>
      </c>
      <c r="M83" s="165">
        <v>71.42</v>
      </c>
      <c r="N83" s="165">
        <v>0</v>
      </c>
      <c r="O83" s="165">
        <v>0</v>
      </c>
      <c r="P83" s="165">
        <v>0.45</v>
      </c>
      <c r="Q83" s="165">
        <v>5.48</v>
      </c>
      <c r="R83" s="13"/>
      <c r="S83" s="13"/>
      <c r="T83" s="213"/>
      <c r="U83" s="13"/>
    </row>
    <row r="84" spans="1:21">
      <c r="A84" s="142" t="s">
        <v>2816</v>
      </c>
      <c r="B84" s="165">
        <v>12.31</v>
      </c>
      <c r="C84" s="165">
        <v>66.18</v>
      </c>
      <c r="D84" s="165">
        <v>45.8</v>
      </c>
      <c r="E84" s="165">
        <v>7.28</v>
      </c>
      <c r="F84" s="165">
        <v>4.35</v>
      </c>
      <c r="G84" s="165">
        <v>24.5</v>
      </c>
      <c r="H84" s="165">
        <v>10.24</v>
      </c>
      <c r="I84" s="165">
        <v>3.65</v>
      </c>
      <c r="J84" s="165">
        <v>0.81</v>
      </c>
      <c r="K84" s="165">
        <v>323.46</v>
      </c>
      <c r="L84" s="165">
        <v>24.1</v>
      </c>
      <c r="M84" s="165">
        <v>71.62</v>
      </c>
      <c r="N84" s="165">
        <v>0</v>
      </c>
      <c r="O84" s="165">
        <v>0</v>
      </c>
      <c r="P84" s="165">
        <v>0.43</v>
      </c>
      <c r="Q84" s="165">
        <v>5.52</v>
      </c>
      <c r="R84" s="13"/>
      <c r="S84" s="13"/>
      <c r="T84" s="213"/>
      <c r="U84" s="13"/>
    </row>
    <row r="85" spans="1:21">
      <c r="A85" s="142" t="s">
        <v>2817</v>
      </c>
      <c r="B85" s="165">
        <v>12.78</v>
      </c>
      <c r="C85" s="165">
        <v>65.55</v>
      </c>
      <c r="D85" s="165">
        <v>45.84</v>
      </c>
      <c r="E85" s="165">
        <v>6.7</v>
      </c>
      <c r="F85" s="165">
        <v>4.39</v>
      </c>
      <c r="G85" s="165">
        <v>24.5</v>
      </c>
      <c r="H85" s="165">
        <v>10.24</v>
      </c>
      <c r="I85" s="165">
        <v>3.59</v>
      </c>
      <c r="J85" s="165">
        <v>0.5</v>
      </c>
      <c r="K85" s="165">
        <v>340.73</v>
      </c>
      <c r="L85" s="165">
        <v>24.23</v>
      </c>
      <c r="M85" s="165">
        <v>73.82</v>
      </c>
      <c r="N85" s="165">
        <v>0</v>
      </c>
      <c r="O85" s="165">
        <v>0</v>
      </c>
      <c r="P85" s="165">
        <v>0.45</v>
      </c>
      <c r="Q85" s="165">
        <v>5.53</v>
      </c>
      <c r="R85" s="13"/>
      <c r="S85" s="13"/>
      <c r="T85" s="213"/>
      <c r="U85" s="13"/>
    </row>
    <row r="86" spans="1:21">
      <c r="A86" s="142" t="s">
        <v>2818</v>
      </c>
      <c r="B86" s="165">
        <v>13.49</v>
      </c>
      <c r="C86" s="165">
        <v>65.04</v>
      </c>
      <c r="D86" s="165">
        <v>46.15</v>
      </c>
      <c r="E86" s="165">
        <v>6.41</v>
      </c>
      <c r="F86" s="165">
        <v>5.09</v>
      </c>
      <c r="G86" s="165">
        <v>23.78</v>
      </c>
      <c r="H86" s="165">
        <v>9.03</v>
      </c>
      <c r="I86" s="165">
        <v>3.54</v>
      </c>
      <c r="J86" s="165">
        <v>0.92</v>
      </c>
      <c r="K86" s="165">
        <v>358.67</v>
      </c>
      <c r="L86" s="165">
        <v>24.63</v>
      </c>
      <c r="M86" s="165">
        <v>71.04</v>
      </c>
      <c r="N86" s="165">
        <v>0</v>
      </c>
      <c r="O86" s="165">
        <v>0</v>
      </c>
      <c r="P86" s="165">
        <v>0.46</v>
      </c>
      <c r="Q86" s="165">
        <v>5.55</v>
      </c>
      <c r="R86" s="13"/>
      <c r="S86" s="13"/>
      <c r="T86" s="213"/>
      <c r="U86" s="13"/>
    </row>
    <row r="87" spans="1:21">
      <c r="A87" s="142" t="s">
        <v>2819</v>
      </c>
      <c r="B87" s="165">
        <v>14.44</v>
      </c>
      <c r="C87" s="165">
        <v>65.63</v>
      </c>
      <c r="D87" s="165">
        <v>47.23</v>
      </c>
      <c r="E87" s="165">
        <v>7.07</v>
      </c>
      <c r="F87" s="165">
        <v>4.25</v>
      </c>
      <c r="G87" s="165">
        <v>22.54</v>
      </c>
      <c r="H87" s="165">
        <v>7.78</v>
      </c>
      <c r="I87" s="165">
        <v>3.52</v>
      </c>
      <c r="J87" s="165">
        <v>0.55</v>
      </c>
      <c r="K87" s="165">
        <v>314.6</v>
      </c>
      <c r="L87" s="165">
        <v>24.96</v>
      </c>
      <c r="M87" s="165">
        <v>69.9</v>
      </c>
      <c r="N87" s="165">
        <v>0</v>
      </c>
      <c r="O87" s="165">
        <v>0</v>
      </c>
      <c r="P87" s="165">
        <v>0.46</v>
      </c>
      <c r="Q87" s="165">
        <v>5.64</v>
      </c>
      <c r="R87" s="13"/>
      <c r="S87" s="13"/>
      <c r="T87" s="213"/>
      <c r="U87" s="13"/>
    </row>
    <row r="88" spans="1:21">
      <c r="A88" s="142" t="s">
        <v>2820</v>
      </c>
      <c r="B88" s="165">
        <v>15.6</v>
      </c>
      <c r="C88" s="165">
        <v>66.27</v>
      </c>
      <c r="D88" s="165">
        <v>48.49</v>
      </c>
      <c r="E88" s="165">
        <v>6.46</v>
      </c>
      <c r="F88" s="165">
        <v>3.94</v>
      </c>
      <c r="G88" s="165">
        <v>22.54</v>
      </c>
      <c r="H88" s="165">
        <v>7.78</v>
      </c>
      <c r="I88" s="165">
        <v>3.57</v>
      </c>
      <c r="J88" s="165">
        <v>0.31</v>
      </c>
      <c r="K88" s="165">
        <v>31.38</v>
      </c>
      <c r="L88" s="165">
        <v>25.13</v>
      </c>
      <c r="M88" s="165">
        <v>69.04</v>
      </c>
      <c r="N88" s="165">
        <v>0</v>
      </c>
      <c r="O88" s="165">
        <v>0</v>
      </c>
      <c r="P88" s="165">
        <v>0.47</v>
      </c>
      <c r="Q88" s="165">
        <v>5.73</v>
      </c>
      <c r="R88" s="13"/>
      <c r="S88" s="13"/>
      <c r="T88" s="213"/>
      <c r="U88" s="13"/>
    </row>
    <row r="89" spans="1:21">
      <c r="A89" s="142" t="s">
        <v>2821</v>
      </c>
      <c r="B89" s="165">
        <v>17.15</v>
      </c>
      <c r="C89" s="165">
        <v>65.62</v>
      </c>
      <c r="D89" s="165">
        <v>49.39</v>
      </c>
      <c r="E89" s="165">
        <v>6.46</v>
      </c>
      <c r="F89" s="165">
        <v>3.99</v>
      </c>
      <c r="G89" s="165">
        <v>22.54</v>
      </c>
      <c r="H89" s="165">
        <v>7.78</v>
      </c>
      <c r="I89" s="165">
        <v>3.63</v>
      </c>
      <c r="J89" s="165">
        <v>0.38</v>
      </c>
      <c r="K89" s="165">
        <v>16.13</v>
      </c>
      <c r="L89" s="165">
        <v>24.99</v>
      </c>
      <c r="M89" s="165">
        <v>68.8</v>
      </c>
      <c r="N89" s="165">
        <v>0</v>
      </c>
      <c r="O89" s="165">
        <v>0</v>
      </c>
      <c r="P89" s="165">
        <v>0.49</v>
      </c>
      <c r="Q89" s="165">
        <v>5.79</v>
      </c>
      <c r="R89" s="13"/>
      <c r="S89" s="13"/>
      <c r="T89" s="213"/>
      <c r="U89" s="13"/>
    </row>
    <row r="90" spans="1:21">
      <c r="A90" s="142" t="s">
        <v>2822</v>
      </c>
      <c r="B90" s="165">
        <v>18.67</v>
      </c>
      <c r="C90" s="165">
        <v>65.55</v>
      </c>
      <c r="D90" s="165">
        <v>50.57</v>
      </c>
      <c r="E90" s="165">
        <v>6.14</v>
      </c>
      <c r="F90" s="165">
        <v>3.9</v>
      </c>
      <c r="G90" s="165">
        <v>24.19</v>
      </c>
      <c r="H90" s="165">
        <v>9.5</v>
      </c>
      <c r="I90" s="165">
        <v>3.7</v>
      </c>
      <c r="J90" s="165">
        <v>0.88</v>
      </c>
      <c r="K90" s="165">
        <v>59.64</v>
      </c>
      <c r="L90" s="165">
        <v>24.81</v>
      </c>
      <c r="M90" s="165">
        <v>70.34</v>
      </c>
      <c r="N90" s="165">
        <v>0</v>
      </c>
      <c r="O90" s="165">
        <v>0</v>
      </c>
      <c r="P90" s="165">
        <v>0.5</v>
      </c>
      <c r="Q90" s="165">
        <v>5.89</v>
      </c>
      <c r="R90" s="13"/>
      <c r="S90" s="13"/>
      <c r="T90" s="213"/>
      <c r="U90" s="13"/>
    </row>
    <row r="91" spans="1:21">
      <c r="A91" s="142" t="s">
        <v>2823</v>
      </c>
      <c r="B91" s="165">
        <v>20.08</v>
      </c>
      <c r="C91" s="165">
        <v>66.87</v>
      </c>
      <c r="D91" s="165">
        <v>52.39</v>
      </c>
      <c r="E91" s="165">
        <v>6.38</v>
      </c>
      <c r="F91" s="165">
        <v>3.64</v>
      </c>
      <c r="G91" s="165">
        <v>27.04</v>
      </c>
      <c r="H91" s="165">
        <v>11.26</v>
      </c>
      <c r="I91" s="165">
        <v>3.84</v>
      </c>
      <c r="J91" s="165">
        <v>0.61</v>
      </c>
      <c r="K91" s="165">
        <v>30.05</v>
      </c>
      <c r="L91" s="165">
        <v>24.53</v>
      </c>
      <c r="M91" s="165">
        <v>71.64</v>
      </c>
      <c r="N91" s="165">
        <v>0</v>
      </c>
      <c r="O91" s="165">
        <v>0</v>
      </c>
      <c r="P91" s="165">
        <v>0.52</v>
      </c>
      <c r="Q91" s="165">
        <v>6.04</v>
      </c>
      <c r="R91" s="13"/>
      <c r="S91" s="13"/>
      <c r="T91" s="213"/>
      <c r="U91" s="13"/>
    </row>
    <row r="92" spans="1:21">
      <c r="A92" s="142" t="s">
        <v>2824</v>
      </c>
      <c r="B92" s="165">
        <v>21.13</v>
      </c>
      <c r="C92" s="165">
        <v>67.36</v>
      </c>
      <c r="D92" s="165">
        <v>53.49</v>
      </c>
      <c r="E92" s="165">
        <v>6.51</v>
      </c>
      <c r="F92" s="165">
        <v>3.61</v>
      </c>
      <c r="G92" s="165">
        <v>27.04</v>
      </c>
      <c r="H92" s="165">
        <v>11.26</v>
      </c>
      <c r="I92" s="165">
        <v>3.96</v>
      </c>
      <c r="J92" s="165">
        <v>0.37</v>
      </c>
      <c r="K92" s="165">
        <v>306.8</v>
      </c>
      <c r="L92" s="165">
        <v>24.51</v>
      </c>
      <c r="M92" s="165">
        <v>71.24</v>
      </c>
      <c r="N92" s="165">
        <v>0</v>
      </c>
      <c r="O92" s="165">
        <v>0</v>
      </c>
      <c r="P92" s="165">
        <v>0.53</v>
      </c>
      <c r="Q92" s="165">
        <v>6.15</v>
      </c>
      <c r="R92" s="13"/>
      <c r="S92" s="13"/>
      <c r="T92" s="213"/>
      <c r="U92" s="13"/>
    </row>
    <row r="93" spans="1:21">
      <c r="A93" s="142" t="s">
        <v>2825</v>
      </c>
      <c r="B93" s="165">
        <v>22.13</v>
      </c>
      <c r="C93" s="165">
        <v>67.08</v>
      </c>
      <c r="D93" s="165">
        <v>54.15</v>
      </c>
      <c r="E93" s="165">
        <v>6.45</v>
      </c>
      <c r="F93" s="165">
        <v>3.48</v>
      </c>
      <c r="G93" s="165">
        <v>27.04</v>
      </c>
      <c r="H93" s="165">
        <v>11.26</v>
      </c>
      <c r="I93" s="165">
        <v>4.14</v>
      </c>
      <c r="J93" s="165">
        <v>0.15</v>
      </c>
      <c r="K93" s="165">
        <v>262.87</v>
      </c>
      <c r="L93" s="165">
        <v>24.51</v>
      </c>
      <c r="M93" s="165">
        <v>72.38</v>
      </c>
      <c r="N93" s="165">
        <v>0</v>
      </c>
      <c r="O93" s="165">
        <v>0</v>
      </c>
      <c r="P93" s="165">
        <v>0.54</v>
      </c>
      <c r="Q93" s="165">
        <v>6.17</v>
      </c>
      <c r="R93" s="13"/>
      <c r="S93" s="13"/>
      <c r="T93" s="213"/>
      <c r="U93" s="13"/>
    </row>
    <row r="94" spans="1:21">
      <c r="A94" s="142" t="s">
        <v>2826</v>
      </c>
      <c r="B94" s="165">
        <v>23.15</v>
      </c>
      <c r="C94" s="165">
        <v>66.19</v>
      </c>
      <c r="D94" s="165">
        <v>54.5</v>
      </c>
      <c r="E94" s="165">
        <v>6.21</v>
      </c>
      <c r="F94" s="165">
        <v>3.62</v>
      </c>
      <c r="G94" s="165">
        <v>29.63</v>
      </c>
      <c r="H94" s="165">
        <v>11.82</v>
      </c>
      <c r="I94" s="165">
        <v>4.14</v>
      </c>
      <c r="J94" s="165">
        <v>0.22</v>
      </c>
      <c r="K94" s="165">
        <v>172.79</v>
      </c>
      <c r="L94" s="165">
        <v>24.33</v>
      </c>
      <c r="M94" s="165">
        <v>75.96</v>
      </c>
      <c r="N94" s="165">
        <v>0</v>
      </c>
      <c r="O94" s="165">
        <v>0</v>
      </c>
      <c r="P94" s="165">
        <v>0.55</v>
      </c>
      <c r="Q94" s="165">
        <v>6.2</v>
      </c>
      <c r="R94" s="13"/>
      <c r="S94" s="13"/>
      <c r="T94" s="213"/>
      <c r="U94" s="13"/>
    </row>
    <row r="95" spans="1:21">
      <c r="A95" s="142" t="s">
        <v>2827</v>
      </c>
      <c r="B95" s="165">
        <v>24.03</v>
      </c>
      <c r="C95" s="165">
        <v>66.78</v>
      </c>
      <c r="D95" s="165">
        <v>55.51</v>
      </c>
      <c r="E95" s="165">
        <v>6.26</v>
      </c>
      <c r="F95" s="165">
        <v>3.56</v>
      </c>
      <c r="G95" s="165">
        <v>34.09</v>
      </c>
      <c r="H95" s="165">
        <v>12.39</v>
      </c>
      <c r="I95" s="165">
        <v>4.25</v>
      </c>
      <c r="J95" s="165">
        <v>0.51</v>
      </c>
      <c r="K95" s="165">
        <v>51.73</v>
      </c>
      <c r="L95" s="165">
        <v>24.09</v>
      </c>
      <c r="M95" s="165">
        <v>75.85</v>
      </c>
      <c r="N95" s="165">
        <v>0</v>
      </c>
      <c r="O95" s="165">
        <v>0</v>
      </c>
      <c r="P95" s="165">
        <v>0.55</v>
      </c>
      <c r="Q95" s="165">
        <v>6.33</v>
      </c>
      <c r="R95" s="13"/>
      <c r="S95" s="13"/>
      <c r="T95" s="213"/>
      <c r="U95" s="13"/>
    </row>
    <row r="96" spans="1:21">
      <c r="A96" s="142" t="s">
        <v>2828</v>
      </c>
      <c r="B96" s="165">
        <v>25.69</v>
      </c>
      <c r="C96" s="165">
        <v>66.93</v>
      </c>
      <c r="D96" s="165">
        <v>56.92</v>
      </c>
      <c r="E96" s="165">
        <v>6.14</v>
      </c>
      <c r="F96" s="165">
        <v>3.6</v>
      </c>
      <c r="G96" s="165">
        <v>34.09</v>
      </c>
      <c r="H96" s="165">
        <v>12.39</v>
      </c>
      <c r="I96" s="165">
        <v>4.26</v>
      </c>
      <c r="J96" s="165">
        <v>0.21</v>
      </c>
      <c r="K96" s="165">
        <v>77.18</v>
      </c>
      <c r="L96" s="165">
        <v>24.38</v>
      </c>
      <c r="M96" s="165">
        <v>75.09</v>
      </c>
      <c r="N96" s="165">
        <v>0</v>
      </c>
      <c r="O96" s="165">
        <v>0</v>
      </c>
      <c r="P96" s="165">
        <v>0.56</v>
      </c>
      <c r="Q96" s="165">
        <v>6.41</v>
      </c>
      <c r="R96" s="13"/>
      <c r="S96" s="13"/>
      <c r="T96" s="213"/>
      <c r="U96" s="13"/>
    </row>
    <row r="97" spans="1:21">
      <c r="A97" s="142" t="s">
        <v>2829</v>
      </c>
      <c r="B97" s="165">
        <v>27.27</v>
      </c>
      <c r="C97" s="165">
        <v>66.93</v>
      </c>
      <c r="D97" s="165">
        <v>58.19</v>
      </c>
      <c r="E97" s="165">
        <v>6.46</v>
      </c>
      <c r="F97" s="165">
        <v>3.59</v>
      </c>
      <c r="G97" s="165">
        <v>34.09</v>
      </c>
      <c r="H97" s="165">
        <v>12.39</v>
      </c>
      <c r="I97" s="165">
        <v>4.29</v>
      </c>
      <c r="J97" s="165">
        <v>0.08</v>
      </c>
      <c r="K97" s="165">
        <v>207.3</v>
      </c>
      <c r="L97" s="165">
        <v>24.55</v>
      </c>
      <c r="M97" s="165">
        <v>74.73</v>
      </c>
      <c r="N97" s="165">
        <v>0</v>
      </c>
      <c r="O97" s="165">
        <v>0</v>
      </c>
      <c r="P97" s="165">
        <v>0.58</v>
      </c>
      <c r="Q97" s="165">
        <v>6.49</v>
      </c>
      <c r="R97" s="13"/>
      <c r="S97" s="13"/>
      <c r="T97" s="213"/>
      <c r="U97" s="13"/>
    </row>
    <row r="98" spans="1:21">
      <c r="A98" s="142" t="s">
        <v>2830</v>
      </c>
      <c r="B98" s="165">
        <v>28.38</v>
      </c>
      <c r="C98" s="165">
        <v>65.16</v>
      </c>
      <c r="D98" s="165">
        <v>58.15</v>
      </c>
      <c r="E98" s="165">
        <v>6.14</v>
      </c>
      <c r="F98" s="165">
        <v>3.93</v>
      </c>
      <c r="G98" s="165">
        <v>38.45</v>
      </c>
      <c r="H98" s="165">
        <v>12.68</v>
      </c>
      <c r="I98" s="165">
        <v>4.36</v>
      </c>
      <c r="J98" s="165">
        <v>0.28</v>
      </c>
      <c r="K98" s="165">
        <v>195.2</v>
      </c>
      <c r="L98" s="165">
        <v>24.19</v>
      </c>
      <c r="M98" s="165">
        <v>78.71</v>
      </c>
      <c r="N98" s="165">
        <v>0</v>
      </c>
      <c r="O98" s="165">
        <v>0</v>
      </c>
      <c r="P98" s="165">
        <v>0.58</v>
      </c>
      <c r="Q98" s="165">
        <v>6.48</v>
      </c>
      <c r="R98" s="13"/>
      <c r="S98" s="13"/>
      <c r="T98" s="213"/>
      <c r="U98" s="13"/>
    </row>
    <row r="99" spans="1:21">
      <c r="A99" s="142" t="s">
        <v>2831</v>
      </c>
      <c r="B99" s="165">
        <v>29.02</v>
      </c>
      <c r="C99" s="165">
        <v>65.88</v>
      </c>
      <c r="D99" s="165">
        <v>59.05</v>
      </c>
      <c r="E99" s="165">
        <v>6.28</v>
      </c>
      <c r="F99" s="165">
        <v>3.72</v>
      </c>
      <c r="G99" s="165">
        <v>45.98</v>
      </c>
      <c r="H99" s="165">
        <v>12.97</v>
      </c>
      <c r="I99" s="165">
        <v>4.48</v>
      </c>
      <c r="J99" s="165">
        <v>0.22</v>
      </c>
      <c r="K99" s="165">
        <v>201.54</v>
      </c>
      <c r="L99" s="165">
        <v>24.1</v>
      </c>
      <c r="M99" s="165">
        <v>79.28</v>
      </c>
      <c r="N99" s="165">
        <v>0</v>
      </c>
      <c r="O99" s="165">
        <v>0</v>
      </c>
      <c r="P99" s="165">
        <v>0.58</v>
      </c>
      <c r="Q99" s="165">
        <v>6.6</v>
      </c>
      <c r="R99" s="13"/>
      <c r="S99" s="13"/>
      <c r="T99" s="213"/>
      <c r="U99" s="13"/>
    </row>
    <row r="100" spans="1:21">
      <c r="A100" s="142" t="s">
        <v>2832</v>
      </c>
      <c r="B100" s="165">
        <v>29.54</v>
      </c>
      <c r="C100" s="165">
        <v>65.61</v>
      </c>
      <c r="D100" s="165">
        <v>59.32</v>
      </c>
      <c r="E100" s="165">
        <v>6.49</v>
      </c>
      <c r="F100" s="165">
        <v>3.53</v>
      </c>
      <c r="G100" s="165">
        <v>45.98</v>
      </c>
      <c r="H100" s="165">
        <v>12.97</v>
      </c>
      <c r="I100" s="165">
        <v>4.57</v>
      </c>
      <c r="J100" s="165">
        <v>0.37</v>
      </c>
      <c r="K100" s="165">
        <v>245.03</v>
      </c>
      <c r="L100" s="165">
        <v>23.82</v>
      </c>
      <c r="M100" s="165">
        <v>81.59</v>
      </c>
      <c r="N100" s="165">
        <v>0</v>
      </c>
      <c r="O100" s="165">
        <v>0</v>
      </c>
      <c r="P100" s="165">
        <v>0.59</v>
      </c>
      <c r="Q100" s="165">
        <v>6.64</v>
      </c>
      <c r="R100" s="13"/>
      <c r="S100" s="13"/>
      <c r="T100" s="213"/>
      <c r="U100" s="13"/>
    </row>
    <row r="101" spans="1:21">
      <c r="A101" s="142" t="s">
        <v>2833</v>
      </c>
      <c r="B101" s="165">
        <v>29.76</v>
      </c>
      <c r="C101" s="165">
        <v>66.09</v>
      </c>
      <c r="D101" s="165">
        <v>59.75</v>
      </c>
      <c r="E101" s="165">
        <v>6.14</v>
      </c>
      <c r="F101" s="165">
        <v>3.56</v>
      </c>
      <c r="G101" s="165">
        <v>45.98</v>
      </c>
      <c r="H101" s="165">
        <v>12.97</v>
      </c>
      <c r="I101" s="165">
        <v>4.71</v>
      </c>
      <c r="J101" s="165">
        <v>0.3</v>
      </c>
      <c r="K101" s="165">
        <v>247.36</v>
      </c>
      <c r="L101" s="165">
        <v>23.67</v>
      </c>
      <c r="M101" s="165">
        <v>81.09</v>
      </c>
      <c r="N101" s="165">
        <v>0</v>
      </c>
      <c r="O101" s="165">
        <v>0</v>
      </c>
      <c r="P101" s="165">
        <v>0.6</v>
      </c>
      <c r="Q101" s="165">
        <v>6.64</v>
      </c>
      <c r="R101" s="13"/>
      <c r="S101" s="13"/>
      <c r="T101" s="213"/>
      <c r="U101" s="13"/>
    </row>
    <row r="102" spans="1:21">
      <c r="A102" s="142" t="s">
        <v>2834</v>
      </c>
      <c r="B102" s="165">
        <v>30.73</v>
      </c>
      <c r="C102" s="165">
        <v>63.08</v>
      </c>
      <c r="D102" s="165">
        <v>58.96</v>
      </c>
      <c r="E102" s="165">
        <v>6.45</v>
      </c>
      <c r="F102" s="165">
        <v>3.86</v>
      </c>
      <c r="G102" s="165">
        <v>45.48</v>
      </c>
      <c r="H102" s="165">
        <v>14.37</v>
      </c>
      <c r="I102" s="165">
        <v>4.79</v>
      </c>
      <c r="J102" s="165">
        <v>0.41</v>
      </c>
      <c r="K102" s="165">
        <v>237.18</v>
      </c>
      <c r="L102" s="165">
        <v>23.52</v>
      </c>
      <c r="M102" s="165">
        <v>82.64</v>
      </c>
      <c r="N102" s="165">
        <v>0</v>
      </c>
      <c r="O102" s="165">
        <v>0</v>
      </c>
      <c r="P102" s="165">
        <v>0.59</v>
      </c>
      <c r="Q102" s="165">
        <v>6.57</v>
      </c>
      <c r="R102" s="13"/>
      <c r="S102" s="13"/>
      <c r="T102" s="213"/>
      <c r="U102" s="13"/>
    </row>
    <row r="103" spans="1:21">
      <c r="A103" s="142" t="s">
        <v>2835</v>
      </c>
      <c r="B103" s="165">
        <v>31.73</v>
      </c>
      <c r="C103" s="165">
        <v>55.91</v>
      </c>
      <c r="D103" s="165">
        <v>56.01</v>
      </c>
      <c r="E103" s="165">
        <v>5.92</v>
      </c>
      <c r="F103" s="165">
        <v>4.29</v>
      </c>
      <c r="G103" s="165">
        <v>44.61</v>
      </c>
      <c r="H103" s="165">
        <v>15.82</v>
      </c>
      <c r="I103" s="165">
        <v>4.91</v>
      </c>
      <c r="J103" s="165">
        <v>0.28</v>
      </c>
      <c r="K103" s="165">
        <v>237.99</v>
      </c>
      <c r="L103" s="165">
        <v>23.59</v>
      </c>
      <c r="M103" s="165">
        <v>81.71</v>
      </c>
      <c r="N103" s="165">
        <v>0</v>
      </c>
      <c r="O103" s="165">
        <v>0</v>
      </c>
      <c r="P103" s="165">
        <v>0.55</v>
      </c>
      <c r="Q103" s="165">
        <v>6.24</v>
      </c>
      <c r="R103" s="13"/>
      <c r="S103" s="13"/>
      <c r="T103" s="213"/>
      <c r="U103" s="13"/>
    </row>
    <row r="104" spans="1:21">
      <c r="A104" s="142" t="s">
        <v>2836</v>
      </c>
      <c r="B104" s="165">
        <v>31.8</v>
      </c>
      <c r="C104" s="165">
        <v>59.42</v>
      </c>
      <c r="D104" s="165">
        <v>57.89</v>
      </c>
      <c r="E104" s="165">
        <v>5.93</v>
      </c>
      <c r="F104" s="165">
        <v>3.56</v>
      </c>
      <c r="G104" s="165">
        <v>44.61</v>
      </c>
      <c r="H104" s="165">
        <v>15.82</v>
      </c>
      <c r="I104" s="165">
        <v>4.93</v>
      </c>
      <c r="J104" s="165">
        <v>0.28</v>
      </c>
      <c r="K104" s="165">
        <v>237.34</v>
      </c>
      <c r="L104" s="165">
        <v>23.54</v>
      </c>
      <c r="M104" s="165">
        <v>82.32</v>
      </c>
      <c r="N104" s="165">
        <v>0</v>
      </c>
      <c r="O104" s="165">
        <v>0</v>
      </c>
      <c r="P104" s="165">
        <v>0.58</v>
      </c>
      <c r="Q104" s="165">
        <v>6.34</v>
      </c>
      <c r="R104" s="13"/>
      <c r="S104" s="13"/>
      <c r="T104" s="213"/>
      <c r="U104" s="13"/>
    </row>
    <row r="105" spans="1:21">
      <c r="A105" s="48"/>
      <c r="B105" s="2"/>
      <c r="C105" s="2"/>
      <c r="D105" s="2"/>
      <c r="E105" s="2"/>
      <c r="F105" s="2"/>
      <c r="G105" s="48"/>
      <c r="H105" s="48"/>
      <c r="I105" s="48"/>
      <c r="J105" s="2"/>
      <c r="K105" s="2"/>
      <c r="L105" s="48"/>
      <c r="M105" s="48"/>
      <c r="N105" s="48"/>
      <c r="O105" s="48"/>
      <c r="P105" s="48"/>
      <c r="Q105" s="2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10.13</v>
      </c>
      <c r="C106" s="215">
        <f>MIN(C9:C104)</f>
        <v>38.91</v>
      </c>
      <c r="D106" s="215">
        <f t="shared" ref="D106:Q106" si="0">MIN(D9:D104)</f>
        <v>29.8</v>
      </c>
      <c r="E106" s="215">
        <f t="shared" si="0"/>
        <v>5.92</v>
      </c>
      <c r="F106" s="215">
        <f t="shared" si="0"/>
        <v>3.4</v>
      </c>
      <c r="G106" s="215">
        <f t="shared" si="0"/>
        <v>10.23</v>
      </c>
      <c r="H106" s="215">
        <f t="shared" si="0"/>
        <v>7.67</v>
      </c>
      <c r="I106" s="215">
        <f t="shared" si="0"/>
        <v>2.88</v>
      </c>
      <c r="J106" s="215">
        <f t="shared" si="0"/>
        <v>0.08</v>
      </c>
      <c r="K106" s="215">
        <f t="shared" si="0"/>
        <v>0.19</v>
      </c>
      <c r="L106" s="215">
        <f t="shared" si="0"/>
        <v>19.09</v>
      </c>
      <c r="M106" s="215">
        <f t="shared" si="0"/>
        <v>42.58</v>
      </c>
      <c r="N106" s="215">
        <f t="shared" si="0"/>
        <v>0</v>
      </c>
      <c r="O106" s="215">
        <f t="shared" si="0"/>
        <v>0</v>
      </c>
      <c r="P106" s="215">
        <f t="shared" si="0"/>
        <v>0.37</v>
      </c>
      <c r="Q106" s="215">
        <f t="shared" si="0"/>
        <v>4.56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31.8</v>
      </c>
      <c r="C107" s="216">
        <f t="shared" ref="C107:Q107" si="1">MAX(C9:C104)</f>
        <v>70.16</v>
      </c>
      <c r="D107" s="216">
        <f t="shared" si="1"/>
        <v>59.75</v>
      </c>
      <c r="E107" s="216">
        <f t="shared" si="1"/>
        <v>10.57</v>
      </c>
      <c r="F107" s="216">
        <f t="shared" si="1"/>
        <v>26.11</v>
      </c>
      <c r="G107" s="216">
        <f t="shared" si="1"/>
        <v>45.98</v>
      </c>
      <c r="H107" s="216">
        <f t="shared" si="1"/>
        <v>21.06</v>
      </c>
      <c r="I107" s="216">
        <f t="shared" si="1"/>
        <v>11.04</v>
      </c>
      <c r="J107" s="216">
        <f t="shared" si="1"/>
        <v>2.44</v>
      </c>
      <c r="K107" s="216">
        <f t="shared" si="1"/>
        <v>358.67</v>
      </c>
      <c r="L107" s="216">
        <f t="shared" si="1"/>
        <v>34.49</v>
      </c>
      <c r="M107" s="216">
        <f t="shared" si="1"/>
        <v>96.39</v>
      </c>
      <c r="N107" s="216">
        <f t="shared" si="1"/>
        <v>861.6</v>
      </c>
      <c r="O107" s="216">
        <f t="shared" si="1"/>
        <v>0</v>
      </c>
      <c r="P107" s="216">
        <f t="shared" si="1"/>
        <v>0.6</v>
      </c>
      <c r="Q107" s="216">
        <f t="shared" si="1"/>
        <v>6.64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19.8504166666667</v>
      </c>
      <c r="C108" s="215">
        <f t="shared" ref="C108:Q108" si="2">AVERAGE(C9:C104)</f>
        <v>59.8203125</v>
      </c>
      <c r="D108" s="215">
        <f t="shared" si="2"/>
        <v>48.5244791666667</v>
      </c>
      <c r="E108" s="215">
        <f t="shared" si="2"/>
        <v>7.20270833333333</v>
      </c>
      <c r="F108" s="215">
        <f t="shared" si="2"/>
        <v>6.67666666666667</v>
      </c>
      <c r="G108" s="215">
        <f t="shared" si="2"/>
        <v>26.3440625</v>
      </c>
      <c r="H108" s="215">
        <f t="shared" si="2"/>
        <v>11.7832291666667</v>
      </c>
      <c r="I108" s="215">
        <f t="shared" si="2"/>
        <v>5.01979166666667</v>
      </c>
      <c r="J108" s="215">
        <f t="shared" si="2"/>
        <v>0.634791666666667</v>
      </c>
      <c r="K108" s="215">
        <f t="shared" si="2"/>
        <v>218.489479166667</v>
      </c>
      <c r="L108" s="215">
        <f t="shared" si="2"/>
        <v>26.1351041666667</v>
      </c>
      <c r="M108" s="215">
        <f t="shared" si="2"/>
        <v>69.42</v>
      </c>
      <c r="N108" s="215">
        <f t="shared" si="2"/>
        <v>172.071875</v>
      </c>
      <c r="O108" s="215">
        <f t="shared" si="2"/>
        <v>0</v>
      </c>
      <c r="P108" s="215">
        <f t="shared" si="2"/>
        <v>0.4759375</v>
      </c>
      <c r="Q108" s="215">
        <f t="shared" si="2"/>
        <v>5.79885416666667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5.88174802457241</v>
      </c>
      <c r="C109" s="215">
        <f t="shared" ref="C109:Q109" si="3">STDEV(C9:C104)</f>
        <v>8.09007611090669</v>
      </c>
      <c r="D109" s="215">
        <f t="shared" si="3"/>
        <v>8.18342212161966</v>
      </c>
      <c r="E109" s="215">
        <f t="shared" si="3"/>
        <v>1.05869480634527</v>
      </c>
      <c r="F109" s="215">
        <f t="shared" si="3"/>
        <v>5.32869504449194</v>
      </c>
      <c r="G109" s="215">
        <f t="shared" si="3"/>
        <v>10.2077221107742</v>
      </c>
      <c r="H109" s="215">
        <f t="shared" si="3"/>
        <v>2.87060657253798</v>
      </c>
      <c r="I109" s="215">
        <f t="shared" si="3"/>
        <v>1.84358402613049</v>
      </c>
      <c r="J109" s="215">
        <f t="shared" si="3"/>
        <v>0.437892029871019</v>
      </c>
      <c r="K109" s="215">
        <f t="shared" si="3"/>
        <v>95.9988463787022</v>
      </c>
      <c r="L109" s="215">
        <f t="shared" si="3"/>
        <v>4.12659002715232</v>
      </c>
      <c r="M109" s="215">
        <f t="shared" si="3"/>
        <v>14.8768613696077</v>
      </c>
      <c r="N109" s="215">
        <f t="shared" si="3"/>
        <v>259.786294238826</v>
      </c>
      <c r="O109" s="215">
        <f t="shared" si="3"/>
        <v>0</v>
      </c>
      <c r="P109" s="215">
        <f t="shared" si="3"/>
        <v>0.0616027703580729</v>
      </c>
      <c r="Q109" s="215">
        <f t="shared" si="3"/>
        <v>0.591347915745156</v>
      </c>
      <c r="R109" s="220"/>
      <c r="S109" s="220"/>
      <c r="T109" s="220"/>
      <c r="U109" s="220"/>
    </row>
    <row r="110" spans="1:21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:21">
      <c r="A113" s="4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48"/>
      <c r="M113" s="2"/>
      <c r="N113" s="219"/>
      <c r="O113" s="219"/>
      <c r="P113" s="219"/>
      <c r="Q113" s="219"/>
      <c r="R113" s="219"/>
      <c r="S113" s="219"/>
      <c r="T113" s="219"/>
      <c r="U113" s="219"/>
    </row>
    <row r="114" spans="1:21">
      <c r="A114" s="4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84" t="s">
        <v>149</v>
      </c>
      <c r="B115" s="192" t="s">
        <v>150</v>
      </c>
      <c r="C115" s="192"/>
      <c r="D115" s="19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48"/>
      <c r="B116" s="2"/>
      <c r="C116" s="2"/>
      <c r="D116" s="194"/>
      <c r="E116" s="194"/>
      <c r="F116" s="194"/>
      <c r="G116" s="194"/>
      <c r="H116" s="194"/>
      <c r="I116" s="19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ySplit="1" topLeftCell="A89" activePane="bottomLeft" state="frozen"/>
      <selection/>
      <selection pane="bottomLeft" activeCell="A9" sqref="A9:Q104"/>
    </sheetView>
  </sheetViews>
  <sheetFormatPr defaultColWidth="8.85714285714286" defaultRowHeight="15"/>
  <cols>
    <col min="1" max="1" width="21" style="48" customWidth="1"/>
    <col min="2" max="2" width="15.2857142857143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 t="str">
        <f>$A$9</f>
        <v>30/04/2023 00:15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7" t="s">
        <v>6</v>
      </c>
      <c r="M2" s="178"/>
      <c r="N2" s="212" t="s">
        <v>7</v>
      </c>
      <c r="O2" s="198"/>
      <c r="P2" s="204" t="s">
        <v>8</v>
      </c>
      <c r="Q2" s="198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199" t="s">
        <v>14</v>
      </c>
      <c r="M3" s="178"/>
      <c r="N3" s="212" t="s">
        <v>15</v>
      </c>
      <c r="O3" s="178"/>
      <c r="P3" s="205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1"/>
      <c r="L4" s="202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1" t="s">
        <v>23</v>
      </c>
      <c r="C7" s="211" t="s">
        <v>24</v>
      </c>
      <c r="D7" s="211" t="s">
        <v>25</v>
      </c>
      <c r="E7" s="211" t="s">
        <v>26</v>
      </c>
      <c r="F7" s="211" t="s">
        <v>27</v>
      </c>
      <c r="G7" s="211" t="s">
        <v>28</v>
      </c>
      <c r="H7" s="211" t="s">
        <v>29</v>
      </c>
      <c r="I7" s="211" t="s">
        <v>30</v>
      </c>
      <c r="J7" s="211" t="s">
        <v>31</v>
      </c>
      <c r="K7" s="211" t="s">
        <v>32</v>
      </c>
      <c r="L7" s="211" t="s">
        <v>33</v>
      </c>
      <c r="M7" s="211" t="s">
        <v>34</v>
      </c>
      <c r="N7" s="211" t="s">
        <v>35</v>
      </c>
      <c r="O7" s="211" t="s">
        <v>36</v>
      </c>
      <c r="P7" s="211" t="s">
        <v>37</v>
      </c>
      <c r="Q7" s="211" t="s">
        <v>38</v>
      </c>
      <c r="R7" s="206"/>
      <c r="S7" s="207"/>
      <c r="T7" s="206"/>
      <c r="U7" s="206"/>
    </row>
    <row r="8" spans="1:21">
      <c r="A8" s="184"/>
      <c r="B8" s="207" t="s">
        <v>39</v>
      </c>
      <c r="C8" s="207" t="s">
        <v>39</v>
      </c>
      <c r="D8" s="207" t="s">
        <v>39</v>
      </c>
      <c r="E8" s="207" t="s">
        <v>39</v>
      </c>
      <c r="F8" s="207" t="s">
        <v>39</v>
      </c>
      <c r="G8" s="207" t="s">
        <v>39</v>
      </c>
      <c r="H8" s="207" t="s">
        <v>39</v>
      </c>
      <c r="I8" s="207" t="s">
        <v>39</v>
      </c>
      <c r="J8" s="207" t="s">
        <v>40</v>
      </c>
      <c r="K8" s="207" t="s">
        <v>41</v>
      </c>
      <c r="L8" s="206" t="s">
        <v>42</v>
      </c>
      <c r="M8" s="207" t="s">
        <v>43</v>
      </c>
      <c r="N8" s="207" t="s">
        <v>44</v>
      </c>
      <c r="O8" s="206" t="s">
        <v>45</v>
      </c>
      <c r="P8" s="207" t="s">
        <v>46</v>
      </c>
      <c r="Q8" s="207" t="s">
        <v>39</v>
      </c>
      <c r="R8" s="206"/>
      <c r="S8" s="207"/>
      <c r="T8" s="206"/>
      <c r="U8" s="206"/>
    </row>
    <row r="9" customFormat="1" spans="1:21">
      <c r="A9" s="142" t="s">
        <v>2837</v>
      </c>
      <c r="B9" s="165">
        <v>31.99</v>
      </c>
      <c r="C9" s="165">
        <v>53.15</v>
      </c>
      <c r="D9" s="165">
        <v>54.77</v>
      </c>
      <c r="E9" s="165">
        <v>5.94</v>
      </c>
      <c r="F9" s="165">
        <v>3.91</v>
      </c>
      <c r="G9" s="165">
        <v>44.61</v>
      </c>
      <c r="H9" s="165">
        <v>15.82</v>
      </c>
      <c r="I9" s="165">
        <v>4.91</v>
      </c>
      <c r="J9" s="165">
        <v>0.27</v>
      </c>
      <c r="K9" s="165">
        <v>237.84</v>
      </c>
      <c r="L9" s="165">
        <v>23.39</v>
      </c>
      <c r="M9" s="165">
        <v>82.07</v>
      </c>
      <c r="N9" s="165">
        <v>0</v>
      </c>
      <c r="O9" s="165">
        <v>0</v>
      </c>
      <c r="P9" s="165">
        <v>0.55</v>
      </c>
      <c r="Q9" s="165">
        <v>6.22</v>
      </c>
      <c r="R9" s="13"/>
      <c r="S9" s="13"/>
      <c r="T9" s="213"/>
      <c r="U9" s="13"/>
    </row>
    <row r="10" customFormat="1" spans="1:21">
      <c r="A10" s="142" t="s">
        <v>2838</v>
      </c>
      <c r="B10" s="165">
        <v>31.68</v>
      </c>
      <c r="C10" s="165">
        <v>58.83</v>
      </c>
      <c r="D10" s="165">
        <v>57.5</v>
      </c>
      <c r="E10" s="165">
        <v>6.24</v>
      </c>
      <c r="F10" s="165">
        <v>3.25</v>
      </c>
      <c r="G10" s="165">
        <v>42.26</v>
      </c>
      <c r="H10" s="165">
        <v>15.29</v>
      </c>
      <c r="I10" s="165">
        <v>5.02</v>
      </c>
      <c r="J10" s="165">
        <v>0.13</v>
      </c>
      <c r="K10" s="165">
        <v>80.89</v>
      </c>
      <c r="L10" s="165">
        <v>23.32</v>
      </c>
      <c r="M10" s="165">
        <v>82.73</v>
      </c>
      <c r="N10" s="165">
        <v>0</v>
      </c>
      <c r="O10" s="165">
        <v>0</v>
      </c>
      <c r="P10" s="165">
        <v>0.57</v>
      </c>
      <c r="Q10" s="165">
        <v>6.38</v>
      </c>
      <c r="R10" s="13"/>
      <c r="S10" s="13"/>
      <c r="T10" s="213"/>
      <c r="U10" s="13"/>
    </row>
    <row r="11" customFormat="1" spans="1:21">
      <c r="A11" s="142" t="s">
        <v>2839</v>
      </c>
      <c r="B11" s="165">
        <v>32.52</v>
      </c>
      <c r="C11" s="165">
        <v>57.81</v>
      </c>
      <c r="D11" s="165">
        <v>57.63</v>
      </c>
      <c r="E11" s="165">
        <v>6.42</v>
      </c>
      <c r="F11" s="165">
        <v>3.63</v>
      </c>
      <c r="G11" s="165">
        <v>38.2</v>
      </c>
      <c r="H11" s="165">
        <v>13.48</v>
      </c>
      <c r="I11" s="165">
        <v>4.94</v>
      </c>
      <c r="J11" s="165">
        <v>0.11</v>
      </c>
      <c r="K11" s="165">
        <v>188.9</v>
      </c>
      <c r="L11" s="165">
        <v>23.26</v>
      </c>
      <c r="M11" s="165">
        <v>83.38</v>
      </c>
      <c r="N11" s="165">
        <v>0</v>
      </c>
      <c r="O11" s="165">
        <v>0</v>
      </c>
      <c r="P11" s="165">
        <v>0.56</v>
      </c>
      <c r="Q11" s="165">
        <v>6.43</v>
      </c>
      <c r="R11" s="13"/>
      <c r="S11" s="13"/>
      <c r="T11" s="213"/>
      <c r="U11" s="13"/>
    </row>
    <row r="12" customFormat="1" spans="1:21">
      <c r="A12" s="142" t="s">
        <v>2840</v>
      </c>
      <c r="B12" s="165">
        <v>33.02</v>
      </c>
      <c r="C12" s="165">
        <v>60.17</v>
      </c>
      <c r="D12" s="165">
        <v>59.26</v>
      </c>
      <c r="E12" s="165">
        <v>6.46</v>
      </c>
      <c r="F12" s="165">
        <v>3.38</v>
      </c>
      <c r="G12" s="165">
        <v>38.2</v>
      </c>
      <c r="H12" s="165">
        <v>13.48</v>
      </c>
      <c r="I12" s="165">
        <v>4.99</v>
      </c>
      <c r="J12" s="165">
        <v>0.15</v>
      </c>
      <c r="K12" s="165">
        <v>83.91</v>
      </c>
      <c r="L12" s="165">
        <v>23.19</v>
      </c>
      <c r="M12" s="165">
        <v>83.53</v>
      </c>
      <c r="N12" s="165">
        <v>0</v>
      </c>
      <c r="O12" s="165">
        <v>0</v>
      </c>
      <c r="P12" s="165">
        <v>0.57</v>
      </c>
      <c r="Q12" s="165">
        <v>6.56</v>
      </c>
      <c r="R12" s="13"/>
      <c r="S12" s="13"/>
      <c r="T12" s="213"/>
      <c r="U12" s="13"/>
    </row>
    <row r="13" customFormat="1" spans="1:21">
      <c r="A13" s="142" t="s">
        <v>2841</v>
      </c>
      <c r="B13" s="165">
        <v>33.64</v>
      </c>
      <c r="C13" s="165">
        <v>59.17</v>
      </c>
      <c r="D13" s="165">
        <v>59.24</v>
      </c>
      <c r="E13" s="165">
        <v>6.48</v>
      </c>
      <c r="F13" s="165">
        <v>3.83</v>
      </c>
      <c r="G13" s="165">
        <v>38.2</v>
      </c>
      <c r="H13" s="165">
        <v>13.48</v>
      </c>
      <c r="I13" s="165">
        <v>4.96</v>
      </c>
      <c r="J13" s="165">
        <v>0.13</v>
      </c>
      <c r="K13" s="165">
        <v>127.11</v>
      </c>
      <c r="L13" s="165">
        <v>23.21</v>
      </c>
      <c r="M13" s="165">
        <v>83.19</v>
      </c>
      <c r="N13" s="165">
        <v>0</v>
      </c>
      <c r="O13" s="165">
        <v>0</v>
      </c>
      <c r="P13" s="165">
        <v>0.57</v>
      </c>
      <c r="Q13" s="165">
        <v>6.52</v>
      </c>
      <c r="R13" s="13"/>
      <c r="S13" s="13"/>
      <c r="T13" s="213"/>
      <c r="U13" s="13"/>
    </row>
    <row r="14" customFormat="1" spans="1:21">
      <c r="A14" s="142" t="s">
        <v>2842</v>
      </c>
      <c r="B14" s="165">
        <v>34.42</v>
      </c>
      <c r="C14" s="165">
        <v>57.27</v>
      </c>
      <c r="D14" s="165">
        <v>58.87</v>
      </c>
      <c r="E14" s="165">
        <v>5.98</v>
      </c>
      <c r="F14" s="165">
        <v>3.96</v>
      </c>
      <c r="G14" s="165">
        <v>34.75</v>
      </c>
      <c r="H14" s="165">
        <v>11.54</v>
      </c>
      <c r="I14" s="165">
        <v>4.95</v>
      </c>
      <c r="J14" s="165">
        <v>0.11</v>
      </c>
      <c r="K14" s="165">
        <v>140.93</v>
      </c>
      <c r="L14" s="165">
        <v>23.02</v>
      </c>
      <c r="M14" s="165">
        <v>84.5</v>
      </c>
      <c r="N14" s="165">
        <v>0</v>
      </c>
      <c r="O14" s="165">
        <v>0</v>
      </c>
      <c r="P14" s="165">
        <v>0.55</v>
      </c>
      <c r="Q14" s="165">
        <v>6.49</v>
      </c>
      <c r="R14" s="13"/>
      <c r="S14" s="13"/>
      <c r="T14" s="213"/>
      <c r="U14" s="13"/>
    </row>
    <row r="15" customFormat="1" spans="1:21">
      <c r="A15" s="142" t="s">
        <v>2843</v>
      </c>
      <c r="B15" s="165">
        <v>34.58</v>
      </c>
      <c r="C15" s="165">
        <v>59.01</v>
      </c>
      <c r="D15" s="165">
        <v>59.91</v>
      </c>
      <c r="E15" s="165">
        <v>6.28</v>
      </c>
      <c r="F15" s="165">
        <v>3.62</v>
      </c>
      <c r="G15" s="165">
        <v>28.79</v>
      </c>
      <c r="H15" s="165">
        <v>9.54</v>
      </c>
      <c r="I15" s="165">
        <v>4.98</v>
      </c>
      <c r="J15" s="165">
        <v>0.16</v>
      </c>
      <c r="K15" s="165">
        <v>179.22</v>
      </c>
      <c r="L15" s="165">
        <v>22.85</v>
      </c>
      <c r="M15" s="165">
        <v>85.32</v>
      </c>
      <c r="N15" s="165">
        <v>0</v>
      </c>
      <c r="O15" s="165">
        <v>0</v>
      </c>
      <c r="P15" s="165">
        <v>0.57</v>
      </c>
      <c r="Q15" s="165">
        <v>6.52</v>
      </c>
      <c r="R15" s="13"/>
      <c r="S15" s="13"/>
      <c r="T15" s="213"/>
      <c r="U15" s="13"/>
    </row>
    <row r="16" customFormat="1" spans="1:21">
      <c r="A16" s="142" t="s">
        <v>2844</v>
      </c>
      <c r="B16" s="165">
        <v>35.3</v>
      </c>
      <c r="C16" s="165">
        <v>57.27</v>
      </c>
      <c r="D16" s="165">
        <v>59.58</v>
      </c>
      <c r="E16" s="165">
        <v>6.41</v>
      </c>
      <c r="F16" s="165">
        <v>3.87</v>
      </c>
      <c r="G16" s="165">
        <v>28.79</v>
      </c>
      <c r="H16" s="165">
        <v>9.54</v>
      </c>
      <c r="I16" s="165">
        <v>4.88</v>
      </c>
      <c r="J16" s="165">
        <v>0.16</v>
      </c>
      <c r="K16" s="165">
        <v>266.09</v>
      </c>
      <c r="L16" s="165">
        <v>22.88</v>
      </c>
      <c r="M16" s="165">
        <v>86.06</v>
      </c>
      <c r="N16" s="165">
        <v>0</v>
      </c>
      <c r="O16" s="165">
        <v>0</v>
      </c>
      <c r="P16" s="165">
        <v>0.54</v>
      </c>
      <c r="Q16" s="165">
        <v>6.54</v>
      </c>
      <c r="R16" s="13"/>
      <c r="S16" s="13"/>
      <c r="T16" s="213"/>
      <c r="U16" s="13"/>
    </row>
    <row r="17" customFormat="1" spans="1:21">
      <c r="A17" s="142" t="s">
        <v>2845</v>
      </c>
      <c r="B17" s="165">
        <v>35.56</v>
      </c>
      <c r="C17" s="165">
        <v>57.72</v>
      </c>
      <c r="D17" s="165">
        <v>60.02</v>
      </c>
      <c r="E17" s="165">
        <v>5.48</v>
      </c>
      <c r="F17" s="165">
        <v>3.7</v>
      </c>
      <c r="G17" s="165">
        <v>28.79</v>
      </c>
      <c r="H17" s="165">
        <v>9.54</v>
      </c>
      <c r="I17" s="165">
        <v>4.95</v>
      </c>
      <c r="J17" s="165">
        <v>0.32</v>
      </c>
      <c r="K17" s="165">
        <v>251.81</v>
      </c>
      <c r="L17" s="165">
        <v>22.88</v>
      </c>
      <c r="M17" s="165">
        <v>84.91</v>
      </c>
      <c r="N17" s="165">
        <v>0</v>
      </c>
      <c r="O17" s="165">
        <v>0</v>
      </c>
      <c r="P17" s="165">
        <v>0.56</v>
      </c>
      <c r="Q17" s="165">
        <v>6.49</v>
      </c>
      <c r="R17" s="13"/>
      <c r="S17" s="13"/>
      <c r="T17" s="213"/>
      <c r="U17" s="13"/>
    </row>
    <row r="18" customFormat="1" spans="1:21">
      <c r="A18" s="142" t="s">
        <v>2846</v>
      </c>
      <c r="B18" s="165">
        <v>36.04</v>
      </c>
      <c r="C18" s="165">
        <v>56.87</v>
      </c>
      <c r="D18" s="165">
        <v>59.96</v>
      </c>
      <c r="E18" s="165">
        <v>6.27</v>
      </c>
      <c r="F18" s="165">
        <v>3.76</v>
      </c>
      <c r="G18" s="165">
        <v>26.69</v>
      </c>
      <c r="H18" s="165">
        <v>10.31</v>
      </c>
      <c r="I18" s="165">
        <v>4.84</v>
      </c>
      <c r="J18" s="165">
        <v>0.84</v>
      </c>
      <c r="K18" s="165">
        <v>264.42</v>
      </c>
      <c r="L18" s="165">
        <v>23.04</v>
      </c>
      <c r="M18" s="165">
        <v>80.59</v>
      </c>
      <c r="N18" s="165">
        <v>0</v>
      </c>
      <c r="O18" s="165">
        <v>0</v>
      </c>
      <c r="P18" s="165">
        <v>0.54</v>
      </c>
      <c r="Q18" s="165">
        <v>6.52</v>
      </c>
      <c r="R18" s="13"/>
      <c r="S18" s="13"/>
      <c r="T18" s="213"/>
      <c r="U18" s="13"/>
    </row>
    <row r="19" customFormat="1" spans="1:21">
      <c r="A19" s="142" t="s">
        <v>2847</v>
      </c>
      <c r="B19" s="165">
        <v>35.79</v>
      </c>
      <c r="C19" s="165">
        <v>59.92</v>
      </c>
      <c r="D19" s="165">
        <v>61.36</v>
      </c>
      <c r="E19" s="165">
        <v>5.99</v>
      </c>
      <c r="F19" s="165">
        <v>3.43</v>
      </c>
      <c r="G19" s="165">
        <v>23.06</v>
      </c>
      <c r="H19" s="165">
        <v>11.13</v>
      </c>
      <c r="I19" s="165">
        <v>4.91</v>
      </c>
      <c r="J19" s="165">
        <v>0.12</v>
      </c>
      <c r="K19" s="165">
        <v>271.29</v>
      </c>
      <c r="L19" s="165">
        <v>23.29</v>
      </c>
      <c r="M19" s="165">
        <v>75.36</v>
      </c>
      <c r="N19" s="165">
        <v>0</v>
      </c>
      <c r="O19" s="165">
        <v>0</v>
      </c>
      <c r="P19" s="165">
        <v>0.56</v>
      </c>
      <c r="Q19" s="165">
        <v>6.64</v>
      </c>
      <c r="R19" s="13"/>
      <c r="S19" s="13"/>
      <c r="T19" s="213"/>
      <c r="U19" s="13"/>
    </row>
    <row r="20" customFormat="1" spans="1:21">
      <c r="A20" s="142" t="s">
        <v>2848</v>
      </c>
      <c r="B20" s="165">
        <v>36.51</v>
      </c>
      <c r="C20" s="165">
        <v>57.35</v>
      </c>
      <c r="D20" s="165">
        <v>60.59</v>
      </c>
      <c r="E20" s="165">
        <v>6.38</v>
      </c>
      <c r="F20" s="165">
        <v>4.03</v>
      </c>
      <c r="G20" s="165">
        <v>23.06</v>
      </c>
      <c r="H20" s="165">
        <v>11.13</v>
      </c>
      <c r="I20" s="165">
        <v>4.83</v>
      </c>
      <c r="J20" s="165">
        <v>0.28</v>
      </c>
      <c r="K20" s="165">
        <v>74.35</v>
      </c>
      <c r="L20" s="165">
        <v>23.39</v>
      </c>
      <c r="M20" s="165">
        <v>75.23</v>
      </c>
      <c r="N20" s="165">
        <v>0</v>
      </c>
      <c r="O20" s="165">
        <v>0</v>
      </c>
      <c r="P20" s="165">
        <v>0.53</v>
      </c>
      <c r="Q20" s="165">
        <v>6.6</v>
      </c>
      <c r="R20" s="13"/>
      <c r="S20" s="13"/>
      <c r="T20" s="213"/>
      <c r="U20" s="13"/>
    </row>
    <row r="21" customFormat="1" spans="1:21">
      <c r="A21" s="142" t="s">
        <v>2849</v>
      </c>
      <c r="B21" s="165">
        <v>36.75</v>
      </c>
      <c r="C21" s="165">
        <v>59.53</v>
      </c>
      <c r="D21" s="165">
        <v>61.92</v>
      </c>
      <c r="E21" s="165">
        <v>6.16</v>
      </c>
      <c r="F21" s="165">
        <v>3.57</v>
      </c>
      <c r="G21" s="165">
        <v>23.06</v>
      </c>
      <c r="H21" s="165">
        <v>11.13</v>
      </c>
      <c r="I21" s="165">
        <v>4.87</v>
      </c>
      <c r="J21" s="165">
        <v>0.92</v>
      </c>
      <c r="K21" s="165">
        <v>55.58</v>
      </c>
      <c r="L21" s="165">
        <v>23.34</v>
      </c>
      <c r="M21" s="165">
        <v>74.8</v>
      </c>
      <c r="N21" s="165">
        <v>0</v>
      </c>
      <c r="O21" s="165">
        <v>0</v>
      </c>
      <c r="P21" s="165">
        <v>0.55</v>
      </c>
      <c r="Q21" s="165">
        <v>6.67</v>
      </c>
      <c r="R21" s="13"/>
      <c r="S21" s="13"/>
      <c r="T21" s="213"/>
      <c r="U21" s="13"/>
    </row>
    <row r="22" customFormat="1" spans="1:21">
      <c r="A22" s="142" t="s">
        <v>2850</v>
      </c>
      <c r="B22" s="165">
        <v>37.38</v>
      </c>
      <c r="C22" s="165">
        <v>56.27</v>
      </c>
      <c r="D22" s="165">
        <v>60.73</v>
      </c>
      <c r="E22" s="165">
        <v>6.06</v>
      </c>
      <c r="F22" s="165">
        <v>4.04</v>
      </c>
      <c r="G22" s="165">
        <v>24.02</v>
      </c>
      <c r="H22" s="165">
        <v>9.62</v>
      </c>
      <c r="I22" s="165">
        <v>4.74</v>
      </c>
      <c r="J22" s="165">
        <v>0.3</v>
      </c>
      <c r="K22" s="165">
        <v>164.91</v>
      </c>
      <c r="L22" s="165">
        <v>23.19</v>
      </c>
      <c r="M22" s="165">
        <v>78</v>
      </c>
      <c r="N22" s="165">
        <v>0</v>
      </c>
      <c r="O22" s="165">
        <v>0</v>
      </c>
      <c r="P22" s="165">
        <v>0.52</v>
      </c>
      <c r="Q22" s="165">
        <v>6.55</v>
      </c>
      <c r="R22" s="13"/>
      <c r="S22" s="13"/>
      <c r="T22" s="213"/>
      <c r="U22" s="13"/>
    </row>
    <row r="23" customFormat="1" spans="1:21">
      <c r="A23" s="142" t="s">
        <v>2851</v>
      </c>
      <c r="B23" s="165">
        <v>37.11</v>
      </c>
      <c r="C23" s="165">
        <v>60.04</v>
      </c>
      <c r="D23" s="165">
        <v>62.47</v>
      </c>
      <c r="E23" s="165">
        <v>5.88</v>
      </c>
      <c r="F23" s="165">
        <v>3.49</v>
      </c>
      <c r="G23" s="165">
        <v>25.69</v>
      </c>
      <c r="H23" s="165">
        <v>8.05</v>
      </c>
      <c r="I23" s="165">
        <v>4.78</v>
      </c>
      <c r="J23" s="165">
        <v>0.27</v>
      </c>
      <c r="K23" s="165">
        <v>113</v>
      </c>
      <c r="L23" s="165">
        <v>23.1</v>
      </c>
      <c r="M23" s="165">
        <v>78.66</v>
      </c>
      <c r="N23" s="165">
        <v>0</v>
      </c>
      <c r="O23" s="165">
        <v>0</v>
      </c>
      <c r="P23" s="165">
        <v>0.54</v>
      </c>
      <c r="Q23" s="165">
        <v>6.67</v>
      </c>
      <c r="R23" s="13"/>
      <c r="S23" s="13"/>
      <c r="T23" s="213"/>
      <c r="U23" s="13"/>
    </row>
    <row r="24" customFormat="1" spans="1:21">
      <c r="A24" s="142" t="s">
        <v>2852</v>
      </c>
      <c r="B24" s="165">
        <v>37.56</v>
      </c>
      <c r="C24" s="165">
        <v>58.42</v>
      </c>
      <c r="D24" s="165">
        <v>62</v>
      </c>
      <c r="E24" s="165">
        <v>6.2</v>
      </c>
      <c r="F24" s="165">
        <v>3.74</v>
      </c>
      <c r="G24" s="165">
        <v>25.69</v>
      </c>
      <c r="H24" s="165">
        <v>8.05</v>
      </c>
      <c r="I24" s="165">
        <v>4.74</v>
      </c>
      <c r="J24" s="165">
        <v>0.23</v>
      </c>
      <c r="K24" s="165">
        <v>247.39</v>
      </c>
      <c r="L24" s="165">
        <v>23.02</v>
      </c>
      <c r="M24" s="165">
        <v>79.39</v>
      </c>
      <c r="N24" s="165">
        <v>0</v>
      </c>
      <c r="O24" s="165">
        <v>0</v>
      </c>
      <c r="P24" s="165">
        <v>0.52</v>
      </c>
      <c r="Q24" s="165">
        <v>6.67</v>
      </c>
      <c r="R24" s="13"/>
      <c r="S24" s="13"/>
      <c r="T24" s="213"/>
      <c r="U24" s="13"/>
    </row>
    <row r="25" customFormat="1" spans="1:21">
      <c r="A25" s="142" t="s">
        <v>2853</v>
      </c>
      <c r="B25" s="165">
        <v>37.31</v>
      </c>
      <c r="C25" s="165">
        <v>61.34</v>
      </c>
      <c r="D25" s="165">
        <v>63.32</v>
      </c>
      <c r="E25" s="165">
        <v>5.95</v>
      </c>
      <c r="F25" s="165">
        <v>3.56</v>
      </c>
      <c r="G25" s="165">
        <v>25.69</v>
      </c>
      <c r="H25" s="165">
        <v>8.05</v>
      </c>
      <c r="I25" s="165">
        <v>4.86</v>
      </c>
      <c r="J25" s="165">
        <v>0.21</v>
      </c>
      <c r="K25" s="165">
        <v>207.96</v>
      </c>
      <c r="L25" s="165">
        <v>22.88</v>
      </c>
      <c r="M25" s="165">
        <v>81.33</v>
      </c>
      <c r="N25" s="165">
        <v>0</v>
      </c>
      <c r="O25" s="165">
        <v>0</v>
      </c>
      <c r="P25" s="165">
        <v>0.54</v>
      </c>
      <c r="Q25" s="165">
        <v>6.8</v>
      </c>
      <c r="R25" s="13"/>
      <c r="S25" s="13"/>
      <c r="T25" s="213"/>
      <c r="U25" s="13"/>
    </row>
    <row r="26" customFormat="1" spans="1:21">
      <c r="A26" s="142" t="s">
        <v>2854</v>
      </c>
      <c r="B26" s="165">
        <v>37.19</v>
      </c>
      <c r="C26" s="165">
        <v>63.91</v>
      </c>
      <c r="D26" s="165">
        <v>64.56</v>
      </c>
      <c r="E26" s="165">
        <v>6.05</v>
      </c>
      <c r="F26" s="165">
        <v>3.6</v>
      </c>
      <c r="G26" s="165">
        <v>26.58</v>
      </c>
      <c r="H26" s="165">
        <v>8.4</v>
      </c>
      <c r="I26" s="165">
        <v>4.79</v>
      </c>
      <c r="J26" s="165">
        <v>0.09</v>
      </c>
      <c r="K26" s="165">
        <v>21.24</v>
      </c>
      <c r="L26" s="165">
        <v>22.79</v>
      </c>
      <c r="M26" s="165">
        <v>81.94</v>
      </c>
      <c r="N26" s="165">
        <v>0</v>
      </c>
      <c r="O26" s="165">
        <v>0</v>
      </c>
      <c r="P26" s="165">
        <v>0.56</v>
      </c>
      <c r="Q26" s="165">
        <v>6.99</v>
      </c>
      <c r="R26" s="13"/>
      <c r="S26" s="13"/>
      <c r="T26" s="213"/>
      <c r="U26" s="13"/>
    </row>
    <row r="27" customFormat="1" spans="1:21">
      <c r="A27" s="142" t="s">
        <v>2855</v>
      </c>
      <c r="B27" s="165">
        <v>37.74</v>
      </c>
      <c r="C27" s="165">
        <v>64.6</v>
      </c>
      <c r="D27" s="165">
        <v>65.37</v>
      </c>
      <c r="E27" s="165">
        <v>6.08</v>
      </c>
      <c r="F27" s="165">
        <v>3.79</v>
      </c>
      <c r="G27" s="165">
        <v>28.13</v>
      </c>
      <c r="H27" s="165">
        <v>8.76</v>
      </c>
      <c r="I27" s="165">
        <v>4.89</v>
      </c>
      <c r="J27" s="165">
        <v>0.44</v>
      </c>
      <c r="K27" s="165">
        <v>55.41</v>
      </c>
      <c r="L27" s="165">
        <v>22.77</v>
      </c>
      <c r="M27" s="165">
        <v>81.35</v>
      </c>
      <c r="N27" s="165">
        <v>0</v>
      </c>
      <c r="O27" s="165">
        <v>0</v>
      </c>
      <c r="P27" s="165">
        <v>0.54</v>
      </c>
      <c r="Q27" s="165">
        <v>7.05</v>
      </c>
      <c r="R27" s="13"/>
      <c r="S27" s="13"/>
      <c r="T27" s="213"/>
      <c r="U27" s="13"/>
    </row>
    <row r="28" customFormat="1" spans="1:21">
      <c r="A28" s="142" t="s">
        <v>2856</v>
      </c>
      <c r="B28" s="165">
        <v>38.52</v>
      </c>
      <c r="C28" s="165">
        <v>64.9</v>
      </c>
      <c r="D28" s="165">
        <v>66.15</v>
      </c>
      <c r="E28" s="165">
        <v>6.34</v>
      </c>
      <c r="F28" s="165">
        <v>3.59</v>
      </c>
      <c r="G28" s="165">
        <v>28.13</v>
      </c>
      <c r="H28" s="165">
        <v>8.76</v>
      </c>
      <c r="I28" s="165">
        <v>4.89</v>
      </c>
      <c r="J28" s="165">
        <v>0.51</v>
      </c>
      <c r="K28" s="165">
        <v>71.2</v>
      </c>
      <c r="L28" s="165">
        <v>22.94</v>
      </c>
      <c r="M28" s="165">
        <v>80.71</v>
      </c>
      <c r="N28" s="165">
        <v>0</v>
      </c>
      <c r="O28" s="165">
        <v>0</v>
      </c>
      <c r="P28" s="165">
        <v>0.54</v>
      </c>
      <c r="Q28" s="165">
        <v>7.13</v>
      </c>
      <c r="R28" s="13"/>
      <c r="S28" s="13"/>
      <c r="T28" s="213"/>
      <c r="U28" s="13"/>
    </row>
    <row r="29" customFormat="1" spans="1:21">
      <c r="A29" s="142" t="s">
        <v>2857</v>
      </c>
      <c r="B29" s="165">
        <v>39.29</v>
      </c>
      <c r="C29" s="165">
        <v>65.65</v>
      </c>
      <c r="D29" s="165">
        <v>67.16</v>
      </c>
      <c r="E29" s="165">
        <v>5.81</v>
      </c>
      <c r="F29" s="165">
        <v>3.72</v>
      </c>
      <c r="G29" s="165">
        <v>28.13</v>
      </c>
      <c r="H29" s="165">
        <v>8.76</v>
      </c>
      <c r="I29" s="165">
        <v>4.91</v>
      </c>
      <c r="J29" s="165">
        <v>0.28</v>
      </c>
      <c r="K29" s="165">
        <v>79</v>
      </c>
      <c r="L29" s="165">
        <v>22.94</v>
      </c>
      <c r="M29" s="165">
        <v>81.38</v>
      </c>
      <c r="N29" s="165">
        <v>0</v>
      </c>
      <c r="O29" s="165">
        <v>0</v>
      </c>
      <c r="P29" s="165">
        <v>0.55</v>
      </c>
      <c r="Q29" s="165">
        <v>7.2</v>
      </c>
      <c r="R29" s="13"/>
      <c r="S29" s="13"/>
      <c r="T29" s="213"/>
      <c r="U29" s="13"/>
    </row>
    <row r="30" customFormat="1" spans="1:21">
      <c r="A30" s="142" t="s">
        <v>2858</v>
      </c>
      <c r="B30" s="165">
        <v>40.03</v>
      </c>
      <c r="C30" s="165">
        <v>65.61</v>
      </c>
      <c r="D30" s="165">
        <v>67.73</v>
      </c>
      <c r="E30" s="165">
        <v>5.87</v>
      </c>
      <c r="F30" s="165">
        <v>3.73</v>
      </c>
      <c r="G30" s="165">
        <v>28.14</v>
      </c>
      <c r="H30" s="165">
        <v>9.53</v>
      </c>
      <c r="I30" s="165">
        <v>4.91</v>
      </c>
      <c r="J30" s="165">
        <v>0.47</v>
      </c>
      <c r="K30" s="165">
        <v>37.22</v>
      </c>
      <c r="L30" s="165">
        <v>22.81</v>
      </c>
      <c r="M30" s="165">
        <v>82.34</v>
      </c>
      <c r="N30" s="165">
        <v>0</v>
      </c>
      <c r="O30" s="165">
        <v>0</v>
      </c>
      <c r="P30" s="165">
        <v>0.55</v>
      </c>
      <c r="Q30" s="165">
        <v>7.25</v>
      </c>
      <c r="R30" s="13"/>
      <c r="S30" s="13"/>
      <c r="T30" s="213"/>
      <c r="U30" s="13"/>
    </row>
    <row r="31" customFormat="1" spans="1:21">
      <c r="A31" s="142" t="s">
        <v>2859</v>
      </c>
      <c r="B31" s="165">
        <v>41.2</v>
      </c>
      <c r="C31" s="165">
        <v>65.81</v>
      </c>
      <c r="D31" s="165">
        <v>68.78</v>
      </c>
      <c r="E31" s="165">
        <v>6.15</v>
      </c>
      <c r="F31" s="165">
        <v>3.6</v>
      </c>
      <c r="G31" s="165">
        <v>28.17</v>
      </c>
      <c r="H31" s="165">
        <v>10.32</v>
      </c>
      <c r="I31" s="165">
        <v>4.94</v>
      </c>
      <c r="J31" s="165">
        <v>0.24</v>
      </c>
      <c r="K31" s="165">
        <v>71.67</v>
      </c>
      <c r="L31" s="165">
        <v>22.81</v>
      </c>
      <c r="M31" s="165">
        <v>83.39</v>
      </c>
      <c r="N31" s="165">
        <v>1.3</v>
      </c>
      <c r="O31" s="165">
        <v>0</v>
      </c>
      <c r="P31" s="165">
        <v>0.55</v>
      </c>
      <c r="Q31" s="165">
        <v>7.35</v>
      </c>
      <c r="R31" s="13"/>
      <c r="S31" s="13"/>
      <c r="T31" s="213"/>
      <c r="U31" s="13"/>
    </row>
    <row r="32" customFormat="1" spans="1:21">
      <c r="A32" s="142" t="s">
        <v>2860</v>
      </c>
      <c r="B32" s="165">
        <v>42.19</v>
      </c>
      <c r="C32" s="165">
        <v>65.28</v>
      </c>
      <c r="D32" s="165">
        <v>69.29</v>
      </c>
      <c r="E32" s="165">
        <v>6.24</v>
      </c>
      <c r="F32" s="165">
        <v>3.59</v>
      </c>
      <c r="G32" s="165">
        <v>28.17</v>
      </c>
      <c r="H32" s="165">
        <v>10.32</v>
      </c>
      <c r="I32" s="165">
        <v>5.01</v>
      </c>
      <c r="J32" s="165">
        <v>0.28</v>
      </c>
      <c r="K32" s="165">
        <v>196.06</v>
      </c>
      <c r="L32" s="165">
        <v>22.92</v>
      </c>
      <c r="M32" s="165">
        <v>84.43</v>
      </c>
      <c r="N32" s="165">
        <v>17.1</v>
      </c>
      <c r="O32" s="165">
        <v>0</v>
      </c>
      <c r="P32" s="165">
        <v>0.55</v>
      </c>
      <c r="Q32" s="165">
        <v>7.39</v>
      </c>
      <c r="R32" s="13"/>
      <c r="S32" s="13"/>
      <c r="T32" s="213"/>
      <c r="U32" s="13"/>
    </row>
    <row r="33" customFormat="1" spans="1:21">
      <c r="A33" s="142" t="s">
        <v>2861</v>
      </c>
      <c r="B33" s="165">
        <v>42.37</v>
      </c>
      <c r="C33" s="165">
        <v>64.58</v>
      </c>
      <c r="D33" s="165">
        <v>69.07</v>
      </c>
      <c r="E33" s="165">
        <v>6.49</v>
      </c>
      <c r="F33" s="165">
        <v>3.74</v>
      </c>
      <c r="G33" s="165">
        <v>28.17</v>
      </c>
      <c r="H33" s="165">
        <v>10.32</v>
      </c>
      <c r="I33" s="165">
        <v>5.02</v>
      </c>
      <c r="J33" s="165">
        <v>0.17</v>
      </c>
      <c r="K33" s="165">
        <v>228.83</v>
      </c>
      <c r="L33" s="165">
        <v>22.96</v>
      </c>
      <c r="M33" s="165">
        <v>84.87</v>
      </c>
      <c r="N33" s="165">
        <v>25.6</v>
      </c>
      <c r="O33" s="165">
        <v>0</v>
      </c>
      <c r="P33" s="165">
        <v>0.55</v>
      </c>
      <c r="Q33" s="165">
        <v>7.41</v>
      </c>
      <c r="R33" s="13"/>
      <c r="S33" s="13"/>
      <c r="T33" s="213"/>
      <c r="U33" s="13"/>
    </row>
    <row r="34" customFormat="1" spans="1:21">
      <c r="A34" s="142" t="s">
        <v>2862</v>
      </c>
      <c r="B34" s="165">
        <v>42.48</v>
      </c>
      <c r="C34" s="165">
        <v>62.72</v>
      </c>
      <c r="D34" s="165">
        <v>68.18</v>
      </c>
      <c r="E34" s="165">
        <v>5.79</v>
      </c>
      <c r="F34" s="165">
        <v>3.79</v>
      </c>
      <c r="G34" s="165">
        <v>27.99</v>
      </c>
      <c r="H34" s="165">
        <v>11.43</v>
      </c>
      <c r="I34" s="165">
        <v>5.06</v>
      </c>
      <c r="J34" s="165">
        <v>0.15</v>
      </c>
      <c r="K34" s="165">
        <v>225.44</v>
      </c>
      <c r="L34" s="165">
        <v>23.14</v>
      </c>
      <c r="M34" s="165">
        <v>84.53</v>
      </c>
      <c r="N34" s="165">
        <v>18.1</v>
      </c>
      <c r="O34" s="165">
        <v>0</v>
      </c>
      <c r="P34" s="165">
        <v>0.55</v>
      </c>
      <c r="Q34" s="165">
        <v>7.36</v>
      </c>
      <c r="R34" s="13"/>
      <c r="S34" s="13"/>
      <c r="T34" s="213"/>
      <c r="U34" s="13"/>
    </row>
    <row r="35" customFormat="1" spans="1:21">
      <c r="A35" s="142" t="s">
        <v>2863</v>
      </c>
      <c r="B35" s="165">
        <v>42.77</v>
      </c>
      <c r="C35" s="165">
        <v>64.7</v>
      </c>
      <c r="D35" s="165">
        <v>69.45</v>
      </c>
      <c r="E35" s="165">
        <v>6.54</v>
      </c>
      <c r="F35" s="165">
        <v>3.65</v>
      </c>
      <c r="G35" s="165">
        <v>27.66</v>
      </c>
      <c r="H35" s="165">
        <v>15.22</v>
      </c>
      <c r="I35" s="165">
        <v>5.11</v>
      </c>
      <c r="J35" s="165">
        <v>0.71</v>
      </c>
      <c r="K35" s="165">
        <v>296.98</v>
      </c>
      <c r="L35" s="165">
        <v>23.24</v>
      </c>
      <c r="M35" s="165">
        <v>82.33</v>
      </c>
      <c r="N35" s="165">
        <v>26.9</v>
      </c>
      <c r="O35" s="165">
        <v>0</v>
      </c>
      <c r="P35" s="165">
        <v>0.55</v>
      </c>
      <c r="Q35" s="165">
        <v>7.46</v>
      </c>
      <c r="R35" s="13"/>
      <c r="S35" s="13"/>
      <c r="T35" s="213"/>
      <c r="U35" s="13"/>
    </row>
    <row r="36" customFormat="1" spans="1:21">
      <c r="A36" s="142" t="s">
        <v>2864</v>
      </c>
      <c r="B36" s="165">
        <v>43.96</v>
      </c>
      <c r="C36" s="165">
        <v>64.36</v>
      </c>
      <c r="D36" s="165">
        <v>70.23</v>
      </c>
      <c r="E36" s="165">
        <v>6.06</v>
      </c>
      <c r="F36" s="165">
        <v>3.64</v>
      </c>
      <c r="G36" s="165">
        <v>27.66</v>
      </c>
      <c r="H36" s="165">
        <v>15.22</v>
      </c>
      <c r="I36" s="165">
        <v>5.15</v>
      </c>
      <c r="J36" s="165">
        <v>2.05</v>
      </c>
      <c r="K36" s="165">
        <v>297.55</v>
      </c>
      <c r="L36" s="165">
        <v>23.72</v>
      </c>
      <c r="M36" s="165">
        <v>78.42</v>
      </c>
      <c r="N36" s="165">
        <v>24.7</v>
      </c>
      <c r="O36" s="165">
        <v>0</v>
      </c>
      <c r="P36" s="165">
        <v>0.58</v>
      </c>
      <c r="Q36" s="165">
        <v>7.51</v>
      </c>
      <c r="R36" s="13"/>
      <c r="S36" s="13"/>
      <c r="T36" s="213"/>
      <c r="U36" s="13"/>
    </row>
    <row r="37" customFormat="1" spans="1:21">
      <c r="A37" s="142" t="s">
        <v>2865</v>
      </c>
      <c r="B37" s="165">
        <v>43.49</v>
      </c>
      <c r="C37" s="165">
        <v>62.14</v>
      </c>
      <c r="D37" s="165">
        <v>68.7</v>
      </c>
      <c r="E37" s="165">
        <v>5.53</v>
      </c>
      <c r="F37" s="165">
        <v>3.84</v>
      </c>
      <c r="G37" s="165">
        <v>27.66</v>
      </c>
      <c r="H37" s="165">
        <v>15.22</v>
      </c>
      <c r="I37" s="165">
        <v>5.2</v>
      </c>
      <c r="J37" s="165">
        <v>2.89</v>
      </c>
      <c r="K37" s="165">
        <v>310.77</v>
      </c>
      <c r="L37" s="165">
        <v>23.21</v>
      </c>
      <c r="M37" s="165">
        <v>81.14</v>
      </c>
      <c r="N37" s="165">
        <v>42</v>
      </c>
      <c r="O37" s="165">
        <v>0</v>
      </c>
      <c r="P37" s="165">
        <v>0.6</v>
      </c>
      <c r="Q37" s="165">
        <v>7.52</v>
      </c>
      <c r="R37" s="13"/>
      <c r="S37" s="13"/>
      <c r="T37" s="213"/>
      <c r="U37" s="13"/>
    </row>
    <row r="38" customFormat="1" spans="1:21">
      <c r="A38" s="142" t="s">
        <v>2866</v>
      </c>
      <c r="B38" s="165">
        <v>40.58</v>
      </c>
      <c r="C38" s="165">
        <v>61.21</v>
      </c>
      <c r="D38" s="165">
        <v>65.88</v>
      </c>
      <c r="E38" s="165">
        <v>5.68</v>
      </c>
      <c r="F38" s="165">
        <v>4.43</v>
      </c>
      <c r="G38" s="165">
        <v>29.15</v>
      </c>
      <c r="H38" s="165">
        <v>15.57</v>
      </c>
      <c r="I38" s="165">
        <v>5.35</v>
      </c>
      <c r="J38" s="165">
        <v>3.53</v>
      </c>
      <c r="K38" s="165">
        <v>306.43</v>
      </c>
      <c r="L38" s="165">
        <v>23.12</v>
      </c>
      <c r="M38" s="165">
        <v>77.4</v>
      </c>
      <c r="N38" s="165">
        <v>98.5</v>
      </c>
      <c r="O38" s="165">
        <v>0</v>
      </c>
      <c r="P38" s="165">
        <v>0.59</v>
      </c>
      <c r="Q38" s="165">
        <v>7.42</v>
      </c>
      <c r="R38" s="13"/>
      <c r="S38" s="13"/>
      <c r="T38" s="213"/>
      <c r="U38" s="13"/>
    </row>
    <row r="39" customFormat="1" spans="1:21">
      <c r="A39" s="142" t="s">
        <v>2867</v>
      </c>
      <c r="B39" s="165">
        <v>37.05</v>
      </c>
      <c r="C39" s="165">
        <v>61.41</v>
      </c>
      <c r="D39" s="165">
        <v>63.15</v>
      </c>
      <c r="E39" s="165">
        <v>5.52</v>
      </c>
      <c r="F39" s="165">
        <v>4.75</v>
      </c>
      <c r="G39" s="165">
        <v>31.73</v>
      </c>
      <c r="H39" s="165">
        <v>15.95</v>
      </c>
      <c r="I39" s="165">
        <v>5.37</v>
      </c>
      <c r="J39" s="165">
        <v>3.63</v>
      </c>
      <c r="K39" s="165">
        <v>307.04</v>
      </c>
      <c r="L39" s="165">
        <v>22.89</v>
      </c>
      <c r="M39" s="165">
        <v>73.45</v>
      </c>
      <c r="N39" s="165">
        <v>123.1</v>
      </c>
      <c r="O39" s="165">
        <v>0</v>
      </c>
      <c r="P39" s="165">
        <v>0.58</v>
      </c>
      <c r="Q39" s="165">
        <v>7.22</v>
      </c>
      <c r="R39" s="13"/>
      <c r="S39" s="13"/>
      <c r="T39" s="213"/>
      <c r="U39" s="13"/>
    </row>
    <row r="40" customFormat="1" spans="1:21">
      <c r="A40" s="142" t="s">
        <v>2868</v>
      </c>
      <c r="B40" s="165">
        <v>33.8</v>
      </c>
      <c r="C40" s="165">
        <v>60.42</v>
      </c>
      <c r="D40" s="165">
        <v>60.03</v>
      </c>
      <c r="E40" s="165">
        <v>5.73</v>
      </c>
      <c r="F40" s="165">
        <v>4.6</v>
      </c>
      <c r="G40" s="165">
        <v>31.73</v>
      </c>
      <c r="H40" s="165">
        <v>15.95</v>
      </c>
      <c r="I40" s="165">
        <v>5.19</v>
      </c>
      <c r="J40" s="165">
        <v>2.6</v>
      </c>
      <c r="K40" s="165">
        <v>305.34</v>
      </c>
      <c r="L40" s="165">
        <v>22.71</v>
      </c>
      <c r="M40" s="165">
        <v>73.06</v>
      </c>
      <c r="N40" s="165">
        <v>44</v>
      </c>
      <c r="O40" s="165">
        <v>0</v>
      </c>
      <c r="P40" s="165">
        <v>0.56</v>
      </c>
      <c r="Q40" s="165">
        <v>6.98</v>
      </c>
      <c r="R40" s="13"/>
      <c r="S40" s="13"/>
      <c r="T40" s="213"/>
      <c r="U40" s="13"/>
    </row>
    <row r="41" customFormat="1" spans="1:21">
      <c r="A41" s="142" t="s">
        <v>2869</v>
      </c>
      <c r="B41" s="165">
        <v>31.97</v>
      </c>
      <c r="C41" s="165">
        <v>60.6</v>
      </c>
      <c r="D41" s="165">
        <v>58.65</v>
      </c>
      <c r="E41" s="165">
        <v>5.26</v>
      </c>
      <c r="F41" s="165">
        <v>4.4</v>
      </c>
      <c r="G41" s="165">
        <v>31.73</v>
      </c>
      <c r="H41" s="165">
        <v>15.95</v>
      </c>
      <c r="I41" s="165">
        <v>4.95</v>
      </c>
      <c r="J41" s="165">
        <v>2.81</v>
      </c>
      <c r="K41" s="165">
        <v>305.8</v>
      </c>
      <c r="L41" s="165">
        <v>22</v>
      </c>
      <c r="M41" s="165">
        <v>76.24</v>
      </c>
      <c r="N41" s="165">
        <v>12.3</v>
      </c>
      <c r="O41" s="165">
        <v>0</v>
      </c>
      <c r="P41" s="165">
        <v>0.55</v>
      </c>
      <c r="Q41" s="165">
        <v>6.79</v>
      </c>
      <c r="R41" s="13"/>
      <c r="S41" s="13"/>
      <c r="T41" s="213"/>
      <c r="U41" s="13"/>
    </row>
    <row r="42" customFormat="1" spans="1:21">
      <c r="A42" s="142" t="s">
        <v>2870</v>
      </c>
      <c r="B42" s="165">
        <v>29.97</v>
      </c>
      <c r="C42" s="165">
        <v>60.55</v>
      </c>
      <c r="D42" s="165">
        <v>57.02</v>
      </c>
      <c r="E42" s="165">
        <v>5.32</v>
      </c>
      <c r="F42" s="165">
        <v>4.3</v>
      </c>
      <c r="G42" s="165">
        <v>30.6</v>
      </c>
      <c r="H42" s="165">
        <v>13.65</v>
      </c>
      <c r="I42" s="165">
        <v>4.65</v>
      </c>
      <c r="J42" s="165">
        <v>2.18</v>
      </c>
      <c r="K42" s="165">
        <v>308.6</v>
      </c>
      <c r="L42" s="165">
        <v>20.62</v>
      </c>
      <c r="M42" s="165">
        <v>87.78</v>
      </c>
      <c r="N42" s="165">
        <v>22.2</v>
      </c>
      <c r="O42" s="165">
        <v>0</v>
      </c>
      <c r="P42" s="165">
        <v>0.54</v>
      </c>
      <c r="Q42" s="165">
        <v>6.66</v>
      </c>
      <c r="R42" s="13"/>
      <c r="S42" s="13"/>
      <c r="T42" s="213"/>
      <c r="U42" s="13"/>
    </row>
    <row r="43" customFormat="1" spans="1:21">
      <c r="A43" s="142" t="s">
        <v>2871</v>
      </c>
      <c r="B43" s="165">
        <v>28.81</v>
      </c>
      <c r="C43" s="165">
        <v>59.76</v>
      </c>
      <c r="D43" s="165">
        <v>55.68</v>
      </c>
      <c r="E43" s="165">
        <v>5.4</v>
      </c>
      <c r="F43" s="165">
        <v>4.29</v>
      </c>
      <c r="G43" s="165">
        <v>28.65</v>
      </c>
      <c r="H43" s="165">
        <v>11.27</v>
      </c>
      <c r="I43" s="165">
        <v>4.45</v>
      </c>
      <c r="J43" s="165">
        <v>1.39</v>
      </c>
      <c r="K43" s="165">
        <v>328.04</v>
      </c>
      <c r="L43" s="165">
        <v>20.25</v>
      </c>
      <c r="M43" s="165">
        <v>92.47</v>
      </c>
      <c r="N43" s="165">
        <v>35.1</v>
      </c>
      <c r="O43" s="165">
        <v>0</v>
      </c>
      <c r="P43" s="165">
        <v>0.53</v>
      </c>
      <c r="Q43" s="165">
        <v>6.6</v>
      </c>
      <c r="R43" s="13"/>
      <c r="S43" s="13"/>
      <c r="T43" s="213"/>
      <c r="U43" s="13"/>
    </row>
    <row r="44" customFormat="1" spans="1:21">
      <c r="A44" s="142" t="s">
        <v>2872</v>
      </c>
      <c r="B44" s="165">
        <v>27.81</v>
      </c>
      <c r="C44" s="165">
        <v>61</v>
      </c>
      <c r="D44" s="165">
        <v>55.53</v>
      </c>
      <c r="E44" s="165">
        <v>5.07</v>
      </c>
      <c r="F44" s="165">
        <v>4.23</v>
      </c>
      <c r="G44" s="165">
        <v>28.65</v>
      </c>
      <c r="H44" s="165">
        <v>11.27</v>
      </c>
      <c r="I44" s="165">
        <v>4.28</v>
      </c>
      <c r="J44" s="165">
        <v>1.5</v>
      </c>
      <c r="K44" s="165">
        <v>28.77</v>
      </c>
      <c r="L44" s="165">
        <v>20.03</v>
      </c>
      <c r="M44" s="165">
        <v>94.72</v>
      </c>
      <c r="N44" s="165">
        <v>53.5</v>
      </c>
      <c r="O44" s="165">
        <v>0</v>
      </c>
      <c r="P44" s="165">
        <v>0.52</v>
      </c>
      <c r="Q44" s="165">
        <v>6.53</v>
      </c>
      <c r="R44" s="13"/>
      <c r="S44" s="13"/>
      <c r="T44" s="213"/>
      <c r="U44" s="13"/>
    </row>
    <row r="45" customFormat="1" spans="1:21">
      <c r="A45" s="142" t="s">
        <v>2873</v>
      </c>
      <c r="B45" s="165">
        <v>27.67</v>
      </c>
      <c r="C45" s="165">
        <v>62.85</v>
      </c>
      <c r="D45" s="165">
        <v>56.37</v>
      </c>
      <c r="E45" s="165">
        <v>4.62</v>
      </c>
      <c r="F45" s="165">
        <v>4.57</v>
      </c>
      <c r="G45" s="165">
        <v>28.65</v>
      </c>
      <c r="H45" s="165">
        <v>11.27</v>
      </c>
      <c r="I45" s="165">
        <v>4.17</v>
      </c>
      <c r="J45" s="165">
        <v>1.76</v>
      </c>
      <c r="K45" s="165">
        <v>41.96</v>
      </c>
      <c r="L45" s="165">
        <v>20.39</v>
      </c>
      <c r="M45" s="165">
        <v>93.71</v>
      </c>
      <c r="N45" s="165">
        <v>83</v>
      </c>
      <c r="O45" s="165">
        <v>0</v>
      </c>
      <c r="P45" s="165">
        <v>0.5</v>
      </c>
      <c r="Q45" s="165">
        <v>6.28</v>
      </c>
      <c r="R45" s="13"/>
      <c r="S45" s="13"/>
      <c r="T45" s="213"/>
      <c r="U45" s="13"/>
    </row>
    <row r="46" customFormat="1" spans="1:21">
      <c r="A46" s="142" t="s">
        <v>2874</v>
      </c>
      <c r="B46" s="165">
        <v>27.84</v>
      </c>
      <c r="C46" s="165">
        <v>52.37</v>
      </c>
      <c r="D46" s="165">
        <v>51.04</v>
      </c>
      <c r="E46" s="165">
        <v>4.56</v>
      </c>
      <c r="F46" s="165">
        <v>5.08</v>
      </c>
      <c r="G46" s="165">
        <v>28.71</v>
      </c>
      <c r="H46" s="165">
        <v>10.01</v>
      </c>
      <c r="I46" s="165">
        <v>4.04</v>
      </c>
      <c r="J46" s="165">
        <v>1.83</v>
      </c>
      <c r="K46" s="165">
        <v>44.27</v>
      </c>
      <c r="L46" s="165">
        <v>20.69</v>
      </c>
      <c r="M46" s="165">
        <v>87.14</v>
      </c>
      <c r="N46" s="165">
        <v>125.1</v>
      </c>
      <c r="O46" s="165">
        <v>0</v>
      </c>
      <c r="P46" s="165">
        <v>0.46</v>
      </c>
      <c r="Q46" s="165">
        <v>5.98</v>
      </c>
      <c r="R46" s="13"/>
      <c r="S46" s="13"/>
      <c r="T46" s="213"/>
      <c r="U46" s="13"/>
    </row>
    <row r="47" customFormat="1" spans="1:21">
      <c r="A47" s="142" t="s">
        <v>2875</v>
      </c>
      <c r="B47" s="165">
        <v>27.48</v>
      </c>
      <c r="C47" s="165">
        <v>57.93</v>
      </c>
      <c r="D47" s="165">
        <v>53.66</v>
      </c>
      <c r="E47" s="165">
        <v>4.54</v>
      </c>
      <c r="F47" s="165">
        <v>4.16</v>
      </c>
      <c r="G47" s="165">
        <v>28.82</v>
      </c>
      <c r="H47" s="165">
        <v>8.71</v>
      </c>
      <c r="I47" s="165">
        <v>3.93</v>
      </c>
      <c r="J47" s="165">
        <v>2.05</v>
      </c>
      <c r="K47" s="165">
        <v>53.83</v>
      </c>
      <c r="L47" s="165">
        <v>20.56</v>
      </c>
      <c r="M47" s="165">
        <v>85.7</v>
      </c>
      <c r="N47" s="165">
        <v>139.5</v>
      </c>
      <c r="O47" s="165">
        <v>0</v>
      </c>
      <c r="P47" s="165">
        <v>0.47</v>
      </c>
      <c r="Q47" s="165">
        <v>6.15</v>
      </c>
      <c r="R47" s="13"/>
      <c r="S47" s="13"/>
      <c r="T47" s="213"/>
      <c r="U47" s="13"/>
    </row>
    <row r="48" customFormat="1" spans="1:21">
      <c r="A48" s="142" t="s">
        <v>2876</v>
      </c>
      <c r="B48" s="165">
        <v>26.8</v>
      </c>
      <c r="C48" s="165">
        <v>54.17</v>
      </c>
      <c r="D48" s="165">
        <v>51.15</v>
      </c>
      <c r="E48" s="165">
        <v>4.89</v>
      </c>
      <c r="F48" s="165">
        <v>4.4</v>
      </c>
      <c r="G48" s="165">
        <v>28.82</v>
      </c>
      <c r="H48" s="165">
        <v>8.71</v>
      </c>
      <c r="I48" s="165">
        <v>3.99</v>
      </c>
      <c r="J48" s="165">
        <v>1.79</v>
      </c>
      <c r="K48" s="165">
        <v>42.78</v>
      </c>
      <c r="L48" s="165">
        <v>20.74</v>
      </c>
      <c r="M48" s="165">
        <v>83.78</v>
      </c>
      <c r="N48" s="165">
        <v>213.1</v>
      </c>
      <c r="O48" s="165">
        <v>0</v>
      </c>
      <c r="P48" s="165">
        <v>0.45</v>
      </c>
      <c r="Q48" s="165">
        <v>6.06</v>
      </c>
      <c r="R48" s="13"/>
      <c r="S48" s="13"/>
      <c r="T48" s="213"/>
      <c r="U48" s="13"/>
    </row>
    <row r="49" customFormat="1" spans="1:21">
      <c r="A49" s="142" t="s">
        <v>2877</v>
      </c>
      <c r="B49" s="165">
        <v>26.83</v>
      </c>
      <c r="C49" s="165">
        <v>60.73</v>
      </c>
      <c r="D49" s="165">
        <v>54.59</v>
      </c>
      <c r="E49" s="165">
        <v>5.36</v>
      </c>
      <c r="F49" s="165">
        <v>3.85</v>
      </c>
      <c r="G49" s="165">
        <v>28.82</v>
      </c>
      <c r="H49" s="165">
        <v>8.71</v>
      </c>
      <c r="I49" s="165">
        <v>3.97</v>
      </c>
      <c r="J49" s="165">
        <v>1.66</v>
      </c>
      <c r="K49" s="165">
        <v>41.31</v>
      </c>
      <c r="L49" s="165">
        <v>21.44</v>
      </c>
      <c r="M49" s="165">
        <v>80.2</v>
      </c>
      <c r="N49" s="165">
        <v>242.5</v>
      </c>
      <c r="O49" s="165">
        <v>0</v>
      </c>
      <c r="P49" s="165">
        <v>0.47</v>
      </c>
      <c r="Q49" s="165">
        <v>6.22</v>
      </c>
      <c r="R49" s="13"/>
      <c r="S49" s="13"/>
      <c r="T49" s="213"/>
      <c r="U49" s="13"/>
    </row>
    <row r="50" customFormat="1" spans="1:21">
      <c r="A50" s="142" t="s">
        <v>2878</v>
      </c>
      <c r="B50" s="165">
        <v>26.84</v>
      </c>
      <c r="C50" s="165">
        <v>59.17</v>
      </c>
      <c r="D50" s="165">
        <v>53.79</v>
      </c>
      <c r="E50" s="165">
        <v>5.4</v>
      </c>
      <c r="F50" s="165">
        <v>3.95</v>
      </c>
      <c r="G50" s="165">
        <v>26.26</v>
      </c>
      <c r="H50" s="165">
        <v>8.97</v>
      </c>
      <c r="I50" s="165">
        <v>3.93</v>
      </c>
      <c r="J50" s="165">
        <v>1.76</v>
      </c>
      <c r="K50" s="165">
        <v>45.76</v>
      </c>
      <c r="L50" s="165">
        <v>21.95</v>
      </c>
      <c r="M50" s="165">
        <v>75.89</v>
      </c>
      <c r="N50" s="165">
        <v>302.8</v>
      </c>
      <c r="O50" s="165">
        <v>0</v>
      </c>
      <c r="P50" s="165">
        <v>0.46</v>
      </c>
      <c r="Q50" s="165">
        <v>6.15</v>
      </c>
      <c r="R50" s="13"/>
      <c r="S50" s="13"/>
      <c r="T50" s="213"/>
      <c r="U50" s="13"/>
    </row>
    <row r="51" customFormat="1" spans="1:21">
      <c r="A51" s="142" t="s">
        <v>2879</v>
      </c>
      <c r="B51" s="165">
        <v>26.79</v>
      </c>
      <c r="C51" s="165">
        <v>61.98</v>
      </c>
      <c r="D51" s="165">
        <v>55.22</v>
      </c>
      <c r="E51" s="165">
        <v>6.34</v>
      </c>
      <c r="F51" s="165">
        <v>3.9</v>
      </c>
      <c r="G51" s="165">
        <v>21.83</v>
      </c>
      <c r="H51" s="165">
        <v>9.23</v>
      </c>
      <c r="I51" s="165">
        <v>4.26</v>
      </c>
      <c r="J51" s="165">
        <v>1.8</v>
      </c>
      <c r="K51" s="165">
        <v>52.47</v>
      </c>
      <c r="L51" s="165">
        <v>22.55</v>
      </c>
      <c r="M51" s="165">
        <v>73.17</v>
      </c>
      <c r="N51" s="165">
        <v>369.6</v>
      </c>
      <c r="O51" s="165">
        <v>0</v>
      </c>
      <c r="P51" s="165">
        <v>0.45</v>
      </c>
      <c r="Q51" s="165">
        <v>6.29</v>
      </c>
      <c r="R51" s="13"/>
      <c r="S51" s="13"/>
      <c r="T51" s="213"/>
      <c r="U51" s="13"/>
    </row>
    <row r="52" customFormat="1" spans="1:21">
      <c r="A52" s="142" t="s">
        <v>2880</v>
      </c>
      <c r="B52" s="165">
        <v>26.61</v>
      </c>
      <c r="C52" s="165">
        <v>59.88</v>
      </c>
      <c r="D52" s="165">
        <v>53.97</v>
      </c>
      <c r="E52" s="165">
        <v>6.17</v>
      </c>
      <c r="F52" s="165">
        <v>4.28</v>
      </c>
      <c r="G52" s="165">
        <v>21.83</v>
      </c>
      <c r="H52" s="165">
        <v>9.23</v>
      </c>
      <c r="I52" s="165">
        <v>4.45</v>
      </c>
      <c r="J52" s="165">
        <v>2</v>
      </c>
      <c r="K52" s="165">
        <v>58.59</v>
      </c>
      <c r="L52" s="165">
        <v>23.31</v>
      </c>
      <c r="M52" s="165">
        <v>69.81</v>
      </c>
      <c r="N52" s="165">
        <v>481.7</v>
      </c>
      <c r="O52" s="165">
        <v>0</v>
      </c>
      <c r="P52" s="165">
        <v>0.45</v>
      </c>
      <c r="Q52" s="165">
        <v>6.17</v>
      </c>
      <c r="R52" s="13"/>
      <c r="S52" s="13"/>
      <c r="T52" s="213"/>
      <c r="U52" s="13"/>
    </row>
    <row r="53" customFormat="1" spans="1:21">
      <c r="A53" s="142" t="s">
        <v>2881</v>
      </c>
      <c r="B53" s="165">
        <v>26.48</v>
      </c>
      <c r="C53" s="165">
        <v>60.05</v>
      </c>
      <c r="D53" s="165">
        <v>53.96</v>
      </c>
      <c r="E53" s="165">
        <v>5.89</v>
      </c>
      <c r="F53" s="165">
        <v>4.13</v>
      </c>
      <c r="G53" s="165">
        <v>21.83</v>
      </c>
      <c r="H53" s="165">
        <v>9.23</v>
      </c>
      <c r="I53" s="165">
        <v>4.33</v>
      </c>
      <c r="J53" s="165">
        <v>1.72</v>
      </c>
      <c r="K53" s="165">
        <v>58.45</v>
      </c>
      <c r="L53" s="165">
        <v>24</v>
      </c>
      <c r="M53" s="165">
        <v>67.26</v>
      </c>
      <c r="N53" s="165">
        <v>350.3</v>
      </c>
      <c r="O53" s="165">
        <v>0</v>
      </c>
      <c r="P53" s="165">
        <v>0.44</v>
      </c>
      <c r="Q53" s="165">
        <v>6.17</v>
      </c>
      <c r="R53" s="13"/>
      <c r="S53" s="13"/>
      <c r="T53" s="213"/>
      <c r="U53" s="13"/>
    </row>
    <row r="54" customFormat="1" spans="1:21">
      <c r="A54" s="142" t="s">
        <v>2882</v>
      </c>
      <c r="B54" s="165">
        <v>26.23</v>
      </c>
      <c r="C54" s="165">
        <v>60.53</v>
      </c>
      <c r="D54" s="165">
        <v>54.01</v>
      </c>
      <c r="E54" s="165">
        <v>5.91</v>
      </c>
      <c r="F54" s="165">
        <v>3.86</v>
      </c>
      <c r="G54" s="165">
        <v>24.3</v>
      </c>
      <c r="H54" s="165">
        <v>9.84</v>
      </c>
      <c r="I54" s="165">
        <v>4.36</v>
      </c>
      <c r="J54" s="165">
        <v>1.51</v>
      </c>
      <c r="K54" s="165">
        <v>54.09</v>
      </c>
      <c r="L54" s="165">
        <v>24.31</v>
      </c>
      <c r="M54" s="165">
        <v>65.49</v>
      </c>
      <c r="N54" s="165">
        <v>306.3</v>
      </c>
      <c r="O54" s="165">
        <v>0</v>
      </c>
      <c r="P54" s="165">
        <v>0.46</v>
      </c>
      <c r="Q54" s="165">
        <v>6.15</v>
      </c>
      <c r="R54" s="13"/>
      <c r="S54" s="13"/>
      <c r="T54" s="213"/>
      <c r="U54" s="13"/>
    </row>
    <row r="55" customFormat="1" spans="1:21">
      <c r="A55" s="142" t="s">
        <v>2883</v>
      </c>
      <c r="B55" s="165">
        <v>26.49</v>
      </c>
      <c r="C55" s="165">
        <v>57.61</v>
      </c>
      <c r="D55" s="165">
        <v>52.7</v>
      </c>
      <c r="E55" s="165">
        <v>6.01</v>
      </c>
      <c r="F55" s="165">
        <v>4.27</v>
      </c>
      <c r="G55" s="165">
        <v>28.58</v>
      </c>
      <c r="H55" s="165">
        <v>10.46</v>
      </c>
      <c r="I55" s="165">
        <v>4.23</v>
      </c>
      <c r="J55" s="165">
        <v>1.57</v>
      </c>
      <c r="K55" s="165">
        <v>52.5</v>
      </c>
      <c r="L55" s="165">
        <v>24.62</v>
      </c>
      <c r="M55" s="165">
        <v>63.48</v>
      </c>
      <c r="N55" s="165">
        <v>290</v>
      </c>
      <c r="O55" s="165">
        <v>0</v>
      </c>
      <c r="P55" s="165">
        <v>0.43</v>
      </c>
      <c r="Q55" s="165">
        <v>6.04</v>
      </c>
      <c r="R55" s="13"/>
      <c r="S55" s="13"/>
      <c r="T55" s="213"/>
      <c r="U55" s="13"/>
    </row>
    <row r="56" customFormat="1" spans="1:21">
      <c r="A56" s="142" t="s">
        <v>2884</v>
      </c>
      <c r="B56" s="165">
        <v>26.42</v>
      </c>
      <c r="C56" s="165">
        <v>61.21</v>
      </c>
      <c r="D56" s="165">
        <v>54.52</v>
      </c>
      <c r="E56" s="165">
        <v>6.15</v>
      </c>
      <c r="F56" s="165">
        <v>4.09</v>
      </c>
      <c r="G56" s="165">
        <v>28.58</v>
      </c>
      <c r="H56" s="165">
        <v>10.46</v>
      </c>
      <c r="I56" s="165">
        <v>4.29</v>
      </c>
      <c r="J56" s="165">
        <v>1.25</v>
      </c>
      <c r="K56" s="165">
        <v>40.05</v>
      </c>
      <c r="L56" s="165">
        <v>25.09</v>
      </c>
      <c r="M56" s="165">
        <v>62.52</v>
      </c>
      <c r="N56" s="165">
        <v>378.8</v>
      </c>
      <c r="O56" s="165">
        <v>0</v>
      </c>
      <c r="P56" s="165">
        <v>0.44</v>
      </c>
      <c r="Q56" s="165">
        <v>6.18</v>
      </c>
      <c r="R56" s="13"/>
      <c r="S56" s="13"/>
      <c r="T56" s="213"/>
      <c r="U56" s="13"/>
    </row>
    <row r="57" customFormat="1" spans="1:21">
      <c r="A57" s="142" t="s">
        <v>2885</v>
      </c>
      <c r="B57" s="165">
        <v>26.49</v>
      </c>
      <c r="C57" s="165">
        <v>56.49</v>
      </c>
      <c r="D57" s="165">
        <v>52.11</v>
      </c>
      <c r="E57" s="165">
        <v>6.43</v>
      </c>
      <c r="F57" s="165">
        <v>5.47</v>
      </c>
      <c r="G57" s="165">
        <v>28.58</v>
      </c>
      <c r="H57" s="165">
        <v>10.46</v>
      </c>
      <c r="I57" s="165">
        <v>4.13</v>
      </c>
      <c r="J57" s="165">
        <v>1.42</v>
      </c>
      <c r="K57" s="165">
        <v>50.83</v>
      </c>
      <c r="L57" s="165">
        <v>25.27</v>
      </c>
      <c r="M57" s="165">
        <v>60.3</v>
      </c>
      <c r="N57" s="165">
        <v>252.5</v>
      </c>
      <c r="O57" s="165">
        <v>0</v>
      </c>
      <c r="P57" s="165">
        <v>0.42</v>
      </c>
      <c r="Q57" s="165">
        <v>6.02</v>
      </c>
      <c r="R57" s="13"/>
      <c r="S57" s="13"/>
      <c r="T57" s="213"/>
      <c r="U57" s="13"/>
    </row>
    <row r="58" customFormat="1" spans="1:21">
      <c r="A58" s="142" t="s">
        <v>2886</v>
      </c>
      <c r="B58" s="165">
        <v>26.17</v>
      </c>
      <c r="C58" s="165">
        <v>60.79</v>
      </c>
      <c r="D58" s="165">
        <v>54.1</v>
      </c>
      <c r="E58" s="165">
        <v>6.14</v>
      </c>
      <c r="F58" s="165">
        <v>4.75</v>
      </c>
      <c r="G58" s="165">
        <v>27.39</v>
      </c>
      <c r="H58" s="165">
        <v>9.91</v>
      </c>
      <c r="I58" s="165">
        <v>4.12</v>
      </c>
      <c r="J58" s="165">
        <v>1.11</v>
      </c>
      <c r="K58" s="165">
        <v>31.63</v>
      </c>
      <c r="L58" s="165">
        <v>24.63</v>
      </c>
      <c r="M58" s="165">
        <v>61.65</v>
      </c>
      <c r="N58" s="165">
        <v>86.7</v>
      </c>
      <c r="O58" s="165">
        <v>0</v>
      </c>
      <c r="P58" s="165">
        <v>0.44</v>
      </c>
      <c r="Q58" s="165">
        <v>6.13</v>
      </c>
      <c r="R58" s="13"/>
      <c r="S58" s="13"/>
      <c r="T58" s="213"/>
      <c r="U58" s="13"/>
    </row>
    <row r="59" customFormat="1" spans="1:21">
      <c r="A59" s="142" t="s">
        <v>2887</v>
      </c>
      <c r="B59" s="165">
        <v>26.63</v>
      </c>
      <c r="C59" s="165">
        <v>58.47</v>
      </c>
      <c r="D59" s="165">
        <v>53.26</v>
      </c>
      <c r="E59" s="165">
        <v>6.02</v>
      </c>
      <c r="F59" s="165">
        <v>4.78</v>
      </c>
      <c r="G59" s="165">
        <v>25.33</v>
      </c>
      <c r="H59" s="165">
        <v>8.2</v>
      </c>
      <c r="I59" s="165">
        <v>4.06</v>
      </c>
      <c r="J59" s="165">
        <v>0.82</v>
      </c>
      <c r="K59" s="165">
        <v>325.07</v>
      </c>
      <c r="L59" s="165">
        <v>23.95</v>
      </c>
      <c r="M59" s="165">
        <v>64.43</v>
      </c>
      <c r="N59" s="165">
        <v>23.2</v>
      </c>
      <c r="O59" s="165">
        <v>0</v>
      </c>
      <c r="P59" s="165">
        <v>0.43</v>
      </c>
      <c r="Q59" s="165">
        <v>6.05</v>
      </c>
      <c r="R59" s="13"/>
      <c r="S59" s="13"/>
      <c r="T59" s="213"/>
      <c r="U59" s="13"/>
    </row>
    <row r="60" customFormat="1" spans="1:21">
      <c r="A60" s="142" t="s">
        <v>2888</v>
      </c>
      <c r="B60" s="165">
        <v>27.05</v>
      </c>
      <c r="C60" s="165">
        <v>61.69</v>
      </c>
      <c r="D60" s="165">
        <v>55.27</v>
      </c>
      <c r="E60" s="165">
        <v>6.08</v>
      </c>
      <c r="F60" s="165">
        <v>3.76</v>
      </c>
      <c r="G60" s="165">
        <v>25.33</v>
      </c>
      <c r="H60" s="165">
        <v>8.2</v>
      </c>
      <c r="I60" s="165">
        <v>4.02</v>
      </c>
      <c r="J60" s="165">
        <v>0.74</v>
      </c>
      <c r="K60" s="165">
        <v>290.05</v>
      </c>
      <c r="L60" s="165">
        <v>22.23</v>
      </c>
      <c r="M60" s="165">
        <v>76.32</v>
      </c>
      <c r="N60" s="165">
        <v>25.8</v>
      </c>
      <c r="O60" s="165">
        <v>0</v>
      </c>
      <c r="P60" s="165">
        <v>0.46</v>
      </c>
      <c r="Q60" s="165">
        <v>6.21</v>
      </c>
      <c r="R60" s="13"/>
      <c r="S60" s="13"/>
      <c r="T60" s="213"/>
      <c r="U60" s="13"/>
    </row>
    <row r="61" customFormat="1" spans="1:21">
      <c r="A61" s="142" t="s">
        <v>2889</v>
      </c>
      <c r="B61" s="165">
        <v>27.51</v>
      </c>
      <c r="C61" s="165">
        <v>60.88</v>
      </c>
      <c r="D61" s="165">
        <v>55.22</v>
      </c>
      <c r="E61" s="165">
        <v>5.93</v>
      </c>
      <c r="F61" s="165">
        <v>3.87</v>
      </c>
      <c r="G61" s="165">
        <v>25.33</v>
      </c>
      <c r="H61" s="165">
        <v>8.2</v>
      </c>
      <c r="I61" s="165">
        <v>4.02</v>
      </c>
      <c r="J61" s="165">
        <v>0.57</v>
      </c>
      <c r="K61" s="165">
        <v>295.39</v>
      </c>
      <c r="L61" s="165">
        <v>20.96</v>
      </c>
      <c r="M61" s="165">
        <v>88.96</v>
      </c>
      <c r="N61" s="165">
        <v>113</v>
      </c>
      <c r="O61" s="165">
        <v>0</v>
      </c>
      <c r="P61" s="165">
        <v>0.46</v>
      </c>
      <c r="Q61" s="165">
        <v>6.19</v>
      </c>
      <c r="R61" s="13"/>
      <c r="S61" s="13"/>
      <c r="T61" s="213"/>
      <c r="U61" s="13"/>
    </row>
    <row r="62" customFormat="1" spans="1:21">
      <c r="A62" s="142" t="s">
        <v>2890</v>
      </c>
      <c r="B62" s="165">
        <v>28.25</v>
      </c>
      <c r="C62" s="165">
        <v>58.79</v>
      </c>
      <c r="D62" s="165">
        <v>54.72</v>
      </c>
      <c r="E62" s="165">
        <v>6.07</v>
      </c>
      <c r="F62" s="165">
        <v>4.03</v>
      </c>
      <c r="G62" s="165">
        <v>25.76</v>
      </c>
      <c r="H62" s="165">
        <v>8.86</v>
      </c>
      <c r="I62" s="165">
        <v>4.04</v>
      </c>
      <c r="J62" s="165">
        <v>0.18</v>
      </c>
      <c r="K62" s="165">
        <v>344.93</v>
      </c>
      <c r="L62" s="165">
        <v>21.2</v>
      </c>
      <c r="M62" s="165">
        <v>88.96</v>
      </c>
      <c r="N62" s="165">
        <v>79.7</v>
      </c>
      <c r="O62" s="165">
        <v>0</v>
      </c>
      <c r="P62" s="165">
        <v>0.45</v>
      </c>
      <c r="Q62" s="165">
        <v>6.16</v>
      </c>
      <c r="R62" s="13"/>
      <c r="S62" s="13"/>
      <c r="T62" s="213"/>
      <c r="U62" s="13"/>
    </row>
    <row r="63" customFormat="1" spans="1:21">
      <c r="A63" s="142" t="s">
        <v>2891</v>
      </c>
      <c r="B63" s="165">
        <v>28.76</v>
      </c>
      <c r="C63" s="165">
        <v>61.29</v>
      </c>
      <c r="D63" s="165">
        <v>56.44</v>
      </c>
      <c r="E63" s="165">
        <v>6.19</v>
      </c>
      <c r="F63" s="165">
        <v>3.49</v>
      </c>
      <c r="G63" s="165">
        <v>26.49</v>
      </c>
      <c r="H63" s="165">
        <v>9.53</v>
      </c>
      <c r="I63" s="165">
        <v>4.12</v>
      </c>
      <c r="J63" s="165">
        <v>0.53</v>
      </c>
      <c r="K63" s="165">
        <v>55.28</v>
      </c>
      <c r="L63" s="165">
        <v>21.33</v>
      </c>
      <c r="M63" s="165">
        <v>88.46</v>
      </c>
      <c r="N63" s="165">
        <v>55.4</v>
      </c>
      <c r="O63" s="165">
        <v>0</v>
      </c>
      <c r="P63" s="165">
        <v>0.47</v>
      </c>
      <c r="Q63" s="165">
        <v>6.27</v>
      </c>
      <c r="R63" s="13"/>
      <c r="S63" s="13"/>
      <c r="T63" s="213"/>
      <c r="U63" s="13"/>
    </row>
    <row r="64" customFormat="1" spans="1:21">
      <c r="A64" s="142" t="s">
        <v>2892</v>
      </c>
      <c r="B64" s="165">
        <v>30.19</v>
      </c>
      <c r="C64" s="165">
        <v>59.9</v>
      </c>
      <c r="D64" s="165">
        <v>56.86</v>
      </c>
      <c r="E64" s="165">
        <v>6.06</v>
      </c>
      <c r="F64" s="165">
        <v>3.88</v>
      </c>
      <c r="G64" s="165">
        <v>26.49</v>
      </c>
      <c r="H64" s="165">
        <v>9.53</v>
      </c>
      <c r="I64" s="165">
        <v>4.04</v>
      </c>
      <c r="J64" s="165">
        <v>0.91</v>
      </c>
      <c r="K64" s="165">
        <v>42.18</v>
      </c>
      <c r="L64" s="165">
        <v>21.46</v>
      </c>
      <c r="M64" s="165">
        <v>85.86</v>
      </c>
      <c r="N64" s="165">
        <v>196.9</v>
      </c>
      <c r="O64" s="165">
        <v>0</v>
      </c>
      <c r="P64" s="165">
        <v>0.46</v>
      </c>
      <c r="Q64" s="165">
        <v>6.26</v>
      </c>
      <c r="R64" s="13"/>
      <c r="S64" s="13"/>
      <c r="T64" s="213"/>
      <c r="U64" s="13"/>
    </row>
    <row r="65" customFormat="1" spans="1:21">
      <c r="A65" s="142" t="s">
        <v>2893</v>
      </c>
      <c r="B65" s="165">
        <v>30.79</v>
      </c>
      <c r="C65" s="165">
        <v>66.45</v>
      </c>
      <c r="D65" s="165">
        <v>60.76</v>
      </c>
      <c r="E65" s="165">
        <v>5.93</v>
      </c>
      <c r="F65" s="165">
        <v>4</v>
      </c>
      <c r="G65" s="165">
        <v>26.49</v>
      </c>
      <c r="H65" s="165">
        <v>9.53</v>
      </c>
      <c r="I65" s="165">
        <v>4.11</v>
      </c>
      <c r="J65" s="165">
        <v>0.94</v>
      </c>
      <c r="K65" s="165">
        <v>58.58</v>
      </c>
      <c r="L65" s="165">
        <v>22.05</v>
      </c>
      <c r="M65" s="165">
        <v>82.75</v>
      </c>
      <c r="N65" s="165">
        <v>250.6</v>
      </c>
      <c r="O65" s="165">
        <v>0</v>
      </c>
      <c r="P65" s="165">
        <v>0.54</v>
      </c>
      <c r="Q65" s="165">
        <v>6.51</v>
      </c>
      <c r="R65" s="13"/>
      <c r="S65" s="13"/>
      <c r="T65" s="213"/>
      <c r="U65" s="13"/>
    </row>
    <row r="66" customFormat="1" spans="1:21">
      <c r="A66" s="142" t="s">
        <v>2894</v>
      </c>
      <c r="B66" s="165">
        <v>31.06</v>
      </c>
      <c r="C66" s="165">
        <v>68.17</v>
      </c>
      <c r="D66" s="165">
        <v>61.88</v>
      </c>
      <c r="E66" s="165">
        <v>5.88</v>
      </c>
      <c r="F66" s="165">
        <v>3.94</v>
      </c>
      <c r="G66" s="165">
        <v>28.85</v>
      </c>
      <c r="H66" s="165">
        <v>11.41</v>
      </c>
      <c r="I66" s="165">
        <v>4.13</v>
      </c>
      <c r="J66" s="165">
        <v>0.81</v>
      </c>
      <c r="K66" s="165">
        <v>43.8</v>
      </c>
      <c r="L66" s="165">
        <v>22.48</v>
      </c>
      <c r="M66" s="165">
        <v>80.91</v>
      </c>
      <c r="N66" s="165">
        <v>319.4</v>
      </c>
      <c r="O66" s="165">
        <v>0</v>
      </c>
      <c r="P66" s="165">
        <v>0.57</v>
      </c>
      <c r="Q66" s="165">
        <v>6.72</v>
      </c>
      <c r="R66" s="13"/>
      <c r="S66" s="13"/>
      <c r="T66" s="213"/>
      <c r="U66" s="13"/>
    </row>
    <row r="67" customFormat="1" spans="1:21">
      <c r="A67" s="142" t="s">
        <v>2895</v>
      </c>
      <c r="B67" s="165">
        <v>31.32</v>
      </c>
      <c r="C67" s="165">
        <v>68.3</v>
      </c>
      <c r="D67" s="165">
        <v>62.15</v>
      </c>
      <c r="E67" s="165">
        <v>5.74</v>
      </c>
      <c r="F67" s="165">
        <v>4.06</v>
      </c>
      <c r="G67" s="165">
        <v>32.94</v>
      </c>
      <c r="H67" s="165">
        <v>13.41</v>
      </c>
      <c r="I67" s="165">
        <v>4.11</v>
      </c>
      <c r="J67" s="165">
        <v>0.67</v>
      </c>
      <c r="K67" s="165">
        <v>41.96</v>
      </c>
      <c r="L67" s="165">
        <v>22.65</v>
      </c>
      <c r="M67" s="165">
        <v>79.73</v>
      </c>
      <c r="N67" s="165">
        <v>172.6</v>
      </c>
      <c r="O67" s="165">
        <v>0</v>
      </c>
      <c r="P67" s="165">
        <v>0.57</v>
      </c>
      <c r="Q67" s="165">
        <v>6.77</v>
      </c>
      <c r="R67" s="13"/>
      <c r="S67" s="13"/>
      <c r="T67" s="213"/>
      <c r="U67" s="13"/>
    </row>
    <row r="68" customFormat="1" spans="1:21">
      <c r="A68" s="142" t="s">
        <v>2896</v>
      </c>
      <c r="B68" s="165">
        <v>31.81</v>
      </c>
      <c r="C68" s="165">
        <v>68.16</v>
      </c>
      <c r="D68" s="165">
        <v>62.48</v>
      </c>
      <c r="E68" s="165">
        <v>5.76</v>
      </c>
      <c r="F68" s="165">
        <v>3.98</v>
      </c>
      <c r="G68" s="165">
        <v>32.94</v>
      </c>
      <c r="H68" s="165">
        <v>13.41</v>
      </c>
      <c r="I68" s="165">
        <v>4.05</v>
      </c>
      <c r="J68" s="165">
        <v>0.51</v>
      </c>
      <c r="K68" s="165">
        <v>29.77</v>
      </c>
      <c r="L68" s="165">
        <v>22.76</v>
      </c>
      <c r="M68" s="165">
        <v>79.11</v>
      </c>
      <c r="N68" s="165">
        <v>171.2</v>
      </c>
      <c r="O68" s="165">
        <v>0</v>
      </c>
      <c r="P68" s="165">
        <v>0.58</v>
      </c>
      <c r="Q68" s="165">
        <v>6.85</v>
      </c>
      <c r="R68" s="13"/>
      <c r="S68" s="13"/>
      <c r="T68" s="213"/>
      <c r="U68" s="13"/>
    </row>
    <row r="69" customFormat="1" spans="1:21">
      <c r="A69" s="142" t="s">
        <v>2897</v>
      </c>
      <c r="B69" s="165">
        <v>32.2</v>
      </c>
      <c r="C69" s="165">
        <v>68.06</v>
      </c>
      <c r="D69" s="165">
        <v>62.74</v>
      </c>
      <c r="E69" s="165">
        <v>5.67</v>
      </c>
      <c r="F69" s="165">
        <v>3.84</v>
      </c>
      <c r="G69" s="165">
        <v>32.94</v>
      </c>
      <c r="H69" s="165">
        <v>13.41</v>
      </c>
      <c r="I69" s="165">
        <v>4.05</v>
      </c>
      <c r="J69" s="165">
        <v>0.62</v>
      </c>
      <c r="K69" s="165">
        <v>40.36</v>
      </c>
      <c r="L69" s="165">
        <v>22.9</v>
      </c>
      <c r="M69" s="165">
        <v>77.54</v>
      </c>
      <c r="N69" s="165">
        <v>155.2</v>
      </c>
      <c r="O69" s="165">
        <v>0</v>
      </c>
      <c r="P69" s="165">
        <v>0.58</v>
      </c>
      <c r="Q69" s="165">
        <v>6.88</v>
      </c>
      <c r="R69" s="13"/>
      <c r="S69" s="13"/>
      <c r="T69" s="213"/>
      <c r="U69" s="13"/>
    </row>
    <row r="70" customFormat="1" spans="1:21">
      <c r="A70" s="142" t="s">
        <v>2898</v>
      </c>
      <c r="B70" s="165">
        <v>32.2</v>
      </c>
      <c r="C70" s="165">
        <v>68.25</v>
      </c>
      <c r="D70" s="165">
        <v>62.83</v>
      </c>
      <c r="E70" s="165">
        <v>5.52</v>
      </c>
      <c r="F70" s="165">
        <v>3.63</v>
      </c>
      <c r="G70" s="165">
        <v>34.7</v>
      </c>
      <c r="H70" s="165">
        <v>13.3</v>
      </c>
      <c r="I70" s="165">
        <v>4.05</v>
      </c>
      <c r="J70" s="165">
        <v>0.67</v>
      </c>
      <c r="K70" s="165">
        <v>48.82</v>
      </c>
      <c r="L70" s="165">
        <v>22.94</v>
      </c>
      <c r="M70" s="165">
        <v>76.14</v>
      </c>
      <c r="N70" s="165">
        <v>161.3</v>
      </c>
      <c r="O70" s="165">
        <v>0</v>
      </c>
      <c r="P70" s="165">
        <v>0.57</v>
      </c>
      <c r="Q70" s="165">
        <v>6.9</v>
      </c>
      <c r="R70" s="13"/>
      <c r="S70" s="13"/>
      <c r="T70" s="213"/>
      <c r="U70" s="13"/>
    </row>
    <row r="71" customFormat="1" spans="1:21">
      <c r="A71" s="142" t="s">
        <v>2899</v>
      </c>
      <c r="B71" s="165">
        <v>32.48</v>
      </c>
      <c r="C71" s="165">
        <v>68.63</v>
      </c>
      <c r="D71" s="165">
        <v>63.26</v>
      </c>
      <c r="E71" s="165">
        <v>5.17</v>
      </c>
      <c r="F71" s="165">
        <v>3.7</v>
      </c>
      <c r="G71" s="165">
        <v>37.74</v>
      </c>
      <c r="H71" s="165">
        <v>13.19</v>
      </c>
      <c r="I71" s="165">
        <v>3.95</v>
      </c>
      <c r="J71" s="165">
        <v>0.74</v>
      </c>
      <c r="K71" s="165">
        <v>40.84</v>
      </c>
      <c r="L71" s="165">
        <v>23</v>
      </c>
      <c r="M71" s="165">
        <v>76.22</v>
      </c>
      <c r="N71" s="165">
        <v>96.7</v>
      </c>
      <c r="O71" s="165">
        <v>0</v>
      </c>
      <c r="P71" s="165">
        <v>0.58</v>
      </c>
      <c r="Q71" s="165">
        <v>6.95</v>
      </c>
      <c r="R71" s="13"/>
      <c r="S71" s="13"/>
      <c r="T71" s="213"/>
      <c r="U71" s="13"/>
    </row>
    <row r="72" customFormat="1" spans="1:21">
      <c r="A72" s="142" t="s">
        <v>2900</v>
      </c>
      <c r="B72" s="165">
        <v>32.58</v>
      </c>
      <c r="C72" s="165">
        <v>68.42</v>
      </c>
      <c r="D72" s="165">
        <v>63.23</v>
      </c>
      <c r="E72" s="165">
        <v>5.44</v>
      </c>
      <c r="F72" s="165">
        <v>3.65</v>
      </c>
      <c r="G72" s="165">
        <v>37.74</v>
      </c>
      <c r="H72" s="165">
        <v>13.19</v>
      </c>
      <c r="I72" s="165">
        <v>3.93</v>
      </c>
      <c r="J72" s="165">
        <v>0.59</v>
      </c>
      <c r="K72" s="165">
        <v>62.73</v>
      </c>
      <c r="L72" s="165">
        <v>23.02</v>
      </c>
      <c r="M72" s="165">
        <v>76.36</v>
      </c>
      <c r="N72" s="165">
        <v>105.5</v>
      </c>
      <c r="O72" s="165">
        <v>0</v>
      </c>
      <c r="P72" s="165">
        <v>0.58</v>
      </c>
      <c r="Q72" s="165">
        <v>6.94</v>
      </c>
      <c r="R72" s="13"/>
      <c r="S72" s="13"/>
      <c r="T72" s="213"/>
      <c r="U72" s="13"/>
    </row>
    <row r="73" customFormat="1" spans="1:21">
      <c r="A73" s="142" t="s">
        <v>2901</v>
      </c>
      <c r="B73" s="165">
        <v>32.48</v>
      </c>
      <c r="C73" s="165">
        <v>68.17</v>
      </c>
      <c r="D73" s="165">
        <v>63.01</v>
      </c>
      <c r="E73" s="165">
        <v>5.18</v>
      </c>
      <c r="F73" s="165">
        <v>3.64</v>
      </c>
      <c r="G73" s="165">
        <v>37.74</v>
      </c>
      <c r="H73" s="165">
        <v>13.19</v>
      </c>
      <c r="I73" s="165">
        <v>3.91</v>
      </c>
      <c r="J73" s="165">
        <v>0.7</v>
      </c>
      <c r="K73" s="165">
        <v>65.51</v>
      </c>
      <c r="L73" s="165">
        <v>23.21</v>
      </c>
      <c r="M73" s="165">
        <v>74.73</v>
      </c>
      <c r="N73" s="165">
        <v>103.4</v>
      </c>
      <c r="O73" s="165">
        <v>0</v>
      </c>
      <c r="P73" s="165">
        <v>0.58</v>
      </c>
      <c r="Q73" s="165">
        <v>6.91</v>
      </c>
      <c r="R73" s="13"/>
      <c r="S73" s="13"/>
      <c r="T73" s="213"/>
      <c r="U73" s="13"/>
    </row>
    <row r="74" customFormat="1" spans="1:21">
      <c r="A74" s="142" t="s">
        <v>2902</v>
      </c>
      <c r="B74" s="165">
        <v>32.46</v>
      </c>
      <c r="C74" s="165">
        <v>68.47</v>
      </c>
      <c r="D74" s="165">
        <v>63.16</v>
      </c>
      <c r="E74" s="165">
        <v>5.38</v>
      </c>
      <c r="F74" s="165">
        <v>3.77</v>
      </c>
      <c r="G74" s="165">
        <v>39.18</v>
      </c>
      <c r="H74" s="165">
        <v>11.65</v>
      </c>
      <c r="I74" s="165">
        <v>3.88</v>
      </c>
      <c r="J74" s="165">
        <v>0.19</v>
      </c>
      <c r="K74" s="165">
        <v>334.07</v>
      </c>
      <c r="L74" s="165">
        <v>23.38</v>
      </c>
      <c r="M74" s="165">
        <v>73.43</v>
      </c>
      <c r="N74" s="165">
        <v>66.9</v>
      </c>
      <c r="O74" s="165">
        <v>0</v>
      </c>
      <c r="P74" s="165">
        <v>0.59</v>
      </c>
      <c r="Q74" s="165">
        <v>6.93</v>
      </c>
      <c r="R74" s="13"/>
      <c r="S74" s="13"/>
      <c r="T74" s="213"/>
      <c r="U74" s="13"/>
    </row>
    <row r="75" customFormat="1" spans="1:21">
      <c r="A75" s="142" t="s">
        <v>2903</v>
      </c>
      <c r="B75" s="165">
        <v>32.86</v>
      </c>
      <c r="C75" s="165">
        <v>69.15</v>
      </c>
      <c r="D75" s="165">
        <v>63.83</v>
      </c>
      <c r="E75" s="165">
        <v>5.73</v>
      </c>
      <c r="F75" s="165">
        <v>3.73</v>
      </c>
      <c r="G75" s="165">
        <v>41.66</v>
      </c>
      <c r="H75" s="165">
        <v>10.06</v>
      </c>
      <c r="I75" s="165">
        <v>3.92</v>
      </c>
      <c r="J75" s="165">
        <v>0.38</v>
      </c>
      <c r="K75" s="165">
        <v>73.58</v>
      </c>
      <c r="L75" s="165">
        <v>23.43</v>
      </c>
      <c r="M75" s="165">
        <v>75.93</v>
      </c>
      <c r="N75" s="165">
        <v>55.2</v>
      </c>
      <c r="O75" s="165">
        <v>0</v>
      </c>
      <c r="P75" s="165">
        <v>0.62</v>
      </c>
      <c r="Q75" s="165">
        <v>6.98</v>
      </c>
      <c r="R75" s="13"/>
      <c r="S75" s="13"/>
      <c r="T75" s="213"/>
      <c r="U75" s="13"/>
    </row>
    <row r="76" customFormat="1" spans="1:21">
      <c r="A76" s="142" t="s">
        <v>2904</v>
      </c>
      <c r="B76" s="165">
        <v>33.18</v>
      </c>
      <c r="C76" s="165">
        <v>68.88</v>
      </c>
      <c r="D76" s="165">
        <v>63.95</v>
      </c>
      <c r="E76" s="165">
        <v>5.83</v>
      </c>
      <c r="F76" s="165">
        <v>3.76</v>
      </c>
      <c r="G76" s="165">
        <v>41.66</v>
      </c>
      <c r="H76" s="165">
        <v>10.06</v>
      </c>
      <c r="I76" s="165">
        <v>3.86</v>
      </c>
      <c r="J76" s="165">
        <v>0.7</v>
      </c>
      <c r="K76" s="165">
        <v>55.85</v>
      </c>
      <c r="L76" s="165">
        <v>23.23</v>
      </c>
      <c r="M76" s="165">
        <v>75.32</v>
      </c>
      <c r="N76" s="165">
        <v>33.1</v>
      </c>
      <c r="O76" s="165">
        <v>0</v>
      </c>
      <c r="P76" s="165">
        <v>0.64</v>
      </c>
      <c r="Q76" s="165">
        <v>6.97</v>
      </c>
      <c r="R76" s="13"/>
      <c r="S76" s="13"/>
      <c r="T76" s="213"/>
      <c r="U76" s="13"/>
    </row>
    <row r="77" customFormat="1" spans="1:21">
      <c r="A77" s="142" t="s">
        <v>2905</v>
      </c>
      <c r="B77" s="165">
        <v>33.81</v>
      </c>
      <c r="C77" s="165">
        <v>68.85</v>
      </c>
      <c r="D77" s="165">
        <v>64.44</v>
      </c>
      <c r="E77" s="165">
        <v>5.27</v>
      </c>
      <c r="F77" s="165">
        <v>3.71</v>
      </c>
      <c r="G77" s="165">
        <v>41.66</v>
      </c>
      <c r="H77" s="165">
        <v>10.06</v>
      </c>
      <c r="I77" s="165">
        <v>3.86</v>
      </c>
      <c r="J77" s="165">
        <v>0.81</v>
      </c>
      <c r="K77" s="165">
        <v>68.84</v>
      </c>
      <c r="L77" s="165">
        <v>23.05</v>
      </c>
      <c r="M77" s="165">
        <v>75.54</v>
      </c>
      <c r="N77" s="165">
        <v>46.2</v>
      </c>
      <c r="O77" s="165">
        <v>0</v>
      </c>
      <c r="P77" s="165">
        <v>0.65</v>
      </c>
      <c r="Q77" s="165">
        <v>6.99</v>
      </c>
      <c r="R77" s="13"/>
      <c r="S77" s="13"/>
      <c r="T77" s="213"/>
      <c r="U77" s="13"/>
    </row>
    <row r="78" customFormat="1" spans="1:21">
      <c r="A78" s="142" t="s">
        <v>2906</v>
      </c>
      <c r="B78" s="165">
        <v>34.42</v>
      </c>
      <c r="C78" s="165">
        <v>69.24</v>
      </c>
      <c r="D78" s="165">
        <v>65.12</v>
      </c>
      <c r="E78" s="165">
        <v>5.24</v>
      </c>
      <c r="F78" s="165">
        <v>3.72</v>
      </c>
      <c r="G78" s="165">
        <v>44.07</v>
      </c>
      <c r="H78" s="165">
        <v>12.63</v>
      </c>
      <c r="I78" s="165">
        <v>3.82</v>
      </c>
      <c r="J78" s="165">
        <v>0.59</v>
      </c>
      <c r="K78" s="165">
        <v>32.83</v>
      </c>
      <c r="L78" s="165">
        <v>23.02</v>
      </c>
      <c r="M78" s="165">
        <v>75.78</v>
      </c>
      <c r="N78" s="165">
        <v>33.9</v>
      </c>
      <c r="O78" s="165">
        <v>0</v>
      </c>
      <c r="P78" s="165">
        <v>0.67</v>
      </c>
      <c r="Q78" s="165">
        <v>7.05</v>
      </c>
      <c r="R78" s="13"/>
      <c r="S78" s="13"/>
      <c r="T78" s="213"/>
      <c r="U78" s="13"/>
    </row>
    <row r="79" customFormat="1" spans="1:21">
      <c r="A79" s="142" t="s">
        <v>2907</v>
      </c>
      <c r="B79" s="165">
        <v>35.63</v>
      </c>
      <c r="C79" s="165">
        <v>69.6</v>
      </c>
      <c r="D79" s="165">
        <v>66.28</v>
      </c>
      <c r="E79" s="165">
        <v>5.55</v>
      </c>
      <c r="F79" s="165">
        <v>3.67</v>
      </c>
      <c r="G79" s="165">
        <v>48.24</v>
      </c>
      <c r="H79" s="165">
        <v>15.27</v>
      </c>
      <c r="I79" s="165">
        <v>3.79</v>
      </c>
      <c r="J79" s="165">
        <v>0.35</v>
      </c>
      <c r="K79" s="165">
        <v>49.79</v>
      </c>
      <c r="L79" s="165">
        <v>23.05</v>
      </c>
      <c r="M79" s="165">
        <v>76.46</v>
      </c>
      <c r="N79" s="165">
        <v>26.2</v>
      </c>
      <c r="O79" s="165">
        <v>0</v>
      </c>
      <c r="P79" s="165">
        <v>0.68</v>
      </c>
      <c r="Q79" s="165">
        <v>7.14</v>
      </c>
      <c r="R79" s="13"/>
      <c r="S79" s="13"/>
      <c r="T79" s="213"/>
      <c r="U79" s="13"/>
    </row>
    <row r="80" customFormat="1" spans="1:21">
      <c r="A80" s="142" t="s">
        <v>2908</v>
      </c>
      <c r="B80" s="165">
        <v>36.91</v>
      </c>
      <c r="C80" s="165">
        <v>69.7</v>
      </c>
      <c r="D80" s="165">
        <v>67.37</v>
      </c>
      <c r="E80" s="165">
        <v>5.51</v>
      </c>
      <c r="F80" s="165">
        <v>3.59</v>
      </c>
      <c r="G80" s="165">
        <v>48.24</v>
      </c>
      <c r="H80" s="165">
        <v>15.27</v>
      </c>
      <c r="I80" s="165">
        <v>3.81</v>
      </c>
      <c r="J80" s="165">
        <v>0.03</v>
      </c>
      <c r="K80" s="165">
        <v>76.77</v>
      </c>
      <c r="L80" s="165">
        <v>22.94</v>
      </c>
      <c r="M80" s="165">
        <v>78.03</v>
      </c>
      <c r="N80" s="165">
        <v>11</v>
      </c>
      <c r="O80" s="165">
        <v>0</v>
      </c>
      <c r="P80" s="165">
        <v>0.69</v>
      </c>
      <c r="Q80" s="165">
        <v>7.23</v>
      </c>
      <c r="R80" s="13"/>
      <c r="S80" s="13"/>
      <c r="T80" s="213"/>
      <c r="U80" s="13"/>
    </row>
    <row r="81" customFormat="1" spans="1:21">
      <c r="A81" s="142" t="s">
        <v>2909</v>
      </c>
      <c r="B81" s="165">
        <v>37.61</v>
      </c>
      <c r="C81" s="165">
        <v>69.5</v>
      </c>
      <c r="D81" s="165">
        <v>67.82</v>
      </c>
      <c r="E81" s="165">
        <v>5.86</v>
      </c>
      <c r="F81" s="165">
        <v>3.69</v>
      </c>
      <c r="G81" s="165">
        <v>48.24</v>
      </c>
      <c r="H81" s="165">
        <v>15.27</v>
      </c>
      <c r="I81" s="165">
        <v>3.85</v>
      </c>
      <c r="J81" s="165">
        <v>0.26</v>
      </c>
      <c r="K81" s="165">
        <v>106.35</v>
      </c>
      <c r="L81" s="165">
        <v>22.95</v>
      </c>
      <c r="M81" s="165">
        <v>80.02</v>
      </c>
      <c r="N81" s="165">
        <v>0.3</v>
      </c>
      <c r="O81" s="165">
        <v>0</v>
      </c>
      <c r="P81" s="165">
        <v>0.7</v>
      </c>
      <c r="Q81" s="165">
        <v>7.28</v>
      </c>
      <c r="R81" s="13"/>
      <c r="S81" s="13"/>
      <c r="T81" s="213"/>
      <c r="U81" s="13"/>
    </row>
    <row r="82" customFormat="1" spans="1:21">
      <c r="A82" s="142" t="s">
        <v>2910</v>
      </c>
      <c r="B82" s="165">
        <v>37.39</v>
      </c>
      <c r="C82" s="165">
        <v>69.36</v>
      </c>
      <c r="D82" s="165">
        <v>67.57</v>
      </c>
      <c r="E82" s="165">
        <v>6.73</v>
      </c>
      <c r="F82" s="165">
        <v>3.59</v>
      </c>
      <c r="G82" s="165">
        <v>49.33</v>
      </c>
      <c r="H82" s="165">
        <v>16.39</v>
      </c>
      <c r="I82" s="165">
        <v>3.87</v>
      </c>
      <c r="J82" s="165">
        <v>0.16</v>
      </c>
      <c r="K82" s="165">
        <v>113.02</v>
      </c>
      <c r="L82" s="165">
        <v>22.48</v>
      </c>
      <c r="M82" s="165">
        <v>82.33</v>
      </c>
      <c r="N82" s="165">
        <v>0</v>
      </c>
      <c r="O82" s="165">
        <v>0</v>
      </c>
      <c r="P82" s="165">
        <v>0.7</v>
      </c>
      <c r="Q82" s="165">
        <v>7.31</v>
      </c>
      <c r="R82" s="13"/>
      <c r="S82" s="13"/>
      <c r="T82" s="213"/>
      <c r="U82" s="13"/>
    </row>
    <row r="83" customFormat="1" spans="1:21">
      <c r="A83" s="142" t="s">
        <v>2911</v>
      </c>
      <c r="B83" s="165">
        <v>37.37</v>
      </c>
      <c r="C83" s="165">
        <v>69.27</v>
      </c>
      <c r="D83" s="165">
        <v>67.51</v>
      </c>
      <c r="E83" s="165">
        <v>6.67</v>
      </c>
      <c r="F83" s="165">
        <v>3.57</v>
      </c>
      <c r="G83" s="165">
        <v>51.23</v>
      </c>
      <c r="H83" s="165">
        <v>19.86</v>
      </c>
      <c r="I83" s="165">
        <v>3.87</v>
      </c>
      <c r="J83" s="165">
        <v>0.16</v>
      </c>
      <c r="K83" s="165">
        <v>106.86</v>
      </c>
      <c r="L83" s="165">
        <v>22.26</v>
      </c>
      <c r="M83" s="165">
        <v>83.27</v>
      </c>
      <c r="N83" s="165">
        <v>0</v>
      </c>
      <c r="O83" s="165">
        <v>0</v>
      </c>
      <c r="P83" s="165">
        <v>0.69</v>
      </c>
      <c r="Q83" s="165">
        <v>7.35</v>
      </c>
      <c r="R83" s="13"/>
      <c r="S83" s="13"/>
      <c r="T83" s="213"/>
      <c r="U83" s="13"/>
    </row>
    <row r="84" customFormat="1" spans="1:21">
      <c r="A84" s="142" t="s">
        <v>2912</v>
      </c>
      <c r="B84" s="165">
        <v>37.13</v>
      </c>
      <c r="C84" s="165">
        <v>69.46</v>
      </c>
      <c r="D84" s="165">
        <v>67.42</v>
      </c>
      <c r="E84" s="165">
        <v>6.85</v>
      </c>
      <c r="F84" s="165">
        <v>3.64</v>
      </c>
      <c r="G84" s="165">
        <v>51.23</v>
      </c>
      <c r="H84" s="165">
        <v>19.86</v>
      </c>
      <c r="I84" s="165">
        <v>3.91</v>
      </c>
      <c r="J84" s="165">
        <v>0.12</v>
      </c>
      <c r="K84" s="165">
        <v>209.66</v>
      </c>
      <c r="L84" s="165">
        <v>22.07</v>
      </c>
      <c r="M84" s="165">
        <v>84.09</v>
      </c>
      <c r="N84" s="165">
        <v>0</v>
      </c>
      <c r="O84" s="165">
        <v>0</v>
      </c>
      <c r="P84" s="165">
        <v>0.7</v>
      </c>
      <c r="Q84" s="165">
        <v>7.34</v>
      </c>
      <c r="R84" s="13"/>
      <c r="S84" s="13"/>
      <c r="T84" s="213"/>
      <c r="U84" s="13"/>
    </row>
    <row r="85" customFormat="1" spans="1:21">
      <c r="A85" s="142" t="s">
        <v>2913</v>
      </c>
      <c r="B85" s="165">
        <v>37.89</v>
      </c>
      <c r="C85" s="165">
        <v>61.01</v>
      </c>
      <c r="D85" s="165">
        <v>63.61</v>
      </c>
      <c r="E85" s="165">
        <v>6.57</v>
      </c>
      <c r="F85" s="165">
        <v>4.34</v>
      </c>
      <c r="G85" s="165">
        <v>51.23</v>
      </c>
      <c r="H85" s="165">
        <v>19.86</v>
      </c>
      <c r="I85" s="165">
        <v>3.84</v>
      </c>
      <c r="J85" s="165">
        <v>0.13</v>
      </c>
      <c r="K85" s="165">
        <v>222.37</v>
      </c>
      <c r="L85" s="165">
        <v>21.97</v>
      </c>
      <c r="M85" s="165">
        <v>84.07</v>
      </c>
      <c r="N85" s="165">
        <v>0</v>
      </c>
      <c r="O85" s="165">
        <v>0</v>
      </c>
      <c r="P85" s="165">
        <v>0.65</v>
      </c>
      <c r="Q85" s="165">
        <v>6.94</v>
      </c>
      <c r="R85" s="13"/>
      <c r="S85" s="13"/>
      <c r="T85" s="213"/>
      <c r="U85" s="13"/>
    </row>
    <row r="86" customFormat="1" spans="1:21">
      <c r="A86" s="142" t="s">
        <v>2914</v>
      </c>
      <c r="B86" s="165">
        <v>38.06</v>
      </c>
      <c r="C86" s="165">
        <v>58.03</v>
      </c>
      <c r="D86" s="165">
        <v>62.19</v>
      </c>
      <c r="E86" s="165">
        <v>6.34</v>
      </c>
      <c r="F86" s="165">
        <v>4.1</v>
      </c>
      <c r="G86" s="165">
        <v>47.84</v>
      </c>
      <c r="H86" s="165">
        <v>17.76</v>
      </c>
      <c r="I86" s="165">
        <v>3.92</v>
      </c>
      <c r="J86" s="165">
        <v>0.11</v>
      </c>
      <c r="K86" s="165">
        <v>204.8</v>
      </c>
      <c r="L86" s="165">
        <v>22</v>
      </c>
      <c r="M86" s="165">
        <v>84.73</v>
      </c>
      <c r="N86" s="165">
        <v>0</v>
      </c>
      <c r="O86" s="165">
        <v>0</v>
      </c>
      <c r="P86" s="165">
        <v>0.64</v>
      </c>
      <c r="Q86" s="165">
        <v>6.68</v>
      </c>
      <c r="R86" s="13"/>
      <c r="S86" s="13"/>
      <c r="T86" s="213"/>
      <c r="U86" s="13"/>
    </row>
    <row r="87" customFormat="1" spans="1:21">
      <c r="A87" s="142" t="s">
        <v>2915</v>
      </c>
      <c r="B87" s="165">
        <v>37.69</v>
      </c>
      <c r="C87" s="165">
        <v>64.35</v>
      </c>
      <c r="D87" s="165">
        <v>65.2</v>
      </c>
      <c r="E87" s="165">
        <v>7.08</v>
      </c>
      <c r="F87" s="165">
        <v>3.16</v>
      </c>
      <c r="G87" s="165">
        <v>42</v>
      </c>
      <c r="H87" s="165">
        <v>15.61</v>
      </c>
      <c r="I87" s="165">
        <v>3.91</v>
      </c>
      <c r="J87" s="165">
        <v>0.09</v>
      </c>
      <c r="K87" s="165">
        <v>218.23</v>
      </c>
      <c r="L87" s="165">
        <v>22.04</v>
      </c>
      <c r="M87" s="165">
        <v>85.09</v>
      </c>
      <c r="N87" s="165">
        <v>0</v>
      </c>
      <c r="O87" s="165">
        <v>0</v>
      </c>
      <c r="P87" s="165">
        <v>0.66</v>
      </c>
      <c r="Q87" s="165">
        <v>6.92</v>
      </c>
      <c r="R87" s="13"/>
      <c r="S87" s="13"/>
      <c r="T87" s="213"/>
      <c r="U87" s="13"/>
    </row>
    <row r="88" customFormat="1" spans="1:21">
      <c r="A88" s="142" t="s">
        <v>2916</v>
      </c>
      <c r="B88" s="165">
        <v>38.07</v>
      </c>
      <c r="C88" s="165">
        <v>59.53</v>
      </c>
      <c r="D88" s="165">
        <v>62.98</v>
      </c>
      <c r="E88" s="165">
        <v>7.03</v>
      </c>
      <c r="F88" s="165">
        <v>3.69</v>
      </c>
      <c r="G88" s="165">
        <v>42</v>
      </c>
      <c r="H88" s="165">
        <v>15.61</v>
      </c>
      <c r="I88" s="165">
        <v>3.88</v>
      </c>
      <c r="J88" s="165">
        <v>0.06</v>
      </c>
      <c r="K88" s="165">
        <v>163.83</v>
      </c>
      <c r="L88" s="165">
        <v>22.17</v>
      </c>
      <c r="M88" s="165">
        <v>84.33</v>
      </c>
      <c r="N88" s="165">
        <v>0</v>
      </c>
      <c r="O88" s="165">
        <v>0</v>
      </c>
      <c r="P88" s="165">
        <v>0.64</v>
      </c>
      <c r="Q88" s="165">
        <v>6.78</v>
      </c>
      <c r="R88" s="13"/>
      <c r="S88" s="13"/>
      <c r="T88" s="213"/>
      <c r="U88" s="13"/>
    </row>
    <row r="89" customFormat="1" spans="1:21">
      <c r="A89" s="142" t="s">
        <v>2917</v>
      </c>
      <c r="B89" s="165">
        <v>37.79</v>
      </c>
      <c r="C89" s="165">
        <v>62.82</v>
      </c>
      <c r="D89" s="165">
        <v>64.47</v>
      </c>
      <c r="E89" s="165">
        <v>6.62</v>
      </c>
      <c r="F89" s="165">
        <v>3.18</v>
      </c>
      <c r="G89" s="165">
        <v>42</v>
      </c>
      <c r="H89" s="165">
        <v>15.61</v>
      </c>
      <c r="I89" s="165">
        <v>3.94</v>
      </c>
      <c r="J89" s="165">
        <v>0.18</v>
      </c>
      <c r="K89" s="165">
        <v>229.59</v>
      </c>
      <c r="L89" s="165">
        <v>22.16</v>
      </c>
      <c r="M89" s="165">
        <v>84.7</v>
      </c>
      <c r="N89" s="165">
        <v>0</v>
      </c>
      <c r="O89" s="165">
        <v>0</v>
      </c>
      <c r="P89" s="165">
        <v>0.65</v>
      </c>
      <c r="Q89" s="165">
        <v>6.9</v>
      </c>
      <c r="R89" s="13"/>
      <c r="S89" s="13"/>
      <c r="T89" s="213"/>
      <c r="U89" s="13"/>
    </row>
    <row r="90" customFormat="1" spans="1:21">
      <c r="A90" s="142" t="s">
        <v>2918</v>
      </c>
      <c r="B90" s="165">
        <v>38.08</v>
      </c>
      <c r="C90" s="165">
        <v>57.72</v>
      </c>
      <c r="D90" s="165">
        <v>62.05</v>
      </c>
      <c r="E90" s="165">
        <v>7.05</v>
      </c>
      <c r="F90" s="165">
        <v>3.95</v>
      </c>
      <c r="G90" s="165">
        <v>36.93</v>
      </c>
      <c r="H90" s="165">
        <v>14.06</v>
      </c>
      <c r="I90" s="165">
        <v>3.9</v>
      </c>
      <c r="J90" s="165">
        <v>0.14</v>
      </c>
      <c r="K90" s="165">
        <v>250.85</v>
      </c>
      <c r="L90" s="165">
        <v>22.14</v>
      </c>
      <c r="M90" s="165">
        <v>84.67</v>
      </c>
      <c r="N90" s="165">
        <v>0</v>
      </c>
      <c r="O90" s="165">
        <v>0</v>
      </c>
      <c r="P90" s="165">
        <v>0.62</v>
      </c>
      <c r="Q90" s="165">
        <v>6.73</v>
      </c>
      <c r="R90" s="13"/>
      <c r="S90" s="13"/>
      <c r="T90" s="213"/>
      <c r="U90" s="13"/>
    </row>
    <row r="91" customFormat="1" spans="1:21">
      <c r="A91" s="142" t="s">
        <v>2919</v>
      </c>
      <c r="B91" s="165">
        <v>37.85</v>
      </c>
      <c r="C91" s="165">
        <v>62.12</v>
      </c>
      <c r="D91" s="165">
        <v>64.16</v>
      </c>
      <c r="E91" s="165">
        <v>7.3</v>
      </c>
      <c r="F91" s="165">
        <v>3.41</v>
      </c>
      <c r="G91" s="165">
        <v>28.17</v>
      </c>
      <c r="H91" s="165">
        <v>12.47</v>
      </c>
      <c r="I91" s="165">
        <v>3.91</v>
      </c>
      <c r="J91" s="165">
        <v>0.15</v>
      </c>
      <c r="K91" s="165">
        <v>269.96</v>
      </c>
      <c r="L91" s="165">
        <v>22.26</v>
      </c>
      <c r="M91" s="165">
        <v>83.96</v>
      </c>
      <c r="N91" s="165">
        <v>0</v>
      </c>
      <c r="O91" s="165">
        <v>0</v>
      </c>
      <c r="P91" s="165">
        <v>0.65</v>
      </c>
      <c r="Q91" s="165">
        <v>6.86</v>
      </c>
      <c r="R91" s="13"/>
      <c r="S91" s="13"/>
      <c r="T91" s="213"/>
      <c r="U91" s="13"/>
    </row>
    <row r="92" customFormat="1" spans="1:21">
      <c r="A92" s="142" t="s">
        <v>2920</v>
      </c>
      <c r="B92" s="165">
        <v>38.28</v>
      </c>
      <c r="C92" s="165">
        <v>59.42</v>
      </c>
      <c r="D92" s="165">
        <v>63.09</v>
      </c>
      <c r="E92" s="165">
        <v>7.13</v>
      </c>
      <c r="F92" s="165">
        <v>3.61</v>
      </c>
      <c r="G92" s="165">
        <v>28.17</v>
      </c>
      <c r="H92" s="165">
        <v>12.47</v>
      </c>
      <c r="I92" s="165">
        <v>3.86</v>
      </c>
      <c r="J92" s="165">
        <v>0.2</v>
      </c>
      <c r="K92" s="165">
        <v>239.51</v>
      </c>
      <c r="L92" s="165">
        <v>22.24</v>
      </c>
      <c r="M92" s="165">
        <v>84.03</v>
      </c>
      <c r="N92" s="165">
        <v>0</v>
      </c>
      <c r="O92" s="165">
        <v>0</v>
      </c>
      <c r="P92" s="165">
        <v>0.63</v>
      </c>
      <c r="Q92" s="165">
        <v>6.81</v>
      </c>
      <c r="R92" s="13"/>
      <c r="S92" s="13"/>
      <c r="T92" s="213"/>
      <c r="U92" s="13"/>
    </row>
    <row r="93" customFormat="1" spans="1:21">
      <c r="A93" s="142" t="s">
        <v>2921</v>
      </c>
      <c r="B93" s="165">
        <v>38.04</v>
      </c>
      <c r="C93" s="165">
        <v>61.14</v>
      </c>
      <c r="D93" s="165">
        <v>63.8</v>
      </c>
      <c r="E93" s="165">
        <v>7.23</v>
      </c>
      <c r="F93" s="165">
        <v>3.48</v>
      </c>
      <c r="G93" s="165">
        <v>28.17</v>
      </c>
      <c r="H93" s="165">
        <v>12.47</v>
      </c>
      <c r="I93" s="165">
        <v>3.93</v>
      </c>
      <c r="J93" s="165">
        <v>0.54</v>
      </c>
      <c r="K93" s="165">
        <v>255.96</v>
      </c>
      <c r="L93" s="165">
        <v>22.25</v>
      </c>
      <c r="M93" s="165">
        <v>84.49</v>
      </c>
      <c r="N93" s="165">
        <v>0</v>
      </c>
      <c r="O93" s="165">
        <v>0</v>
      </c>
      <c r="P93" s="165">
        <v>0.64</v>
      </c>
      <c r="Q93" s="165">
        <v>6.85</v>
      </c>
      <c r="R93" s="13"/>
      <c r="S93" s="13"/>
      <c r="T93" s="213"/>
      <c r="U93" s="13"/>
    </row>
    <row r="94" customFormat="1" spans="1:21">
      <c r="A94" s="142" t="s">
        <v>2922</v>
      </c>
      <c r="B94" s="165">
        <v>37.99</v>
      </c>
      <c r="C94" s="165">
        <v>59.09</v>
      </c>
      <c r="D94" s="165">
        <v>62.69</v>
      </c>
      <c r="E94" s="165">
        <v>7.39</v>
      </c>
      <c r="F94" s="165">
        <v>3.82</v>
      </c>
      <c r="G94" s="165">
        <v>26.7</v>
      </c>
      <c r="H94" s="165">
        <v>12.56</v>
      </c>
      <c r="I94" s="165">
        <v>3.87</v>
      </c>
      <c r="J94" s="165">
        <v>0.13</v>
      </c>
      <c r="K94" s="165">
        <v>220.42</v>
      </c>
      <c r="L94" s="165">
        <v>22.12</v>
      </c>
      <c r="M94" s="165">
        <v>87.06</v>
      </c>
      <c r="N94" s="165">
        <v>0</v>
      </c>
      <c r="O94" s="165">
        <v>0</v>
      </c>
      <c r="P94" s="165">
        <v>0.63</v>
      </c>
      <c r="Q94" s="165">
        <v>6.78</v>
      </c>
      <c r="R94" s="13"/>
      <c r="S94" s="13"/>
      <c r="T94" s="213"/>
      <c r="U94" s="13"/>
    </row>
    <row r="95" customFormat="1" spans="1:21">
      <c r="A95" s="142" t="s">
        <v>2923</v>
      </c>
      <c r="B95" s="165">
        <v>38.05</v>
      </c>
      <c r="C95" s="165">
        <v>61.13</v>
      </c>
      <c r="D95" s="165">
        <v>63.8</v>
      </c>
      <c r="E95" s="165">
        <v>7.38</v>
      </c>
      <c r="F95" s="165">
        <v>3.55</v>
      </c>
      <c r="G95" s="165">
        <v>24.16</v>
      </c>
      <c r="H95" s="165">
        <v>12.65</v>
      </c>
      <c r="I95" s="165">
        <v>3.96</v>
      </c>
      <c r="J95" s="165">
        <v>1.14</v>
      </c>
      <c r="K95" s="165">
        <v>306.87</v>
      </c>
      <c r="L95" s="165">
        <v>21.98</v>
      </c>
      <c r="M95" s="165">
        <v>87.83</v>
      </c>
      <c r="N95" s="165">
        <v>0</v>
      </c>
      <c r="O95" s="165">
        <v>0</v>
      </c>
      <c r="P95" s="165">
        <v>0.62</v>
      </c>
      <c r="Q95" s="165">
        <v>6.9</v>
      </c>
      <c r="R95" s="13"/>
      <c r="S95" s="13"/>
      <c r="T95" s="213"/>
      <c r="U95" s="13"/>
    </row>
    <row r="96" customFormat="1" spans="1:26">
      <c r="A96" s="142" t="s">
        <v>2924</v>
      </c>
      <c r="B96" s="165">
        <v>38.31</v>
      </c>
      <c r="C96" s="165">
        <v>60.36</v>
      </c>
      <c r="D96" s="165">
        <v>63.61</v>
      </c>
      <c r="E96" s="165">
        <v>7.37</v>
      </c>
      <c r="F96" s="165">
        <v>3.84</v>
      </c>
      <c r="G96" s="165">
        <v>24.16</v>
      </c>
      <c r="H96" s="165">
        <v>12.65</v>
      </c>
      <c r="I96" s="165">
        <v>3.96</v>
      </c>
      <c r="J96" s="165">
        <v>2.66</v>
      </c>
      <c r="K96" s="165">
        <v>309.34</v>
      </c>
      <c r="L96" s="165">
        <v>21.97</v>
      </c>
      <c r="M96" s="165">
        <v>87.13</v>
      </c>
      <c r="N96" s="165">
        <v>0</v>
      </c>
      <c r="O96" s="165">
        <v>0</v>
      </c>
      <c r="P96" s="165">
        <v>0.65</v>
      </c>
      <c r="Q96" s="165">
        <v>6.88</v>
      </c>
      <c r="R96" s="13"/>
      <c r="S96" s="13"/>
      <c r="T96" s="213"/>
      <c r="U96" s="13"/>
      <c r="Z96" s="222"/>
    </row>
    <row r="97" customFormat="1" spans="1:21">
      <c r="A97" s="142" t="s">
        <v>2925</v>
      </c>
      <c r="B97" s="165">
        <v>37.9</v>
      </c>
      <c r="C97" s="165">
        <v>56.21</v>
      </c>
      <c r="D97" s="165">
        <v>61.11</v>
      </c>
      <c r="E97" s="165">
        <v>7.32</v>
      </c>
      <c r="F97" s="165">
        <v>4.36</v>
      </c>
      <c r="G97" s="165">
        <v>24.16</v>
      </c>
      <c r="H97" s="165">
        <v>12.65</v>
      </c>
      <c r="I97" s="165">
        <v>3.88</v>
      </c>
      <c r="J97" s="165">
        <v>1.87</v>
      </c>
      <c r="K97" s="165">
        <v>305.05</v>
      </c>
      <c r="L97" s="165">
        <v>21.43</v>
      </c>
      <c r="M97" s="165">
        <v>90.16</v>
      </c>
      <c r="N97" s="165">
        <v>0</v>
      </c>
      <c r="O97" s="165">
        <v>0</v>
      </c>
      <c r="P97" s="165">
        <v>0.65</v>
      </c>
      <c r="Q97" s="165">
        <v>6.74</v>
      </c>
      <c r="R97" s="13"/>
      <c r="S97" s="13"/>
      <c r="T97" s="213"/>
      <c r="U97" s="13"/>
    </row>
    <row r="98" customFormat="1" spans="1:21">
      <c r="A98" s="142" t="s">
        <v>2926</v>
      </c>
      <c r="B98" s="165">
        <v>37.64</v>
      </c>
      <c r="C98" s="165">
        <v>59.78</v>
      </c>
      <c r="D98" s="165">
        <v>62.76</v>
      </c>
      <c r="E98" s="165">
        <v>7.37</v>
      </c>
      <c r="F98" s="165">
        <v>3.73</v>
      </c>
      <c r="G98" s="165">
        <v>26.51</v>
      </c>
      <c r="H98" s="165">
        <v>11.36</v>
      </c>
      <c r="I98" s="165">
        <v>3.99</v>
      </c>
      <c r="J98" s="165">
        <v>0.83</v>
      </c>
      <c r="K98" s="165">
        <v>16.35</v>
      </c>
      <c r="L98" s="165">
        <v>21.13</v>
      </c>
      <c r="M98" s="165">
        <v>92.37</v>
      </c>
      <c r="N98" s="165">
        <v>0</v>
      </c>
      <c r="O98" s="165">
        <v>0</v>
      </c>
      <c r="P98" s="165">
        <v>0.68</v>
      </c>
      <c r="Q98" s="165">
        <v>6.8</v>
      </c>
      <c r="R98" s="13"/>
      <c r="S98" s="13"/>
      <c r="T98" s="213"/>
      <c r="U98" s="13"/>
    </row>
    <row r="99" customFormat="1" spans="1:21">
      <c r="A99" s="142" t="s">
        <v>2927</v>
      </c>
      <c r="B99" s="165">
        <v>38.04</v>
      </c>
      <c r="C99" s="165">
        <v>59.08</v>
      </c>
      <c r="D99" s="165">
        <v>62.73</v>
      </c>
      <c r="E99" s="165">
        <v>7.44</v>
      </c>
      <c r="F99" s="165">
        <v>3.88</v>
      </c>
      <c r="G99" s="165">
        <v>30.56</v>
      </c>
      <c r="H99" s="165">
        <v>10.04</v>
      </c>
      <c r="I99" s="165">
        <v>4.14</v>
      </c>
      <c r="J99" s="165">
        <v>0.7</v>
      </c>
      <c r="K99" s="165">
        <v>31.56</v>
      </c>
      <c r="L99" s="165">
        <v>20.9</v>
      </c>
      <c r="M99" s="165">
        <v>93.75</v>
      </c>
      <c r="N99" s="165">
        <v>0</v>
      </c>
      <c r="O99" s="165">
        <v>0</v>
      </c>
      <c r="P99" s="165">
        <v>0.68</v>
      </c>
      <c r="Q99" s="165">
        <v>6.78</v>
      </c>
      <c r="R99" s="13"/>
      <c r="S99" s="13"/>
      <c r="T99" s="213"/>
      <c r="U99" s="13"/>
    </row>
    <row r="100" customFormat="1" spans="1:33">
      <c r="A100" s="142" t="s">
        <v>2928</v>
      </c>
      <c r="B100" s="165">
        <v>38.68</v>
      </c>
      <c r="C100" s="165">
        <v>59.56</v>
      </c>
      <c r="D100" s="165">
        <v>63.49</v>
      </c>
      <c r="E100" s="165">
        <v>7.59</v>
      </c>
      <c r="F100" s="165">
        <v>3.67</v>
      </c>
      <c r="G100" s="165">
        <v>30.56</v>
      </c>
      <c r="H100" s="165">
        <v>10.04</v>
      </c>
      <c r="I100" s="165">
        <v>4.34</v>
      </c>
      <c r="J100" s="165">
        <v>0.38</v>
      </c>
      <c r="K100" s="165">
        <v>35.28</v>
      </c>
      <c r="L100" s="165">
        <v>20.83</v>
      </c>
      <c r="M100" s="165">
        <v>93.99</v>
      </c>
      <c r="N100" s="165">
        <v>0</v>
      </c>
      <c r="O100" s="165">
        <v>0</v>
      </c>
      <c r="P100" s="165">
        <v>0.68</v>
      </c>
      <c r="Q100" s="165">
        <v>6.89</v>
      </c>
      <c r="R100" s="13"/>
      <c r="S100" s="13"/>
      <c r="T100" s="213"/>
      <c r="U100" s="13"/>
      <c r="AB100" s="223"/>
      <c r="AG100" s="222"/>
    </row>
    <row r="101" customFormat="1" spans="1:21">
      <c r="A101" s="142" t="s">
        <v>2929</v>
      </c>
      <c r="B101" s="165">
        <v>38.89</v>
      </c>
      <c r="C101" s="165">
        <v>60.44</v>
      </c>
      <c r="D101" s="165">
        <v>64.12</v>
      </c>
      <c r="E101" s="165">
        <v>7.21</v>
      </c>
      <c r="F101" s="165">
        <v>3.69</v>
      </c>
      <c r="G101" s="165">
        <v>30.56</v>
      </c>
      <c r="H101" s="165">
        <v>10.04</v>
      </c>
      <c r="I101" s="165">
        <v>4.49</v>
      </c>
      <c r="J101" s="165">
        <v>0.37</v>
      </c>
      <c r="K101" s="165">
        <v>103.23</v>
      </c>
      <c r="L101" s="165">
        <v>20.89</v>
      </c>
      <c r="M101" s="165">
        <v>94.06</v>
      </c>
      <c r="N101" s="165">
        <v>0</v>
      </c>
      <c r="O101" s="165">
        <v>0</v>
      </c>
      <c r="P101" s="165">
        <v>0.69</v>
      </c>
      <c r="Q101" s="165">
        <v>6.91</v>
      </c>
      <c r="R101" s="13"/>
      <c r="S101" s="13"/>
      <c r="T101" s="213"/>
      <c r="U101" s="13"/>
    </row>
    <row r="102" customFormat="1" spans="1:21">
      <c r="A102" s="142" t="s">
        <v>2930</v>
      </c>
      <c r="B102" s="165">
        <v>38.98</v>
      </c>
      <c r="C102" s="165">
        <v>57.68</v>
      </c>
      <c r="D102" s="165">
        <v>62.75</v>
      </c>
      <c r="E102" s="165">
        <v>6.93</v>
      </c>
      <c r="F102" s="165">
        <v>3.92</v>
      </c>
      <c r="G102" s="165">
        <v>26.85</v>
      </c>
      <c r="H102" s="165">
        <v>10.44</v>
      </c>
      <c r="I102" s="165">
        <v>4.6</v>
      </c>
      <c r="J102" s="165">
        <v>0.32</v>
      </c>
      <c r="K102" s="165">
        <v>73.88</v>
      </c>
      <c r="L102" s="165">
        <v>20.83</v>
      </c>
      <c r="M102" s="165">
        <v>94.43</v>
      </c>
      <c r="N102" s="165">
        <v>0</v>
      </c>
      <c r="O102" s="165">
        <v>0</v>
      </c>
      <c r="P102" s="165">
        <v>0.67</v>
      </c>
      <c r="Q102" s="165">
        <v>6.8</v>
      </c>
      <c r="R102" s="13"/>
      <c r="S102" s="13"/>
      <c r="T102" s="213"/>
      <c r="U102" s="13"/>
    </row>
    <row r="103" customFormat="1" spans="1:21">
      <c r="A103" s="142" t="s">
        <v>2931</v>
      </c>
      <c r="B103" s="165">
        <v>38.88</v>
      </c>
      <c r="C103" s="165">
        <v>60.56</v>
      </c>
      <c r="D103" s="165">
        <v>64.17</v>
      </c>
      <c r="E103" s="165">
        <v>6.96</v>
      </c>
      <c r="F103" s="165">
        <v>3.43</v>
      </c>
      <c r="G103" s="165">
        <v>20.45</v>
      </c>
      <c r="H103" s="165">
        <v>10.84</v>
      </c>
      <c r="I103" s="165">
        <v>4.76</v>
      </c>
      <c r="J103" s="165">
        <v>0.82</v>
      </c>
      <c r="K103" s="165">
        <v>69.96</v>
      </c>
      <c r="L103" s="165">
        <v>20.85</v>
      </c>
      <c r="M103" s="165">
        <v>94.54</v>
      </c>
      <c r="N103" s="165">
        <v>0</v>
      </c>
      <c r="O103" s="165">
        <v>0</v>
      </c>
      <c r="P103" s="165">
        <v>0.7</v>
      </c>
      <c r="Q103" s="165">
        <v>6.89</v>
      </c>
      <c r="R103" s="13"/>
      <c r="S103" s="13"/>
      <c r="T103" s="213"/>
      <c r="U103" s="13"/>
    </row>
    <row r="104" customFormat="1" spans="1:21">
      <c r="A104" s="142" t="s">
        <v>2932</v>
      </c>
      <c r="B104" s="165">
        <v>39.15</v>
      </c>
      <c r="C104" s="165">
        <v>61.44</v>
      </c>
      <c r="D104" s="165">
        <v>64.84</v>
      </c>
      <c r="E104" s="165">
        <v>6.98</v>
      </c>
      <c r="F104" s="165">
        <v>3.63</v>
      </c>
      <c r="G104" s="165">
        <v>20.45</v>
      </c>
      <c r="H104" s="165">
        <v>10.84</v>
      </c>
      <c r="I104" s="165">
        <v>4.77</v>
      </c>
      <c r="J104" s="165">
        <v>0.9</v>
      </c>
      <c r="K104" s="165">
        <v>71.39</v>
      </c>
      <c r="L104" s="165">
        <v>20.72</v>
      </c>
      <c r="M104" s="165">
        <v>94.64</v>
      </c>
      <c r="N104" s="165">
        <v>0</v>
      </c>
      <c r="O104" s="165">
        <v>0</v>
      </c>
      <c r="P104" s="165">
        <v>0.72</v>
      </c>
      <c r="Q104" s="165">
        <v>7.02</v>
      </c>
      <c r="R104" s="13"/>
      <c r="S104" s="13"/>
      <c r="T104" s="213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4" t="s">
        <v>142</v>
      </c>
      <c r="B106" s="215">
        <f>MIN(B9:B104)</f>
        <v>26.17</v>
      </c>
      <c r="C106" s="215">
        <f>MIN(C9:C104)</f>
        <v>52.37</v>
      </c>
      <c r="D106" s="215">
        <f t="shared" ref="D106:Q106" si="0">MIN(D9:D104)</f>
        <v>51.04</v>
      </c>
      <c r="E106" s="215">
        <f t="shared" si="0"/>
        <v>4.54</v>
      </c>
      <c r="F106" s="215">
        <f t="shared" si="0"/>
        <v>3.16</v>
      </c>
      <c r="G106" s="215">
        <f t="shared" si="0"/>
        <v>20.45</v>
      </c>
      <c r="H106" s="215">
        <f t="shared" si="0"/>
        <v>8.05</v>
      </c>
      <c r="I106" s="215">
        <f t="shared" si="0"/>
        <v>3.79</v>
      </c>
      <c r="J106" s="215">
        <f t="shared" si="0"/>
        <v>0.03</v>
      </c>
      <c r="K106" s="215">
        <f t="shared" si="0"/>
        <v>16.35</v>
      </c>
      <c r="L106" s="215">
        <f t="shared" si="0"/>
        <v>20.03</v>
      </c>
      <c r="M106" s="215">
        <f t="shared" si="0"/>
        <v>60.3</v>
      </c>
      <c r="N106" s="215">
        <f t="shared" si="0"/>
        <v>0</v>
      </c>
      <c r="O106" s="215">
        <f t="shared" si="0"/>
        <v>0</v>
      </c>
      <c r="P106" s="215">
        <f t="shared" si="0"/>
        <v>0.42</v>
      </c>
      <c r="Q106" s="215">
        <f t="shared" si="0"/>
        <v>5.98</v>
      </c>
      <c r="R106" s="220"/>
      <c r="S106" s="220"/>
      <c r="T106" s="220"/>
      <c r="U106" s="220"/>
    </row>
    <row r="107" spans="1:21">
      <c r="A107" s="214" t="s">
        <v>143</v>
      </c>
      <c r="B107" s="216">
        <f>MAX(B9:B104)</f>
        <v>43.96</v>
      </c>
      <c r="C107" s="216">
        <f t="shared" ref="C107:Q107" si="1">MAX(C9:C104)</f>
        <v>69.7</v>
      </c>
      <c r="D107" s="216">
        <f t="shared" si="1"/>
        <v>70.23</v>
      </c>
      <c r="E107" s="216">
        <f t="shared" si="1"/>
        <v>7.59</v>
      </c>
      <c r="F107" s="216">
        <f t="shared" si="1"/>
        <v>5.47</v>
      </c>
      <c r="G107" s="216">
        <f t="shared" si="1"/>
        <v>51.23</v>
      </c>
      <c r="H107" s="216">
        <f t="shared" si="1"/>
        <v>19.86</v>
      </c>
      <c r="I107" s="216">
        <f t="shared" si="1"/>
        <v>5.37</v>
      </c>
      <c r="J107" s="216">
        <f t="shared" si="1"/>
        <v>3.63</v>
      </c>
      <c r="K107" s="216">
        <f t="shared" si="1"/>
        <v>344.93</v>
      </c>
      <c r="L107" s="216">
        <f t="shared" si="1"/>
        <v>25.27</v>
      </c>
      <c r="M107" s="216">
        <f t="shared" si="1"/>
        <v>94.72</v>
      </c>
      <c r="N107" s="216">
        <f t="shared" si="1"/>
        <v>481.7</v>
      </c>
      <c r="O107" s="216">
        <f t="shared" si="1"/>
        <v>0</v>
      </c>
      <c r="P107" s="216">
        <f t="shared" si="1"/>
        <v>0.72</v>
      </c>
      <c r="Q107" s="216">
        <f t="shared" si="1"/>
        <v>7.52</v>
      </c>
      <c r="R107" s="221"/>
      <c r="S107" s="221"/>
      <c r="T107" s="221"/>
      <c r="U107" s="221"/>
    </row>
    <row r="108" spans="1:21">
      <c r="A108" s="214" t="s">
        <v>144</v>
      </c>
      <c r="B108" s="215">
        <f>AVERAGE(B9:B104)</f>
        <v>34.394375</v>
      </c>
      <c r="C108" s="215">
        <f t="shared" ref="C108:Q108" si="2">AVERAGE(C9:C104)</f>
        <v>61.9967708333334</v>
      </c>
      <c r="D108" s="215">
        <f t="shared" si="2"/>
        <v>61.3242708333333</v>
      </c>
      <c r="E108" s="215">
        <f t="shared" si="2"/>
        <v>6.11947916666667</v>
      </c>
      <c r="F108" s="215">
        <f t="shared" si="2"/>
        <v>3.874375</v>
      </c>
      <c r="G108" s="215">
        <f t="shared" si="2"/>
        <v>31.5891666666667</v>
      </c>
      <c r="H108" s="215">
        <f t="shared" si="2"/>
        <v>11.866875</v>
      </c>
      <c r="I108" s="215">
        <f t="shared" si="2"/>
        <v>4.37864583333333</v>
      </c>
      <c r="J108" s="215">
        <f t="shared" si="2"/>
        <v>0.826354166666667</v>
      </c>
      <c r="K108" s="215">
        <f t="shared" si="2"/>
        <v>146.008645833333</v>
      </c>
      <c r="L108" s="215">
        <f t="shared" si="2"/>
        <v>22.5161458333333</v>
      </c>
      <c r="M108" s="215">
        <f t="shared" si="2"/>
        <v>81.2271875</v>
      </c>
      <c r="N108" s="215">
        <f t="shared" si="2"/>
        <v>67.3854166666666</v>
      </c>
      <c r="O108" s="215">
        <f t="shared" si="2"/>
        <v>0</v>
      </c>
      <c r="P108" s="215">
        <f t="shared" si="2"/>
        <v>0.568541666666667</v>
      </c>
      <c r="Q108" s="215">
        <f t="shared" si="2"/>
        <v>6.74041666666666</v>
      </c>
      <c r="R108" s="220"/>
      <c r="S108" s="220"/>
      <c r="T108" s="220"/>
      <c r="U108" s="220"/>
    </row>
    <row r="109" spans="1:21">
      <c r="A109" s="214" t="s">
        <v>145</v>
      </c>
      <c r="B109" s="215">
        <f>STDEV(B9:B104)</f>
        <v>4.87400922455555</v>
      </c>
      <c r="C109" s="215">
        <f t="shared" ref="C109:Q109" si="3">STDEV(C9:C104)</f>
        <v>4.2637493988746</v>
      </c>
      <c r="D109" s="215">
        <f t="shared" si="3"/>
        <v>4.84115226492547</v>
      </c>
      <c r="E109" s="215">
        <f t="shared" si="3"/>
        <v>0.688932614215516</v>
      </c>
      <c r="F109" s="215">
        <f t="shared" si="3"/>
        <v>0.390842039704022</v>
      </c>
      <c r="G109" s="215">
        <f t="shared" si="3"/>
        <v>7.83007046639888</v>
      </c>
      <c r="H109" s="215">
        <f t="shared" si="3"/>
        <v>2.85327118363615</v>
      </c>
      <c r="I109" s="215">
        <f t="shared" si="3"/>
        <v>0.476645338284947</v>
      </c>
      <c r="J109" s="215">
        <f t="shared" si="3"/>
        <v>0.819623944310877</v>
      </c>
      <c r="K109" s="215">
        <f t="shared" si="3"/>
        <v>106.60697439039</v>
      </c>
      <c r="L109" s="215">
        <f t="shared" si="3"/>
        <v>1.0673433520383</v>
      </c>
      <c r="M109" s="215">
        <f t="shared" si="3"/>
        <v>7.5762731711887</v>
      </c>
      <c r="N109" s="215">
        <f t="shared" si="3"/>
        <v>107.702937436526</v>
      </c>
      <c r="O109" s="215">
        <f t="shared" si="3"/>
        <v>0</v>
      </c>
      <c r="P109" s="215">
        <f t="shared" si="3"/>
        <v>0.0784719751069959</v>
      </c>
      <c r="Q109" s="215">
        <f t="shared" si="3"/>
        <v>0.40336196795556</v>
      </c>
      <c r="R109" s="220"/>
      <c r="S109" s="220"/>
      <c r="T109" s="220"/>
      <c r="U109" s="220"/>
    </row>
    <row r="110" spans="1:22">
      <c r="A110" s="214" t="s">
        <v>146</v>
      </c>
      <c r="B110" s="216">
        <f t="shared" ref="B110:Q110" si="4">COUNT(B9:B104)</f>
        <v>96</v>
      </c>
      <c r="C110" s="216">
        <f t="shared" si="4"/>
        <v>96</v>
      </c>
      <c r="D110" s="216">
        <f t="shared" si="4"/>
        <v>96</v>
      </c>
      <c r="E110" s="216">
        <f t="shared" si="4"/>
        <v>96</v>
      </c>
      <c r="F110" s="216">
        <f t="shared" si="4"/>
        <v>96</v>
      </c>
      <c r="G110" s="216">
        <f t="shared" si="4"/>
        <v>96</v>
      </c>
      <c r="H110" s="216">
        <f t="shared" si="4"/>
        <v>96</v>
      </c>
      <c r="I110" s="216">
        <f t="shared" si="4"/>
        <v>96</v>
      </c>
      <c r="J110" s="216">
        <f t="shared" si="4"/>
        <v>96</v>
      </c>
      <c r="K110" s="216">
        <f t="shared" si="4"/>
        <v>96</v>
      </c>
      <c r="L110" s="216">
        <f t="shared" si="4"/>
        <v>96</v>
      </c>
      <c r="M110" s="216">
        <f t="shared" si="4"/>
        <v>96</v>
      </c>
      <c r="N110" s="216">
        <f t="shared" si="4"/>
        <v>96</v>
      </c>
      <c r="O110" s="216">
        <f t="shared" si="4"/>
        <v>96</v>
      </c>
      <c r="P110" s="216">
        <f t="shared" si="4"/>
        <v>96</v>
      </c>
      <c r="Q110" s="216">
        <f t="shared" si="4"/>
        <v>96</v>
      </c>
      <c r="R110" s="221"/>
      <c r="S110" s="221"/>
      <c r="T110" s="221"/>
      <c r="U110" s="221"/>
      <c r="V110" s="216"/>
    </row>
    <row r="111" spans="1:21">
      <c r="A111" s="184" t="s">
        <v>147</v>
      </c>
      <c r="B111" s="178" t="str">
        <f>IF(B110&gt;=87,"&gt;90%",IF(B110&lt;=87,"&lt;90%"))</f>
        <v>&gt;90%</v>
      </c>
      <c r="C111" s="178" t="str">
        <f t="shared" ref="C111:Q111" si="5">IF(C110&gt;=87,"&gt;90%",IF(C110&lt;=87,"&lt;90%"))</f>
        <v>&gt;90%</v>
      </c>
      <c r="D111" s="178" t="str">
        <f t="shared" si="5"/>
        <v>&gt;90%</v>
      </c>
      <c r="E111" s="178" t="str">
        <f t="shared" si="5"/>
        <v>&gt;90%</v>
      </c>
      <c r="F111" s="178" t="str">
        <f t="shared" si="5"/>
        <v>&gt;90%</v>
      </c>
      <c r="G111" s="178" t="str">
        <f t="shared" si="5"/>
        <v>&gt;90%</v>
      </c>
      <c r="H111" s="178" t="str">
        <f t="shared" si="5"/>
        <v>&gt;90%</v>
      </c>
      <c r="I111" s="178" t="str">
        <f t="shared" si="5"/>
        <v>&gt;90%</v>
      </c>
      <c r="J111" s="178" t="str">
        <f t="shared" si="5"/>
        <v>&gt;90%</v>
      </c>
      <c r="K111" s="178" t="str">
        <f t="shared" si="5"/>
        <v>&gt;90%</v>
      </c>
      <c r="L111" s="178" t="str">
        <f t="shared" si="5"/>
        <v>&gt;90%</v>
      </c>
      <c r="M111" s="178" t="str">
        <f t="shared" si="5"/>
        <v>&gt;90%</v>
      </c>
      <c r="N111" s="178" t="str">
        <f t="shared" si="5"/>
        <v>&gt;90%</v>
      </c>
      <c r="O111" s="178" t="str">
        <f t="shared" si="5"/>
        <v>&gt;90%</v>
      </c>
      <c r="P111" s="178" t="str">
        <f t="shared" si="5"/>
        <v>&gt;90%</v>
      </c>
      <c r="Q111" s="178" t="str">
        <f t="shared" si="5"/>
        <v>&gt;90%</v>
      </c>
      <c r="R111" s="207"/>
      <c r="S111" s="207"/>
      <c r="T111" s="207"/>
      <c r="U111" s="207"/>
    </row>
    <row r="112" spans="1:21">
      <c r="A112" s="184" t="s">
        <v>148</v>
      </c>
      <c r="B112" s="178" t="str">
        <f>IF(B110&gt;=87,"OK",IF(B110&lt;=87,"LESS"))</f>
        <v>OK</v>
      </c>
      <c r="C112" s="178" t="str">
        <f t="shared" ref="C112:Q112" si="6">IF(C110&gt;=87,"OK",IF(C110&lt;=87,"LESS"))</f>
        <v>OK</v>
      </c>
      <c r="D112" s="178" t="str">
        <f t="shared" si="6"/>
        <v>OK</v>
      </c>
      <c r="E112" s="178" t="str">
        <f t="shared" si="6"/>
        <v>OK</v>
      </c>
      <c r="F112" s="178" t="str">
        <f t="shared" si="6"/>
        <v>OK</v>
      </c>
      <c r="G112" s="178" t="str">
        <f t="shared" si="6"/>
        <v>OK</v>
      </c>
      <c r="H112" s="178" t="str">
        <f t="shared" si="6"/>
        <v>OK</v>
      </c>
      <c r="I112" s="178" t="str">
        <f t="shared" si="6"/>
        <v>OK</v>
      </c>
      <c r="J112" s="178" t="str">
        <f t="shared" si="6"/>
        <v>OK</v>
      </c>
      <c r="K112" s="178" t="str">
        <f t="shared" si="6"/>
        <v>OK</v>
      </c>
      <c r="L112" s="178" t="str">
        <f t="shared" si="6"/>
        <v>OK</v>
      </c>
      <c r="M112" s="178" t="str">
        <f t="shared" si="6"/>
        <v>OK</v>
      </c>
      <c r="N112" s="178" t="str">
        <f t="shared" si="6"/>
        <v>OK</v>
      </c>
      <c r="O112" s="178" t="str">
        <f t="shared" si="6"/>
        <v>OK</v>
      </c>
      <c r="P112" s="178" t="str">
        <f t="shared" si="6"/>
        <v>OK</v>
      </c>
      <c r="Q112" s="178" t="str">
        <f t="shared" si="6"/>
        <v>OK</v>
      </c>
      <c r="R112" s="207"/>
      <c r="S112" s="207"/>
      <c r="T112" s="207"/>
      <c r="U112" s="207"/>
    </row>
    <row r="113" spans="12:21">
      <c r="L113" s="48"/>
      <c r="N113" s="219"/>
      <c r="O113" s="219"/>
      <c r="P113" s="219"/>
      <c r="Q113" s="219"/>
      <c r="R113" s="219"/>
      <c r="S113" s="219"/>
      <c r="T113" s="219"/>
      <c r="U113" s="219"/>
    </row>
    <row r="115" spans="1:4">
      <c r="A115" s="184" t="s">
        <v>149</v>
      </c>
      <c r="B115" s="192" t="s">
        <v>150</v>
      </c>
      <c r="C115" s="192"/>
      <c r="D115" s="192"/>
    </row>
    <row r="116" spans="4:9">
      <c r="D116" s="194"/>
      <c r="E116" s="194"/>
      <c r="F116" s="194"/>
      <c r="G116" s="194"/>
      <c r="H116" s="194"/>
      <c r="I116" s="194"/>
    </row>
    <row r="117" ht="15.75" spans="1:21">
      <c r="A117" s="217" t="s">
        <v>151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abSelected="1"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A9" sqref="A9:Q46"/>
    </sheetView>
  </sheetViews>
  <sheetFormatPr defaultColWidth="8.85714285714286" defaultRowHeight="15"/>
  <cols>
    <col min="1" max="1" width="15.8571428571429" style="174" customWidth="1"/>
    <col min="2" max="2" width="16.7142857142857" customWidth="1"/>
    <col min="3" max="3" width="9.85714285714286" customWidth="1"/>
    <col min="4" max="4" width="10.2857142857143" customWidth="1"/>
    <col min="5" max="5" width="10.5714285714286" customWidth="1"/>
    <col min="7" max="7" width="10.7142857142857" customWidth="1"/>
    <col min="8" max="8" width="12.2857142857143" customWidth="1"/>
    <col min="9" max="9" width="10.4285714285714" customWidth="1"/>
    <col min="11" max="11" width="9.57142857142857" customWidth="1"/>
    <col min="12" max="12" width="10.4285714285714" customWidth="1"/>
    <col min="13" max="13" width="10" customWidth="1"/>
    <col min="17" max="17" width="9.71428571428571" customWidth="1"/>
    <col min="20" max="20" width="10.2857142857143" customWidth="1"/>
  </cols>
  <sheetData>
    <row r="1" s="2" customFormat="1" spans="1:21">
      <c r="A1" s="175" t="s">
        <v>0</v>
      </c>
      <c r="B1" s="176" t="s">
        <v>2933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="2" customFormat="1" spans="1:21">
      <c r="A2" s="175" t="s">
        <v>2</v>
      </c>
      <c r="B2" s="179" t="str">
        <f>$A$9</f>
        <v>01/04/2023 00:15</v>
      </c>
      <c r="C2"/>
      <c r="D2" s="65" t="s">
        <v>3</v>
      </c>
      <c r="E2" s="65"/>
      <c r="F2" s="65"/>
      <c r="G2" s="180" t="s">
        <v>4</v>
      </c>
      <c r="H2" s="181"/>
      <c r="I2" s="181"/>
      <c r="J2" s="181"/>
      <c r="K2" s="178"/>
      <c r="L2" s="65" t="s">
        <v>5</v>
      </c>
      <c r="M2" s="178"/>
      <c r="N2" s="197" t="s">
        <v>6</v>
      </c>
      <c r="P2" s="198" t="s">
        <v>7</v>
      </c>
      <c r="Q2" s="178"/>
      <c r="R2" s="204" t="s">
        <v>8</v>
      </c>
      <c r="S2"/>
      <c r="T2"/>
      <c r="U2"/>
    </row>
    <row r="3" s="2" customFormat="1" spans="1:21">
      <c r="A3" s="175" t="s">
        <v>9</v>
      </c>
      <c r="B3" s="178" t="s">
        <v>10</v>
      </c>
      <c r="C3"/>
      <c r="D3" s="65" t="s">
        <v>11</v>
      </c>
      <c r="E3" s="65"/>
      <c r="F3" s="65"/>
      <c r="G3" s="182" t="s">
        <v>12</v>
      </c>
      <c r="H3" s="181"/>
      <c r="I3" s="175"/>
      <c r="J3" s="181"/>
      <c r="K3"/>
      <c r="L3" s="65" t="s">
        <v>13</v>
      </c>
      <c r="M3" s="178"/>
      <c r="N3" s="199" t="s">
        <v>14</v>
      </c>
      <c r="O3" s="178"/>
      <c r="P3" s="200" t="s">
        <v>15</v>
      </c>
      <c r="Q3" s="178"/>
      <c r="R3" s="205" t="s">
        <v>15</v>
      </c>
      <c r="S3"/>
      <c r="T3"/>
      <c r="U3"/>
    </row>
    <row r="4" s="2" customFormat="1" spans="1:21">
      <c r="A4" s="175" t="s">
        <v>16</v>
      </c>
      <c r="B4" s="178" t="s">
        <v>2934</v>
      </c>
      <c r="C4"/>
      <c r="D4" s="65" t="s">
        <v>18</v>
      </c>
      <c r="E4" s="65"/>
      <c r="F4" s="65"/>
      <c r="G4" s="183" t="s">
        <v>19</v>
      </c>
      <c r="H4" s="181"/>
      <c r="I4" s="175"/>
      <c r="J4" s="181"/>
      <c r="K4" s="201"/>
      <c r="L4" s="65" t="s">
        <v>20</v>
      </c>
      <c r="M4" s="178"/>
      <c r="N4" s="202" t="s">
        <v>21</v>
      </c>
      <c r="O4" s="178"/>
      <c r="P4" s="178"/>
      <c r="Q4" s="178"/>
      <c r="R4" s="178"/>
      <c r="S4"/>
      <c r="T4"/>
      <c r="U4"/>
    </row>
    <row r="5" s="2" customFormat="1" spans="1:21">
      <c r="A5" s="175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="2" customFormat="1" spans="1:21">
      <c r="A6" s="175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="2" customFormat="1" spans="1:21">
      <c r="A7" s="185" t="s">
        <v>22</v>
      </c>
      <c r="B7" s="186" t="s">
        <v>2935</v>
      </c>
      <c r="C7" s="186" t="s">
        <v>2936</v>
      </c>
      <c r="D7" s="186" t="s">
        <v>2937</v>
      </c>
      <c r="E7" s="186" t="s">
        <v>2938</v>
      </c>
      <c r="F7" s="186" t="s">
        <v>2939</v>
      </c>
      <c r="G7" s="186" t="s">
        <v>2940</v>
      </c>
      <c r="H7" s="186" t="s">
        <v>2941</v>
      </c>
      <c r="I7" s="186" t="s">
        <v>2942</v>
      </c>
      <c r="J7" s="186" t="s">
        <v>2943</v>
      </c>
      <c r="K7" s="186" t="s">
        <v>2944</v>
      </c>
      <c r="L7" s="186" t="s">
        <v>2945</v>
      </c>
      <c r="M7" s="186" t="s">
        <v>2946</v>
      </c>
      <c r="N7" s="186" t="s">
        <v>2947</v>
      </c>
      <c r="O7" s="186" t="s">
        <v>2948</v>
      </c>
      <c r="P7" s="203" t="s">
        <v>2949</v>
      </c>
      <c r="Q7" s="186" t="s">
        <v>2950</v>
      </c>
      <c r="R7" s="206"/>
      <c r="S7" s="207"/>
      <c r="T7" s="206"/>
      <c r="U7" s="206"/>
    </row>
    <row r="8" s="2" customFormat="1" spans="1:21">
      <c r="A8" s="185"/>
      <c r="B8" s="178" t="s">
        <v>39</v>
      </c>
      <c r="C8" s="178" t="s">
        <v>39</v>
      </c>
      <c r="D8" s="178" t="s">
        <v>39</v>
      </c>
      <c r="E8" s="178" t="s">
        <v>39</v>
      </c>
      <c r="F8" s="178" t="s">
        <v>39</v>
      </c>
      <c r="G8" s="178" t="s">
        <v>39</v>
      </c>
      <c r="H8" s="178" t="s">
        <v>39</v>
      </c>
      <c r="I8" s="178" t="s">
        <v>39</v>
      </c>
      <c r="J8" s="178" t="s">
        <v>40</v>
      </c>
      <c r="K8" s="178" t="s">
        <v>41</v>
      </c>
      <c r="L8" s="184" t="s">
        <v>42</v>
      </c>
      <c r="M8" s="178" t="s">
        <v>43</v>
      </c>
      <c r="N8" s="178" t="s">
        <v>44</v>
      </c>
      <c r="O8" s="184" t="s">
        <v>45</v>
      </c>
      <c r="P8" s="178" t="s">
        <v>46</v>
      </c>
      <c r="Q8" s="123" t="s">
        <v>39</v>
      </c>
      <c r="R8" s="206"/>
      <c r="S8" s="207"/>
      <c r="T8" s="206"/>
      <c r="U8" s="206"/>
    </row>
    <row r="9" spans="1:21">
      <c r="A9" s="175" t="str">
        <f>'01'!$B$2</f>
        <v>01/04/2023 00:15</v>
      </c>
      <c r="B9" s="121">
        <f>'01'!B108</f>
        <v>21.2720833333333</v>
      </c>
      <c r="C9" s="121">
        <f>'01'!C108</f>
        <v>59.7964583333334</v>
      </c>
      <c r="D9" s="121">
        <f>'01'!D108</f>
        <v>49.1732291666667</v>
      </c>
      <c r="E9" s="121">
        <f>'01'!E108</f>
        <v>7.27333333333333</v>
      </c>
      <c r="F9" s="121">
        <f>'01'!F108</f>
        <v>7.07854166666667</v>
      </c>
      <c r="G9" s="121">
        <f>'01'!G108</f>
        <v>27.2065882352941</v>
      </c>
      <c r="H9" s="121">
        <f>'01'!H108</f>
        <v>12.4095945945946</v>
      </c>
      <c r="I9" s="121">
        <f>'01'!I108</f>
        <v>4.40020833333333</v>
      </c>
      <c r="J9" s="121">
        <f>'01'!J108</f>
        <v>0.439270833333333</v>
      </c>
      <c r="K9" s="121">
        <f>'01'!K108</f>
        <v>170.449791666667</v>
      </c>
      <c r="L9" s="121">
        <f>'01'!L108</f>
        <v>26.6136458333334</v>
      </c>
      <c r="M9" s="121">
        <f>'01'!M108</f>
        <v>58.9167708333334</v>
      </c>
      <c r="N9" s="121">
        <f>'01'!N108</f>
        <v>217.728125</v>
      </c>
      <c r="O9" s="121">
        <f>'01'!O108</f>
        <v>0</v>
      </c>
      <c r="P9" s="121">
        <f>'01'!P108</f>
        <v>0.5228125</v>
      </c>
      <c r="Q9" s="121">
        <f>'01'!Q108</f>
        <v>6.765625</v>
      </c>
      <c r="R9" s="190"/>
      <c r="S9" s="190"/>
      <c r="T9" s="190"/>
      <c r="U9" s="190"/>
    </row>
    <row r="10" spans="1:21">
      <c r="A10" s="175" t="str">
        <f>'02'!$B$2</f>
        <v>02/04/2023 00:15</v>
      </c>
      <c r="B10" s="121">
        <f>'02'!B108</f>
        <v>29.3896703296703</v>
      </c>
      <c r="C10" s="121">
        <f>'02'!C108</f>
        <v>65.2494505494505</v>
      </c>
      <c r="D10" s="121">
        <f>'02'!D108</f>
        <v>58.5554945054945</v>
      </c>
      <c r="E10" s="121">
        <f>'02'!E108</f>
        <v>8.18027027027027</v>
      </c>
      <c r="F10" s="121">
        <f>'02'!F108</f>
        <v>6.61934065934066</v>
      </c>
      <c r="G10" s="121">
        <f>'02'!G108</f>
        <v>51.4477528089888</v>
      </c>
      <c r="H10" s="121">
        <f>'02'!H108</f>
        <v>19.9470786516854</v>
      </c>
      <c r="I10" s="121">
        <f>'02'!I108</f>
        <v>6.46855555555556</v>
      </c>
      <c r="J10" s="121">
        <f>'02'!J108</f>
        <v>0.449340659340659</v>
      </c>
      <c r="K10" s="121">
        <f>'02'!K108</f>
        <v>172.31597826087</v>
      </c>
      <c r="L10" s="121">
        <f>'02'!L108</f>
        <v>27.8684782608696</v>
      </c>
      <c r="M10" s="121">
        <f>'02'!M108</f>
        <v>49.1976086956522</v>
      </c>
      <c r="N10" s="121">
        <f>'02'!N108</f>
        <v>188.144565217391</v>
      </c>
      <c r="O10" s="121">
        <f>'02'!O108</f>
        <v>0</v>
      </c>
      <c r="P10" s="121">
        <f>'02'!P108</f>
        <v>0.652173913043478</v>
      </c>
      <c r="Q10" s="121">
        <f>'02'!Q108</f>
        <v>6.71944444444445</v>
      </c>
      <c r="R10" s="190"/>
      <c r="S10" s="190"/>
      <c r="T10" s="190"/>
      <c r="U10" s="190"/>
    </row>
    <row r="11" spans="1:21">
      <c r="A11" s="175" t="str">
        <f>'03'!$B$2</f>
        <v>03/04/2023 00:15</v>
      </c>
      <c r="B11" s="121">
        <f>'03'!B108</f>
        <v>31.26125</v>
      </c>
      <c r="C11" s="121">
        <f>'03'!C108</f>
        <v>64.9357291666667</v>
      </c>
      <c r="D11" s="121">
        <f>'03'!D108</f>
        <v>59.8694791666667</v>
      </c>
      <c r="E11" s="121">
        <f>'03'!E108</f>
        <v>8.684375</v>
      </c>
      <c r="F11" s="121">
        <f>'03'!F108</f>
        <v>8.86197916666667</v>
      </c>
      <c r="G11" s="121">
        <f>'03'!G108</f>
        <v>66.1946875</v>
      </c>
      <c r="H11" s="121">
        <f>'03'!H108</f>
        <v>25.6876041666667</v>
      </c>
      <c r="I11" s="121">
        <f>'03'!I108</f>
        <v>7.226875</v>
      </c>
      <c r="J11" s="121">
        <f>'03'!J108</f>
        <v>0.395104166666667</v>
      </c>
      <c r="K11" s="121">
        <f>'03'!K108</f>
        <v>176.266041666667</v>
      </c>
      <c r="L11" s="121">
        <f>'03'!L108</f>
        <v>28.6777083333333</v>
      </c>
      <c r="M11" s="121">
        <f>'03'!M108</f>
        <v>46.0595833333333</v>
      </c>
      <c r="N11" s="121">
        <f>'03'!N108</f>
        <v>210.763541666667</v>
      </c>
      <c r="O11" s="121">
        <f>'03'!O108</f>
        <v>0</v>
      </c>
      <c r="P11" s="121">
        <f>'03'!P108</f>
        <v>0.803645833333333</v>
      </c>
      <c r="Q11" s="121">
        <f>'03'!Q108</f>
        <v>5.0828125</v>
      </c>
      <c r="R11" s="190"/>
      <c r="S11" s="190"/>
      <c r="T11" s="190"/>
      <c r="U11" s="190"/>
    </row>
    <row r="12" spans="1:21">
      <c r="A12" s="175" t="str">
        <f>'04'!$B$2</f>
        <v>04/04/2023 00:15</v>
      </c>
      <c r="B12" s="121">
        <f>'04'!B108</f>
        <v>14.1690625</v>
      </c>
      <c r="C12" s="121">
        <f>'04'!C108</f>
        <v>64.0892708333333</v>
      </c>
      <c r="D12" s="121">
        <f>'04'!D108</f>
        <v>45.7208333333333</v>
      </c>
      <c r="E12" s="121">
        <f>'04'!E108</f>
        <v>8.5075</v>
      </c>
      <c r="F12" s="121">
        <f>'04'!F108</f>
        <v>7.5665625</v>
      </c>
      <c r="G12" s="121">
        <f>'04'!G108</f>
        <v>38.7335416666667</v>
      </c>
      <c r="H12" s="121">
        <f>'04'!H108</f>
        <v>18.758125</v>
      </c>
      <c r="I12" s="121">
        <f>'04'!I108</f>
        <v>4.60354166666667</v>
      </c>
      <c r="J12" s="121">
        <f>'04'!J108</f>
        <v>0.5753125</v>
      </c>
      <c r="K12" s="121">
        <f>'04'!K108</f>
        <v>202.716875</v>
      </c>
      <c r="L12" s="121">
        <f>'04'!L108</f>
        <v>29.519375</v>
      </c>
      <c r="M12" s="121">
        <f>'04'!M108</f>
        <v>49.8172916666667</v>
      </c>
      <c r="N12" s="121">
        <f>'04'!N108</f>
        <v>172.397916666667</v>
      </c>
      <c r="O12" s="121">
        <f>'04'!O108</f>
        <v>0</v>
      </c>
      <c r="P12" s="121">
        <f>'04'!P108</f>
        <v>0.59375</v>
      </c>
      <c r="Q12" s="121">
        <f>'04'!Q108</f>
        <v>5</v>
      </c>
      <c r="R12" s="190"/>
      <c r="S12" s="190"/>
      <c r="T12" s="190"/>
      <c r="U12" s="190"/>
    </row>
    <row r="13" spans="1:21">
      <c r="A13" s="175" t="str">
        <f>'05'!$B$2</f>
        <v>05/04/2023 00:15</v>
      </c>
      <c r="B13" s="121">
        <f>'05'!B108</f>
        <v>16.7713541666667</v>
      </c>
      <c r="C13" s="121">
        <f>'05'!C108</f>
        <v>65.1648958333333</v>
      </c>
      <c r="D13" s="121">
        <f>'05'!D108</f>
        <v>48.3701041666666</v>
      </c>
      <c r="E13" s="121">
        <f>'05'!E108</f>
        <v>11.6130208333333</v>
      </c>
      <c r="F13" s="121">
        <f>'05'!F108</f>
        <v>10.7035416666667</v>
      </c>
      <c r="G13" s="121">
        <f>'05'!G108</f>
        <v>59.03375</v>
      </c>
      <c r="H13" s="121">
        <f>'05'!H108</f>
        <v>21.508125</v>
      </c>
      <c r="I13" s="121">
        <f>'05'!I108</f>
        <v>6.72270833333333</v>
      </c>
      <c r="J13" s="121">
        <f>'05'!J108</f>
        <v>0.343958333333333</v>
      </c>
      <c r="K13" s="121">
        <f>'05'!K108</f>
        <v>161.93125</v>
      </c>
      <c r="L13" s="121">
        <f>'05'!L108</f>
        <v>29.67625</v>
      </c>
      <c r="M13" s="121">
        <f>'05'!M108</f>
        <v>46.0333333333333</v>
      </c>
      <c r="N13" s="121">
        <f>'05'!N108</f>
        <v>171.59375</v>
      </c>
      <c r="O13" s="121">
        <f>'05'!O108</f>
        <v>0</v>
      </c>
      <c r="P13" s="121">
        <f>'05'!P108</f>
        <v>0.69875</v>
      </c>
      <c r="Q13" s="121">
        <f>'05'!Q108</f>
        <v>4.99885416666667</v>
      </c>
      <c r="R13" s="190"/>
      <c r="S13" s="190"/>
      <c r="T13" s="190"/>
      <c r="U13" s="190"/>
    </row>
    <row r="14" spans="1:21">
      <c r="A14" s="175" t="str">
        <f>'06'!$B$2</f>
        <v>06/04/2023 00:15</v>
      </c>
      <c r="B14" s="121">
        <f>'06'!B108</f>
        <v>21.7741666666667</v>
      </c>
      <c r="C14" s="121">
        <f>'06'!C108</f>
        <v>68.4797916666667</v>
      </c>
      <c r="D14" s="121">
        <f>'06'!D108</f>
        <v>54.13125</v>
      </c>
      <c r="E14" s="121">
        <f>'06'!E108</f>
        <v>13.105625</v>
      </c>
      <c r="F14" s="121">
        <f>'06'!F108</f>
        <v>8.99916666666667</v>
      </c>
      <c r="G14" s="121">
        <f>'06'!G108</f>
        <v>85.5072916666666</v>
      </c>
      <c r="H14" s="121">
        <f>'06'!H108</f>
        <v>28.9690625</v>
      </c>
      <c r="I14" s="121">
        <f>'06'!I108</f>
        <v>6.48166666666667</v>
      </c>
      <c r="J14" s="121">
        <f>'06'!J108</f>
        <v>0.401354166666667</v>
      </c>
      <c r="K14" s="121">
        <f>'06'!K108</f>
        <v>151.930729166667</v>
      </c>
      <c r="L14" s="121">
        <f>'06'!L108</f>
        <v>28.7880208333333</v>
      </c>
      <c r="M14" s="121">
        <f>'06'!M108</f>
        <v>49.1217708333333</v>
      </c>
      <c r="N14" s="121">
        <f>'06'!N108</f>
        <v>134.085416666667</v>
      </c>
      <c r="O14" s="121">
        <f>'06'!O108</f>
        <v>0</v>
      </c>
      <c r="P14" s="121">
        <f>'06'!P108</f>
        <v>0.7959375</v>
      </c>
      <c r="Q14" s="121">
        <f>'06'!Q108</f>
        <v>5</v>
      </c>
      <c r="R14" s="190"/>
      <c r="S14" s="190"/>
      <c r="T14" s="190"/>
      <c r="U14" s="190"/>
    </row>
    <row r="15" spans="1:21">
      <c r="A15" s="175" t="str">
        <f>'07'!$B$2</f>
        <v>07/04/2023 00:15</v>
      </c>
      <c r="B15" s="121">
        <f>'07'!B108</f>
        <v>13.7551041666667</v>
      </c>
      <c r="C15" s="121">
        <f>'07'!C108</f>
        <v>62.6552083333333</v>
      </c>
      <c r="D15" s="121">
        <f>'07'!D108</f>
        <v>44.6398958333333</v>
      </c>
      <c r="E15" s="121">
        <f>'07'!E108</f>
        <v>9.435625</v>
      </c>
      <c r="F15" s="121">
        <f>'07'!F108</f>
        <v>12.146875</v>
      </c>
      <c r="G15" s="121">
        <f>'07'!G108</f>
        <v>41.4941666666667</v>
      </c>
      <c r="H15" s="121">
        <f>'07'!H108</f>
        <v>17.1538541666667</v>
      </c>
      <c r="I15" s="121">
        <f>'07'!I108</f>
        <v>4.30239583333333</v>
      </c>
      <c r="J15" s="121">
        <f>'07'!J108</f>
        <v>0.660729166666667</v>
      </c>
      <c r="K15" s="121">
        <f>'07'!K108</f>
        <v>169.0359375</v>
      </c>
      <c r="L15" s="121">
        <f>'07'!L108</f>
        <v>29.4692708333333</v>
      </c>
      <c r="M15" s="121">
        <f>'07'!M108</f>
        <v>48.820625</v>
      </c>
      <c r="N15" s="121">
        <f>'07'!N108</f>
        <v>185.923958333333</v>
      </c>
      <c r="O15" s="121">
        <f>'07'!O108</f>
        <v>0</v>
      </c>
      <c r="P15" s="121">
        <f>'07'!P108</f>
        <v>0.557604166666667</v>
      </c>
      <c r="Q15" s="121">
        <f>'07'!Q108</f>
        <v>5</v>
      </c>
      <c r="R15" s="190"/>
      <c r="S15" s="190"/>
      <c r="T15" s="190"/>
      <c r="U15" s="190"/>
    </row>
    <row r="16" spans="1:21">
      <c r="A16" s="175" t="str">
        <f>'08'!$B$2</f>
        <v>08/04/2023 00:15</v>
      </c>
      <c r="B16" s="121">
        <f>'08'!B108</f>
        <v>15.4310752688172</v>
      </c>
      <c r="C16" s="121">
        <f>'08'!C108</f>
        <v>65.5730107526882</v>
      </c>
      <c r="D16" s="121">
        <f>'08'!D108</f>
        <v>47.7343010752688</v>
      </c>
      <c r="E16" s="121">
        <f>'08'!E108</f>
        <v>8.19157303370787</v>
      </c>
      <c r="F16" s="121">
        <f>'08'!F108</f>
        <v>7.15084210526316</v>
      </c>
      <c r="G16" s="121">
        <f>'08'!G108</f>
        <v>55.4081318681319</v>
      </c>
      <c r="H16" s="121">
        <f>'08'!H108</f>
        <v>16.7592307692308</v>
      </c>
      <c r="I16" s="121">
        <f>'08'!I108</f>
        <v>10.5339583333333</v>
      </c>
      <c r="J16" s="121">
        <f>'08'!J108</f>
        <v>0.853958333333333</v>
      </c>
      <c r="K16" s="121">
        <f>'08'!K108</f>
        <v>152.807291666667</v>
      </c>
      <c r="L16" s="121">
        <f>'08'!L108</f>
        <v>27.0548958333333</v>
      </c>
      <c r="M16" s="121">
        <f>'08'!M108</f>
        <v>45.2817708333333</v>
      </c>
      <c r="N16" s="121">
        <f>'08'!N108</f>
        <v>122.09375</v>
      </c>
      <c r="O16" s="121">
        <f>'08'!O108</f>
        <v>0</v>
      </c>
      <c r="P16" s="121">
        <f>'08'!P108</f>
        <v>0.577708333333333</v>
      </c>
      <c r="Q16" s="121">
        <f>'08'!Q108</f>
        <v>5.26741935483871</v>
      </c>
      <c r="R16" s="190"/>
      <c r="S16" s="190"/>
      <c r="T16" s="190"/>
      <c r="U16" s="190"/>
    </row>
    <row r="17" spans="1:21">
      <c r="A17" s="175" t="str">
        <f>'09'!$B$2</f>
        <v>09/04/2023 00:15</v>
      </c>
      <c r="B17" s="121">
        <f>'09'!B108</f>
        <v>22.1052083333333</v>
      </c>
      <c r="C17" s="121">
        <f>'09'!C108</f>
        <v>66.1394791666667</v>
      </c>
      <c r="D17" s="121">
        <f>'09'!D108</f>
        <v>53.63375</v>
      </c>
      <c r="E17" s="121">
        <f>'09'!E108</f>
        <v>10.66875</v>
      </c>
      <c r="F17" s="121">
        <f>'09'!F108</f>
        <v>11.483125</v>
      </c>
      <c r="G17" s="121">
        <f>'09'!G108</f>
        <v>64.42125</v>
      </c>
      <c r="H17" s="121">
        <f>'09'!H108</f>
        <v>24.710625</v>
      </c>
      <c r="I17" s="121">
        <f>'09'!I108</f>
        <v>6.96791666666667</v>
      </c>
      <c r="J17" s="121">
        <f>'09'!J108</f>
        <v>0.530208333333333</v>
      </c>
      <c r="K17" s="121">
        <f>'09'!K108</f>
        <v>152.525625</v>
      </c>
      <c r="L17" s="121">
        <f>'09'!L108</f>
        <v>29.6855208333333</v>
      </c>
      <c r="M17" s="121">
        <f>'09'!M108</f>
        <v>42.3066666666666</v>
      </c>
      <c r="N17" s="121">
        <f>'09'!N108</f>
        <v>196.109375</v>
      </c>
      <c r="O17" s="121">
        <f>'09'!O108</f>
        <v>0</v>
      </c>
      <c r="P17" s="121">
        <f>'09'!P108</f>
        <v>0.76875</v>
      </c>
      <c r="Q17" s="121">
        <f>'09'!Q108</f>
        <v>6.1440625</v>
      </c>
      <c r="R17" s="190"/>
      <c r="S17" s="190"/>
      <c r="T17" s="190"/>
      <c r="U17" s="190"/>
    </row>
    <row r="18" spans="1:21">
      <c r="A18" s="175" t="str">
        <f>'10'!$B$2</f>
        <v>10/04/2023 00:15</v>
      </c>
      <c r="B18" s="121">
        <f>'10'!B108</f>
        <v>14.9280208333333</v>
      </c>
      <c r="C18" s="121">
        <f>'10'!C108</f>
        <v>63.9170833333333</v>
      </c>
      <c r="D18" s="121">
        <f>'10'!D108</f>
        <v>46.7169791666666</v>
      </c>
      <c r="E18" s="121">
        <f>'10'!E108</f>
        <v>9.61979166666667</v>
      </c>
      <c r="F18" s="121">
        <f>'10'!F108</f>
        <v>12.2516666666667</v>
      </c>
      <c r="G18" s="121">
        <f>'10'!G108</f>
        <v>45.6365625</v>
      </c>
      <c r="H18" s="121">
        <f>'10'!H108</f>
        <v>16.8478125</v>
      </c>
      <c r="I18" s="121">
        <f>'10'!I108</f>
        <v>5.21708333333333</v>
      </c>
      <c r="J18" s="121">
        <f>'10'!J108</f>
        <v>0.428541666666667</v>
      </c>
      <c r="K18" s="121">
        <f>'10'!K108</f>
        <v>206.254270833333</v>
      </c>
      <c r="L18" s="121">
        <f>'10'!L108</f>
        <v>29.8252083333333</v>
      </c>
      <c r="M18" s="121">
        <f>'10'!M108</f>
        <v>43.1230208333333</v>
      </c>
      <c r="N18" s="121">
        <f>'10'!N108</f>
        <v>176.776041666667</v>
      </c>
      <c r="O18" s="121">
        <f>'10'!O108</f>
        <v>0</v>
      </c>
      <c r="P18" s="121">
        <f>'10'!P108</f>
        <v>0.690208333333333</v>
      </c>
      <c r="Q18" s="121">
        <f>'10'!Q108</f>
        <v>5.58364583333333</v>
      </c>
      <c r="R18" s="190"/>
      <c r="S18" s="190"/>
      <c r="T18" s="190"/>
      <c r="U18" s="190"/>
    </row>
    <row r="19" spans="1:21">
      <c r="A19" s="175" t="str">
        <f>'11'!$B$2</f>
        <v>11/04/2023 00:15</v>
      </c>
      <c r="B19" s="121">
        <f>'11'!B108</f>
        <v>14.7665625</v>
      </c>
      <c r="C19" s="121">
        <f>'11'!C108</f>
        <v>66.3246875</v>
      </c>
      <c r="D19" s="121">
        <f>'11'!D108</f>
        <v>47.9301041666667</v>
      </c>
      <c r="E19" s="121">
        <f>'11'!E108</f>
        <v>12.3788541666667</v>
      </c>
      <c r="F19" s="121">
        <f>'11'!F108</f>
        <v>14.1519791666667</v>
      </c>
      <c r="G19" s="121">
        <f>'11'!G108</f>
        <v>62.4733333333334</v>
      </c>
      <c r="H19" s="121">
        <f>'11'!H108</f>
        <v>24.1955208333333</v>
      </c>
      <c r="I19" s="121">
        <f>'11'!I108</f>
        <v>6.296875</v>
      </c>
      <c r="J19" s="121">
        <f>'11'!J108</f>
        <v>0.362083333333333</v>
      </c>
      <c r="K19" s="121">
        <f>'11'!K108</f>
        <v>165.7528125</v>
      </c>
      <c r="L19" s="121">
        <f>'11'!L108</f>
        <v>31.42</v>
      </c>
      <c r="M19" s="121">
        <f>'11'!M108</f>
        <v>39.0161458333333</v>
      </c>
      <c r="N19" s="121">
        <f>'11'!N108</f>
        <v>189.646875</v>
      </c>
      <c r="O19" s="121">
        <f>'11'!O108</f>
        <v>0</v>
      </c>
      <c r="P19" s="121">
        <f>'11'!P108</f>
        <v>0.755729166666667</v>
      </c>
      <c r="Q19" s="121">
        <f>'11'!Q108</f>
        <v>5.70177083333333</v>
      </c>
      <c r="R19" s="190"/>
      <c r="S19" s="190"/>
      <c r="T19" s="190"/>
      <c r="U19" s="190"/>
    </row>
    <row r="20" spans="1:21">
      <c r="A20" s="175" t="str">
        <f>'12'!$B$2</f>
        <v>12/04/2023 00:15</v>
      </c>
      <c r="B20" s="121">
        <f>'12'!B108</f>
        <v>17.9994791666667</v>
      </c>
      <c r="C20" s="121">
        <f>'12'!C108</f>
        <v>64.8110416666666</v>
      </c>
      <c r="D20" s="121">
        <f>'12'!D108</f>
        <v>49.8020833333333</v>
      </c>
      <c r="E20" s="121">
        <f>'12'!E108</f>
        <v>12.9728125</v>
      </c>
      <c r="F20" s="121">
        <f>'12'!F108</f>
        <v>21.44</v>
      </c>
      <c r="G20" s="121">
        <f>'12'!G108</f>
        <v>71.9376041666667</v>
      </c>
      <c r="H20" s="121">
        <f>'12'!H108</f>
        <v>25.901875</v>
      </c>
      <c r="I20" s="121">
        <f>'12'!I108</f>
        <v>6.48145833333333</v>
      </c>
      <c r="J20" s="121">
        <f>'12'!J108</f>
        <v>0.277395833333334</v>
      </c>
      <c r="K20" s="121">
        <f>'12'!K108</f>
        <v>151.9040625</v>
      </c>
      <c r="L20" s="121">
        <f>'12'!L108</f>
        <v>32.274375</v>
      </c>
      <c r="M20" s="121">
        <f>'12'!M108</f>
        <v>32.9176041666667</v>
      </c>
      <c r="N20" s="121">
        <f>'12'!N108</f>
        <v>199.855208333333</v>
      </c>
      <c r="O20" s="121">
        <f>'12'!O108</f>
        <v>0</v>
      </c>
      <c r="P20" s="121">
        <f>'12'!P108</f>
        <v>0.721875</v>
      </c>
      <c r="Q20" s="121">
        <f>'12'!Q108</f>
        <v>5.93854166666667</v>
      </c>
      <c r="R20" s="190"/>
      <c r="S20" s="190"/>
      <c r="T20" s="190"/>
      <c r="U20" s="190"/>
    </row>
    <row r="21" s="173" customFormat="1" spans="1:21">
      <c r="A21" s="187">
        <f>'13'!$B$2</f>
        <v>45029.0104166667</v>
      </c>
      <c r="B21" s="188">
        <f>'13'!B108</f>
        <v>15.0048958333333</v>
      </c>
      <c r="C21" s="188">
        <f>'13'!C108</f>
        <v>59.1108333333333</v>
      </c>
      <c r="D21" s="188">
        <f>'13'!D108</f>
        <v>44.2672916666667</v>
      </c>
      <c r="E21" s="188">
        <f>'13'!E108</f>
        <v>14.316875</v>
      </c>
      <c r="F21" s="188">
        <f>'13'!F108</f>
        <v>28.7178125</v>
      </c>
      <c r="G21" s="188">
        <f>'13'!G108</f>
        <v>76.9388541666666</v>
      </c>
      <c r="H21" s="188">
        <f>'13'!H108</f>
        <v>30.8723958333333</v>
      </c>
      <c r="I21" s="188">
        <f>'13'!I108</f>
        <v>7.7390625</v>
      </c>
      <c r="J21" s="188">
        <f>'13'!J108</f>
        <v>0.385104166666667</v>
      </c>
      <c r="K21" s="188">
        <f>'13'!K108</f>
        <v>195.171041666667</v>
      </c>
      <c r="L21" s="188">
        <f>'13'!L108</f>
        <v>32.6183333333333</v>
      </c>
      <c r="M21" s="188">
        <f>'13'!M108</f>
        <v>34.6366666666666</v>
      </c>
      <c r="N21" s="188">
        <f>'13'!N108</f>
        <v>171.275</v>
      </c>
      <c r="O21" s="188">
        <f>'13'!O108</f>
        <v>0</v>
      </c>
      <c r="P21" s="188">
        <f>'13'!P108</f>
        <v>0.8190625</v>
      </c>
      <c r="Q21" s="188">
        <f>'13'!Q108</f>
        <v>5.66802083333333</v>
      </c>
      <c r="R21" s="208"/>
      <c r="S21" s="208"/>
      <c r="T21" s="208"/>
      <c r="U21" s="208"/>
    </row>
    <row r="22" s="173" customFormat="1" spans="1:21">
      <c r="A22" s="175" t="str">
        <f>'14'!$B$2</f>
        <v>14/04/2023 00:15</v>
      </c>
      <c r="B22" s="189">
        <f>'14'!B108</f>
        <v>10.015625</v>
      </c>
      <c r="C22" s="189">
        <f>'14'!C108</f>
        <v>60.0455208333333</v>
      </c>
      <c r="D22" s="189">
        <f>'14'!D108</f>
        <v>40.7592708333333</v>
      </c>
      <c r="E22" s="189">
        <f>'14'!E108</f>
        <v>10.8265625</v>
      </c>
      <c r="F22" s="189">
        <f>'14'!F108</f>
        <v>23.271875</v>
      </c>
      <c r="G22" s="189">
        <f>'14'!G108</f>
        <v>56.6375</v>
      </c>
      <c r="H22" s="189">
        <f>'14'!H108</f>
        <v>25.413125</v>
      </c>
      <c r="I22" s="189">
        <f>'14'!I108</f>
        <v>5.7509375</v>
      </c>
      <c r="J22" s="189">
        <f>'14'!J108</f>
        <v>0.378125</v>
      </c>
      <c r="K22" s="189">
        <f>'14'!K108</f>
        <v>185.678333333333</v>
      </c>
      <c r="L22" s="189">
        <f>'14'!L108</f>
        <v>33.2278125</v>
      </c>
      <c r="M22" s="189">
        <f>'14'!M108</f>
        <v>34.4823958333333</v>
      </c>
      <c r="N22" s="189">
        <f>'14'!N108</f>
        <v>169.873958333333</v>
      </c>
      <c r="O22" s="189">
        <f>'14'!O108</f>
        <v>0</v>
      </c>
      <c r="P22" s="189">
        <f>'14'!P108</f>
        <v>0.762291666666667</v>
      </c>
      <c r="Q22" s="189">
        <f>'14'!Q108</f>
        <v>5.38083333333333</v>
      </c>
      <c r="R22" s="209"/>
      <c r="S22" s="209"/>
      <c r="T22" s="209"/>
      <c r="U22" s="209"/>
    </row>
    <row r="23" spans="1:21">
      <c r="A23" s="175" t="str">
        <f>'15'!$B$2</f>
        <v>15/04/2023 00:15</v>
      </c>
      <c r="B23" s="121">
        <f>'15'!B108</f>
        <v>12.6023958333333</v>
      </c>
      <c r="C23" s="121">
        <f>'15'!C108</f>
        <v>63.6121875</v>
      </c>
      <c r="D23" s="121">
        <f>'15'!D108</f>
        <v>44.6932291666667</v>
      </c>
      <c r="E23" s="121">
        <f>'15'!E108</f>
        <v>9.35489583333333</v>
      </c>
      <c r="F23" s="121">
        <f>'15'!F108</f>
        <v>12.9998958333333</v>
      </c>
      <c r="G23" s="121">
        <f>'15'!G108</f>
        <v>57.3794791666666</v>
      </c>
      <c r="H23" s="121">
        <f>'15'!H108</f>
        <v>20.5155208333333</v>
      </c>
      <c r="I23" s="121">
        <f>'15'!I108</f>
        <v>6.15083333333333</v>
      </c>
      <c r="J23" s="121">
        <f>'15'!J108</f>
        <v>0.940833333333333</v>
      </c>
      <c r="K23" s="121">
        <f>'15'!K108</f>
        <v>240.6421875</v>
      </c>
      <c r="L23" s="121">
        <f>'15'!L108</f>
        <v>33.523125</v>
      </c>
      <c r="M23" s="121">
        <f>'15'!M108</f>
        <v>25.2559375</v>
      </c>
      <c r="N23" s="121">
        <f>'15'!N108</f>
        <v>181.975</v>
      </c>
      <c r="O23" s="121">
        <f>'15'!O108</f>
        <v>0</v>
      </c>
      <c r="P23" s="121">
        <f>'15'!P108</f>
        <v>0.70625</v>
      </c>
      <c r="Q23" s="121">
        <f>'15'!Q108</f>
        <v>5.47375</v>
      </c>
      <c r="R23" s="190"/>
      <c r="S23" s="190"/>
      <c r="T23" s="190"/>
      <c r="U23" s="190"/>
    </row>
    <row r="24" spans="1:21">
      <c r="A24" s="175" t="str">
        <f>'16'!$B$2</f>
        <v>16/04/2023 00:15</v>
      </c>
      <c r="B24" s="121">
        <f>'16'!B108</f>
        <v>12.5753125</v>
      </c>
      <c r="C24" s="121">
        <f>'16'!C108</f>
        <v>60.9115625</v>
      </c>
      <c r="D24" s="121">
        <f>'16'!D108</f>
        <v>43.278125</v>
      </c>
      <c r="E24" s="121">
        <f>'16'!E108</f>
        <v>12.0452083333333</v>
      </c>
      <c r="F24" s="121">
        <f>'16'!F108</f>
        <v>20.1154166666667</v>
      </c>
      <c r="G24" s="121">
        <f>'16'!G108</f>
        <v>48.7054166666667</v>
      </c>
      <c r="H24" s="121">
        <f>'16'!H108</f>
        <v>17.640625</v>
      </c>
      <c r="I24" s="121">
        <f>'16'!I108</f>
        <v>5.39020833333333</v>
      </c>
      <c r="J24" s="121">
        <f>'16'!J108</f>
        <v>0.363645833333333</v>
      </c>
      <c r="K24" s="121">
        <f>'16'!K108</f>
        <v>206.016875</v>
      </c>
      <c r="L24" s="121">
        <f>'16'!L108</f>
        <v>32.6054166666667</v>
      </c>
      <c r="M24" s="121">
        <f>'16'!M108</f>
        <v>29.3671875</v>
      </c>
      <c r="N24" s="121">
        <f>'16'!N108</f>
        <v>194.652083333333</v>
      </c>
      <c r="O24" s="121">
        <f>'16'!O108</f>
        <v>0</v>
      </c>
      <c r="P24" s="121">
        <f>'16'!P108</f>
        <v>0.603541666666667</v>
      </c>
      <c r="Q24" s="121">
        <f>'16'!Q108</f>
        <v>5.3375</v>
      </c>
      <c r="R24" s="190"/>
      <c r="S24" s="190"/>
      <c r="T24" s="190"/>
      <c r="U24" s="190"/>
    </row>
    <row r="25" spans="1:21">
      <c r="A25" s="175" t="str">
        <f>'17'!$B$2</f>
        <v>17/04/2023 00:15</v>
      </c>
      <c r="B25" s="121">
        <f>'17'!B108</f>
        <v>10.0976041666667</v>
      </c>
      <c r="C25" s="121">
        <f>'17'!C108</f>
        <v>61.9382291666666</v>
      </c>
      <c r="D25" s="121">
        <f>'17'!D108</f>
        <v>41.8091666666667</v>
      </c>
      <c r="E25" s="121">
        <f>'17'!E108</f>
        <v>9.6675</v>
      </c>
      <c r="F25" s="121">
        <f>'17'!F108</f>
        <v>20.5933333333333</v>
      </c>
      <c r="G25" s="121">
        <f>'17'!G108</f>
        <v>51.6059375</v>
      </c>
      <c r="H25" s="121">
        <f>'17'!H108</f>
        <v>23.1023958333333</v>
      </c>
      <c r="I25" s="121">
        <f>'17'!I108</f>
        <v>6.51052083333333</v>
      </c>
      <c r="J25" s="121">
        <f>'17'!J108</f>
        <v>0.348333333333333</v>
      </c>
      <c r="K25" s="121">
        <f>'17'!K108</f>
        <v>197.063333333333</v>
      </c>
      <c r="L25" s="121">
        <f>'17'!L108</f>
        <v>33.2645833333333</v>
      </c>
      <c r="M25" s="121">
        <f>'17'!M108</f>
        <v>30.265625</v>
      </c>
      <c r="N25" s="121">
        <f>'17'!N108</f>
        <v>193.711458333333</v>
      </c>
      <c r="O25" s="121">
        <f>'17'!O108</f>
        <v>0</v>
      </c>
      <c r="P25" s="121">
        <f>'17'!P108</f>
        <v>0.766145833333333</v>
      </c>
      <c r="Q25" s="121">
        <f>'17'!Q108</f>
        <v>5.2990625</v>
      </c>
      <c r="R25" s="190"/>
      <c r="S25" s="190"/>
      <c r="T25" s="190"/>
      <c r="U25" s="190"/>
    </row>
    <row r="26" spans="1:21">
      <c r="A26" s="175" t="str">
        <f>'18'!$B$2</f>
        <v>18/04/2023 00:15</v>
      </c>
      <c r="B26" s="121">
        <f>'18'!B108</f>
        <v>9.90010416666667</v>
      </c>
      <c r="C26" s="121">
        <f>'18'!C108</f>
        <v>59.6520833333333</v>
      </c>
      <c r="D26" s="121">
        <f>'18'!D108</f>
        <v>40.4594791666667</v>
      </c>
      <c r="E26" s="121">
        <f>'18'!E108</f>
        <v>12.8786458333333</v>
      </c>
      <c r="F26" s="121">
        <f>'18'!F108</f>
        <v>23.0716666666667</v>
      </c>
      <c r="G26" s="121">
        <f>'18'!G108</f>
        <v>56.10375</v>
      </c>
      <c r="H26" s="121">
        <f>'18'!H108</f>
        <v>22.9333333333333</v>
      </c>
      <c r="I26" s="121">
        <f>'18'!I108</f>
        <v>6.62729166666666</v>
      </c>
      <c r="J26" s="121">
        <f>'18'!J108</f>
        <v>0.4234375</v>
      </c>
      <c r="K26" s="121">
        <f>'18'!K108</f>
        <v>202.411354166667</v>
      </c>
      <c r="L26" s="121">
        <f>'18'!L108</f>
        <v>33.660625</v>
      </c>
      <c r="M26" s="121">
        <f>'18'!M108</f>
        <v>27.0986458333334</v>
      </c>
      <c r="N26" s="121">
        <f>'18'!N108</f>
        <v>193.794791666667</v>
      </c>
      <c r="O26" s="121">
        <f>'18'!O108</f>
        <v>0</v>
      </c>
      <c r="P26" s="121">
        <f>'18'!P108</f>
        <v>0.744479166666666</v>
      </c>
      <c r="Q26" s="121">
        <f>'18'!Q108</f>
        <v>5.154375</v>
      </c>
      <c r="R26" s="190"/>
      <c r="S26" s="190"/>
      <c r="T26" s="190"/>
      <c r="U26" s="190"/>
    </row>
    <row r="27" spans="1:21">
      <c r="A27" s="175" t="str">
        <f>'19'!$B$2</f>
        <v>19/04/2023 00:15</v>
      </c>
      <c r="B27" s="121">
        <f>'19'!B108</f>
        <v>13.4446153846154</v>
      </c>
      <c r="C27" s="121">
        <f>'19'!C108</f>
        <v>59.9148351648351</v>
      </c>
      <c r="D27" s="121">
        <f>'19'!D108</f>
        <v>43.5142857142857</v>
      </c>
      <c r="E27" s="121">
        <f>'19'!E108</f>
        <v>16.2741379310345</v>
      </c>
      <c r="F27" s="121">
        <f>'19'!F108</f>
        <v>22.5971875</v>
      </c>
      <c r="G27" s="121">
        <f>'19'!G108</f>
        <v>71.1525555555556</v>
      </c>
      <c r="H27" s="121">
        <f>'19'!H108</f>
        <v>25.0633333333333</v>
      </c>
      <c r="I27" s="121">
        <f>'19'!I108</f>
        <v>8.303125</v>
      </c>
      <c r="J27" s="121">
        <f>'19'!J108</f>
        <v>0.560625</v>
      </c>
      <c r="K27" s="121">
        <f>'19'!K108</f>
        <v>195.124270833333</v>
      </c>
      <c r="L27" s="121">
        <f>'19'!L108</f>
        <v>34.5029166666667</v>
      </c>
      <c r="M27" s="121">
        <f>'19'!M108</f>
        <v>22.9086458333333</v>
      </c>
      <c r="N27" s="121">
        <f>'19'!N108</f>
        <v>170.908333333333</v>
      </c>
      <c r="O27" s="121">
        <f>'19'!O108</f>
        <v>0</v>
      </c>
      <c r="P27" s="121">
        <f>'19'!P108</f>
        <v>0.83</v>
      </c>
      <c r="Q27" s="121">
        <f>'19'!Q108</f>
        <v>5.38416666666667</v>
      </c>
      <c r="R27" s="190"/>
      <c r="S27" s="190"/>
      <c r="T27" s="190"/>
      <c r="U27" s="190"/>
    </row>
    <row r="28" spans="1:21">
      <c r="A28" s="175" t="str">
        <f>'20'!$B$2</f>
        <v>20/04/2023 00:15</v>
      </c>
      <c r="B28" s="121">
        <f>'20'!B108</f>
        <v>7.6959375</v>
      </c>
      <c r="C28" s="121">
        <f>'20'!C108</f>
        <v>41.6872916666667</v>
      </c>
      <c r="D28" s="121">
        <f>'20'!D108</f>
        <v>29.3025</v>
      </c>
      <c r="E28" s="121">
        <f>'20'!E108</f>
        <v>14.0888541666667</v>
      </c>
      <c r="F28" s="121">
        <f>'20'!F108</f>
        <v>27.4648958333333</v>
      </c>
      <c r="G28" s="121">
        <f>'20'!G108</f>
        <v>61.40375</v>
      </c>
      <c r="H28" s="121">
        <f>'20'!H108</f>
        <v>24.6710416666667</v>
      </c>
      <c r="I28" s="121">
        <f>'20'!I108</f>
        <v>0</v>
      </c>
      <c r="J28" s="121">
        <f>'20'!J108</f>
        <v>1.07864583333333</v>
      </c>
      <c r="K28" s="121">
        <f>'20'!K108</f>
        <v>192.439375</v>
      </c>
      <c r="L28" s="121">
        <f>'20'!L108</f>
        <v>32.5621875</v>
      </c>
      <c r="M28" s="121">
        <f>'20'!M108</f>
        <v>27.7578125</v>
      </c>
      <c r="N28" s="121">
        <f>'20'!N108</f>
        <v>155.0625</v>
      </c>
      <c r="O28" s="121">
        <f>'20'!O108</f>
        <v>0</v>
      </c>
      <c r="P28" s="121">
        <f>'20'!P108</f>
        <v>0.550208333333333</v>
      </c>
      <c r="Q28" s="121">
        <f>'20'!Q108</f>
        <v>4.89239583333333</v>
      </c>
      <c r="R28" s="190"/>
      <c r="S28" s="190"/>
      <c r="T28" s="190"/>
      <c r="U28" s="190"/>
    </row>
    <row r="29" spans="1:21">
      <c r="A29" s="175" t="str">
        <f>'21'!$B$2</f>
        <v>21/04/2023 00:15</v>
      </c>
      <c r="B29" s="121">
        <f>'21'!B108</f>
        <v>7.3946875</v>
      </c>
      <c r="C29" s="121">
        <f>'21'!C108</f>
        <v>43.5652083333333</v>
      </c>
      <c r="D29" s="121">
        <f>'21'!D108</f>
        <v>30.0425</v>
      </c>
      <c r="E29" s="121">
        <f>'21'!E108</f>
        <v>9.68395833333333</v>
      </c>
      <c r="F29" s="121">
        <f>'21'!F108</f>
        <v>18.4416666666667</v>
      </c>
      <c r="G29" s="121">
        <f>'21'!G108</f>
        <v>33.7046875</v>
      </c>
      <c r="H29" s="121">
        <f>'21'!H108</f>
        <v>13.3910416666667</v>
      </c>
      <c r="I29" s="121">
        <f>'21'!I108</f>
        <v>0</v>
      </c>
      <c r="J29" s="121">
        <f>'21'!J108</f>
        <v>0.499791666666667</v>
      </c>
      <c r="K29" s="121">
        <f>'21'!K108</f>
        <v>207.920520833333</v>
      </c>
      <c r="L29" s="121">
        <f>'21'!L108</f>
        <v>29.1323958333333</v>
      </c>
      <c r="M29" s="121">
        <f>'21'!M108</f>
        <v>46.79875</v>
      </c>
      <c r="N29" s="121">
        <f>'21'!N108</f>
        <v>183.344791666667</v>
      </c>
      <c r="O29" s="121">
        <f>'21'!O108</f>
        <v>0</v>
      </c>
      <c r="P29" s="121">
        <f>'21'!P108</f>
        <v>0.512395833333333</v>
      </c>
      <c r="Q29" s="121">
        <f>'21'!Q108</f>
        <v>4.85125</v>
      </c>
      <c r="R29" s="190"/>
      <c r="S29" s="190"/>
      <c r="T29" s="190"/>
      <c r="U29" s="190"/>
    </row>
    <row r="30" spans="1:21">
      <c r="A30" s="175" t="str">
        <f>'22'!$B$2</f>
        <v>22/04/2023 00:15</v>
      </c>
      <c r="B30" s="121">
        <f>'22'!B108</f>
        <v>8.68520833333334</v>
      </c>
      <c r="C30" s="121">
        <f>'22'!C108</f>
        <v>45.166875</v>
      </c>
      <c r="D30" s="121">
        <f>'22'!D108</f>
        <v>31.913125</v>
      </c>
      <c r="E30" s="121">
        <f>'22'!E108</f>
        <v>9.53197916666667</v>
      </c>
      <c r="F30" s="121">
        <f>'22'!F108</f>
        <v>21.0421875</v>
      </c>
      <c r="G30" s="121">
        <f>'22'!G108</f>
        <v>38.0527083333333</v>
      </c>
      <c r="H30" s="121">
        <f>'22'!H108</f>
        <v>12.8130208333333</v>
      </c>
      <c r="I30" s="121">
        <f>'22'!I108</f>
        <v>1.44520833333333</v>
      </c>
      <c r="J30" s="121">
        <f>'22'!J108</f>
        <v>0.881666666666666</v>
      </c>
      <c r="K30" s="121">
        <f>'22'!K108</f>
        <v>159.991875</v>
      </c>
      <c r="L30" s="121">
        <f>'22'!L108</f>
        <v>28.2016666666667</v>
      </c>
      <c r="M30" s="121">
        <f>'22'!M108</f>
        <v>51.2817708333333</v>
      </c>
      <c r="N30" s="121">
        <f>'22'!N108</f>
        <v>199.610416666667</v>
      </c>
      <c r="O30" s="121">
        <f>'22'!O108</f>
        <v>0</v>
      </c>
      <c r="P30" s="121">
        <f>'22'!P108</f>
        <v>0.464583333333333</v>
      </c>
      <c r="Q30" s="121">
        <f>'22'!Q108</f>
        <v>5.34052083333333</v>
      </c>
      <c r="R30" s="190"/>
      <c r="S30" s="190"/>
      <c r="T30" s="190"/>
      <c r="U30" s="190"/>
    </row>
    <row r="31" spans="1:21">
      <c r="A31" s="175" t="str">
        <f>'23'!$B$2</f>
        <v>23/04/2023 00:15</v>
      </c>
      <c r="B31" s="121">
        <f>'23'!B108</f>
        <v>21.2157291666667</v>
      </c>
      <c r="C31" s="121">
        <f>'23'!C108</f>
        <v>61.6572916666667</v>
      </c>
      <c r="D31" s="121">
        <f>'23'!D108</f>
        <v>50.5785416666667</v>
      </c>
      <c r="E31" s="121">
        <f>'23'!E108</f>
        <v>6.6434375</v>
      </c>
      <c r="F31" s="121">
        <f>'23'!F108</f>
        <v>5.99375</v>
      </c>
      <c r="G31" s="121">
        <f>'23'!G108</f>
        <v>24.0966666666667</v>
      </c>
      <c r="H31" s="121">
        <f>'23'!H108</f>
        <v>11.4236458333333</v>
      </c>
      <c r="I31" s="121">
        <f>'23'!I108</f>
        <v>3.9659375</v>
      </c>
      <c r="J31" s="121">
        <f>'23'!J108</f>
        <v>0.365833333333333</v>
      </c>
      <c r="K31" s="121">
        <f>'23'!K108</f>
        <v>183.650520833333</v>
      </c>
      <c r="L31" s="121">
        <f>'23'!L108</f>
        <v>26.9767708333333</v>
      </c>
      <c r="M31" s="121">
        <f>'23'!M108</f>
        <v>61.49125</v>
      </c>
      <c r="N31" s="121">
        <f>'23'!N108</f>
        <v>223.634375</v>
      </c>
      <c r="O31" s="121">
        <f>'23'!O108</f>
        <v>0</v>
      </c>
      <c r="P31" s="121">
        <f>'23'!P108</f>
        <v>0.50875</v>
      </c>
      <c r="Q31" s="121">
        <f>'23'!Q108</f>
        <v>7.30114583333334</v>
      </c>
      <c r="R31" s="190"/>
      <c r="S31" s="210"/>
      <c r="T31" s="190"/>
      <c r="U31" s="190"/>
    </row>
    <row r="32" spans="1:21">
      <c r="A32" s="175" t="str">
        <f>'24'!$B$2</f>
        <v>24/04/2023 00:15</v>
      </c>
      <c r="B32" s="121">
        <f>'24'!B108</f>
        <v>18.9340625</v>
      </c>
      <c r="C32" s="121">
        <f>'24'!C108</f>
        <v>62.1392708333333</v>
      </c>
      <c r="D32" s="121">
        <f>'24'!D108</f>
        <v>49.0004166666666</v>
      </c>
      <c r="E32" s="121">
        <f>'24'!E108</f>
        <v>6.42614583333333</v>
      </c>
      <c r="F32" s="121">
        <f>'24'!F108</f>
        <v>6.06520833333334</v>
      </c>
      <c r="G32" s="121">
        <f>'24'!G108</f>
        <v>19.15625</v>
      </c>
      <c r="H32" s="121">
        <f>'24'!H108</f>
        <v>6.90239583333333</v>
      </c>
      <c r="I32" s="121">
        <f>'24'!I108</f>
        <v>3.975625</v>
      </c>
      <c r="J32" s="121">
        <f>'24'!J108</f>
        <v>0.447604166666667</v>
      </c>
      <c r="K32" s="121">
        <f>'24'!K108</f>
        <v>153.619375</v>
      </c>
      <c r="L32" s="121">
        <f>'24'!L108</f>
        <v>27.0282291666667</v>
      </c>
      <c r="M32" s="121">
        <f>'24'!M108</f>
        <v>62.9386458333333</v>
      </c>
      <c r="N32" s="121">
        <f>'24'!N108</f>
        <v>206.925</v>
      </c>
      <c r="O32" s="121">
        <f>'24'!O108</f>
        <v>0</v>
      </c>
      <c r="P32" s="121">
        <f>'24'!P108</f>
        <v>0.447395833333334</v>
      </c>
      <c r="Q32" s="121">
        <f>'24'!Q108</f>
        <v>7.31958333333333</v>
      </c>
      <c r="R32" s="190"/>
      <c r="S32" s="190"/>
      <c r="T32" s="190"/>
      <c r="U32" s="190"/>
    </row>
    <row r="33" spans="1:21">
      <c r="A33" s="175" t="str">
        <f>'25'!$B$2</f>
        <v>25/04/2023 00:15</v>
      </c>
      <c r="B33" s="121">
        <f>'25'!B108</f>
        <v>17.978125</v>
      </c>
      <c r="C33" s="121">
        <f>'25'!C108</f>
        <v>57.57375</v>
      </c>
      <c r="D33" s="121">
        <f>'25'!D108</f>
        <v>45.8485416666666</v>
      </c>
      <c r="E33" s="121">
        <f>'25'!E108</f>
        <v>7.79125</v>
      </c>
      <c r="F33" s="121">
        <f>'25'!F108</f>
        <v>9.32614583333333</v>
      </c>
      <c r="G33" s="121">
        <f>'25'!G108</f>
        <v>27.4279166666667</v>
      </c>
      <c r="H33" s="121">
        <f>'25'!H108</f>
        <v>12.5279166666667</v>
      </c>
      <c r="I33" s="121">
        <f>'25'!I108</f>
        <v>3.52427083333333</v>
      </c>
      <c r="J33" s="121">
        <f>'25'!J108</f>
        <v>0.799375</v>
      </c>
      <c r="K33" s="121">
        <f>'25'!K108</f>
        <v>138.519791666667</v>
      </c>
      <c r="L33" s="121">
        <f>'25'!L108</f>
        <v>27.9596875</v>
      </c>
      <c r="M33" s="121">
        <f>'25'!M108</f>
        <v>56.9555208333333</v>
      </c>
      <c r="N33" s="121">
        <f>'25'!N108</f>
        <v>204.670833333333</v>
      </c>
      <c r="O33" s="121">
        <f>'25'!O108</f>
        <v>0</v>
      </c>
      <c r="P33" s="121">
        <f>'25'!P108</f>
        <v>0.448645833333333</v>
      </c>
      <c r="Q33" s="121">
        <f>'25'!Q108</f>
        <v>7.19770833333334</v>
      </c>
      <c r="R33" s="190"/>
      <c r="S33" s="210"/>
      <c r="T33" s="190"/>
      <c r="U33" s="190"/>
    </row>
    <row r="34" spans="1:21">
      <c r="A34" s="175" t="str">
        <f>'26'!$B$2</f>
        <v>26/04/2023 00:15</v>
      </c>
      <c r="B34" s="121">
        <f>'26'!B108</f>
        <v>12.8914583333333</v>
      </c>
      <c r="C34" s="121">
        <f>'26'!C108</f>
        <v>57.9557291666667</v>
      </c>
      <c r="D34" s="121">
        <f>'26'!D108</f>
        <v>41.9689583333333</v>
      </c>
      <c r="E34" s="121">
        <f>'26'!E108</f>
        <v>7.3921875</v>
      </c>
      <c r="F34" s="121">
        <f>'26'!F108</f>
        <v>8.75822916666667</v>
      </c>
      <c r="G34" s="121">
        <f>'26'!G108</f>
        <v>28.5936458333333</v>
      </c>
      <c r="H34" s="121">
        <f>'26'!H108</f>
        <v>9.79458333333333</v>
      </c>
      <c r="I34" s="121">
        <f>'26'!I108</f>
        <v>4.01041666666667</v>
      </c>
      <c r="J34" s="121">
        <f>'26'!J108</f>
        <v>0.4453125</v>
      </c>
      <c r="K34" s="121">
        <f>'26'!K108</f>
        <v>211.999583333333</v>
      </c>
      <c r="L34" s="121">
        <f>'26'!L108</f>
        <v>28.9809375</v>
      </c>
      <c r="M34" s="121">
        <f>'26'!M108</f>
        <v>49.6844791666667</v>
      </c>
      <c r="N34" s="121">
        <f>'26'!N108</f>
        <v>217.088541666667</v>
      </c>
      <c r="O34" s="121">
        <f>'26'!O108</f>
        <v>0</v>
      </c>
      <c r="P34" s="121">
        <f>'26'!P108</f>
        <v>0.465104166666667</v>
      </c>
      <c r="Q34" s="121">
        <f>'26'!Q108</f>
        <v>6.875625</v>
      </c>
      <c r="R34" s="190"/>
      <c r="S34" s="190"/>
      <c r="T34" s="190"/>
      <c r="U34" s="190"/>
    </row>
    <row r="35" spans="1:21">
      <c r="A35" s="175" t="str">
        <f>'27'!$B$2</f>
        <v>27/04/2023 00:15</v>
      </c>
      <c r="B35" s="121">
        <f>'27'!B108</f>
        <v>18.326875</v>
      </c>
      <c r="C35" s="121">
        <f>'27'!C108</f>
        <v>61.534375</v>
      </c>
      <c r="D35" s="121">
        <f>'27'!D108</f>
        <v>48.1975</v>
      </c>
      <c r="E35" s="121">
        <f>'27'!E108</f>
        <v>7.72197916666667</v>
      </c>
      <c r="F35" s="121">
        <f>'27'!F108</f>
        <v>5.88979166666667</v>
      </c>
      <c r="G35" s="121">
        <f>'27'!G108</f>
        <v>39.1023958333333</v>
      </c>
      <c r="H35" s="121">
        <f>'27'!H108</f>
        <v>12.5159375</v>
      </c>
      <c r="I35" s="121">
        <f>'27'!I108</f>
        <v>5.01145833333333</v>
      </c>
      <c r="J35" s="121">
        <f>'27'!J108</f>
        <v>0.47375</v>
      </c>
      <c r="K35" s="121">
        <f>'27'!K108</f>
        <v>213.278645833333</v>
      </c>
      <c r="L35" s="121">
        <f>'27'!L108</f>
        <v>28.485625</v>
      </c>
      <c r="M35" s="121">
        <f>'27'!M108</f>
        <v>49.2822916666667</v>
      </c>
      <c r="N35" s="121">
        <f>'27'!N108</f>
        <v>158.085416666667</v>
      </c>
      <c r="O35" s="121">
        <f>'27'!O108</f>
        <v>0</v>
      </c>
      <c r="P35" s="121">
        <f>'27'!P108</f>
        <v>0.5996875</v>
      </c>
      <c r="Q35" s="121">
        <f>'27'!Q108</f>
        <v>7.25625</v>
      </c>
      <c r="R35" s="190"/>
      <c r="S35" s="190"/>
      <c r="T35" s="190"/>
      <c r="U35" s="190"/>
    </row>
    <row r="36" spans="1:21">
      <c r="A36" s="175" t="str">
        <f>'28'!$B$2</f>
        <v>28/04/2023 00:15</v>
      </c>
      <c r="B36" s="121">
        <f>'28'!B108</f>
        <v>15.3203278688525</v>
      </c>
      <c r="C36" s="121">
        <f>'28'!C108</f>
        <v>53.1203278688525</v>
      </c>
      <c r="D36" s="121">
        <f>'28'!D108</f>
        <v>41.3904918032787</v>
      </c>
      <c r="E36" s="121">
        <f>'28'!E108</f>
        <v>8.79842105263158</v>
      </c>
      <c r="F36" s="121">
        <f>'28'!F108</f>
        <v>13.2521212121212</v>
      </c>
      <c r="G36" s="121">
        <f>'28'!G108</f>
        <v>37.7620689655172</v>
      </c>
      <c r="H36" s="121">
        <f>'28'!H108</f>
        <v>14.7608620689655</v>
      </c>
      <c r="I36" s="121">
        <f>'28'!I108</f>
        <v>14.1464179104478</v>
      </c>
      <c r="J36" s="121">
        <f>'28'!J108</f>
        <v>0.486865671641791</v>
      </c>
      <c r="K36" s="121">
        <f>'28'!K108</f>
        <v>197.300447761194</v>
      </c>
      <c r="L36" s="121">
        <f>'28'!L108</f>
        <v>28.1094029850746</v>
      </c>
      <c r="M36" s="121">
        <f>'28'!M108</f>
        <v>63.5002985074627</v>
      </c>
      <c r="N36" s="121">
        <f>'28'!N108</f>
        <v>146.708955223881</v>
      </c>
      <c r="O36" s="121">
        <f>'28'!O108</f>
        <v>0</v>
      </c>
      <c r="P36" s="121">
        <f>'28'!P108</f>
        <v>0.636875</v>
      </c>
      <c r="Q36" s="121">
        <f>'28'!Q108</f>
        <v>5.21030303030303</v>
      </c>
      <c r="R36" s="190"/>
      <c r="S36" s="190"/>
      <c r="T36" s="190"/>
      <c r="U36" s="190"/>
    </row>
    <row r="37" s="2" customFormat="1" spans="1:21">
      <c r="A37" s="175" t="str">
        <f>'29'!$B$2</f>
        <v>29/04/2023 00:15</v>
      </c>
      <c r="B37" s="121">
        <f>'29'!B108</f>
        <v>19.8504166666667</v>
      </c>
      <c r="C37" s="121">
        <f>'29'!C108</f>
        <v>59.8203125</v>
      </c>
      <c r="D37" s="121">
        <f>'29'!D108</f>
        <v>48.5244791666667</v>
      </c>
      <c r="E37" s="121">
        <f>'29'!E108</f>
        <v>7.20270833333333</v>
      </c>
      <c r="F37" s="121">
        <f>'29'!F108</f>
        <v>6.67666666666667</v>
      </c>
      <c r="G37" s="121">
        <f>'29'!G108</f>
        <v>26.3440625</v>
      </c>
      <c r="H37" s="121">
        <f>'29'!H108</f>
        <v>11.7832291666667</v>
      </c>
      <c r="I37" s="121">
        <f>'29'!I108</f>
        <v>5.01979166666667</v>
      </c>
      <c r="J37" s="121">
        <f>'29'!J108</f>
        <v>0.634791666666667</v>
      </c>
      <c r="K37" s="121">
        <f>'29'!K108</f>
        <v>218.489479166667</v>
      </c>
      <c r="L37" s="121">
        <f>'29'!L108</f>
        <v>26.1351041666667</v>
      </c>
      <c r="M37" s="121">
        <f>'29'!M108</f>
        <v>69.42</v>
      </c>
      <c r="N37" s="121">
        <f>'29'!N108</f>
        <v>172.071875</v>
      </c>
      <c r="O37" s="121">
        <f>'29'!O108</f>
        <v>0</v>
      </c>
      <c r="P37" s="121">
        <f>'29'!P108</f>
        <v>0.4759375</v>
      </c>
      <c r="Q37" s="121">
        <f>'29'!Q108</f>
        <v>5.79885416666667</v>
      </c>
      <c r="R37" s="190"/>
      <c r="S37" s="190"/>
      <c r="T37" s="190"/>
      <c r="U37" s="190"/>
    </row>
    <row r="38" s="2" customFormat="1" spans="1:21">
      <c r="A38" s="175" t="str">
        <f>'30'!$B$2</f>
        <v>30/04/2023 00:15</v>
      </c>
      <c r="B38" s="121">
        <f>'30'!B108</f>
        <v>34.394375</v>
      </c>
      <c r="C38" s="121">
        <f>'30'!C108</f>
        <v>61.9967708333334</v>
      </c>
      <c r="D38" s="121">
        <f>'30'!D108</f>
        <v>61.3242708333333</v>
      </c>
      <c r="E38" s="121">
        <f>'30'!E108</f>
        <v>6.11947916666667</v>
      </c>
      <c r="F38" s="121">
        <f>'30'!F108</f>
        <v>3.874375</v>
      </c>
      <c r="G38" s="121">
        <f>'30'!G108</f>
        <v>31.5891666666667</v>
      </c>
      <c r="H38" s="121">
        <f>'30'!H108</f>
        <v>11.866875</v>
      </c>
      <c r="I38" s="121">
        <f>'30'!I108</f>
        <v>4.37864583333333</v>
      </c>
      <c r="J38" s="121">
        <f>'30'!J108</f>
        <v>0.826354166666667</v>
      </c>
      <c r="K38" s="121">
        <f>'30'!K108</f>
        <v>146.008645833333</v>
      </c>
      <c r="L38" s="121">
        <f>'30'!L108</f>
        <v>22.5161458333333</v>
      </c>
      <c r="M38" s="121">
        <f>'30'!M108</f>
        <v>81.2271875</v>
      </c>
      <c r="N38" s="121">
        <f>'30'!N108</f>
        <v>67.3854166666666</v>
      </c>
      <c r="O38" s="121">
        <f>'30'!O108</f>
        <v>0</v>
      </c>
      <c r="P38" s="121">
        <f>'30'!P108</f>
        <v>0.568541666666667</v>
      </c>
      <c r="Q38" s="121">
        <f>'30'!Q108</f>
        <v>6.74041666666666</v>
      </c>
      <c r="R38" s="190"/>
      <c r="S38" s="190"/>
      <c r="T38" s="190"/>
      <c r="U38" s="190"/>
    </row>
    <row r="39" s="2" customFormat="1" spans="1:21">
      <c r="A39" s="175"/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</row>
    <row r="40" s="2" customFormat="1" spans="1:21">
      <c r="A40" s="175" t="s">
        <v>142</v>
      </c>
      <c r="B40" s="191">
        <f t="shared" ref="B40:Q40" si="0">MIN(B9:B38)</f>
        <v>7.3946875</v>
      </c>
      <c r="C40" s="191">
        <f t="shared" si="0"/>
        <v>41.6872916666667</v>
      </c>
      <c r="D40" s="191">
        <f t="shared" si="0"/>
        <v>29.3025</v>
      </c>
      <c r="E40" s="191">
        <f t="shared" si="0"/>
        <v>6.11947916666667</v>
      </c>
      <c r="F40" s="191">
        <f t="shared" si="0"/>
        <v>3.874375</v>
      </c>
      <c r="G40" s="191">
        <f t="shared" si="0"/>
        <v>19.15625</v>
      </c>
      <c r="H40" s="191">
        <f t="shared" si="0"/>
        <v>6.90239583333333</v>
      </c>
      <c r="I40" s="191">
        <f t="shared" si="0"/>
        <v>0</v>
      </c>
      <c r="J40" s="191">
        <f t="shared" si="0"/>
        <v>0.277395833333334</v>
      </c>
      <c r="K40" s="191">
        <f t="shared" si="0"/>
        <v>138.519791666667</v>
      </c>
      <c r="L40" s="191">
        <f t="shared" si="0"/>
        <v>22.5161458333333</v>
      </c>
      <c r="M40" s="191">
        <f t="shared" si="0"/>
        <v>22.9086458333333</v>
      </c>
      <c r="N40" s="191">
        <f t="shared" si="0"/>
        <v>67.3854166666666</v>
      </c>
      <c r="O40" s="191">
        <f t="shared" si="0"/>
        <v>0</v>
      </c>
      <c r="P40" s="191">
        <f t="shared" si="0"/>
        <v>0.447395833333334</v>
      </c>
      <c r="Q40" s="191">
        <f t="shared" si="0"/>
        <v>4.85125</v>
      </c>
      <c r="R40" s="191"/>
      <c r="S40" s="191"/>
      <c r="T40" s="191"/>
      <c r="U40" s="191"/>
    </row>
    <row r="41" s="2" customFormat="1" spans="1:21">
      <c r="A41" s="175" t="s">
        <v>143</v>
      </c>
      <c r="B41" s="191">
        <f t="shared" ref="B41:Q41" si="1">MAX(B9:B38)</f>
        <v>34.394375</v>
      </c>
      <c r="C41" s="191">
        <f t="shared" si="1"/>
        <v>68.4797916666667</v>
      </c>
      <c r="D41" s="191">
        <f t="shared" si="1"/>
        <v>61.3242708333333</v>
      </c>
      <c r="E41" s="191">
        <f t="shared" si="1"/>
        <v>16.2741379310345</v>
      </c>
      <c r="F41" s="191">
        <f t="shared" si="1"/>
        <v>28.7178125</v>
      </c>
      <c r="G41" s="191">
        <f t="shared" si="1"/>
        <v>85.5072916666666</v>
      </c>
      <c r="H41" s="191">
        <f t="shared" si="1"/>
        <v>30.8723958333333</v>
      </c>
      <c r="I41" s="191">
        <f t="shared" si="1"/>
        <v>14.1464179104478</v>
      </c>
      <c r="J41" s="191">
        <f t="shared" si="1"/>
        <v>1.07864583333333</v>
      </c>
      <c r="K41" s="191">
        <f t="shared" si="1"/>
        <v>240.6421875</v>
      </c>
      <c r="L41" s="191">
        <f t="shared" si="1"/>
        <v>34.5029166666667</v>
      </c>
      <c r="M41" s="191">
        <f t="shared" si="1"/>
        <v>81.2271875</v>
      </c>
      <c r="N41" s="191">
        <f t="shared" si="1"/>
        <v>223.634375</v>
      </c>
      <c r="O41" s="191">
        <f t="shared" si="1"/>
        <v>0</v>
      </c>
      <c r="P41" s="191">
        <f t="shared" si="1"/>
        <v>0.83</v>
      </c>
      <c r="Q41" s="191">
        <f t="shared" si="1"/>
        <v>7.31958333333333</v>
      </c>
      <c r="R41" s="191"/>
      <c r="S41" s="191"/>
      <c r="T41" s="191"/>
      <c r="U41" s="191"/>
    </row>
    <row r="42" s="2" customFormat="1" spans="1:21">
      <c r="A42" s="175" t="s">
        <v>144</v>
      </c>
      <c r="B42" s="191">
        <f t="shared" ref="B42:Q42" si="2">AVERAGE(B9:B38)</f>
        <v>16.6650264339541</v>
      </c>
      <c r="C42" s="191">
        <f t="shared" si="2"/>
        <v>60.2846187278609</v>
      </c>
      <c r="D42" s="191">
        <f t="shared" si="2"/>
        <v>46.1049892421665</v>
      </c>
      <c r="E42" s="191">
        <f t="shared" si="2"/>
        <v>9.91319188181036</v>
      </c>
      <c r="F42" s="191">
        <f t="shared" si="2"/>
        <v>13.5535281881131</v>
      </c>
      <c r="G42" s="191">
        <f t="shared" si="2"/>
        <v>48.5083824144496</v>
      </c>
      <c r="H42" s="191">
        <f t="shared" si="2"/>
        <v>18.694659563927</v>
      </c>
      <c r="I42" s="191">
        <f t="shared" si="2"/>
        <v>5.58843314331122</v>
      </c>
      <c r="J42" s="191">
        <f t="shared" si="2"/>
        <v>0.535245072143859</v>
      </c>
      <c r="K42" s="191">
        <f t="shared" si="2"/>
        <v>182.640544061847</v>
      </c>
      <c r="L42" s="191">
        <f t="shared" si="2"/>
        <v>29.6787904859759</v>
      </c>
      <c r="M42" s="191">
        <f t="shared" si="2"/>
        <v>45.8321767678816</v>
      </c>
      <c r="N42" s="191">
        <f t="shared" si="2"/>
        <v>179.196575681376</v>
      </c>
      <c r="O42" s="191">
        <f t="shared" si="2"/>
        <v>0</v>
      </c>
      <c r="P42" s="191">
        <f t="shared" si="2"/>
        <v>0.634961352657005</v>
      </c>
      <c r="Q42" s="191">
        <f t="shared" si="2"/>
        <v>5.78946458876399</v>
      </c>
      <c r="R42" s="191"/>
      <c r="S42" s="191"/>
      <c r="T42" s="191"/>
      <c r="U42" s="191"/>
    </row>
    <row r="43" s="2" customFormat="1" spans="1:21">
      <c r="A43" s="175" t="s">
        <v>145</v>
      </c>
      <c r="B43" s="191">
        <f t="shared" ref="B43:Q43" si="3">STDEV(B9:B38)</f>
        <v>6.58347051711791</v>
      </c>
      <c r="C43" s="191">
        <f t="shared" si="3"/>
        <v>6.52384446316476</v>
      </c>
      <c r="D43" s="191">
        <f t="shared" si="3"/>
        <v>7.54940774140458</v>
      </c>
      <c r="E43" s="191">
        <f t="shared" si="3"/>
        <v>2.62188687046668</v>
      </c>
      <c r="F43" s="191">
        <f t="shared" si="3"/>
        <v>7.20473164412642</v>
      </c>
      <c r="G43" s="191">
        <f t="shared" si="3"/>
        <v>17.3806583180957</v>
      </c>
      <c r="H43" s="191">
        <f t="shared" si="3"/>
        <v>6.33229065602606</v>
      </c>
      <c r="I43" s="191">
        <f t="shared" si="3"/>
        <v>2.74587469476352</v>
      </c>
      <c r="J43" s="191">
        <f t="shared" si="3"/>
        <v>0.206646203633189</v>
      </c>
      <c r="K43" s="191">
        <f t="shared" si="3"/>
        <v>25.8327516974477</v>
      </c>
      <c r="L43" s="191">
        <f t="shared" si="3"/>
        <v>2.77978560468731</v>
      </c>
      <c r="M43" s="191">
        <f t="shared" si="3"/>
        <v>14.0023886896544</v>
      </c>
      <c r="N43" s="191">
        <f t="shared" si="3"/>
        <v>31.9596798390517</v>
      </c>
      <c r="O43" s="191">
        <f t="shared" si="3"/>
        <v>0</v>
      </c>
      <c r="P43" s="191">
        <f t="shared" si="3"/>
        <v>0.123962951238452</v>
      </c>
      <c r="Q43" s="191">
        <f t="shared" si="3"/>
        <v>0.823018242450687</v>
      </c>
      <c r="R43" s="191"/>
      <c r="S43" s="191"/>
      <c r="T43" s="191"/>
      <c r="U43" s="191"/>
    </row>
    <row r="44" s="2" customFormat="1" spans="1:21">
      <c r="A44" s="175" t="s">
        <v>146</v>
      </c>
      <c r="B44" s="178">
        <f t="shared" ref="B44:Q44" si="4">COUNT(B9:B38)</f>
        <v>30</v>
      </c>
      <c r="C44" s="178">
        <f t="shared" si="4"/>
        <v>30</v>
      </c>
      <c r="D44" s="178">
        <f t="shared" si="4"/>
        <v>30</v>
      </c>
      <c r="E44" s="178">
        <f t="shared" si="4"/>
        <v>30</v>
      </c>
      <c r="F44" s="178">
        <f t="shared" si="4"/>
        <v>30</v>
      </c>
      <c r="G44" s="178">
        <f t="shared" si="4"/>
        <v>30</v>
      </c>
      <c r="H44" s="178">
        <f t="shared" si="4"/>
        <v>30</v>
      </c>
      <c r="I44" s="178">
        <f t="shared" si="4"/>
        <v>30</v>
      </c>
      <c r="J44" s="178">
        <f t="shared" si="4"/>
        <v>30</v>
      </c>
      <c r="K44" s="178">
        <f t="shared" si="4"/>
        <v>30</v>
      </c>
      <c r="L44" s="178">
        <f t="shared" si="4"/>
        <v>30</v>
      </c>
      <c r="M44" s="178">
        <f t="shared" si="4"/>
        <v>30</v>
      </c>
      <c r="N44" s="178">
        <f t="shared" si="4"/>
        <v>30</v>
      </c>
      <c r="O44" s="178">
        <f t="shared" si="4"/>
        <v>30</v>
      </c>
      <c r="P44" s="178">
        <f t="shared" si="4"/>
        <v>30</v>
      </c>
      <c r="Q44" s="178">
        <f t="shared" si="4"/>
        <v>30</v>
      </c>
      <c r="R44" s="178"/>
      <c r="S44" s="178"/>
      <c r="T44" s="178"/>
      <c r="U44" s="178"/>
    </row>
    <row r="45" s="2" customFormat="1" spans="1:21">
      <c r="A45" s="175" t="s">
        <v>147</v>
      </c>
      <c r="B45" s="178" t="str">
        <f>IF(B44&gt;=28,"&gt;90%",IF(B44&lt;=28,"&lt;90%"))</f>
        <v>&gt;90%</v>
      </c>
      <c r="C45" s="178" t="str">
        <f t="shared" ref="C45:Q45" si="5">IF(C44&gt;=28,"&gt;90%",IF(C44&lt;=28,"&lt;90%"))</f>
        <v>&gt;90%</v>
      </c>
      <c r="D45" s="178" t="str">
        <f t="shared" si="5"/>
        <v>&gt;90%</v>
      </c>
      <c r="E45" s="178" t="str">
        <f t="shared" si="5"/>
        <v>&gt;90%</v>
      </c>
      <c r="F45" s="178" t="str">
        <f t="shared" si="5"/>
        <v>&gt;90%</v>
      </c>
      <c r="G45" s="178" t="str">
        <f t="shared" si="5"/>
        <v>&gt;90%</v>
      </c>
      <c r="H45" s="178" t="str">
        <f t="shared" si="5"/>
        <v>&gt;90%</v>
      </c>
      <c r="I45" s="178" t="str">
        <f t="shared" si="5"/>
        <v>&gt;90%</v>
      </c>
      <c r="J45" s="178" t="str">
        <f t="shared" si="5"/>
        <v>&gt;90%</v>
      </c>
      <c r="K45" s="178" t="str">
        <f t="shared" si="5"/>
        <v>&gt;90%</v>
      </c>
      <c r="L45" s="178" t="str">
        <f t="shared" si="5"/>
        <v>&gt;90%</v>
      </c>
      <c r="M45" s="178" t="str">
        <f t="shared" si="5"/>
        <v>&gt;90%</v>
      </c>
      <c r="N45" s="178" t="str">
        <f t="shared" si="5"/>
        <v>&gt;90%</v>
      </c>
      <c r="O45" s="178" t="str">
        <f t="shared" si="5"/>
        <v>&gt;90%</v>
      </c>
      <c r="P45" s="178" t="str">
        <f t="shared" si="5"/>
        <v>&gt;90%</v>
      </c>
      <c r="Q45" s="178" t="str">
        <f t="shared" si="5"/>
        <v>&gt;90%</v>
      </c>
      <c r="R45" s="178"/>
      <c r="S45" s="178"/>
      <c r="T45" s="178"/>
      <c r="U45" s="178"/>
    </row>
    <row r="46" spans="1:21">
      <c r="A46" s="175" t="s">
        <v>148</v>
      </c>
      <c r="B46" s="178" t="str">
        <f>IF(B44&gt;=28,"OK",IF(B44&lt;=28,"LESS"))</f>
        <v>OK</v>
      </c>
      <c r="C46" s="178" t="str">
        <f t="shared" ref="C46:Q46" si="6">IF(C44&gt;=28,"OK",IF(C44&lt;=28,"LESS"))</f>
        <v>OK</v>
      </c>
      <c r="D46" s="178" t="str">
        <f t="shared" si="6"/>
        <v>OK</v>
      </c>
      <c r="E46" s="178" t="str">
        <f t="shared" si="6"/>
        <v>OK</v>
      </c>
      <c r="F46" s="178" t="str">
        <f t="shared" si="6"/>
        <v>OK</v>
      </c>
      <c r="G46" s="178" t="str">
        <f t="shared" si="6"/>
        <v>OK</v>
      </c>
      <c r="H46" s="178" t="str">
        <f t="shared" si="6"/>
        <v>OK</v>
      </c>
      <c r="I46" s="178" t="str">
        <f t="shared" si="6"/>
        <v>OK</v>
      </c>
      <c r="J46" s="178" t="str">
        <f t="shared" si="6"/>
        <v>OK</v>
      </c>
      <c r="K46" s="178" t="str">
        <f t="shared" si="6"/>
        <v>OK</v>
      </c>
      <c r="L46" s="178" t="str">
        <f t="shared" si="6"/>
        <v>OK</v>
      </c>
      <c r="M46" s="178" t="str">
        <f t="shared" si="6"/>
        <v>OK</v>
      </c>
      <c r="N46" s="178" t="str">
        <f t="shared" si="6"/>
        <v>OK</v>
      </c>
      <c r="O46" s="178" t="str">
        <f t="shared" si="6"/>
        <v>OK</v>
      </c>
      <c r="P46" s="178" t="str">
        <f t="shared" si="6"/>
        <v>OK</v>
      </c>
      <c r="Q46" s="178" t="str">
        <f t="shared" si="6"/>
        <v>OK</v>
      </c>
      <c r="R46" s="178"/>
      <c r="S46" s="178"/>
      <c r="T46" s="178"/>
      <c r="U46" s="178"/>
    </row>
    <row r="47" spans="2:20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9" spans="1:16">
      <c r="A49" s="175" t="s">
        <v>149</v>
      </c>
      <c r="B49" s="192" t="s">
        <v>150</v>
      </c>
      <c r="C49" s="192"/>
      <c r="D49" s="19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193"/>
      <c r="B50" s="2"/>
      <c r="C50" s="2"/>
      <c r="D50" s="194"/>
      <c r="E50" s="194"/>
      <c r="F50" s="194"/>
      <c r="G50" s="194"/>
      <c r="H50" s="194"/>
      <c r="I50" s="194"/>
      <c r="J50" s="2"/>
      <c r="K50" s="2"/>
      <c r="L50" s="2"/>
      <c r="M50" s="2"/>
      <c r="N50" s="2"/>
      <c r="O50" s="2"/>
      <c r="P50" s="2"/>
    </row>
    <row r="51" ht="15.75" spans="1:16">
      <c r="A51" s="195" t="s">
        <v>151</v>
      </c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</row>
    <row r="52" spans="1:16">
      <c r="A52" s="19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9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9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</sheetData>
  <mergeCells count="2">
    <mergeCell ref="B49:D49"/>
    <mergeCell ref="B51:P51"/>
  </mergeCells>
  <pageMargins left="0.17" right="0.17" top="0.19" bottom="0.16" header="0.17" footer="0.16"/>
  <pageSetup paperSize="9" orientation="landscape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119"/>
  <sheetViews>
    <sheetView zoomScale="85" zoomScaleNormal="85" topLeftCell="A94" workbookViewId="0">
      <selection activeCell="B11" sqref="B11"/>
    </sheetView>
  </sheetViews>
  <sheetFormatPr defaultColWidth="8.85714285714286" defaultRowHeight="15"/>
  <cols>
    <col min="1" max="1" width="4.57142857142857" style="2" customWidth="1"/>
    <col min="2" max="2" width="16.1428571428571" style="107" customWidth="1"/>
    <col min="3" max="3" width="10.2857142857143" style="2" customWidth="1"/>
    <col min="4" max="7" width="9.14285714285714" style="2" customWidth="1"/>
    <col min="8" max="8" width="9.14285714285714" style="110" customWidth="1"/>
    <col min="9" max="12" width="9.14285714285714" style="2" customWidth="1"/>
    <col min="13" max="13" width="13.2857142857143" style="2" customWidth="1"/>
    <col min="14" max="14" width="5.71428571428571" style="2" customWidth="1"/>
    <col min="15" max="15" width="16.1428571428571" style="111" customWidth="1"/>
    <col min="16" max="16" width="10.8571428571429" style="111" customWidth="1"/>
    <col min="17" max="17" width="15.4285714285714" style="111" customWidth="1"/>
    <col min="18" max="18" width="13.4285714285714" style="111" customWidth="1"/>
    <col min="19" max="19" width="16.8571428571429" style="112" customWidth="1"/>
    <col min="20" max="20" width="10" style="112" customWidth="1"/>
    <col min="21" max="21" width="12.8571428571429" style="111" customWidth="1"/>
    <col min="22" max="22" width="10.7142857142857" style="111" customWidth="1"/>
    <col min="23" max="23" width="8.85714285714286" style="2"/>
    <col min="24" max="24" width="10.8571428571429" style="2" customWidth="1"/>
    <col min="25" max="16384" width="8.85714285714286" style="2"/>
  </cols>
  <sheetData>
    <row r="1" ht="24" customHeight="1" spans="2:10">
      <c r="B1" s="2"/>
      <c r="C1" s="113" t="s">
        <v>2951</v>
      </c>
      <c r="D1" s="114" t="s">
        <v>2952</v>
      </c>
      <c r="E1" s="114"/>
      <c r="F1" s="114"/>
      <c r="G1" s="114"/>
      <c r="H1" s="114"/>
      <c r="I1" s="114"/>
      <c r="J1" s="135"/>
    </row>
    <row r="2" ht="22.5" customHeight="1" spans="2:10">
      <c r="B2" s="2"/>
      <c r="C2" s="113" t="s">
        <v>2</v>
      </c>
      <c r="D2" s="115" t="s">
        <v>2953</v>
      </c>
      <c r="E2" s="116"/>
      <c r="F2" s="116"/>
      <c r="G2" s="116"/>
      <c r="H2" s="116"/>
      <c r="I2" s="116"/>
      <c r="J2" s="136"/>
    </row>
    <row r="4" ht="15.75" spans="19:24">
      <c r="S4" s="111"/>
      <c r="T4" s="111"/>
      <c r="U4" s="112"/>
      <c r="V4" s="112"/>
      <c r="W4" s="111"/>
      <c r="X4" s="111"/>
    </row>
    <row r="5" spans="2:24">
      <c r="B5" s="117"/>
      <c r="C5" s="118"/>
      <c r="D5" s="118"/>
      <c r="E5" s="118"/>
      <c r="F5" s="118"/>
      <c r="G5" s="119" t="s">
        <v>2954</v>
      </c>
      <c r="H5" s="119"/>
      <c r="I5" s="118"/>
      <c r="J5" s="118"/>
      <c r="K5" s="118"/>
      <c r="L5" s="118"/>
      <c r="M5" s="137"/>
      <c r="O5" s="138"/>
      <c r="P5" s="139"/>
      <c r="Q5" s="139"/>
      <c r="R5" s="139"/>
      <c r="S5" s="158" t="s">
        <v>2955</v>
      </c>
      <c r="T5" s="139"/>
      <c r="U5" s="159"/>
      <c r="V5" s="159"/>
      <c r="W5" s="139"/>
      <c r="X5" s="160"/>
    </row>
    <row r="6" spans="2:24">
      <c r="B6" s="120"/>
      <c r="C6" s="13"/>
      <c r="D6" s="13"/>
      <c r="E6" s="13"/>
      <c r="F6" s="13"/>
      <c r="G6" s="13"/>
      <c r="H6" s="121"/>
      <c r="I6" s="13"/>
      <c r="J6" s="13"/>
      <c r="K6" s="13"/>
      <c r="L6" s="13"/>
      <c r="M6" s="140"/>
      <c r="O6" s="141"/>
      <c r="P6" s="142"/>
      <c r="Q6" s="142"/>
      <c r="R6" s="142"/>
      <c r="S6" s="142"/>
      <c r="T6" s="142"/>
      <c r="U6" s="161"/>
      <c r="V6" s="161"/>
      <c r="W6" s="142"/>
      <c r="X6" s="162"/>
    </row>
    <row r="7" spans="2:24">
      <c r="B7" s="122" t="s">
        <v>2956</v>
      </c>
      <c r="C7" s="123" t="s">
        <v>2957</v>
      </c>
      <c r="D7" s="123" t="s">
        <v>2958</v>
      </c>
      <c r="E7" s="123" t="s">
        <v>2959</v>
      </c>
      <c r="F7" s="123" t="s">
        <v>2960</v>
      </c>
      <c r="G7" s="123" t="s">
        <v>2961</v>
      </c>
      <c r="H7" s="124" t="s">
        <v>2962</v>
      </c>
      <c r="I7" s="123" t="s">
        <v>2963</v>
      </c>
      <c r="J7" s="123" t="s">
        <v>2964</v>
      </c>
      <c r="K7" s="123" t="s">
        <v>2965</v>
      </c>
      <c r="L7" s="123" t="s">
        <v>148</v>
      </c>
      <c r="M7" s="56" t="s">
        <v>2966</v>
      </c>
      <c r="O7" s="143" t="s">
        <v>2956</v>
      </c>
      <c r="P7" s="144" t="s">
        <v>2957</v>
      </c>
      <c r="Q7" s="144" t="s">
        <v>2967</v>
      </c>
      <c r="R7" s="144" t="s">
        <v>11</v>
      </c>
      <c r="S7" s="144" t="s">
        <v>2968</v>
      </c>
      <c r="T7" s="144" t="s">
        <v>2969</v>
      </c>
      <c r="U7" s="163" t="s">
        <v>2970</v>
      </c>
      <c r="V7" s="163" t="s">
        <v>2971</v>
      </c>
      <c r="W7" s="144" t="s">
        <v>148</v>
      </c>
      <c r="X7" s="164" t="s">
        <v>2966</v>
      </c>
    </row>
    <row r="8" ht="15.75" spans="2:24">
      <c r="B8" s="103">
        <v>45024.5833333333</v>
      </c>
      <c r="C8" s="13" t="s">
        <v>2954</v>
      </c>
      <c r="D8" s="13" t="s">
        <v>39</v>
      </c>
      <c r="E8" s="13">
        <v>0</v>
      </c>
      <c r="F8" s="13">
        <v>200</v>
      </c>
      <c r="G8" s="13">
        <v>0</v>
      </c>
      <c r="H8" s="121">
        <v>199.1</v>
      </c>
      <c r="I8" s="13">
        <v>0</v>
      </c>
      <c r="J8" s="121">
        <f>F8/H8</f>
        <v>1.00452034153692</v>
      </c>
      <c r="K8" s="121">
        <f>(H8-F8)*100/F8</f>
        <v>-0.450000000000003</v>
      </c>
      <c r="L8" s="13" t="s">
        <v>2972</v>
      </c>
      <c r="M8" s="145" t="s">
        <v>150</v>
      </c>
      <c r="O8" s="103">
        <v>45017.5194444444</v>
      </c>
      <c r="P8" s="142" t="s">
        <v>2955</v>
      </c>
      <c r="Q8" s="142">
        <v>4574.84</v>
      </c>
      <c r="R8" s="142">
        <v>3503.79</v>
      </c>
      <c r="S8" s="165" t="s">
        <v>2973</v>
      </c>
      <c r="T8" s="165">
        <v>885.87</v>
      </c>
      <c r="U8" s="161">
        <v>0.9833</v>
      </c>
      <c r="V8" s="161">
        <v>0.959</v>
      </c>
      <c r="W8" s="13" t="s">
        <v>2972</v>
      </c>
      <c r="X8" s="145" t="s">
        <v>150</v>
      </c>
    </row>
    <row r="9" ht="15.75" spans="2:24">
      <c r="B9" s="103">
        <v>45035.6041666667</v>
      </c>
      <c r="C9" s="13" t="s">
        <v>2954</v>
      </c>
      <c r="D9" s="13" t="s">
        <v>39</v>
      </c>
      <c r="E9" s="13">
        <v>0</v>
      </c>
      <c r="F9" s="13">
        <v>500</v>
      </c>
      <c r="G9" s="13">
        <v>0</v>
      </c>
      <c r="H9" s="121">
        <v>500</v>
      </c>
      <c r="I9" s="13">
        <v>0</v>
      </c>
      <c r="J9" s="121">
        <f t="shared" ref="J9:J14" si="0">F9/H9</f>
        <v>1</v>
      </c>
      <c r="K9" s="121">
        <f t="shared" ref="K9:K14" si="1">(H9-F9)*100/F9</f>
        <v>0</v>
      </c>
      <c r="L9" s="13" t="s">
        <v>2972</v>
      </c>
      <c r="M9" s="145" t="s">
        <v>150</v>
      </c>
      <c r="O9" s="103">
        <v>45024.5270833333</v>
      </c>
      <c r="P9" s="142" t="s">
        <v>2955</v>
      </c>
      <c r="Q9" s="142">
        <v>4511.93</v>
      </c>
      <c r="R9" s="142">
        <v>3476.23</v>
      </c>
      <c r="S9" s="165" t="s">
        <v>2973</v>
      </c>
      <c r="T9" s="165">
        <v>849.04</v>
      </c>
      <c r="U9" s="161">
        <v>0.959</v>
      </c>
      <c r="V9" s="161">
        <v>0.9759</v>
      </c>
      <c r="W9" s="13" t="s">
        <v>2972</v>
      </c>
      <c r="X9" s="145" t="s">
        <v>150</v>
      </c>
    </row>
    <row r="10" ht="15.75" spans="2:24">
      <c r="B10" s="103">
        <v>45044.6013888889</v>
      </c>
      <c r="C10" s="13" t="s">
        <v>2954</v>
      </c>
      <c r="D10" s="13" t="s">
        <v>39</v>
      </c>
      <c r="E10" s="13">
        <v>0</v>
      </c>
      <c r="F10" s="13">
        <v>200</v>
      </c>
      <c r="G10" s="13">
        <v>0</v>
      </c>
      <c r="H10" s="121">
        <v>199.9</v>
      </c>
      <c r="I10" s="13">
        <v>0</v>
      </c>
      <c r="J10" s="121">
        <f t="shared" si="0"/>
        <v>1.00050025012506</v>
      </c>
      <c r="K10" s="121">
        <f t="shared" si="1"/>
        <v>-0.0499999999999972</v>
      </c>
      <c r="L10" s="13" t="s">
        <v>2972</v>
      </c>
      <c r="M10" s="145" t="s">
        <v>150</v>
      </c>
      <c r="O10" s="103">
        <v>45035.5298611111</v>
      </c>
      <c r="P10" s="142" t="s">
        <v>2955</v>
      </c>
      <c r="Q10" s="142">
        <v>4608.74</v>
      </c>
      <c r="R10" s="142">
        <v>3548.64</v>
      </c>
      <c r="S10" s="165" t="s">
        <v>2973</v>
      </c>
      <c r="T10" s="165">
        <v>867.45</v>
      </c>
      <c r="U10" s="161">
        <v>0.9759</v>
      </c>
      <c r="V10" s="161">
        <v>0.972</v>
      </c>
      <c r="W10" s="13" t="s">
        <v>2972</v>
      </c>
      <c r="X10" s="145" t="s">
        <v>150</v>
      </c>
    </row>
    <row r="11" ht="15.75" spans="2:24">
      <c r="B11" s="103"/>
      <c r="C11" s="13" t="s">
        <v>2954</v>
      </c>
      <c r="D11" s="13" t="s">
        <v>39</v>
      </c>
      <c r="E11" s="13">
        <v>0</v>
      </c>
      <c r="F11" s="13">
        <v>200</v>
      </c>
      <c r="G11" s="13">
        <v>0</v>
      </c>
      <c r="H11" s="121"/>
      <c r="I11" s="13">
        <v>0</v>
      </c>
      <c r="J11" s="121" t="e">
        <f t="shared" si="0"/>
        <v>#DIV/0!</v>
      </c>
      <c r="K11" s="121">
        <f t="shared" si="1"/>
        <v>-100</v>
      </c>
      <c r="L11" s="13" t="s">
        <v>2972</v>
      </c>
      <c r="M11" s="145" t="s">
        <v>150</v>
      </c>
      <c r="O11" s="103">
        <v>45044.5159722222</v>
      </c>
      <c r="P11" s="142" t="s">
        <v>2955</v>
      </c>
      <c r="Q11" s="142">
        <v>4825.8</v>
      </c>
      <c r="R11" s="142">
        <v>3714.16</v>
      </c>
      <c r="S11" s="165" t="s">
        <v>2973</v>
      </c>
      <c r="T11" s="165">
        <v>857.27</v>
      </c>
      <c r="U11" s="161">
        <v>0.972</v>
      </c>
      <c r="V11" s="161">
        <v>0.9797</v>
      </c>
      <c r="W11" s="13" t="s">
        <v>2972</v>
      </c>
      <c r="X11" s="145" t="s">
        <v>150</v>
      </c>
    </row>
    <row r="12" ht="15.75" spans="2:24">
      <c r="B12" s="103"/>
      <c r="C12" s="13" t="s">
        <v>2954</v>
      </c>
      <c r="D12" s="13" t="s">
        <v>39</v>
      </c>
      <c r="E12" s="13">
        <v>0</v>
      </c>
      <c r="F12" s="13">
        <v>200</v>
      </c>
      <c r="G12" s="13">
        <v>0</v>
      </c>
      <c r="H12" s="121"/>
      <c r="I12" s="13">
        <v>0</v>
      </c>
      <c r="J12" s="121" t="e">
        <f t="shared" si="0"/>
        <v>#DIV/0!</v>
      </c>
      <c r="K12" s="121">
        <f t="shared" si="1"/>
        <v>-100</v>
      </c>
      <c r="L12" s="13" t="s">
        <v>2972</v>
      </c>
      <c r="M12" s="145" t="s">
        <v>150</v>
      </c>
      <c r="O12" s="103"/>
      <c r="P12" s="142" t="s">
        <v>2955</v>
      </c>
      <c r="Q12" s="142"/>
      <c r="R12" s="142"/>
      <c r="S12" s="165" t="s">
        <v>2973</v>
      </c>
      <c r="T12" s="165"/>
      <c r="U12" s="161"/>
      <c r="V12" s="161"/>
      <c r="W12" s="13" t="s">
        <v>2972</v>
      </c>
      <c r="X12" s="145" t="s">
        <v>150</v>
      </c>
    </row>
    <row r="13" ht="15.75" spans="2:24">
      <c r="B13" s="103"/>
      <c r="C13" s="13" t="s">
        <v>2954</v>
      </c>
      <c r="D13" s="13" t="s">
        <v>39</v>
      </c>
      <c r="E13" s="13">
        <v>0</v>
      </c>
      <c r="F13" s="13">
        <v>200</v>
      </c>
      <c r="G13" s="13">
        <v>0</v>
      </c>
      <c r="H13" s="121"/>
      <c r="I13" s="13">
        <v>0</v>
      </c>
      <c r="J13" s="121" t="e">
        <f t="shared" si="0"/>
        <v>#DIV/0!</v>
      </c>
      <c r="K13" s="121">
        <f t="shared" si="1"/>
        <v>-100</v>
      </c>
      <c r="L13" s="13" t="s">
        <v>2972</v>
      </c>
      <c r="M13" s="145" t="s">
        <v>150</v>
      </c>
      <c r="O13" s="103"/>
      <c r="P13" s="142" t="s">
        <v>2955</v>
      </c>
      <c r="Q13" s="142"/>
      <c r="R13" s="142"/>
      <c r="S13" s="165" t="s">
        <v>2973</v>
      </c>
      <c r="T13" s="165"/>
      <c r="U13" s="161"/>
      <c r="V13" s="161"/>
      <c r="W13" s="13" t="s">
        <v>2972</v>
      </c>
      <c r="X13" s="145" t="s">
        <v>150</v>
      </c>
    </row>
    <row r="14" ht="15.75" spans="2:24">
      <c r="B14" s="103"/>
      <c r="C14" s="13" t="s">
        <v>2954</v>
      </c>
      <c r="D14" s="13" t="s">
        <v>39</v>
      </c>
      <c r="E14" s="13">
        <v>0</v>
      </c>
      <c r="F14" s="13">
        <v>200</v>
      </c>
      <c r="G14" s="13">
        <v>0</v>
      </c>
      <c r="H14" s="121"/>
      <c r="I14" s="13">
        <v>0</v>
      </c>
      <c r="J14" s="121" t="e">
        <f t="shared" si="0"/>
        <v>#DIV/0!</v>
      </c>
      <c r="K14" s="121">
        <f t="shared" si="1"/>
        <v>-100</v>
      </c>
      <c r="L14" s="13" t="s">
        <v>2972</v>
      </c>
      <c r="M14" s="145" t="s">
        <v>150</v>
      </c>
      <c r="O14" s="103"/>
      <c r="P14" s="142" t="s">
        <v>2955</v>
      </c>
      <c r="Q14" s="142"/>
      <c r="R14" s="142"/>
      <c r="S14" s="165" t="s">
        <v>2973</v>
      </c>
      <c r="T14" s="165"/>
      <c r="U14" s="161"/>
      <c r="V14" s="161"/>
      <c r="W14" s="13" t="s">
        <v>2972</v>
      </c>
      <c r="X14" s="145" t="s">
        <v>150</v>
      </c>
    </row>
    <row r="15" ht="15.75" spans="2:24">
      <c r="B15" s="103"/>
      <c r="C15" s="13"/>
      <c r="D15" s="13"/>
      <c r="E15" s="13"/>
      <c r="F15" s="13"/>
      <c r="G15" s="13"/>
      <c r="H15" s="121"/>
      <c r="I15" s="13"/>
      <c r="J15" s="121"/>
      <c r="K15" s="121"/>
      <c r="L15" s="13"/>
      <c r="M15" s="146"/>
      <c r="O15" s="103"/>
      <c r="P15" s="142" t="s">
        <v>2955</v>
      </c>
      <c r="Q15" s="142"/>
      <c r="R15" s="142"/>
      <c r="S15" s="165" t="s">
        <v>2973</v>
      </c>
      <c r="T15" s="165"/>
      <c r="U15" s="161"/>
      <c r="V15" s="161"/>
      <c r="W15" s="13" t="s">
        <v>2972</v>
      </c>
      <c r="X15" s="145"/>
    </row>
    <row r="16" ht="15.75" spans="2:24">
      <c r="B16" s="103"/>
      <c r="C16" s="13"/>
      <c r="D16" s="13"/>
      <c r="E16" s="13"/>
      <c r="F16" s="13"/>
      <c r="G16" s="13"/>
      <c r="H16" s="121"/>
      <c r="I16" s="13"/>
      <c r="J16" s="121"/>
      <c r="K16" s="121"/>
      <c r="L16" s="13"/>
      <c r="M16" s="146"/>
      <c r="O16" s="103"/>
      <c r="P16" s="142" t="s">
        <v>2955</v>
      </c>
      <c r="Q16" s="142"/>
      <c r="R16" s="142"/>
      <c r="S16" s="165" t="s">
        <v>2973</v>
      </c>
      <c r="T16" s="165"/>
      <c r="U16" s="161"/>
      <c r="V16" s="161"/>
      <c r="W16" s="13" t="s">
        <v>2972</v>
      </c>
      <c r="X16" s="145"/>
    </row>
    <row r="17" ht="15.75" spans="2:24">
      <c r="B17" s="103"/>
      <c r="C17" s="13"/>
      <c r="D17" s="13"/>
      <c r="E17" s="13"/>
      <c r="F17" s="13"/>
      <c r="G17" s="13"/>
      <c r="H17" s="121"/>
      <c r="I17" s="13"/>
      <c r="J17" s="121"/>
      <c r="K17" s="121"/>
      <c r="L17" s="13"/>
      <c r="M17" s="146"/>
      <c r="O17" s="103"/>
      <c r="P17" s="142" t="s">
        <v>2955</v>
      </c>
      <c r="Q17" s="142"/>
      <c r="R17" s="142"/>
      <c r="S17" s="165" t="s">
        <v>2973</v>
      </c>
      <c r="T17" s="165"/>
      <c r="U17" s="161"/>
      <c r="V17" s="161"/>
      <c r="W17" s="13"/>
      <c r="X17" s="145"/>
    </row>
    <row r="18" ht="15.75" spans="2:24">
      <c r="B18" s="104"/>
      <c r="C18" s="13"/>
      <c r="D18" s="13"/>
      <c r="E18" s="13"/>
      <c r="F18" s="13"/>
      <c r="G18" s="13"/>
      <c r="H18" s="121"/>
      <c r="I18" s="13"/>
      <c r="J18" s="121"/>
      <c r="K18" s="121"/>
      <c r="L18" s="13"/>
      <c r="M18" s="146"/>
      <c r="O18" s="147"/>
      <c r="P18" s="142"/>
      <c r="Q18" s="142"/>
      <c r="R18" s="142"/>
      <c r="S18" s="165"/>
      <c r="T18" s="165"/>
      <c r="U18" s="161"/>
      <c r="V18" s="161"/>
      <c r="W18" s="13"/>
      <c r="X18" s="145"/>
    </row>
    <row r="19" ht="15.75" spans="2:24">
      <c r="B19" s="104"/>
      <c r="C19" s="13"/>
      <c r="D19" s="13"/>
      <c r="E19" s="13"/>
      <c r="F19" s="13"/>
      <c r="G19" s="13"/>
      <c r="H19" s="121"/>
      <c r="I19" s="13"/>
      <c r="J19" s="121"/>
      <c r="K19" s="121"/>
      <c r="L19" s="13"/>
      <c r="M19" s="146"/>
      <c r="O19" s="148"/>
      <c r="P19" s="142"/>
      <c r="Q19" s="142"/>
      <c r="R19" s="142"/>
      <c r="S19" s="165"/>
      <c r="T19" s="165"/>
      <c r="U19" s="161"/>
      <c r="V19" s="161"/>
      <c r="W19" s="13"/>
      <c r="X19" s="145"/>
    </row>
    <row r="20" ht="15.75" spans="2:24">
      <c r="B20" s="104"/>
      <c r="C20" s="13"/>
      <c r="D20" s="13"/>
      <c r="E20" s="13"/>
      <c r="F20" s="13"/>
      <c r="G20" s="13"/>
      <c r="H20" s="121"/>
      <c r="I20" s="13"/>
      <c r="J20" s="121"/>
      <c r="K20" s="121"/>
      <c r="L20" s="13"/>
      <c r="M20" s="146"/>
      <c r="O20" s="148"/>
      <c r="P20" s="142"/>
      <c r="Q20" s="142"/>
      <c r="R20" s="142"/>
      <c r="S20" s="165"/>
      <c r="T20" s="165"/>
      <c r="U20" s="161"/>
      <c r="V20" s="161"/>
      <c r="W20" s="13"/>
      <c r="X20" s="145"/>
    </row>
    <row r="21" ht="15.75" spans="2:24">
      <c r="B21" s="125"/>
      <c r="C21" s="126" t="s">
        <v>2974</v>
      </c>
      <c r="D21" s="126"/>
      <c r="E21" s="126"/>
      <c r="F21" s="126"/>
      <c r="G21" s="126"/>
      <c r="H21" s="126"/>
      <c r="I21" s="149">
        <f>COUNT(B8:B20)</f>
        <v>3</v>
      </c>
      <c r="J21" s="150"/>
      <c r="K21" s="150"/>
      <c r="L21" s="134"/>
      <c r="M21" s="151"/>
      <c r="O21" s="152"/>
      <c r="P21" s="153" t="s">
        <v>2975</v>
      </c>
      <c r="Q21" s="153"/>
      <c r="R21" s="153"/>
      <c r="S21" s="153"/>
      <c r="T21" s="166">
        <f>COUNT(O8:O20)</f>
        <v>4</v>
      </c>
      <c r="U21" s="167"/>
      <c r="V21" s="167"/>
      <c r="W21" s="168"/>
      <c r="X21" s="169"/>
    </row>
    <row r="22" spans="3:24">
      <c r="C22" s="127"/>
      <c r="D22" s="127"/>
      <c r="E22" s="127"/>
      <c r="F22" s="127"/>
      <c r="G22" s="127"/>
      <c r="H22" s="128"/>
      <c r="J22" s="110"/>
      <c r="K22" s="110"/>
      <c r="S22" s="111"/>
      <c r="T22" s="111"/>
      <c r="U22" s="112"/>
      <c r="V22" s="112"/>
      <c r="W22" s="111"/>
      <c r="X22" s="111"/>
    </row>
    <row r="23" ht="15.75" spans="10:24">
      <c r="J23" s="110"/>
      <c r="K23" s="110"/>
      <c r="S23" s="111"/>
      <c r="T23" s="111"/>
      <c r="U23" s="112"/>
      <c r="V23" s="112"/>
      <c r="W23" s="111"/>
      <c r="X23" s="111"/>
    </row>
    <row r="24" s="2" customFormat="1" spans="2:24">
      <c r="B24" s="117"/>
      <c r="C24" s="129"/>
      <c r="D24" s="129"/>
      <c r="E24" s="129"/>
      <c r="F24" s="129"/>
      <c r="G24" s="130" t="s">
        <v>2976</v>
      </c>
      <c r="H24" s="130"/>
      <c r="I24" s="118"/>
      <c r="J24" s="154"/>
      <c r="K24" s="154"/>
      <c r="L24" s="118"/>
      <c r="M24" s="137"/>
      <c r="O24" s="138"/>
      <c r="P24" s="139"/>
      <c r="Q24" s="139"/>
      <c r="R24" s="139"/>
      <c r="S24" s="158" t="s">
        <v>2977</v>
      </c>
      <c r="T24" s="139"/>
      <c r="U24" s="159"/>
      <c r="V24" s="159"/>
      <c r="W24" s="139"/>
      <c r="X24" s="160"/>
    </row>
    <row r="25" s="2" customFormat="1" spans="2:24">
      <c r="B25" s="131"/>
      <c r="C25" s="132"/>
      <c r="D25" s="132"/>
      <c r="E25" s="132"/>
      <c r="F25" s="132"/>
      <c r="G25" s="133"/>
      <c r="H25" s="133"/>
      <c r="I25" s="133"/>
      <c r="J25" s="155"/>
      <c r="K25" s="155"/>
      <c r="L25" s="133"/>
      <c r="M25" s="156"/>
      <c r="O25" s="141"/>
      <c r="P25" s="142"/>
      <c r="Q25" s="142"/>
      <c r="R25" s="142"/>
      <c r="S25" s="142"/>
      <c r="T25" s="142"/>
      <c r="U25" s="161"/>
      <c r="V25" s="161"/>
      <c r="W25" s="142"/>
      <c r="X25" s="162"/>
    </row>
    <row r="26" s="2" customFormat="1" spans="2:24">
      <c r="B26" s="122" t="s">
        <v>2956</v>
      </c>
      <c r="C26" s="123" t="s">
        <v>2957</v>
      </c>
      <c r="D26" s="123" t="s">
        <v>2958</v>
      </c>
      <c r="E26" s="123" t="s">
        <v>2959</v>
      </c>
      <c r="F26" s="123" t="s">
        <v>2960</v>
      </c>
      <c r="G26" s="123" t="s">
        <v>2961</v>
      </c>
      <c r="H26" s="124" t="s">
        <v>2962</v>
      </c>
      <c r="I26" s="123" t="s">
        <v>2963</v>
      </c>
      <c r="J26" s="123" t="s">
        <v>2964</v>
      </c>
      <c r="K26" s="123" t="s">
        <v>2965</v>
      </c>
      <c r="L26" s="123" t="s">
        <v>148</v>
      </c>
      <c r="M26" s="56" t="s">
        <v>2966</v>
      </c>
      <c r="O26" s="143" t="s">
        <v>2956</v>
      </c>
      <c r="P26" s="144" t="s">
        <v>2957</v>
      </c>
      <c r="Q26" s="144" t="s">
        <v>2967</v>
      </c>
      <c r="R26" s="144" t="s">
        <v>11</v>
      </c>
      <c r="S26" s="144" t="s">
        <v>2968</v>
      </c>
      <c r="T26" s="144" t="s">
        <v>2969</v>
      </c>
      <c r="U26" s="163" t="s">
        <v>2970</v>
      </c>
      <c r="V26" s="163" t="s">
        <v>2971</v>
      </c>
      <c r="W26" s="144" t="s">
        <v>148</v>
      </c>
      <c r="X26" s="164" t="s">
        <v>2966</v>
      </c>
    </row>
    <row r="27" s="2" customFormat="1" ht="15.75" spans="2:24">
      <c r="B27" s="103">
        <v>45024.5416666667</v>
      </c>
      <c r="C27" s="13" t="s">
        <v>2978</v>
      </c>
      <c r="D27" s="13" t="s">
        <v>39</v>
      </c>
      <c r="E27" s="13">
        <v>0</v>
      </c>
      <c r="F27" s="13">
        <v>200</v>
      </c>
      <c r="G27" s="13">
        <v>0</v>
      </c>
      <c r="H27" s="121">
        <v>199.7</v>
      </c>
      <c r="I27" s="13">
        <v>0</v>
      </c>
      <c r="J27" s="121">
        <f>F27/H27</f>
        <v>1.00150225338007</v>
      </c>
      <c r="K27" s="121">
        <f>(H27-F27)*100/F27</f>
        <v>-0.150000000000006</v>
      </c>
      <c r="L27" s="13" t="s">
        <v>2972</v>
      </c>
      <c r="M27" s="145" t="s">
        <v>150</v>
      </c>
      <c r="O27" s="103">
        <v>45017.5194444444</v>
      </c>
      <c r="P27" s="142" t="s">
        <v>2977</v>
      </c>
      <c r="Q27" s="142">
        <v>4573.66</v>
      </c>
      <c r="R27" s="142">
        <v>3562.33</v>
      </c>
      <c r="S27" s="165" t="s">
        <v>2979</v>
      </c>
      <c r="T27" s="165">
        <v>797.94</v>
      </c>
      <c r="U27" s="161">
        <v>0.9467</v>
      </c>
      <c r="V27" s="161">
        <v>0.9361</v>
      </c>
      <c r="W27" s="13" t="s">
        <v>2972</v>
      </c>
      <c r="X27" s="145" t="s">
        <v>150</v>
      </c>
    </row>
    <row r="28" s="2" customFormat="1" ht="15.75" spans="2:24">
      <c r="B28" s="103">
        <v>45035.6458333333</v>
      </c>
      <c r="C28" s="13" t="s">
        <v>2978</v>
      </c>
      <c r="D28" s="13" t="s">
        <v>39</v>
      </c>
      <c r="E28" s="13">
        <v>0</v>
      </c>
      <c r="F28" s="13">
        <v>500</v>
      </c>
      <c r="G28" s="13">
        <v>0</v>
      </c>
      <c r="H28" s="121">
        <v>500.3</v>
      </c>
      <c r="I28" s="13">
        <v>0</v>
      </c>
      <c r="J28" s="121">
        <f t="shared" ref="J28:J33" si="2">F28/H28</f>
        <v>0.99940035978413</v>
      </c>
      <c r="K28" s="121">
        <f t="shared" ref="K28:K33" si="3">(H28-F28)*100/F28</f>
        <v>0.0600000000000023</v>
      </c>
      <c r="L28" s="13" t="s">
        <v>2972</v>
      </c>
      <c r="M28" s="145" t="s">
        <v>150</v>
      </c>
      <c r="O28" s="103">
        <v>45024.5270833333</v>
      </c>
      <c r="P28" s="142" t="s">
        <v>2977</v>
      </c>
      <c r="Q28" s="142">
        <v>4862.44</v>
      </c>
      <c r="R28" s="142">
        <v>3794.96</v>
      </c>
      <c r="S28" s="165" t="s">
        <v>2979</v>
      </c>
      <c r="T28" s="165">
        <v>786.74</v>
      </c>
      <c r="U28" s="161">
        <v>0.9361</v>
      </c>
      <c r="V28" s="161">
        <v>0.9388</v>
      </c>
      <c r="W28" s="13" t="s">
        <v>2972</v>
      </c>
      <c r="X28" s="145" t="s">
        <v>150</v>
      </c>
    </row>
    <row r="29" s="2" customFormat="1" ht="15.75" spans="2:24">
      <c r="B29" s="103">
        <v>45044.5555555556</v>
      </c>
      <c r="C29" s="13" t="s">
        <v>2978</v>
      </c>
      <c r="D29" s="13" t="s">
        <v>39</v>
      </c>
      <c r="E29" s="13">
        <v>0</v>
      </c>
      <c r="F29" s="13">
        <v>200</v>
      </c>
      <c r="G29" s="13">
        <v>0</v>
      </c>
      <c r="H29" s="121">
        <v>199.9</v>
      </c>
      <c r="I29" s="13">
        <v>0</v>
      </c>
      <c r="J29" s="121">
        <f t="shared" si="2"/>
        <v>1.00050025012506</v>
      </c>
      <c r="K29" s="121">
        <f t="shared" si="3"/>
        <v>-0.0499999999999972</v>
      </c>
      <c r="L29" s="13" t="s">
        <v>2972</v>
      </c>
      <c r="M29" s="145" t="s">
        <v>150</v>
      </c>
      <c r="O29" s="103">
        <v>45035.5298611111</v>
      </c>
      <c r="P29" s="142" t="s">
        <v>2977</v>
      </c>
      <c r="Q29" s="142">
        <v>4483.99</v>
      </c>
      <c r="R29" s="142">
        <v>3488.83</v>
      </c>
      <c r="S29" s="165" t="s">
        <v>2979</v>
      </c>
      <c r="T29" s="165">
        <v>801.01</v>
      </c>
      <c r="U29" s="161">
        <v>0.9388</v>
      </c>
      <c r="V29" s="161">
        <v>0.9247</v>
      </c>
      <c r="W29" s="13" t="s">
        <v>2972</v>
      </c>
      <c r="X29" s="145" t="s">
        <v>150</v>
      </c>
    </row>
    <row r="30" s="2" customFormat="1" ht="15.75" spans="2:24">
      <c r="B30" s="103"/>
      <c r="C30" s="13" t="s">
        <v>2978</v>
      </c>
      <c r="D30" s="13" t="s">
        <v>39</v>
      </c>
      <c r="E30" s="13">
        <v>0</v>
      </c>
      <c r="F30" s="13">
        <v>200</v>
      </c>
      <c r="G30" s="13"/>
      <c r="H30" s="121"/>
      <c r="I30" s="13">
        <v>0</v>
      </c>
      <c r="J30" s="121" t="e">
        <f t="shared" si="2"/>
        <v>#DIV/0!</v>
      </c>
      <c r="K30" s="121">
        <f t="shared" si="3"/>
        <v>-100</v>
      </c>
      <c r="L30" s="13" t="s">
        <v>2972</v>
      </c>
      <c r="M30" s="145" t="s">
        <v>150</v>
      </c>
      <c r="O30" s="103">
        <v>45044.5159722222</v>
      </c>
      <c r="P30" s="142" t="s">
        <v>2977</v>
      </c>
      <c r="Q30" s="142">
        <v>4548.09</v>
      </c>
      <c r="R30" s="142">
        <v>3540.32</v>
      </c>
      <c r="S30" s="165" t="s">
        <v>2979</v>
      </c>
      <c r="T30" s="165">
        <v>779.97</v>
      </c>
      <c r="U30" s="161">
        <v>0.9247</v>
      </c>
      <c r="V30" s="161">
        <v>0.9345</v>
      </c>
      <c r="W30" s="13" t="s">
        <v>2972</v>
      </c>
      <c r="X30" s="145" t="s">
        <v>150</v>
      </c>
    </row>
    <row r="31" s="2" customFormat="1" ht="15.75" spans="2:24">
      <c r="B31" s="103"/>
      <c r="C31" s="13" t="s">
        <v>2978</v>
      </c>
      <c r="D31" s="13" t="s">
        <v>39</v>
      </c>
      <c r="E31" s="13">
        <v>0</v>
      </c>
      <c r="F31" s="13">
        <v>200</v>
      </c>
      <c r="G31" s="13"/>
      <c r="H31" s="121"/>
      <c r="I31" s="13">
        <v>0</v>
      </c>
      <c r="J31" s="121" t="e">
        <f t="shared" si="2"/>
        <v>#DIV/0!</v>
      </c>
      <c r="K31" s="121">
        <f t="shared" si="3"/>
        <v>-100</v>
      </c>
      <c r="L31" s="13" t="s">
        <v>2972</v>
      </c>
      <c r="M31" s="145" t="s">
        <v>150</v>
      </c>
      <c r="O31" s="103"/>
      <c r="P31" s="142" t="s">
        <v>2977</v>
      </c>
      <c r="Q31" s="142"/>
      <c r="R31" s="142"/>
      <c r="S31" s="165" t="s">
        <v>2979</v>
      </c>
      <c r="T31" s="165"/>
      <c r="U31" s="161"/>
      <c r="V31" s="161"/>
      <c r="W31" s="13" t="s">
        <v>2972</v>
      </c>
      <c r="X31" s="145" t="s">
        <v>150</v>
      </c>
    </row>
    <row r="32" s="2" customFormat="1" ht="15.75" spans="2:24">
      <c r="B32" s="103"/>
      <c r="C32" s="13" t="s">
        <v>2978</v>
      </c>
      <c r="D32" s="13" t="s">
        <v>39</v>
      </c>
      <c r="E32" s="13">
        <v>0</v>
      </c>
      <c r="F32" s="13">
        <v>200</v>
      </c>
      <c r="G32" s="13"/>
      <c r="H32" s="121"/>
      <c r="I32" s="13">
        <v>0</v>
      </c>
      <c r="J32" s="121" t="e">
        <f t="shared" si="2"/>
        <v>#DIV/0!</v>
      </c>
      <c r="K32" s="121">
        <f t="shared" si="3"/>
        <v>-100</v>
      </c>
      <c r="L32" s="13" t="s">
        <v>2972</v>
      </c>
      <c r="M32" s="145" t="s">
        <v>150</v>
      </c>
      <c r="O32" s="103"/>
      <c r="P32" s="142" t="s">
        <v>2977</v>
      </c>
      <c r="Q32" s="142"/>
      <c r="R32" s="142"/>
      <c r="S32" s="165" t="s">
        <v>2979</v>
      </c>
      <c r="T32" s="165"/>
      <c r="U32" s="161"/>
      <c r="V32" s="161"/>
      <c r="W32" s="13" t="s">
        <v>2972</v>
      </c>
      <c r="X32" s="145" t="s">
        <v>150</v>
      </c>
    </row>
    <row r="33" s="2" customFormat="1" ht="15.75" spans="2:24">
      <c r="B33" s="103"/>
      <c r="C33" s="13" t="s">
        <v>2978</v>
      </c>
      <c r="D33" s="13" t="s">
        <v>39</v>
      </c>
      <c r="E33" s="13">
        <v>0</v>
      </c>
      <c r="F33" s="13">
        <v>200</v>
      </c>
      <c r="G33" s="13"/>
      <c r="H33" s="121"/>
      <c r="I33" s="13">
        <v>0</v>
      </c>
      <c r="J33" s="121" t="e">
        <f t="shared" si="2"/>
        <v>#DIV/0!</v>
      </c>
      <c r="K33" s="121">
        <f t="shared" si="3"/>
        <v>-100</v>
      </c>
      <c r="L33" s="13" t="s">
        <v>2972</v>
      </c>
      <c r="M33" s="145" t="s">
        <v>150</v>
      </c>
      <c r="O33" s="103"/>
      <c r="P33" s="142" t="s">
        <v>2977</v>
      </c>
      <c r="Q33" s="142"/>
      <c r="R33" s="142"/>
      <c r="S33" s="165" t="s">
        <v>2979</v>
      </c>
      <c r="T33" s="165"/>
      <c r="U33" s="161"/>
      <c r="V33" s="161"/>
      <c r="W33" s="13" t="s">
        <v>2972</v>
      </c>
      <c r="X33" s="145" t="s">
        <v>150</v>
      </c>
    </row>
    <row r="34" s="2" customFormat="1" ht="15.75" spans="2:24">
      <c r="B34" s="103"/>
      <c r="C34" s="13"/>
      <c r="D34" s="13"/>
      <c r="E34" s="13"/>
      <c r="F34" s="13"/>
      <c r="G34" s="13"/>
      <c r="H34" s="121"/>
      <c r="I34" s="13"/>
      <c r="J34" s="121"/>
      <c r="K34" s="121"/>
      <c r="L34" s="13"/>
      <c r="M34" s="146"/>
      <c r="O34" s="103"/>
      <c r="P34" s="142" t="s">
        <v>2977</v>
      </c>
      <c r="Q34" s="142"/>
      <c r="R34" s="142"/>
      <c r="S34" s="165" t="s">
        <v>2979</v>
      </c>
      <c r="T34" s="165"/>
      <c r="U34" s="161"/>
      <c r="V34" s="161"/>
      <c r="W34" s="13" t="s">
        <v>2972</v>
      </c>
      <c r="X34" s="145"/>
    </row>
    <row r="35" s="2" customFormat="1" ht="15.75" spans="2:24">
      <c r="B35" s="103"/>
      <c r="C35" s="13"/>
      <c r="D35" s="13"/>
      <c r="E35" s="13"/>
      <c r="F35" s="13"/>
      <c r="G35" s="13"/>
      <c r="H35" s="121"/>
      <c r="I35" s="13"/>
      <c r="J35" s="121"/>
      <c r="K35" s="121"/>
      <c r="L35" s="13"/>
      <c r="M35" s="146"/>
      <c r="O35" s="103"/>
      <c r="P35" s="142" t="s">
        <v>2977</v>
      </c>
      <c r="Q35" s="142"/>
      <c r="R35" s="142"/>
      <c r="S35" s="165" t="s">
        <v>2979</v>
      </c>
      <c r="T35" s="165"/>
      <c r="U35" s="161"/>
      <c r="V35" s="161"/>
      <c r="W35" s="13" t="s">
        <v>2972</v>
      </c>
      <c r="X35" s="145"/>
    </row>
    <row r="36" s="2" customFormat="1" ht="15.75" spans="2:24">
      <c r="B36" s="103"/>
      <c r="C36" s="13"/>
      <c r="D36" s="13"/>
      <c r="E36" s="13"/>
      <c r="F36" s="13"/>
      <c r="G36" s="13"/>
      <c r="H36" s="121"/>
      <c r="I36" s="13"/>
      <c r="J36" s="121"/>
      <c r="K36" s="121"/>
      <c r="L36" s="13"/>
      <c r="M36" s="146"/>
      <c r="O36" s="103"/>
      <c r="P36" s="142" t="s">
        <v>2977</v>
      </c>
      <c r="Q36" s="142"/>
      <c r="R36" s="142"/>
      <c r="S36" s="165" t="s">
        <v>2979</v>
      </c>
      <c r="T36" s="165"/>
      <c r="U36" s="161"/>
      <c r="V36" s="161"/>
      <c r="W36" s="13"/>
      <c r="X36" s="145"/>
    </row>
    <row r="37" s="2" customFormat="1" ht="15.75" spans="2:24">
      <c r="B37" s="104"/>
      <c r="C37" s="13"/>
      <c r="D37" s="13"/>
      <c r="E37" s="13"/>
      <c r="F37" s="13"/>
      <c r="G37" s="13"/>
      <c r="H37" s="121"/>
      <c r="I37" s="13"/>
      <c r="J37" s="121"/>
      <c r="K37" s="121"/>
      <c r="L37" s="13"/>
      <c r="M37" s="146"/>
      <c r="O37" s="147"/>
      <c r="P37" s="142" t="s">
        <v>2977</v>
      </c>
      <c r="Q37" s="142"/>
      <c r="R37" s="142"/>
      <c r="S37" s="165" t="s">
        <v>2979</v>
      </c>
      <c r="T37" s="165"/>
      <c r="U37" s="161"/>
      <c r="V37" s="161"/>
      <c r="W37" s="13"/>
      <c r="X37" s="145"/>
    </row>
    <row r="38" s="2" customFormat="1" ht="15.75" spans="2:24">
      <c r="B38" s="104"/>
      <c r="C38" s="13"/>
      <c r="D38" s="13"/>
      <c r="E38" s="13"/>
      <c r="F38" s="13"/>
      <c r="G38" s="13"/>
      <c r="H38" s="121"/>
      <c r="I38" s="13"/>
      <c r="J38" s="121"/>
      <c r="K38" s="121"/>
      <c r="L38" s="13"/>
      <c r="M38" s="146"/>
      <c r="O38" s="148"/>
      <c r="P38" s="142"/>
      <c r="Q38" s="142"/>
      <c r="R38" s="142"/>
      <c r="S38" s="165"/>
      <c r="T38" s="165"/>
      <c r="U38" s="161"/>
      <c r="V38" s="161"/>
      <c r="W38" s="13"/>
      <c r="X38" s="145"/>
    </row>
    <row r="39" s="2" customFormat="1" ht="15.75" spans="2:24">
      <c r="B39" s="104"/>
      <c r="C39" s="13"/>
      <c r="D39" s="13"/>
      <c r="E39" s="13"/>
      <c r="F39" s="13"/>
      <c r="G39" s="13"/>
      <c r="H39" s="121"/>
      <c r="I39" s="13"/>
      <c r="J39" s="121"/>
      <c r="K39" s="121"/>
      <c r="L39" s="13"/>
      <c r="M39" s="146"/>
      <c r="O39" s="148"/>
      <c r="P39" s="142"/>
      <c r="Q39" s="142"/>
      <c r="R39" s="142"/>
      <c r="S39" s="165"/>
      <c r="T39" s="165"/>
      <c r="U39" s="161"/>
      <c r="V39" s="161"/>
      <c r="W39" s="13"/>
      <c r="X39" s="145"/>
    </row>
    <row r="40" s="2" customFormat="1" ht="16.5" spans="2:24">
      <c r="B40" s="120"/>
      <c r="C40" s="13"/>
      <c r="D40" s="13"/>
      <c r="E40" s="13"/>
      <c r="F40" s="13"/>
      <c r="G40" s="13"/>
      <c r="H40" s="121"/>
      <c r="I40" s="13"/>
      <c r="J40" s="121"/>
      <c r="K40" s="121"/>
      <c r="L40" s="13"/>
      <c r="M40" s="146"/>
      <c r="O40" s="152"/>
      <c r="P40" s="153" t="s">
        <v>2980</v>
      </c>
      <c r="Q40" s="153"/>
      <c r="R40" s="153"/>
      <c r="S40" s="153"/>
      <c r="T40" s="166">
        <f>COUNT(O27:O39)</f>
        <v>4</v>
      </c>
      <c r="U40" s="167"/>
      <c r="V40" s="167"/>
      <c r="W40" s="168"/>
      <c r="X40" s="169"/>
    </row>
    <row r="41" s="2" customFormat="1" ht="15.75" spans="2:24">
      <c r="B41" s="125"/>
      <c r="C41" s="134"/>
      <c r="D41" s="126" t="s">
        <v>2981</v>
      </c>
      <c r="E41" s="126"/>
      <c r="F41" s="126"/>
      <c r="G41" s="126"/>
      <c r="H41" s="126"/>
      <c r="I41" s="126"/>
      <c r="J41" s="157">
        <f>COUNT(B27:B39)</f>
        <v>3</v>
      </c>
      <c r="K41" s="150"/>
      <c r="L41" s="134"/>
      <c r="M41" s="151"/>
      <c r="O41" s="111"/>
      <c r="P41" s="111"/>
      <c r="Q41" s="111"/>
      <c r="R41" s="111"/>
      <c r="S41" s="111"/>
      <c r="T41" s="111"/>
      <c r="U41" s="112"/>
      <c r="V41" s="112"/>
      <c r="W41" s="111"/>
      <c r="X41" s="111"/>
    </row>
    <row r="42" s="2" customFormat="1" spans="2:22">
      <c r="B42" s="107"/>
      <c r="H42" s="110"/>
      <c r="O42" s="111"/>
      <c r="P42" s="111"/>
      <c r="Q42" s="111"/>
      <c r="R42" s="111"/>
      <c r="S42" s="112"/>
      <c r="T42" s="112"/>
      <c r="U42" s="111"/>
      <c r="V42" s="111"/>
    </row>
    <row r="43" ht="15.75"/>
    <row r="44" spans="2:13">
      <c r="B44" s="117"/>
      <c r="C44" s="129"/>
      <c r="D44" s="129"/>
      <c r="E44" s="129"/>
      <c r="F44" s="129"/>
      <c r="G44" s="130" t="s">
        <v>2982</v>
      </c>
      <c r="H44" s="130"/>
      <c r="I44" s="118"/>
      <c r="J44" s="154"/>
      <c r="K44" s="154"/>
      <c r="L44" s="118"/>
      <c r="M44" s="137"/>
    </row>
    <row r="45" s="2" customFormat="1" spans="2:22">
      <c r="B45" s="120"/>
      <c r="C45" s="13"/>
      <c r="D45" s="13"/>
      <c r="E45" s="13"/>
      <c r="F45" s="13"/>
      <c r="G45" s="13"/>
      <c r="H45" s="121"/>
      <c r="I45" s="13"/>
      <c r="J45" s="121"/>
      <c r="K45" s="121"/>
      <c r="L45" s="13"/>
      <c r="M45" s="140"/>
      <c r="O45" s="111"/>
      <c r="P45" s="111"/>
      <c r="Q45" s="111"/>
      <c r="R45" s="111"/>
      <c r="S45" s="112"/>
      <c r="T45" s="112"/>
      <c r="U45" s="111"/>
      <c r="V45" s="111"/>
    </row>
    <row r="46" s="2" customFormat="1" spans="2:22">
      <c r="B46" s="122" t="s">
        <v>2956</v>
      </c>
      <c r="C46" s="123" t="s">
        <v>2957</v>
      </c>
      <c r="D46" s="123" t="s">
        <v>2958</v>
      </c>
      <c r="E46" s="123" t="s">
        <v>2959</v>
      </c>
      <c r="F46" s="123" t="s">
        <v>2960</v>
      </c>
      <c r="G46" s="123" t="s">
        <v>2961</v>
      </c>
      <c r="H46" s="124" t="s">
        <v>2962</v>
      </c>
      <c r="I46" s="123" t="s">
        <v>2963</v>
      </c>
      <c r="J46" s="123" t="s">
        <v>2964</v>
      </c>
      <c r="K46" s="123" t="s">
        <v>2965</v>
      </c>
      <c r="L46" s="123" t="s">
        <v>148</v>
      </c>
      <c r="M46" s="56" t="s">
        <v>2966</v>
      </c>
      <c r="O46" s="111"/>
      <c r="P46" s="111"/>
      <c r="Q46" s="111"/>
      <c r="R46" s="111"/>
      <c r="S46" s="112"/>
      <c r="T46" s="112"/>
      <c r="U46" s="111"/>
      <c r="V46" s="111"/>
    </row>
    <row r="47" s="2" customFormat="1" ht="15.75" spans="2:22">
      <c r="B47" s="103"/>
      <c r="C47" s="13" t="s">
        <v>2982</v>
      </c>
      <c r="D47" s="13" t="s">
        <v>39</v>
      </c>
      <c r="E47" s="13">
        <v>0</v>
      </c>
      <c r="F47" s="13">
        <v>400</v>
      </c>
      <c r="G47" s="13">
        <v>0</v>
      </c>
      <c r="H47" s="121"/>
      <c r="I47" s="13">
        <v>0</v>
      </c>
      <c r="J47" s="121" t="e">
        <f>F47/H47</f>
        <v>#DIV/0!</v>
      </c>
      <c r="K47" s="121">
        <f>(H47-F47)*100/F47</f>
        <v>-100</v>
      </c>
      <c r="L47" s="13" t="s">
        <v>2972</v>
      </c>
      <c r="M47" s="145" t="s">
        <v>150</v>
      </c>
      <c r="O47" s="111"/>
      <c r="P47" s="111"/>
      <c r="Q47" s="111"/>
      <c r="R47" s="111"/>
      <c r="S47" s="112"/>
      <c r="T47" s="112"/>
      <c r="U47" s="111"/>
      <c r="V47" s="111"/>
    </row>
    <row r="48" s="2" customFormat="1" ht="15.75" spans="2:22">
      <c r="B48" s="103"/>
      <c r="C48" s="13" t="s">
        <v>2982</v>
      </c>
      <c r="D48" s="13" t="s">
        <v>39</v>
      </c>
      <c r="E48" s="13">
        <v>0</v>
      </c>
      <c r="F48" s="13">
        <v>400</v>
      </c>
      <c r="G48" s="13">
        <v>0</v>
      </c>
      <c r="H48" s="121"/>
      <c r="I48" s="13">
        <v>0</v>
      </c>
      <c r="J48" s="121" t="e">
        <f>F48/H48</f>
        <v>#DIV/0!</v>
      </c>
      <c r="K48" s="121">
        <f>(H48-F48)*100/F48</f>
        <v>-100</v>
      </c>
      <c r="L48" s="13" t="s">
        <v>2972</v>
      </c>
      <c r="M48" s="145" t="s">
        <v>150</v>
      </c>
      <c r="O48" s="111"/>
      <c r="P48" s="111"/>
      <c r="Q48" s="111"/>
      <c r="R48" s="111"/>
      <c r="S48" s="112"/>
      <c r="T48" s="112"/>
      <c r="U48" s="111"/>
      <c r="V48" s="111"/>
    </row>
    <row r="49" s="2" customFormat="1" ht="15.75" spans="2:22">
      <c r="B49" s="103"/>
      <c r="C49" s="13" t="s">
        <v>2982</v>
      </c>
      <c r="D49" s="13" t="s">
        <v>39</v>
      </c>
      <c r="E49" s="13">
        <v>0</v>
      </c>
      <c r="F49" s="13">
        <v>400</v>
      </c>
      <c r="G49" s="13">
        <v>0</v>
      </c>
      <c r="H49" s="121"/>
      <c r="I49" s="13">
        <v>0</v>
      </c>
      <c r="J49" s="121" t="e">
        <f>F49/H49</f>
        <v>#DIV/0!</v>
      </c>
      <c r="K49" s="121">
        <f>(H49-F49)*100/F49</f>
        <v>-100</v>
      </c>
      <c r="L49" s="13" t="s">
        <v>2972</v>
      </c>
      <c r="M49" s="145" t="s">
        <v>150</v>
      </c>
      <c r="O49" s="111"/>
      <c r="P49" s="111"/>
      <c r="Q49" s="111"/>
      <c r="R49" s="111"/>
      <c r="S49" s="112"/>
      <c r="T49" s="112"/>
      <c r="U49" s="111"/>
      <c r="V49" s="111"/>
    </row>
    <row r="50" s="2" customFormat="1" ht="15.75" spans="2:22">
      <c r="B50" s="103"/>
      <c r="C50" s="13" t="s">
        <v>2982</v>
      </c>
      <c r="D50" s="13" t="s">
        <v>39</v>
      </c>
      <c r="E50" s="13">
        <v>0</v>
      </c>
      <c r="F50" s="13">
        <v>400</v>
      </c>
      <c r="G50" s="13">
        <v>0</v>
      </c>
      <c r="H50" s="121"/>
      <c r="I50" s="13">
        <v>0</v>
      </c>
      <c r="J50" s="121" t="e">
        <f>F50/H50</f>
        <v>#DIV/0!</v>
      </c>
      <c r="K50" s="121">
        <f>(H50-F50)*100/F50</f>
        <v>-100</v>
      </c>
      <c r="L50" s="13" t="s">
        <v>2972</v>
      </c>
      <c r="M50" s="145" t="s">
        <v>150</v>
      </c>
      <c r="O50" s="111"/>
      <c r="P50" s="111"/>
      <c r="Q50" s="111"/>
      <c r="R50" s="111"/>
      <c r="S50" s="112"/>
      <c r="T50" s="112"/>
      <c r="U50" s="111"/>
      <c r="V50" s="111"/>
    </row>
    <row r="51" s="2" customFormat="1" ht="15.75" spans="2:22">
      <c r="B51" s="103"/>
      <c r="C51" s="13" t="s">
        <v>2982</v>
      </c>
      <c r="D51" s="13" t="s">
        <v>39</v>
      </c>
      <c r="E51" s="13">
        <v>0</v>
      </c>
      <c r="F51" s="13">
        <v>400</v>
      </c>
      <c r="G51" s="13">
        <v>0</v>
      </c>
      <c r="H51" s="121"/>
      <c r="I51" s="13">
        <v>0</v>
      </c>
      <c r="J51" s="121" t="e">
        <f>F51/H51</f>
        <v>#DIV/0!</v>
      </c>
      <c r="K51" s="121">
        <f>(H51-F51)*100/F51</f>
        <v>-100</v>
      </c>
      <c r="L51" s="13" t="s">
        <v>2972</v>
      </c>
      <c r="M51" s="145" t="s">
        <v>150</v>
      </c>
      <c r="O51" s="111"/>
      <c r="P51" s="111"/>
      <c r="Q51" s="111"/>
      <c r="R51" s="111"/>
      <c r="S51" s="112"/>
      <c r="T51" s="112"/>
      <c r="U51" s="111"/>
      <c r="V51" s="111"/>
    </row>
    <row r="52" s="2" customFormat="1" ht="15.75" spans="2:22">
      <c r="B52" s="104"/>
      <c r="C52" s="13"/>
      <c r="D52" s="13"/>
      <c r="E52" s="13"/>
      <c r="F52" s="13"/>
      <c r="G52" s="13"/>
      <c r="H52" s="121"/>
      <c r="I52" s="13"/>
      <c r="J52" s="121"/>
      <c r="K52" s="121"/>
      <c r="L52" s="13"/>
      <c r="M52" s="145" t="s">
        <v>150</v>
      </c>
      <c r="O52" s="111"/>
      <c r="P52" s="111"/>
      <c r="Q52" s="111"/>
      <c r="R52" s="111"/>
      <c r="S52" s="112"/>
      <c r="T52" s="112"/>
      <c r="U52" s="111"/>
      <c r="V52" s="111"/>
    </row>
    <row r="53" s="2" customFormat="1" ht="15.75" spans="2:22">
      <c r="B53" s="104"/>
      <c r="C53" s="13"/>
      <c r="D53" s="13"/>
      <c r="E53" s="13"/>
      <c r="F53" s="13"/>
      <c r="G53" s="13"/>
      <c r="H53" s="121"/>
      <c r="I53" s="13"/>
      <c r="J53" s="121"/>
      <c r="K53" s="121"/>
      <c r="L53" s="13"/>
      <c r="M53" s="145" t="s">
        <v>150</v>
      </c>
      <c r="O53" s="111"/>
      <c r="P53" s="111"/>
      <c r="Q53" s="111"/>
      <c r="R53" s="111"/>
      <c r="S53" s="112"/>
      <c r="T53" s="112"/>
      <c r="U53" s="111"/>
      <c r="V53" s="111"/>
    </row>
    <row r="54" s="2" customFormat="1" ht="15.75" spans="2:22">
      <c r="B54" s="104"/>
      <c r="C54" s="13"/>
      <c r="D54" s="13"/>
      <c r="E54" s="13"/>
      <c r="F54" s="13"/>
      <c r="G54" s="13"/>
      <c r="H54" s="121"/>
      <c r="I54" s="13"/>
      <c r="J54" s="121"/>
      <c r="K54" s="121"/>
      <c r="L54" s="13"/>
      <c r="M54" s="146"/>
      <c r="O54" s="111"/>
      <c r="P54" s="111"/>
      <c r="Q54" s="111"/>
      <c r="R54" s="111"/>
      <c r="S54" s="112"/>
      <c r="T54" s="112"/>
      <c r="U54" s="111"/>
      <c r="V54" s="111"/>
    </row>
    <row r="55" s="2" customFormat="1" ht="15.75" spans="2:22">
      <c r="B55" s="104"/>
      <c r="C55" s="13"/>
      <c r="D55" s="13"/>
      <c r="E55" s="13"/>
      <c r="F55" s="13"/>
      <c r="G55" s="13"/>
      <c r="H55" s="121"/>
      <c r="I55" s="13"/>
      <c r="J55" s="121"/>
      <c r="K55" s="121"/>
      <c r="L55" s="13"/>
      <c r="M55" s="146"/>
      <c r="O55" s="111"/>
      <c r="P55" s="111"/>
      <c r="Q55" s="111"/>
      <c r="R55" s="111"/>
      <c r="S55" s="112"/>
      <c r="T55" s="112"/>
      <c r="U55" s="111"/>
      <c r="V55" s="111"/>
    </row>
    <row r="56" s="2" customFormat="1" ht="15.75" spans="2:22">
      <c r="B56" s="104"/>
      <c r="C56" s="13"/>
      <c r="D56" s="13"/>
      <c r="E56" s="13"/>
      <c r="F56" s="13"/>
      <c r="G56" s="13"/>
      <c r="H56" s="121"/>
      <c r="I56" s="13"/>
      <c r="J56" s="121"/>
      <c r="K56" s="121"/>
      <c r="L56" s="13"/>
      <c r="M56" s="146"/>
      <c r="O56" s="111"/>
      <c r="P56" s="111"/>
      <c r="Q56" s="111"/>
      <c r="R56" s="111"/>
      <c r="S56" s="112"/>
      <c r="T56" s="112"/>
      <c r="U56" s="111"/>
      <c r="V56" s="111"/>
    </row>
    <row r="57" s="2" customFormat="1" ht="15.75" spans="2:22">
      <c r="B57" s="104"/>
      <c r="C57" s="13"/>
      <c r="D57" s="13"/>
      <c r="E57" s="13"/>
      <c r="F57" s="13"/>
      <c r="G57" s="13"/>
      <c r="H57" s="121"/>
      <c r="I57" s="13"/>
      <c r="J57" s="121"/>
      <c r="K57" s="121"/>
      <c r="L57" s="13"/>
      <c r="M57" s="146"/>
      <c r="O57" s="111"/>
      <c r="P57" s="111"/>
      <c r="Q57" s="111"/>
      <c r="R57" s="111"/>
      <c r="S57" s="112"/>
      <c r="T57" s="112"/>
      <c r="U57" s="111"/>
      <c r="V57" s="111"/>
    </row>
    <row r="58" s="2" customFormat="1" ht="15.75" spans="2:22">
      <c r="B58" s="104"/>
      <c r="C58" s="13"/>
      <c r="D58" s="13"/>
      <c r="E58" s="13"/>
      <c r="F58" s="13"/>
      <c r="G58" s="13"/>
      <c r="H58" s="121"/>
      <c r="I58" s="13"/>
      <c r="J58" s="121"/>
      <c r="K58" s="121"/>
      <c r="L58" s="13"/>
      <c r="M58" s="146"/>
      <c r="O58" s="111"/>
      <c r="P58" s="111"/>
      <c r="Q58" s="111"/>
      <c r="R58" s="111"/>
      <c r="S58" s="112"/>
      <c r="T58" s="112"/>
      <c r="U58" s="111"/>
      <c r="V58" s="111"/>
    </row>
    <row r="59" s="2" customFormat="1" ht="15.75" spans="2:22">
      <c r="B59" s="104"/>
      <c r="C59" s="13"/>
      <c r="D59" s="13"/>
      <c r="E59" s="13"/>
      <c r="F59" s="13"/>
      <c r="G59" s="13"/>
      <c r="H59" s="121"/>
      <c r="I59" s="13"/>
      <c r="J59" s="121"/>
      <c r="K59" s="121"/>
      <c r="L59" s="13"/>
      <c r="M59" s="146"/>
      <c r="O59" s="111"/>
      <c r="P59" s="111"/>
      <c r="Q59" s="111"/>
      <c r="R59" s="111"/>
      <c r="S59" s="112"/>
      <c r="T59" s="112"/>
      <c r="U59" s="111"/>
      <c r="V59" s="111"/>
    </row>
    <row r="60" s="2" customFormat="1" ht="15.75" spans="2:22">
      <c r="B60" s="120"/>
      <c r="C60" s="13"/>
      <c r="D60" s="13"/>
      <c r="E60" s="13"/>
      <c r="F60" s="13"/>
      <c r="G60" s="13"/>
      <c r="H60" s="121"/>
      <c r="I60" s="13"/>
      <c r="J60" s="121"/>
      <c r="K60" s="121"/>
      <c r="L60" s="13"/>
      <c r="M60" s="146"/>
      <c r="O60" s="111"/>
      <c r="P60" s="111"/>
      <c r="Q60" s="111"/>
      <c r="R60" s="111"/>
      <c r="S60" s="112"/>
      <c r="T60" s="112"/>
      <c r="U60" s="111"/>
      <c r="V60" s="111"/>
    </row>
    <row r="61" s="2" customFormat="1" ht="15.75" spans="2:22">
      <c r="B61" s="125"/>
      <c r="C61" s="134"/>
      <c r="D61" s="126" t="s">
        <v>2983</v>
      </c>
      <c r="E61" s="126"/>
      <c r="F61" s="126"/>
      <c r="G61" s="126"/>
      <c r="H61" s="126"/>
      <c r="I61" s="126"/>
      <c r="J61" s="157">
        <f>COUNT(B47:B59)</f>
        <v>0</v>
      </c>
      <c r="K61" s="150"/>
      <c r="L61" s="134"/>
      <c r="M61" s="151"/>
      <c r="O61" s="111"/>
      <c r="P61" s="111"/>
      <c r="Q61" s="111"/>
      <c r="R61" s="111"/>
      <c r="S61" s="112"/>
      <c r="T61" s="112"/>
      <c r="U61" s="111"/>
      <c r="V61" s="111"/>
    </row>
    <row r="62" s="2" customFormat="1" spans="2:22">
      <c r="B62" s="107"/>
      <c r="H62" s="110"/>
      <c r="O62" s="111"/>
      <c r="P62" s="111"/>
      <c r="Q62" s="111"/>
      <c r="R62" s="111"/>
      <c r="S62" s="112"/>
      <c r="T62" s="112"/>
      <c r="U62" s="111"/>
      <c r="V62" s="111"/>
    </row>
    <row r="63" ht="15.75"/>
    <row r="64" spans="2:13">
      <c r="B64" s="117"/>
      <c r="C64" s="129"/>
      <c r="D64" s="129"/>
      <c r="E64" s="129"/>
      <c r="F64" s="129"/>
      <c r="G64" s="130" t="s">
        <v>2984</v>
      </c>
      <c r="H64" s="130"/>
      <c r="I64" s="118"/>
      <c r="J64" s="154"/>
      <c r="K64" s="154"/>
      <c r="L64" s="118"/>
      <c r="M64" s="137"/>
    </row>
    <row r="65" spans="2:13">
      <c r="B65" s="120"/>
      <c r="C65" s="13"/>
      <c r="D65" s="13"/>
      <c r="E65" s="13"/>
      <c r="F65" s="13"/>
      <c r="G65" s="13"/>
      <c r="H65" s="121"/>
      <c r="I65" s="13"/>
      <c r="J65" s="121"/>
      <c r="K65" s="121"/>
      <c r="L65" s="13"/>
      <c r="M65" s="140"/>
    </row>
    <row r="66" spans="2:13">
      <c r="B66" s="122" t="s">
        <v>2956</v>
      </c>
      <c r="C66" s="123" t="s">
        <v>2957</v>
      </c>
      <c r="D66" s="123" t="s">
        <v>2958</v>
      </c>
      <c r="E66" s="123" t="s">
        <v>2959</v>
      </c>
      <c r="F66" s="123" t="s">
        <v>2960</v>
      </c>
      <c r="G66" s="123" t="s">
        <v>2961</v>
      </c>
      <c r="H66" s="124" t="s">
        <v>2962</v>
      </c>
      <c r="I66" s="123" t="s">
        <v>2963</v>
      </c>
      <c r="J66" s="123" t="s">
        <v>2964</v>
      </c>
      <c r="K66" s="123" t="s">
        <v>2965</v>
      </c>
      <c r="L66" s="123" t="s">
        <v>148</v>
      </c>
      <c r="M66" s="56" t="s">
        <v>2966</v>
      </c>
    </row>
    <row r="67" ht="15.75" spans="2:13">
      <c r="B67" s="103">
        <v>45024.5131944444</v>
      </c>
      <c r="C67" s="13" t="s">
        <v>2984</v>
      </c>
      <c r="D67" s="13" t="s">
        <v>46</v>
      </c>
      <c r="E67" s="13">
        <v>0</v>
      </c>
      <c r="F67" s="13">
        <v>5</v>
      </c>
      <c r="G67" s="13">
        <v>0</v>
      </c>
      <c r="H67" s="170">
        <v>4.999</v>
      </c>
      <c r="I67" s="13">
        <v>0</v>
      </c>
      <c r="J67" s="121">
        <f>F67/H67</f>
        <v>1.000200040008</v>
      </c>
      <c r="K67" s="121">
        <f>(H67-F67)*100/F67</f>
        <v>-0.0200000000000067</v>
      </c>
      <c r="L67" s="13" t="s">
        <v>2972</v>
      </c>
      <c r="M67" s="145" t="s">
        <v>150</v>
      </c>
    </row>
    <row r="68" ht="15.75" spans="2:13">
      <c r="B68" s="103">
        <v>45035.5180555556</v>
      </c>
      <c r="C68" s="13" t="s">
        <v>2984</v>
      </c>
      <c r="D68" s="13" t="s">
        <v>46</v>
      </c>
      <c r="E68" s="13">
        <v>0</v>
      </c>
      <c r="F68" s="13">
        <v>5</v>
      </c>
      <c r="G68" s="13">
        <v>0</v>
      </c>
      <c r="H68" s="121">
        <v>5.003</v>
      </c>
      <c r="I68" s="13">
        <v>0</v>
      </c>
      <c r="J68" s="121">
        <f t="shared" ref="J68:J73" si="4">F68/H68</f>
        <v>0.99940035978413</v>
      </c>
      <c r="K68" s="121">
        <f t="shared" ref="K68:K73" si="5">(H68-F68)*100/F68</f>
        <v>0.0600000000000023</v>
      </c>
      <c r="L68" s="13" t="s">
        <v>2972</v>
      </c>
      <c r="M68" s="145" t="s">
        <v>150</v>
      </c>
    </row>
    <row r="69" ht="15.75" spans="2:13">
      <c r="B69" s="103">
        <v>45044.5173611111</v>
      </c>
      <c r="C69" s="13" t="s">
        <v>2984</v>
      </c>
      <c r="D69" s="13" t="s">
        <v>46</v>
      </c>
      <c r="E69" s="13">
        <v>0</v>
      </c>
      <c r="F69" s="13">
        <v>5</v>
      </c>
      <c r="G69" s="13">
        <v>0</v>
      </c>
      <c r="H69" s="121">
        <v>5</v>
      </c>
      <c r="I69" s="13">
        <v>0</v>
      </c>
      <c r="J69" s="121">
        <f t="shared" si="4"/>
        <v>1</v>
      </c>
      <c r="K69" s="121">
        <f t="shared" si="5"/>
        <v>0</v>
      </c>
      <c r="L69" s="13" t="s">
        <v>2972</v>
      </c>
      <c r="M69" s="145" t="s">
        <v>150</v>
      </c>
    </row>
    <row r="70" ht="15.75" spans="2:13">
      <c r="B70" s="103"/>
      <c r="C70" s="13" t="s">
        <v>2984</v>
      </c>
      <c r="D70" s="13" t="s">
        <v>46</v>
      </c>
      <c r="E70" s="13">
        <v>0</v>
      </c>
      <c r="F70" s="13">
        <v>5</v>
      </c>
      <c r="G70" s="13">
        <v>0</v>
      </c>
      <c r="H70" s="121"/>
      <c r="I70" s="13">
        <v>0</v>
      </c>
      <c r="J70" s="121" t="e">
        <f t="shared" si="4"/>
        <v>#DIV/0!</v>
      </c>
      <c r="K70" s="121">
        <f t="shared" si="5"/>
        <v>-100</v>
      </c>
      <c r="L70" s="13" t="s">
        <v>2972</v>
      </c>
      <c r="M70" s="145" t="s">
        <v>150</v>
      </c>
    </row>
    <row r="71" ht="15.75" spans="2:13">
      <c r="B71" s="103"/>
      <c r="C71" s="13" t="s">
        <v>2984</v>
      </c>
      <c r="D71" s="13" t="s">
        <v>46</v>
      </c>
      <c r="E71" s="13">
        <v>0</v>
      </c>
      <c r="F71" s="13">
        <v>5</v>
      </c>
      <c r="G71" s="13">
        <v>0</v>
      </c>
      <c r="H71" s="170"/>
      <c r="I71" s="13">
        <v>0</v>
      </c>
      <c r="J71" s="121" t="e">
        <f t="shared" si="4"/>
        <v>#DIV/0!</v>
      </c>
      <c r="K71" s="121">
        <f t="shared" si="5"/>
        <v>-100</v>
      </c>
      <c r="L71" s="13" t="s">
        <v>2972</v>
      </c>
      <c r="M71" s="145" t="s">
        <v>150</v>
      </c>
    </row>
    <row r="72" ht="15.75" spans="2:13">
      <c r="B72" s="103"/>
      <c r="C72" s="13" t="s">
        <v>2984</v>
      </c>
      <c r="D72" s="13" t="s">
        <v>46</v>
      </c>
      <c r="E72" s="13">
        <v>0</v>
      </c>
      <c r="F72" s="13">
        <v>5</v>
      </c>
      <c r="G72" s="13">
        <v>0</v>
      </c>
      <c r="H72" s="170"/>
      <c r="I72" s="13">
        <v>0</v>
      </c>
      <c r="J72" s="121" t="e">
        <f t="shared" si="4"/>
        <v>#DIV/0!</v>
      </c>
      <c r="K72" s="121">
        <f t="shared" si="5"/>
        <v>-100</v>
      </c>
      <c r="L72" s="13" t="s">
        <v>2972</v>
      </c>
      <c r="M72" s="145" t="s">
        <v>150</v>
      </c>
    </row>
    <row r="73" ht="15.75" spans="2:13">
      <c r="B73" s="103"/>
      <c r="C73" s="13" t="s">
        <v>2984</v>
      </c>
      <c r="D73" s="13" t="s">
        <v>46</v>
      </c>
      <c r="E73" s="13">
        <v>0</v>
      </c>
      <c r="F73" s="13">
        <v>5</v>
      </c>
      <c r="G73" s="13">
        <v>0</v>
      </c>
      <c r="H73" s="170"/>
      <c r="I73" s="13">
        <v>0</v>
      </c>
      <c r="J73" s="121" t="e">
        <f t="shared" si="4"/>
        <v>#DIV/0!</v>
      </c>
      <c r="K73" s="121">
        <f t="shared" si="5"/>
        <v>-100</v>
      </c>
      <c r="L73" s="13" t="s">
        <v>2972</v>
      </c>
      <c r="M73" s="145" t="s">
        <v>150</v>
      </c>
    </row>
    <row r="74" ht="15.75" spans="2:13">
      <c r="B74" s="103"/>
      <c r="C74" s="13"/>
      <c r="D74" s="13"/>
      <c r="E74" s="13"/>
      <c r="F74" s="13"/>
      <c r="G74" s="13"/>
      <c r="H74" s="170"/>
      <c r="I74" s="13"/>
      <c r="J74" s="121"/>
      <c r="K74" s="121"/>
      <c r="L74" s="13"/>
      <c r="M74" s="146"/>
    </row>
    <row r="75" ht="15.75" spans="2:13">
      <c r="B75" s="103"/>
      <c r="C75" s="13"/>
      <c r="D75" s="13"/>
      <c r="E75" s="13"/>
      <c r="F75" s="13"/>
      <c r="G75" s="13"/>
      <c r="H75" s="170"/>
      <c r="I75" s="13"/>
      <c r="J75" s="121"/>
      <c r="K75" s="121"/>
      <c r="L75" s="13"/>
      <c r="M75" s="146"/>
    </row>
    <row r="76" ht="15.75" spans="2:13">
      <c r="B76" s="103"/>
      <c r="C76" s="13"/>
      <c r="D76" s="13"/>
      <c r="E76" s="13"/>
      <c r="F76" s="13"/>
      <c r="G76" s="13"/>
      <c r="H76" s="170"/>
      <c r="I76" s="13"/>
      <c r="J76" s="121"/>
      <c r="K76" s="121"/>
      <c r="L76" s="13"/>
      <c r="M76" s="146"/>
    </row>
    <row r="77" ht="15.75" spans="2:13">
      <c r="B77" s="104"/>
      <c r="C77" s="13"/>
      <c r="D77" s="13"/>
      <c r="E77" s="13"/>
      <c r="F77" s="13"/>
      <c r="G77" s="13"/>
      <c r="H77" s="170"/>
      <c r="I77" s="13"/>
      <c r="J77" s="121"/>
      <c r="K77" s="121"/>
      <c r="L77" s="13"/>
      <c r="M77" s="146"/>
    </row>
    <row r="78" ht="15.75" spans="2:13">
      <c r="B78" s="104"/>
      <c r="C78" s="13"/>
      <c r="D78" s="13"/>
      <c r="E78" s="13"/>
      <c r="F78" s="13"/>
      <c r="G78" s="13"/>
      <c r="H78" s="170"/>
      <c r="I78" s="13"/>
      <c r="J78" s="121"/>
      <c r="K78" s="121"/>
      <c r="L78" s="13"/>
      <c r="M78" s="146"/>
    </row>
    <row r="79" ht="15.75" spans="2:13">
      <c r="B79" s="104"/>
      <c r="C79" s="13"/>
      <c r="D79" s="13"/>
      <c r="E79" s="13"/>
      <c r="F79" s="13"/>
      <c r="G79" s="13"/>
      <c r="H79" s="170"/>
      <c r="I79" s="13"/>
      <c r="J79" s="121"/>
      <c r="K79" s="121"/>
      <c r="L79" s="13"/>
      <c r="M79" s="146"/>
    </row>
    <row r="80" ht="15.75" spans="2:13">
      <c r="B80" s="120"/>
      <c r="C80" s="13"/>
      <c r="D80" s="13"/>
      <c r="E80" s="13"/>
      <c r="F80" s="13"/>
      <c r="G80" s="13"/>
      <c r="H80" s="170"/>
      <c r="I80" s="13"/>
      <c r="J80" s="121"/>
      <c r="K80" s="121"/>
      <c r="L80" s="13"/>
      <c r="M80" s="146"/>
    </row>
    <row r="81" ht="15.75" spans="2:13">
      <c r="B81" s="125"/>
      <c r="C81" s="134"/>
      <c r="D81" s="126" t="s">
        <v>2985</v>
      </c>
      <c r="E81" s="126"/>
      <c r="F81" s="126"/>
      <c r="G81" s="126"/>
      <c r="H81" s="126"/>
      <c r="I81" s="126"/>
      <c r="J81" s="157">
        <f>COUNT(B67:B79)</f>
        <v>3</v>
      </c>
      <c r="K81" s="150"/>
      <c r="L81" s="134"/>
      <c r="M81" s="151"/>
    </row>
    <row r="83" ht="15.75"/>
    <row r="84" spans="2:13">
      <c r="B84" s="117"/>
      <c r="C84" s="129"/>
      <c r="D84" s="129"/>
      <c r="E84" s="129"/>
      <c r="F84" s="129"/>
      <c r="G84" s="130" t="s">
        <v>2986</v>
      </c>
      <c r="H84" s="130"/>
      <c r="I84" s="118"/>
      <c r="J84" s="154"/>
      <c r="K84" s="154"/>
      <c r="L84" s="118"/>
      <c r="M84" s="137"/>
    </row>
    <row r="85" spans="2:13">
      <c r="B85" s="120"/>
      <c r="C85" s="13"/>
      <c r="D85" s="13"/>
      <c r="E85" s="13"/>
      <c r="F85" s="13"/>
      <c r="G85" s="13"/>
      <c r="H85" s="121"/>
      <c r="I85" s="13"/>
      <c r="J85" s="121"/>
      <c r="K85" s="121"/>
      <c r="L85" s="13"/>
      <c r="M85" s="140"/>
    </row>
    <row r="86" spans="2:13">
      <c r="B86" s="122" t="s">
        <v>2956</v>
      </c>
      <c r="C86" s="123" t="s">
        <v>2957</v>
      </c>
      <c r="D86" s="123" t="s">
        <v>2958</v>
      </c>
      <c r="E86" s="123" t="s">
        <v>2959</v>
      </c>
      <c r="F86" s="123" t="s">
        <v>2960</v>
      </c>
      <c r="G86" s="123" t="s">
        <v>2961</v>
      </c>
      <c r="H86" s="124" t="s">
        <v>2962</v>
      </c>
      <c r="I86" s="123" t="s">
        <v>2963</v>
      </c>
      <c r="J86" s="123" t="s">
        <v>2964</v>
      </c>
      <c r="K86" s="123" t="s">
        <v>2965</v>
      </c>
      <c r="L86" s="123" t="s">
        <v>148</v>
      </c>
      <c r="M86" s="56" t="s">
        <v>2966</v>
      </c>
    </row>
    <row r="87" ht="15.75" spans="2:13">
      <c r="B87" s="103"/>
      <c r="C87" s="13" t="s">
        <v>2986</v>
      </c>
      <c r="D87" s="13" t="s">
        <v>39</v>
      </c>
      <c r="E87" s="13">
        <v>0</v>
      </c>
      <c r="F87" s="13">
        <v>60</v>
      </c>
      <c r="G87" s="13">
        <v>0</v>
      </c>
      <c r="H87" s="121"/>
      <c r="I87" s="13">
        <v>0</v>
      </c>
      <c r="J87" s="121" t="e">
        <f t="shared" ref="J87:J92" si="6">F87/H87</f>
        <v>#DIV/0!</v>
      </c>
      <c r="K87" s="121">
        <f t="shared" ref="K87:K92" si="7">(H87-F87)*100/F87</f>
        <v>-100</v>
      </c>
      <c r="L87" s="13" t="s">
        <v>2972</v>
      </c>
      <c r="M87" s="145" t="s">
        <v>150</v>
      </c>
    </row>
    <row r="88" ht="15.75" spans="2:13">
      <c r="B88" s="103"/>
      <c r="C88" s="13" t="s">
        <v>2986</v>
      </c>
      <c r="D88" s="13" t="s">
        <v>39</v>
      </c>
      <c r="E88" s="13">
        <v>0</v>
      </c>
      <c r="F88" s="13">
        <v>60</v>
      </c>
      <c r="G88" s="13">
        <v>0</v>
      </c>
      <c r="H88" s="121"/>
      <c r="I88" s="13">
        <v>0</v>
      </c>
      <c r="J88" s="121" t="e">
        <f t="shared" si="6"/>
        <v>#DIV/0!</v>
      </c>
      <c r="K88" s="121">
        <f t="shared" si="7"/>
        <v>-100</v>
      </c>
      <c r="L88" s="13" t="s">
        <v>2972</v>
      </c>
      <c r="M88" s="145" t="s">
        <v>150</v>
      </c>
    </row>
    <row r="89" ht="15.75" spans="2:13">
      <c r="B89" s="103"/>
      <c r="C89" s="13" t="s">
        <v>2986</v>
      </c>
      <c r="D89" s="13" t="s">
        <v>39</v>
      </c>
      <c r="E89" s="13">
        <v>0</v>
      </c>
      <c r="F89" s="13">
        <v>60</v>
      </c>
      <c r="G89" s="13">
        <v>0</v>
      </c>
      <c r="H89" s="121"/>
      <c r="I89" s="13">
        <v>0</v>
      </c>
      <c r="J89" s="121" t="e">
        <f t="shared" si="6"/>
        <v>#DIV/0!</v>
      </c>
      <c r="K89" s="121">
        <f t="shared" si="7"/>
        <v>-100</v>
      </c>
      <c r="L89" s="13" t="s">
        <v>2972</v>
      </c>
      <c r="M89" s="145" t="s">
        <v>150</v>
      </c>
    </row>
    <row r="90" ht="15.75" spans="2:13">
      <c r="B90" s="103"/>
      <c r="C90" s="13" t="s">
        <v>2986</v>
      </c>
      <c r="D90" s="13" t="s">
        <v>39</v>
      </c>
      <c r="E90" s="13">
        <v>0</v>
      </c>
      <c r="F90" s="13">
        <v>60</v>
      </c>
      <c r="G90" s="13">
        <v>0</v>
      </c>
      <c r="H90" s="121"/>
      <c r="I90" s="13">
        <v>0</v>
      </c>
      <c r="J90" s="121" t="e">
        <f t="shared" si="6"/>
        <v>#DIV/0!</v>
      </c>
      <c r="K90" s="121">
        <f t="shared" si="7"/>
        <v>-100</v>
      </c>
      <c r="L90" s="13" t="s">
        <v>2972</v>
      </c>
      <c r="M90" s="145" t="s">
        <v>150</v>
      </c>
    </row>
    <row r="91" ht="15.75" spans="2:13">
      <c r="B91" s="103"/>
      <c r="C91" s="13" t="s">
        <v>2986</v>
      </c>
      <c r="D91" s="13" t="s">
        <v>39</v>
      </c>
      <c r="E91" s="13">
        <v>0</v>
      </c>
      <c r="F91" s="13">
        <v>60</v>
      </c>
      <c r="G91" s="13">
        <v>0</v>
      </c>
      <c r="H91" s="121"/>
      <c r="I91" s="13">
        <v>0</v>
      </c>
      <c r="J91" s="121" t="e">
        <f t="shared" si="6"/>
        <v>#DIV/0!</v>
      </c>
      <c r="K91" s="121">
        <f t="shared" si="7"/>
        <v>-100</v>
      </c>
      <c r="L91" s="13" t="s">
        <v>2972</v>
      </c>
      <c r="M91" s="145" t="s">
        <v>150</v>
      </c>
    </row>
    <row r="92" ht="15.75" spans="2:13">
      <c r="B92" s="103"/>
      <c r="C92" s="13" t="s">
        <v>2986</v>
      </c>
      <c r="D92" s="13" t="s">
        <v>39</v>
      </c>
      <c r="E92" s="13">
        <v>0</v>
      </c>
      <c r="F92" s="13">
        <v>60</v>
      </c>
      <c r="G92" s="13">
        <v>0</v>
      </c>
      <c r="H92" s="121"/>
      <c r="I92" s="13">
        <v>0</v>
      </c>
      <c r="J92" s="121" t="e">
        <f t="shared" si="6"/>
        <v>#DIV/0!</v>
      </c>
      <c r="K92" s="121">
        <f t="shared" si="7"/>
        <v>-100</v>
      </c>
      <c r="L92" s="13" t="s">
        <v>2972</v>
      </c>
      <c r="M92" s="145" t="s">
        <v>150</v>
      </c>
    </row>
    <row r="93" ht="15.75" spans="2:13">
      <c r="B93" s="104"/>
      <c r="C93" s="13"/>
      <c r="D93" s="13"/>
      <c r="E93" s="13"/>
      <c r="F93" s="13"/>
      <c r="G93" s="13"/>
      <c r="H93" s="121"/>
      <c r="I93" s="13"/>
      <c r="J93" s="121"/>
      <c r="K93" s="121"/>
      <c r="L93" s="13"/>
      <c r="M93" s="145" t="s">
        <v>150</v>
      </c>
    </row>
    <row r="94" ht="15.75" spans="2:13">
      <c r="B94" s="104"/>
      <c r="C94" s="13"/>
      <c r="D94" s="13"/>
      <c r="E94" s="13"/>
      <c r="F94" s="13"/>
      <c r="G94" s="13"/>
      <c r="H94" s="121"/>
      <c r="I94" s="13"/>
      <c r="J94" s="121"/>
      <c r="K94" s="121"/>
      <c r="L94" s="13"/>
      <c r="M94" s="146"/>
    </row>
    <row r="95" ht="15.75" spans="2:13">
      <c r="B95" s="104"/>
      <c r="C95" s="13"/>
      <c r="D95" s="13"/>
      <c r="E95" s="13"/>
      <c r="F95" s="13"/>
      <c r="G95" s="13"/>
      <c r="H95" s="121"/>
      <c r="I95" s="13"/>
      <c r="J95" s="121"/>
      <c r="K95" s="121"/>
      <c r="L95" s="13"/>
      <c r="M95" s="146"/>
    </row>
    <row r="96" ht="15.75" spans="2:13">
      <c r="B96" s="104"/>
      <c r="C96" s="13"/>
      <c r="D96" s="13"/>
      <c r="E96" s="13"/>
      <c r="F96" s="13"/>
      <c r="G96" s="13"/>
      <c r="H96" s="121"/>
      <c r="I96" s="13"/>
      <c r="J96" s="121"/>
      <c r="K96" s="121"/>
      <c r="L96" s="13"/>
      <c r="M96" s="146"/>
    </row>
    <row r="97" ht="15.75" spans="2:13">
      <c r="B97" s="104"/>
      <c r="C97" s="13"/>
      <c r="D97" s="13"/>
      <c r="E97" s="13"/>
      <c r="F97" s="13"/>
      <c r="G97" s="13"/>
      <c r="H97" s="121"/>
      <c r="I97" s="13"/>
      <c r="J97" s="121"/>
      <c r="K97" s="121"/>
      <c r="L97" s="13"/>
      <c r="M97" s="146"/>
    </row>
    <row r="98" ht="15.75" spans="2:13">
      <c r="B98" s="104"/>
      <c r="C98" s="13"/>
      <c r="D98" s="13"/>
      <c r="E98" s="13"/>
      <c r="F98" s="13"/>
      <c r="G98" s="13"/>
      <c r="H98" s="121"/>
      <c r="I98" s="13"/>
      <c r="J98" s="121"/>
      <c r="K98" s="121"/>
      <c r="L98" s="13"/>
      <c r="M98" s="146"/>
    </row>
    <row r="99" ht="15.75" spans="2:13">
      <c r="B99" s="104"/>
      <c r="C99" s="13"/>
      <c r="D99" s="13"/>
      <c r="E99" s="13"/>
      <c r="F99" s="13"/>
      <c r="G99" s="13"/>
      <c r="H99" s="121"/>
      <c r="I99" s="13"/>
      <c r="J99" s="121"/>
      <c r="K99" s="121"/>
      <c r="L99" s="13"/>
      <c r="M99" s="146"/>
    </row>
    <row r="100" ht="15.75" spans="2:13">
      <c r="B100" s="120"/>
      <c r="C100" s="13"/>
      <c r="D100" s="13"/>
      <c r="E100" s="13"/>
      <c r="F100" s="13"/>
      <c r="G100" s="13"/>
      <c r="H100" s="121"/>
      <c r="I100" s="13"/>
      <c r="J100" s="121"/>
      <c r="K100" s="121"/>
      <c r="L100" s="13"/>
      <c r="M100" s="146"/>
    </row>
    <row r="101" ht="15.75" spans="2:13">
      <c r="B101" s="125"/>
      <c r="C101" s="134"/>
      <c r="D101" s="126" t="s">
        <v>2987</v>
      </c>
      <c r="E101" s="126"/>
      <c r="F101" s="126"/>
      <c r="G101" s="126"/>
      <c r="H101" s="126"/>
      <c r="I101" s="126"/>
      <c r="J101" s="157">
        <f>COUNT(B87:B99)</f>
        <v>0</v>
      </c>
      <c r="K101" s="150"/>
      <c r="L101" s="134"/>
      <c r="M101" s="151"/>
    </row>
    <row r="103" ht="15.75"/>
    <row r="104" spans="2:13">
      <c r="B104" s="117"/>
      <c r="C104" s="118"/>
      <c r="D104" s="118"/>
      <c r="E104" s="118"/>
      <c r="F104" s="118"/>
      <c r="G104" s="119" t="s">
        <v>2988</v>
      </c>
      <c r="H104" s="119"/>
      <c r="I104" s="118"/>
      <c r="J104" s="118"/>
      <c r="K104" s="118"/>
      <c r="L104" s="118"/>
      <c r="M104" s="137"/>
    </row>
    <row r="105" spans="2:13">
      <c r="B105" s="120"/>
      <c r="C105" s="13"/>
      <c r="D105" s="13"/>
      <c r="E105" s="13"/>
      <c r="F105" s="13"/>
      <c r="G105" s="13"/>
      <c r="H105" s="121"/>
      <c r="I105" s="13"/>
      <c r="J105" s="13"/>
      <c r="K105" s="13"/>
      <c r="L105" s="13"/>
      <c r="M105" s="140"/>
    </row>
    <row r="106" spans="2:13">
      <c r="B106" s="171" t="s">
        <v>2956</v>
      </c>
      <c r="C106" s="123" t="s">
        <v>2957</v>
      </c>
      <c r="D106" s="123" t="s">
        <v>2958</v>
      </c>
      <c r="E106" s="123" t="s">
        <v>2959</v>
      </c>
      <c r="F106" s="123" t="s">
        <v>2960</v>
      </c>
      <c r="G106" s="123" t="s">
        <v>2961</v>
      </c>
      <c r="H106" s="124" t="s">
        <v>2962</v>
      </c>
      <c r="I106" s="123" t="s">
        <v>2963</v>
      </c>
      <c r="J106" s="123" t="s">
        <v>2964</v>
      </c>
      <c r="K106" s="123" t="s">
        <v>2965</v>
      </c>
      <c r="L106" s="123" t="s">
        <v>148</v>
      </c>
      <c r="M106" s="172" t="s">
        <v>2966</v>
      </c>
    </row>
    <row r="107" ht="15.75" spans="2:13">
      <c r="B107" s="103">
        <v>45017.5069444444</v>
      </c>
      <c r="C107" s="13" t="s">
        <v>2988</v>
      </c>
      <c r="D107" s="13" t="s">
        <v>39</v>
      </c>
      <c r="E107" s="13">
        <v>0</v>
      </c>
      <c r="F107" s="13">
        <v>320</v>
      </c>
      <c r="G107" s="13">
        <v>0</v>
      </c>
      <c r="H107" s="121">
        <v>320.3</v>
      </c>
      <c r="I107" s="13">
        <f>G107-E107</f>
        <v>0</v>
      </c>
      <c r="J107" s="121">
        <f>F107/H107</f>
        <v>0.999063378083047</v>
      </c>
      <c r="K107" s="121">
        <f>(H107-F107)*100/F107</f>
        <v>0.0937500000000036</v>
      </c>
      <c r="L107" s="13" t="s">
        <v>2972</v>
      </c>
      <c r="M107" s="145" t="s">
        <v>150</v>
      </c>
    </row>
    <row r="108" ht="15.75" spans="2:13">
      <c r="B108" s="103">
        <v>45024.525</v>
      </c>
      <c r="C108" s="13" t="s">
        <v>2988</v>
      </c>
      <c r="D108" s="13" t="s">
        <v>39</v>
      </c>
      <c r="E108" s="13">
        <v>0</v>
      </c>
      <c r="F108" s="13">
        <v>320</v>
      </c>
      <c r="G108" s="13">
        <v>0</v>
      </c>
      <c r="H108" s="121">
        <v>319.9</v>
      </c>
      <c r="I108" s="13">
        <f>G108-E108</f>
        <v>0</v>
      </c>
      <c r="J108" s="121">
        <f>F108/H108</f>
        <v>1.00031259768678</v>
      </c>
      <c r="K108" s="121">
        <f>(H108-F108)*100/F108</f>
        <v>-0.0312500000000071</v>
      </c>
      <c r="L108" s="13" t="s">
        <v>2972</v>
      </c>
      <c r="M108" s="145" t="s">
        <v>150</v>
      </c>
    </row>
    <row r="109" ht="15.75" spans="2:13">
      <c r="B109" s="103">
        <v>45035.4083333333</v>
      </c>
      <c r="C109" s="13" t="s">
        <v>2988</v>
      </c>
      <c r="D109" s="13" t="s">
        <v>39</v>
      </c>
      <c r="E109" s="13">
        <v>0</v>
      </c>
      <c r="F109" s="13">
        <v>320</v>
      </c>
      <c r="G109" s="13">
        <v>0</v>
      </c>
      <c r="H109" s="121">
        <v>320.3</v>
      </c>
      <c r="I109" s="13">
        <f t="shared" ref="I109:I115" si="8">G109-E109</f>
        <v>0</v>
      </c>
      <c r="J109" s="121">
        <f t="shared" ref="J109:J115" si="9">F109/H109</f>
        <v>0.999063378083047</v>
      </c>
      <c r="K109" s="121">
        <f t="shared" ref="K109:K115" si="10">(H109-F109)*100/F109</f>
        <v>0.0937500000000036</v>
      </c>
      <c r="L109" s="13" t="s">
        <v>2972</v>
      </c>
      <c r="M109" s="145" t="s">
        <v>150</v>
      </c>
    </row>
    <row r="110" ht="15.75" spans="2:13">
      <c r="B110" s="103">
        <v>45044.5659722222</v>
      </c>
      <c r="C110" s="13" t="s">
        <v>2988</v>
      </c>
      <c r="D110" s="13" t="s">
        <v>39</v>
      </c>
      <c r="E110" s="13">
        <v>0</v>
      </c>
      <c r="F110" s="13">
        <v>320</v>
      </c>
      <c r="G110" s="13">
        <v>0</v>
      </c>
      <c r="H110" s="121">
        <v>320.2</v>
      </c>
      <c r="I110" s="13">
        <f t="shared" si="8"/>
        <v>0</v>
      </c>
      <c r="J110" s="121">
        <f t="shared" si="9"/>
        <v>0.999375390381012</v>
      </c>
      <c r="K110" s="121">
        <f t="shared" si="10"/>
        <v>0.0624999999999964</v>
      </c>
      <c r="L110" s="13" t="s">
        <v>2972</v>
      </c>
      <c r="M110" s="145" t="s">
        <v>150</v>
      </c>
    </row>
    <row r="111" ht="15.75" spans="2:13">
      <c r="B111" s="103"/>
      <c r="C111" s="13" t="s">
        <v>2988</v>
      </c>
      <c r="D111" s="13" t="s">
        <v>39</v>
      </c>
      <c r="E111" s="13">
        <v>0</v>
      </c>
      <c r="F111" s="13">
        <v>320</v>
      </c>
      <c r="G111" s="13">
        <v>0</v>
      </c>
      <c r="H111" s="121"/>
      <c r="I111" s="13">
        <f t="shared" si="8"/>
        <v>0</v>
      </c>
      <c r="J111" s="121" t="e">
        <f t="shared" si="9"/>
        <v>#DIV/0!</v>
      </c>
      <c r="K111" s="121">
        <f t="shared" si="10"/>
        <v>-100</v>
      </c>
      <c r="L111" s="13" t="s">
        <v>2972</v>
      </c>
      <c r="M111" s="145" t="s">
        <v>150</v>
      </c>
    </row>
    <row r="112" ht="15.75" spans="2:13">
      <c r="B112" s="103"/>
      <c r="C112" s="13" t="s">
        <v>2988</v>
      </c>
      <c r="D112" s="13" t="s">
        <v>39</v>
      </c>
      <c r="E112" s="13">
        <v>0</v>
      </c>
      <c r="F112" s="13">
        <v>320</v>
      </c>
      <c r="G112" s="13">
        <v>0</v>
      </c>
      <c r="H112" s="121"/>
      <c r="I112" s="13">
        <f t="shared" si="8"/>
        <v>0</v>
      </c>
      <c r="J112" s="121" t="e">
        <f t="shared" si="9"/>
        <v>#DIV/0!</v>
      </c>
      <c r="K112" s="121">
        <f t="shared" si="10"/>
        <v>-100</v>
      </c>
      <c r="L112" s="13" t="s">
        <v>2972</v>
      </c>
      <c r="M112" s="145" t="s">
        <v>150</v>
      </c>
    </row>
    <row r="113" ht="15.75" spans="2:13">
      <c r="B113" s="103"/>
      <c r="C113" s="13" t="s">
        <v>2988</v>
      </c>
      <c r="D113" s="13" t="s">
        <v>39</v>
      </c>
      <c r="E113" s="13">
        <v>0</v>
      </c>
      <c r="F113" s="13">
        <v>320</v>
      </c>
      <c r="G113" s="13">
        <v>0</v>
      </c>
      <c r="H113" s="121"/>
      <c r="I113" s="13">
        <f t="shared" si="8"/>
        <v>0</v>
      </c>
      <c r="J113" s="121" t="e">
        <f t="shared" si="9"/>
        <v>#DIV/0!</v>
      </c>
      <c r="K113" s="121">
        <f t="shared" si="10"/>
        <v>-100</v>
      </c>
      <c r="L113" s="13" t="s">
        <v>2972</v>
      </c>
      <c r="M113" s="145" t="s">
        <v>150</v>
      </c>
    </row>
    <row r="114" ht="15.75" spans="2:13">
      <c r="B114" s="103"/>
      <c r="C114" s="13" t="s">
        <v>2988</v>
      </c>
      <c r="D114" s="13" t="s">
        <v>39</v>
      </c>
      <c r="E114" s="13">
        <v>0</v>
      </c>
      <c r="F114" s="13">
        <v>320</v>
      </c>
      <c r="G114" s="13">
        <v>0</v>
      </c>
      <c r="H114" s="121"/>
      <c r="I114" s="13">
        <f t="shared" si="8"/>
        <v>0</v>
      </c>
      <c r="J114" s="121" t="e">
        <f t="shared" si="9"/>
        <v>#DIV/0!</v>
      </c>
      <c r="K114" s="121">
        <f t="shared" si="10"/>
        <v>-100</v>
      </c>
      <c r="L114" s="13" t="s">
        <v>2972</v>
      </c>
      <c r="M114" s="146"/>
    </row>
    <row r="115" ht="15.75" spans="2:13">
      <c r="B115" s="103"/>
      <c r="C115" s="13" t="s">
        <v>2988</v>
      </c>
      <c r="D115" s="13" t="s">
        <v>39</v>
      </c>
      <c r="E115" s="13">
        <v>0</v>
      </c>
      <c r="F115" s="13">
        <v>320</v>
      </c>
      <c r="G115" s="13">
        <v>0</v>
      </c>
      <c r="H115" s="121"/>
      <c r="I115" s="13">
        <f t="shared" si="8"/>
        <v>0</v>
      </c>
      <c r="J115" s="121" t="e">
        <f t="shared" si="9"/>
        <v>#DIV/0!</v>
      </c>
      <c r="K115" s="121">
        <f t="shared" si="10"/>
        <v>-100</v>
      </c>
      <c r="L115" s="13" t="s">
        <v>2972</v>
      </c>
      <c r="M115" s="146"/>
    </row>
    <row r="116" ht="15.75" spans="2:13">
      <c r="B116" s="104"/>
      <c r="C116" s="13"/>
      <c r="D116" s="13"/>
      <c r="E116" s="13"/>
      <c r="F116" s="13"/>
      <c r="G116" s="13"/>
      <c r="H116" s="121"/>
      <c r="I116" s="13"/>
      <c r="J116" s="121"/>
      <c r="K116" s="121"/>
      <c r="L116" s="13"/>
      <c r="M116" s="146"/>
    </row>
    <row r="117" ht="15.75" spans="2:13">
      <c r="B117" s="104"/>
      <c r="C117" s="13"/>
      <c r="D117" s="13"/>
      <c r="E117" s="13"/>
      <c r="F117" s="13"/>
      <c r="G117" s="13"/>
      <c r="H117" s="121"/>
      <c r="I117" s="13"/>
      <c r="J117" s="121"/>
      <c r="K117" s="121"/>
      <c r="L117" s="13"/>
      <c r="M117" s="146"/>
    </row>
    <row r="118" ht="15.75" spans="2:13">
      <c r="B118" s="120"/>
      <c r="C118" s="13"/>
      <c r="D118" s="13"/>
      <c r="E118" s="13"/>
      <c r="F118" s="13"/>
      <c r="G118" s="13"/>
      <c r="H118" s="121"/>
      <c r="I118" s="13"/>
      <c r="J118" s="121"/>
      <c r="K118" s="121"/>
      <c r="L118" s="13"/>
      <c r="M118" s="146"/>
    </row>
    <row r="119" ht="15.75" spans="2:13">
      <c r="B119" s="125"/>
      <c r="C119" s="126" t="s">
        <v>2989</v>
      </c>
      <c r="D119" s="126"/>
      <c r="E119" s="126"/>
      <c r="F119" s="126"/>
      <c r="G119" s="126"/>
      <c r="H119" s="126"/>
      <c r="I119" s="157">
        <f>COUNT(B107:B118)</f>
        <v>4</v>
      </c>
      <c r="J119" s="150"/>
      <c r="K119" s="150"/>
      <c r="L119" s="134"/>
      <c r="M119" s="151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G64:H64"/>
    <mergeCell ref="D81:I81"/>
    <mergeCell ref="G84:H84"/>
    <mergeCell ref="D101:I101"/>
    <mergeCell ref="G104:H104"/>
    <mergeCell ref="C119:H119"/>
  </mergeCells>
  <pageMargins left="0.7" right="0.7" top="0.75" bottom="0.75" header="0.3" footer="0.3"/>
  <pageSetup paperSize="9" orientation="portrait" horizontalDpi="300" verticalDpi="30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56"/>
  <sheetViews>
    <sheetView workbookViewId="0">
      <selection activeCell="G25" sqref="G25"/>
    </sheetView>
  </sheetViews>
  <sheetFormatPr defaultColWidth="9" defaultRowHeight="15" outlineLevelCol="4"/>
  <cols>
    <col min="1" max="1" width="9.14285714285714" customWidth="1"/>
    <col min="2" max="2" width="28.2857142857143" customWidth="1"/>
    <col min="3" max="3" width="30" customWidth="1"/>
    <col min="4" max="4" width="27.8571428571429" customWidth="1"/>
  </cols>
  <sheetData>
    <row r="2" spans="2:5">
      <c r="B2" s="62" t="s">
        <v>2990</v>
      </c>
      <c r="C2" s="62"/>
      <c r="D2" s="98">
        <v>45017</v>
      </c>
      <c r="E2" s="98"/>
    </row>
    <row r="3" spans="2:5">
      <c r="B3" s="62" t="s">
        <v>2991</v>
      </c>
      <c r="C3" s="62"/>
      <c r="D3" s="98"/>
      <c r="E3" s="98"/>
    </row>
    <row r="7" s="2" customFormat="1" spans="2:4">
      <c r="B7" s="99" t="s">
        <v>2992</v>
      </c>
      <c r="C7" s="99" t="s">
        <v>2993</v>
      </c>
      <c r="D7" s="100" t="s">
        <v>2994</v>
      </c>
    </row>
    <row r="8" s="2" customFormat="1" spans="2:4">
      <c r="B8" s="101">
        <v>45018.53125</v>
      </c>
      <c r="C8" s="101">
        <v>45018.5625</v>
      </c>
      <c r="D8" s="102">
        <f t="shared" ref="D8:D13" si="0">C8-B8</f>
        <v>0.03125</v>
      </c>
    </row>
    <row r="9" s="2" customFormat="1" spans="2:4">
      <c r="B9" s="101">
        <v>45044.1979166667</v>
      </c>
      <c r="C9" s="101">
        <v>45044.4895833333</v>
      </c>
      <c r="D9" s="102">
        <f t="shared" si="0"/>
        <v>0.291666666671517</v>
      </c>
    </row>
    <row r="10" s="2" customFormat="1" spans="2:4">
      <c r="B10" s="103"/>
      <c r="C10" s="101"/>
      <c r="D10" s="102">
        <f t="shared" si="0"/>
        <v>0</v>
      </c>
    </row>
    <row r="11" s="2" customFormat="1" spans="2:4">
      <c r="B11" s="104"/>
      <c r="C11" s="104"/>
      <c r="D11" s="102">
        <f t="shared" si="0"/>
        <v>0</v>
      </c>
    </row>
    <row r="12" spans="2:4">
      <c r="B12" s="104"/>
      <c r="C12" s="104"/>
      <c r="D12" s="102">
        <f t="shared" si="0"/>
        <v>0</v>
      </c>
    </row>
    <row r="13" spans="2:4">
      <c r="B13" s="104"/>
      <c r="C13" s="104"/>
      <c r="D13" s="102">
        <f t="shared" si="0"/>
        <v>0</v>
      </c>
    </row>
    <row r="14" customFormat="1" spans="2:4">
      <c r="B14" s="104"/>
      <c r="C14" s="104"/>
      <c r="D14" s="102">
        <f t="shared" ref="D14:D23" si="1">C14-B14</f>
        <v>0</v>
      </c>
    </row>
    <row r="15" customFormat="1" spans="2:4">
      <c r="B15" s="103"/>
      <c r="C15" s="103"/>
      <c r="D15" s="102">
        <f t="shared" si="1"/>
        <v>0</v>
      </c>
    </row>
    <row r="16" customFormat="1" spans="2:4">
      <c r="B16" s="103"/>
      <c r="C16" s="103"/>
      <c r="D16" s="102">
        <f t="shared" si="1"/>
        <v>0</v>
      </c>
    </row>
    <row r="17" spans="2:4">
      <c r="B17" s="103"/>
      <c r="C17" s="103"/>
      <c r="D17" s="102">
        <f t="shared" si="1"/>
        <v>0</v>
      </c>
    </row>
    <row r="18" spans="2:4">
      <c r="B18" s="103"/>
      <c r="C18" s="103"/>
      <c r="D18" s="102">
        <f t="shared" si="1"/>
        <v>0</v>
      </c>
    </row>
    <row r="19" spans="2:4">
      <c r="B19" s="104"/>
      <c r="C19" s="103"/>
      <c r="D19" s="102">
        <f t="shared" si="1"/>
        <v>0</v>
      </c>
    </row>
    <row r="20" spans="2:4">
      <c r="B20" s="104"/>
      <c r="C20" s="103"/>
      <c r="D20" s="102">
        <f t="shared" si="1"/>
        <v>0</v>
      </c>
    </row>
    <row r="21" spans="2:4">
      <c r="B21" s="104"/>
      <c r="C21" s="103"/>
      <c r="D21" s="102">
        <f t="shared" si="1"/>
        <v>0</v>
      </c>
    </row>
    <row r="22" customFormat="1" spans="2:4">
      <c r="B22" s="104"/>
      <c r="C22" s="103"/>
      <c r="D22" s="102">
        <f t="shared" si="1"/>
        <v>0</v>
      </c>
    </row>
    <row r="23" customFormat="1" spans="2:4">
      <c r="B23" s="104"/>
      <c r="C23" s="103"/>
      <c r="D23" s="102">
        <f t="shared" si="1"/>
        <v>0</v>
      </c>
    </row>
    <row r="24" customFormat="1" spans="2:4">
      <c r="B24" s="105" t="s">
        <v>2995</v>
      </c>
      <c r="C24" s="103"/>
      <c r="D24" s="102">
        <f>SUM(D7:D23)</f>
        <v>0.322916666671517</v>
      </c>
    </row>
    <row r="25" customFormat="1" spans="2:4">
      <c r="B25" s="106"/>
      <c r="C25" s="107"/>
      <c r="D25" s="108"/>
    </row>
    <row r="26" customFormat="1" spans="2:4">
      <c r="B26" s="106"/>
      <c r="C26" s="107"/>
      <c r="D26" s="108"/>
    </row>
    <row r="27" customFormat="1" spans="2:4">
      <c r="B27" s="106"/>
      <c r="C27" s="107"/>
      <c r="D27" s="108"/>
    </row>
    <row r="28" customFormat="1" spans="2:4">
      <c r="B28" s="106"/>
      <c r="C28" s="107"/>
      <c r="D28" s="108"/>
    </row>
    <row r="29" customFormat="1" spans="2:4">
      <c r="B29" s="106"/>
      <c r="C29" s="107"/>
      <c r="D29" s="108"/>
    </row>
    <row r="30" customFormat="1" spans="2:4">
      <c r="B30" s="106"/>
      <c r="C30" s="107"/>
      <c r="D30" s="108"/>
    </row>
    <row r="31" customFormat="1" spans="2:4">
      <c r="B31" s="106"/>
      <c r="C31" s="107"/>
      <c r="D31" s="108"/>
    </row>
    <row r="32" customFormat="1" spans="2:4">
      <c r="B32" s="106"/>
      <c r="C32" s="107"/>
      <c r="D32" s="108"/>
    </row>
    <row r="33" customFormat="1" spans="2:4">
      <c r="B33" s="106"/>
      <c r="C33" s="107"/>
      <c r="D33" s="108"/>
    </row>
    <row r="34" customFormat="1" spans="2:4">
      <c r="B34" s="106"/>
      <c r="C34" s="107"/>
      <c r="D34" s="108"/>
    </row>
    <row r="35" customFormat="1" spans="2:4">
      <c r="B35" s="106"/>
      <c r="C35" s="107"/>
      <c r="D35" s="108"/>
    </row>
    <row r="36" customFormat="1" spans="2:4">
      <c r="B36" s="106"/>
      <c r="C36" s="107"/>
      <c r="D36" s="108"/>
    </row>
    <row r="37" customFormat="1" spans="2:4">
      <c r="B37" s="106"/>
      <c r="C37" s="107"/>
      <c r="D37" s="108"/>
    </row>
    <row r="38" customFormat="1" spans="2:4">
      <c r="B38" s="106"/>
      <c r="C38" s="107"/>
      <c r="D38" s="108"/>
    </row>
    <row r="39" customFormat="1" spans="2:4">
      <c r="B39" s="106"/>
      <c r="C39" s="107"/>
      <c r="D39" s="108"/>
    </row>
    <row r="40" customFormat="1" spans="2:4">
      <c r="B40" s="106"/>
      <c r="C40" s="107"/>
      <c r="D40" s="108"/>
    </row>
    <row r="41" customFormat="1" spans="2:4">
      <c r="B41" s="106"/>
      <c r="C41" s="107"/>
      <c r="D41" s="108"/>
    </row>
    <row r="42" customFormat="1" spans="2:4">
      <c r="B42" s="106"/>
      <c r="C42" s="107"/>
      <c r="D42" s="108"/>
    </row>
    <row r="43" customFormat="1" spans="2:4">
      <c r="B43" s="106"/>
      <c r="C43" s="107"/>
      <c r="D43" s="108"/>
    </row>
    <row r="44" customFormat="1" ht="15.75" spans="2:4">
      <c r="B44" s="109" t="s">
        <v>2995</v>
      </c>
      <c r="C44" s="109"/>
      <c r="D44" s="108">
        <f>SUM(D11:D42)</f>
        <v>0.322916666671517</v>
      </c>
    </row>
    <row r="45" customFormat="1" spans="2:4">
      <c r="B45" s="106"/>
      <c r="C45" s="107"/>
      <c r="D45" s="108"/>
    </row>
    <row r="46" customFormat="1" spans="2:4">
      <c r="B46" s="107"/>
      <c r="C46" s="107"/>
      <c r="D46" s="108"/>
    </row>
    <row r="47" spans="2:4">
      <c r="B47" s="107"/>
      <c r="C47" s="107"/>
      <c r="D47" s="108"/>
    </row>
    <row r="48" spans="2:4">
      <c r="B48" s="107"/>
      <c r="C48" s="107"/>
      <c r="D48" s="108"/>
    </row>
    <row r="49" customFormat="1" spans="2:4">
      <c r="B49" s="107"/>
      <c r="C49" s="107"/>
      <c r="D49" s="108"/>
    </row>
    <row r="50" customFormat="1" spans="2:4">
      <c r="B50" s="106"/>
      <c r="C50" s="107"/>
      <c r="D50" s="108"/>
    </row>
    <row r="51" customFormat="1" spans="2:4">
      <c r="B51" s="106"/>
      <c r="C51" s="107"/>
      <c r="D51" s="108"/>
    </row>
    <row r="52" customFormat="1" spans="2:4">
      <c r="B52" s="106"/>
      <c r="C52" s="107"/>
      <c r="D52" s="108"/>
    </row>
    <row r="53" customFormat="1" spans="2:4">
      <c r="B53" s="106"/>
      <c r="C53" s="107"/>
      <c r="D53" s="108"/>
    </row>
    <row r="54" customFormat="1" spans="2:4">
      <c r="B54" s="107"/>
      <c r="C54" s="107"/>
      <c r="D54" s="108"/>
    </row>
    <row r="55" spans="4:4">
      <c r="D55" s="108"/>
    </row>
    <row r="56" spans="4:4">
      <c r="D56" s="108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B86"/>
  <sheetViews>
    <sheetView workbookViewId="0">
      <selection activeCell="F4" sqref="F4"/>
    </sheetView>
  </sheetViews>
  <sheetFormatPr defaultColWidth="9" defaultRowHeight="15"/>
  <cols>
    <col min="1" max="1" width="7" style="2" customWidth="1"/>
    <col min="2" max="2" width="13.4285714285714" style="2" customWidth="1"/>
    <col min="3" max="3" width="14" style="2" customWidth="1"/>
    <col min="4" max="4" width="14.1428571428571" style="2" customWidth="1"/>
    <col min="5" max="5" width="18" style="2" customWidth="1"/>
    <col min="6" max="6" width="12.5714285714286" style="2" customWidth="1"/>
    <col min="7" max="8" width="12" style="2" customWidth="1"/>
    <col min="9" max="9" width="12.5714285714286" style="2" customWidth="1"/>
    <col min="10" max="10" width="12" style="2" customWidth="1"/>
    <col min="11" max="11" width="13.1428571428571" style="2" customWidth="1"/>
    <col min="12" max="12" width="12.5714285714286" style="2" customWidth="1"/>
    <col min="13" max="13" width="12" style="2" customWidth="1"/>
    <col min="14" max="14" width="14" style="2" customWidth="1"/>
    <col min="15" max="15" width="14.5714285714286" style="2" customWidth="1"/>
    <col min="16" max="16" width="11.1428571428571" style="2" customWidth="1"/>
    <col min="17" max="17" width="11.7142857142857" style="2" customWidth="1"/>
    <col min="18" max="18" width="11.8571428571429" style="2" customWidth="1"/>
    <col min="19" max="19" width="12.5714285714286" style="2" customWidth="1"/>
    <col min="20" max="20" width="12" style="2" customWidth="1"/>
    <col min="21" max="21" width="14" style="2" customWidth="1"/>
    <col min="22" max="22" width="14.5714285714286" style="2" customWidth="1"/>
    <col min="23" max="23" width="9.14285714285714" style="2"/>
    <col min="24" max="24" width="12.2857142857143" style="2" customWidth="1"/>
    <col min="25" max="25" width="11.7142857142857" style="2" customWidth="1"/>
    <col min="26" max="16384" width="9.14285714285714" style="2"/>
  </cols>
  <sheetData>
    <row r="2" customFormat="1" customHeight="1" spans="2:8">
      <c r="B2" s="3" t="s">
        <v>2996</v>
      </c>
      <c r="C2" s="3"/>
      <c r="D2" s="3"/>
      <c r="E2" s="3"/>
      <c r="F2" s="4">
        <v>1</v>
      </c>
      <c r="G2" s="5"/>
      <c r="H2" s="5"/>
    </row>
    <row r="3" customFormat="1" customHeight="1" spans="2:8">
      <c r="B3" s="3"/>
      <c r="C3" s="3"/>
      <c r="D3" s="3"/>
      <c r="E3" s="3"/>
      <c r="F3" s="5"/>
      <c r="G3" s="5"/>
      <c r="H3" s="5"/>
    </row>
    <row r="8" spans="10:21">
      <c r="J8" s="48"/>
      <c r="K8" s="48"/>
      <c r="L8" s="48"/>
      <c r="U8" s="62"/>
    </row>
    <row r="9" ht="15.75" spans="10:21">
      <c r="J9" s="49"/>
      <c r="K9" s="49"/>
      <c r="L9" s="48"/>
      <c r="U9" s="62"/>
    </row>
    <row r="10" spans="21:21">
      <c r="U10" s="62"/>
    </row>
    <row r="11" ht="15.75" spans="21:21">
      <c r="U11" s="62"/>
    </row>
    <row r="12" ht="15.75" customHeight="1" spans="2:21">
      <c r="B12" s="6" t="s">
        <v>2988</v>
      </c>
      <c r="C12" s="7" t="s">
        <v>2997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63"/>
      <c r="U12" s="62"/>
    </row>
    <row r="13" customHeight="1" spans="2:21">
      <c r="B13" s="9"/>
      <c r="C13" s="10" t="s">
        <v>2998</v>
      </c>
      <c r="D13" s="11" t="s">
        <v>2999</v>
      </c>
      <c r="E13" s="11" t="s">
        <v>3000</v>
      </c>
      <c r="F13" s="11" t="s">
        <v>3001</v>
      </c>
      <c r="G13" s="11" t="s">
        <v>3002</v>
      </c>
      <c r="H13" s="11" t="s">
        <v>3003</v>
      </c>
      <c r="I13" s="11" t="s">
        <v>3004</v>
      </c>
      <c r="J13" s="11" t="s">
        <v>3005</v>
      </c>
      <c r="K13" s="11" t="s">
        <v>3006</v>
      </c>
      <c r="L13" s="11" t="s">
        <v>3007</v>
      </c>
      <c r="M13" s="11" t="s">
        <v>3008</v>
      </c>
      <c r="N13" s="11" t="s">
        <v>3009</v>
      </c>
      <c r="O13" s="11" t="s">
        <v>3010</v>
      </c>
      <c r="P13" s="50" t="s">
        <v>3011</v>
      </c>
      <c r="Q13" s="11" t="s">
        <v>3012</v>
      </c>
      <c r="R13" s="64"/>
      <c r="U13" s="62"/>
    </row>
    <row r="14" customHeight="1" spans="2:24">
      <c r="B14" s="9"/>
      <c r="C14" s="12"/>
      <c r="D14" s="13"/>
      <c r="E14" s="13"/>
      <c r="F14" s="13"/>
      <c r="G14" s="13"/>
      <c r="H14" s="13"/>
      <c r="I14" s="13"/>
      <c r="J14" s="13"/>
      <c r="K14" s="16"/>
      <c r="L14" s="16"/>
      <c r="M14" s="13"/>
      <c r="N14" s="13"/>
      <c r="O14" s="13"/>
      <c r="P14" s="13"/>
      <c r="Q14" s="13"/>
      <c r="R14" s="13"/>
      <c r="X14" s="65"/>
    </row>
    <row r="15" customHeight="1" spans="2:24">
      <c r="B15" s="9"/>
      <c r="C15" s="14" t="s">
        <v>3013</v>
      </c>
      <c r="D15" s="15" t="s">
        <v>3014</v>
      </c>
      <c r="E15" s="15" t="s">
        <v>3015</v>
      </c>
      <c r="F15" s="15" t="s">
        <v>3016</v>
      </c>
      <c r="G15" s="15" t="s">
        <v>3017</v>
      </c>
      <c r="H15" s="15" t="s">
        <v>3018</v>
      </c>
      <c r="I15" s="15" t="s">
        <v>3019</v>
      </c>
      <c r="J15" s="15" t="s">
        <v>3020</v>
      </c>
      <c r="K15" s="15" t="s">
        <v>3021</v>
      </c>
      <c r="L15" s="15" t="s">
        <v>3022</v>
      </c>
      <c r="M15" s="15" t="s">
        <v>3023</v>
      </c>
      <c r="N15" s="15" t="s">
        <v>3024</v>
      </c>
      <c r="O15" s="15" t="s">
        <v>3025</v>
      </c>
      <c r="P15" s="51" t="s">
        <v>3026</v>
      </c>
      <c r="Q15" s="15" t="s">
        <v>3027</v>
      </c>
      <c r="R15" s="66" t="s">
        <v>2966</v>
      </c>
      <c r="X15" s="65"/>
    </row>
    <row r="16" ht="15.75" customHeight="1" spans="2:24">
      <c r="B16" s="9"/>
      <c r="C16" s="16"/>
      <c r="D16" s="1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67"/>
      <c r="X16" s="65"/>
    </row>
    <row r="17" ht="15.75" customHeight="1" spans="2:24">
      <c r="B17" s="9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52"/>
      <c r="Q17" s="52"/>
      <c r="R17" s="68"/>
      <c r="X17" s="65"/>
    </row>
    <row r="18" ht="15.75" customHeight="1" spans="2:18">
      <c r="B18" s="9"/>
      <c r="C18" s="19" t="s">
        <v>2998</v>
      </c>
      <c r="D18" s="19" t="s">
        <v>2999</v>
      </c>
      <c r="E18" s="19" t="s">
        <v>3000</v>
      </c>
      <c r="F18" s="19" t="s">
        <v>3028</v>
      </c>
      <c r="G18" s="19" t="s">
        <v>3002</v>
      </c>
      <c r="H18" s="19" t="s">
        <v>3003</v>
      </c>
      <c r="I18" s="19" t="s">
        <v>3004</v>
      </c>
      <c r="J18" s="19" t="s">
        <v>3005</v>
      </c>
      <c r="K18" s="19" t="s">
        <v>3006</v>
      </c>
      <c r="L18" s="19" t="s">
        <v>3007</v>
      </c>
      <c r="M18" s="19" t="s">
        <v>3008</v>
      </c>
      <c r="N18" s="19" t="s">
        <v>3009</v>
      </c>
      <c r="O18" s="19" t="s">
        <v>3010</v>
      </c>
      <c r="P18" s="53" t="s">
        <v>3011</v>
      </c>
      <c r="Q18" s="19" t="s">
        <v>3012</v>
      </c>
      <c r="R18" s="68"/>
    </row>
    <row r="19" ht="15.75" spans="2:18">
      <c r="B19" s="20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68"/>
    </row>
    <row r="20" spans="2:18">
      <c r="B20" s="20"/>
      <c r="C20" s="19" t="s">
        <v>3013</v>
      </c>
      <c r="D20" s="15" t="s">
        <v>3014</v>
      </c>
      <c r="E20" s="15" t="s">
        <v>3015</v>
      </c>
      <c r="F20" s="15" t="s">
        <v>3016</v>
      </c>
      <c r="G20" s="15" t="s">
        <v>3017</v>
      </c>
      <c r="H20" s="15" t="s">
        <v>3018</v>
      </c>
      <c r="I20" s="15" t="s">
        <v>3019</v>
      </c>
      <c r="J20" s="15" t="s">
        <v>3020</v>
      </c>
      <c r="K20" s="15" t="s">
        <v>3021</v>
      </c>
      <c r="L20" s="15" t="s">
        <v>3022</v>
      </c>
      <c r="M20" s="15" t="s">
        <v>3023</v>
      </c>
      <c r="N20" s="15" t="s">
        <v>3024</v>
      </c>
      <c r="O20" s="15" t="s">
        <v>3025</v>
      </c>
      <c r="P20" s="51" t="s">
        <v>3026</v>
      </c>
      <c r="Q20" s="15" t="s">
        <v>3027</v>
      </c>
      <c r="R20" s="69" t="s">
        <v>2966</v>
      </c>
    </row>
    <row r="21" ht="16.5" spans="2:19">
      <c r="B21" s="21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70"/>
      <c r="R21" s="71"/>
      <c r="S21" s="72"/>
    </row>
    <row r="22" spans="10:10">
      <c r="J22" s="48"/>
    </row>
    <row r="23" s="1" customFormat="1" ht="15.75" customHeight="1" spans="2:27">
      <c r="B23" s="2"/>
      <c r="C23" s="2"/>
      <c r="D23" s="2"/>
      <c r="E23" s="2"/>
      <c r="F23" s="2"/>
      <c r="G23" s="2"/>
      <c r="H23" s="2"/>
      <c r="I23" s="2"/>
      <c r="J23" s="48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customHeight="1" spans="10:10">
      <c r="J24" s="48"/>
    </row>
    <row r="25" customHeight="1" spans="2:20">
      <c r="B25" s="22" t="s">
        <v>2976</v>
      </c>
      <c r="C25" s="23" t="s">
        <v>2997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73"/>
      <c r="S25" s="74"/>
      <c r="T25" s="75"/>
    </row>
    <row r="26" customHeight="1" spans="2:28">
      <c r="B26" s="22"/>
      <c r="C26" s="25" t="s">
        <v>2998</v>
      </c>
      <c r="D26" s="26" t="s">
        <v>3029</v>
      </c>
      <c r="E26" s="26" t="s">
        <v>3030</v>
      </c>
      <c r="F26" s="26" t="s">
        <v>3031</v>
      </c>
      <c r="G26" s="26" t="s">
        <v>3032</v>
      </c>
      <c r="H26" s="26" t="s">
        <v>3033</v>
      </c>
      <c r="I26" s="26" t="s">
        <v>3034</v>
      </c>
      <c r="J26" s="26" t="s">
        <v>3035</v>
      </c>
      <c r="K26" s="26" t="s">
        <v>3036</v>
      </c>
      <c r="L26" s="26" t="s">
        <v>3037</v>
      </c>
      <c r="M26" s="26" t="s">
        <v>3038</v>
      </c>
      <c r="N26" s="26" t="s">
        <v>3039</v>
      </c>
      <c r="O26" s="26" t="s">
        <v>3040</v>
      </c>
      <c r="P26" s="26" t="s">
        <v>3041</v>
      </c>
      <c r="Q26" s="26" t="s">
        <v>3042</v>
      </c>
      <c r="R26" s="26" t="s">
        <v>3043</v>
      </c>
      <c r="S26" s="26" t="s">
        <v>3044</v>
      </c>
      <c r="T26" s="76" t="s">
        <v>2966</v>
      </c>
      <c r="Z26" s="1"/>
      <c r="AA26" s="1"/>
      <c r="AB26" s="1"/>
    </row>
    <row r="27" ht="15.75" customHeight="1" spans="2:20">
      <c r="B27" s="2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57"/>
    </row>
    <row r="28" customHeight="1" spans="2:20">
      <c r="B28" s="22"/>
      <c r="C28" s="27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77"/>
      <c r="T28" s="77"/>
    </row>
    <row r="29" ht="15.75" customHeight="1" spans="2:20">
      <c r="B29" s="29"/>
      <c r="C29" s="30" t="s">
        <v>2998</v>
      </c>
      <c r="D29" s="31" t="s">
        <v>3029</v>
      </c>
      <c r="E29" s="31" t="s">
        <v>3030</v>
      </c>
      <c r="F29" s="31" t="s">
        <v>3031</v>
      </c>
      <c r="G29" s="31" t="s">
        <v>3032</v>
      </c>
      <c r="H29" s="31" t="s">
        <v>3033</v>
      </c>
      <c r="I29" s="31" t="s">
        <v>3034</v>
      </c>
      <c r="J29" s="31" t="s">
        <v>3035</v>
      </c>
      <c r="K29" s="31" t="s">
        <v>3036</v>
      </c>
      <c r="L29" s="31" t="s">
        <v>3037</v>
      </c>
      <c r="M29" s="31" t="s">
        <v>3038</v>
      </c>
      <c r="N29" s="31" t="s">
        <v>3039</v>
      </c>
      <c r="O29" s="31" t="s">
        <v>3040</v>
      </c>
      <c r="P29" s="31" t="s">
        <v>3041</v>
      </c>
      <c r="Q29" s="31" t="s">
        <v>3042</v>
      </c>
      <c r="R29" s="31" t="s">
        <v>3043</v>
      </c>
      <c r="S29" s="31" t="s">
        <v>3044</v>
      </c>
      <c r="T29" s="78" t="s">
        <v>2966</v>
      </c>
    </row>
    <row r="30" spans="2:20">
      <c r="B30" s="3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57"/>
    </row>
    <row r="31" spans="3:3">
      <c r="C31" s="33"/>
    </row>
    <row r="32" spans="3:3">
      <c r="C32" s="33"/>
    </row>
    <row r="33" customHeight="1" spans="3:3">
      <c r="C33" s="33"/>
    </row>
    <row r="34" ht="15.75" customHeight="1"/>
    <row r="35" customHeight="1"/>
    <row r="36" ht="15.75" customHeight="1" spans="2:15">
      <c r="B36" s="34" t="s">
        <v>2984</v>
      </c>
      <c r="C36" s="35" t="s">
        <v>2997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54"/>
    </row>
    <row r="37" ht="15.75" customHeight="1" spans="2:15">
      <c r="B37" s="36"/>
      <c r="C37" s="37" t="s">
        <v>2998</v>
      </c>
      <c r="D37" s="19" t="s">
        <v>3029</v>
      </c>
      <c r="E37" s="19" t="s">
        <v>3030</v>
      </c>
      <c r="F37" s="19" t="s">
        <v>3045</v>
      </c>
      <c r="G37" s="19" t="s">
        <v>3046</v>
      </c>
      <c r="H37" s="19" t="s">
        <v>3047</v>
      </c>
      <c r="I37" s="19" t="s">
        <v>3048</v>
      </c>
      <c r="J37" s="19" t="s">
        <v>3049</v>
      </c>
      <c r="K37" s="19" t="s">
        <v>3050</v>
      </c>
      <c r="L37" s="19" t="s">
        <v>3051</v>
      </c>
      <c r="M37" s="19" t="s">
        <v>3052</v>
      </c>
      <c r="N37" s="19" t="s">
        <v>3053</v>
      </c>
      <c r="O37" s="55" t="s">
        <v>3054</v>
      </c>
    </row>
    <row r="38" spans="2:25">
      <c r="B38" s="36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W38" s="1"/>
      <c r="X38" s="1"/>
      <c r="Y38" s="1"/>
    </row>
    <row r="39" spans="2:25">
      <c r="B39" s="36"/>
      <c r="C39" s="37" t="s">
        <v>3055</v>
      </c>
      <c r="D39" s="19" t="s">
        <v>3056</v>
      </c>
      <c r="E39" s="19" t="s">
        <v>3057</v>
      </c>
      <c r="F39" s="19" t="s">
        <v>3058</v>
      </c>
      <c r="G39" s="15" t="s">
        <v>3059</v>
      </c>
      <c r="H39" s="15" t="s">
        <v>3060</v>
      </c>
      <c r="I39" s="15" t="s">
        <v>3061</v>
      </c>
      <c r="J39" s="15" t="s">
        <v>3062</v>
      </c>
      <c r="K39" s="15" t="s">
        <v>3063</v>
      </c>
      <c r="L39" s="15" t="s">
        <v>3064</v>
      </c>
      <c r="M39" s="15" t="s">
        <v>3065</v>
      </c>
      <c r="N39" s="15" t="s">
        <v>3066</v>
      </c>
      <c r="O39" s="56" t="s">
        <v>2966</v>
      </c>
      <c r="W39" s="1"/>
      <c r="X39" s="1"/>
      <c r="Y39" s="1"/>
    </row>
    <row r="40" spans="2:25">
      <c r="B40" s="3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57"/>
      <c r="W40" s="1"/>
      <c r="X40" s="1"/>
      <c r="Y40" s="1"/>
    </row>
    <row r="41" spans="2:15">
      <c r="B41" s="38"/>
      <c r="C41" s="39"/>
      <c r="D41" s="18"/>
      <c r="E41" s="18"/>
      <c r="F41" s="18"/>
      <c r="G41" s="18"/>
      <c r="H41" s="18"/>
      <c r="I41" s="18"/>
      <c r="J41" s="58"/>
      <c r="K41" s="18"/>
      <c r="L41" s="18"/>
      <c r="M41" s="18"/>
      <c r="N41" s="18"/>
      <c r="O41" s="59"/>
    </row>
    <row r="42" ht="15.75" customHeight="1" spans="2:15">
      <c r="B42" s="38"/>
      <c r="C42" s="37" t="s">
        <v>2998</v>
      </c>
      <c r="D42" s="19" t="s">
        <v>3029</v>
      </c>
      <c r="E42" s="19" t="s">
        <v>3030</v>
      </c>
      <c r="F42" s="19" t="s">
        <v>3045</v>
      </c>
      <c r="G42" s="19" t="s">
        <v>3046</v>
      </c>
      <c r="H42" s="19" t="s">
        <v>3047</v>
      </c>
      <c r="I42" s="19" t="s">
        <v>3048</v>
      </c>
      <c r="J42" s="19" t="s">
        <v>3049</v>
      </c>
      <c r="K42" s="19" t="s">
        <v>3050</v>
      </c>
      <c r="L42" s="19" t="s">
        <v>3051</v>
      </c>
      <c r="M42" s="19" t="s">
        <v>3052</v>
      </c>
      <c r="N42" s="19" t="s">
        <v>3053</v>
      </c>
      <c r="O42" s="55" t="s">
        <v>3054</v>
      </c>
    </row>
    <row r="43" customHeight="1" spans="2:15">
      <c r="B43" s="38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customHeight="1" spans="2:18">
      <c r="B44" s="38"/>
      <c r="C44" s="37" t="s">
        <v>3055</v>
      </c>
      <c r="D44" s="19" t="s">
        <v>3056</v>
      </c>
      <c r="E44" s="19" t="s">
        <v>3057</v>
      </c>
      <c r="F44" s="19" t="s">
        <v>3058</v>
      </c>
      <c r="G44" s="15" t="s">
        <v>3059</v>
      </c>
      <c r="H44" s="15" t="s">
        <v>3060</v>
      </c>
      <c r="I44" s="15" t="s">
        <v>3061</v>
      </c>
      <c r="J44" s="15" t="s">
        <v>3062</v>
      </c>
      <c r="K44" s="15" t="s">
        <v>3063</v>
      </c>
      <c r="L44" s="15" t="s">
        <v>3064</v>
      </c>
      <c r="M44" s="15" t="s">
        <v>3065</v>
      </c>
      <c r="N44" s="15" t="s">
        <v>3066</v>
      </c>
      <c r="O44" s="56" t="s">
        <v>2966</v>
      </c>
      <c r="R44" s="79"/>
    </row>
    <row r="45" customHeight="1" spans="2:18">
      <c r="B45" s="40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60"/>
      <c r="R45" s="80"/>
    </row>
    <row r="46" ht="15.75" customHeight="1" spans="10:25">
      <c r="J46" s="61"/>
      <c r="R46" s="81"/>
      <c r="Y46" s="1"/>
    </row>
    <row r="47" ht="16.5" spans="10:18">
      <c r="J47" s="61"/>
      <c r="R47" s="80"/>
    </row>
    <row r="48" spans="2:18">
      <c r="B48" s="41" t="s">
        <v>2954</v>
      </c>
      <c r="C48" s="42" t="s">
        <v>2997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82"/>
      <c r="R48" s="81"/>
    </row>
    <row r="49" spans="2:17">
      <c r="B49" s="44"/>
      <c r="C49" s="37" t="s">
        <v>2998</v>
      </c>
      <c r="D49" s="19" t="s">
        <v>3020</v>
      </c>
      <c r="E49" s="19" t="s">
        <v>3067</v>
      </c>
      <c r="F49" s="19" t="s">
        <v>3068</v>
      </c>
      <c r="G49" s="19" t="s">
        <v>3069</v>
      </c>
      <c r="H49" s="19" t="s">
        <v>3070</v>
      </c>
      <c r="I49" s="19" t="s">
        <v>3071</v>
      </c>
      <c r="J49" s="19" t="s">
        <v>3005</v>
      </c>
      <c r="K49" s="19" t="s">
        <v>3072</v>
      </c>
      <c r="L49" s="19" t="s">
        <v>3073</v>
      </c>
      <c r="M49" s="19" t="s">
        <v>3074</v>
      </c>
      <c r="N49" s="19" t="s">
        <v>3075</v>
      </c>
      <c r="O49" s="19" t="s">
        <v>3076</v>
      </c>
      <c r="P49" s="19" t="s">
        <v>3077</v>
      </c>
      <c r="Q49" s="55" t="s">
        <v>3078</v>
      </c>
    </row>
    <row r="50" spans="2:17">
      <c r="B50" s="44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2:17">
      <c r="B51" s="44"/>
      <c r="C51" s="37" t="s">
        <v>3079</v>
      </c>
      <c r="D51" s="19" t="s">
        <v>3080</v>
      </c>
      <c r="E51" s="19" t="s">
        <v>3081</v>
      </c>
      <c r="F51" s="19" t="s">
        <v>3082</v>
      </c>
      <c r="G51" s="19" t="s">
        <v>3083</v>
      </c>
      <c r="H51" s="19" t="s">
        <v>3084</v>
      </c>
      <c r="I51" s="15" t="s">
        <v>3085</v>
      </c>
      <c r="J51" s="15" t="s">
        <v>3086</v>
      </c>
      <c r="K51" s="15" t="s">
        <v>3087</v>
      </c>
      <c r="L51" s="15" t="s">
        <v>3030</v>
      </c>
      <c r="M51" s="15" t="s">
        <v>3088</v>
      </c>
      <c r="N51" s="15" t="s">
        <v>3026</v>
      </c>
      <c r="O51" s="15" t="s">
        <v>3089</v>
      </c>
      <c r="P51" s="15" t="s">
        <v>3090</v>
      </c>
      <c r="Q51" s="56" t="s">
        <v>2966</v>
      </c>
    </row>
    <row r="52" ht="15.75" spans="2:17">
      <c r="B52" s="4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60"/>
    </row>
    <row r="53" spans="2:17">
      <c r="B53" s="3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59"/>
    </row>
    <row r="54" spans="2:17">
      <c r="B54" s="38"/>
      <c r="C54" s="37" t="s">
        <v>2998</v>
      </c>
      <c r="D54" s="19" t="s">
        <v>3020</v>
      </c>
      <c r="E54" s="19" t="s">
        <v>3067</v>
      </c>
      <c r="F54" s="19" t="s">
        <v>3068</v>
      </c>
      <c r="G54" s="19" t="s">
        <v>3069</v>
      </c>
      <c r="H54" s="19" t="s">
        <v>3070</v>
      </c>
      <c r="I54" s="19" t="s">
        <v>3071</v>
      </c>
      <c r="J54" s="19" t="s">
        <v>3005</v>
      </c>
      <c r="K54" s="19" t="s">
        <v>3072</v>
      </c>
      <c r="L54" s="19" t="s">
        <v>3073</v>
      </c>
      <c r="M54" s="19" t="s">
        <v>3074</v>
      </c>
      <c r="N54" s="19" t="s">
        <v>3075</v>
      </c>
      <c r="O54" s="19" t="s">
        <v>3076</v>
      </c>
      <c r="P54" s="19" t="s">
        <v>3077</v>
      </c>
      <c r="Q54" s="55" t="s">
        <v>3078</v>
      </c>
    </row>
    <row r="55" spans="2:17">
      <c r="B55" s="38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2:17">
      <c r="B56" s="38"/>
      <c r="C56" s="37" t="s">
        <v>3079</v>
      </c>
      <c r="D56" s="19" t="s">
        <v>3080</v>
      </c>
      <c r="E56" s="19" t="s">
        <v>3081</v>
      </c>
      <c r="F56" s="19" t="s">
        <v>3082</v>
      </c>
      <c r="G56" s="19" t="s">
        <v>3083</v>
      </c>
      <c r="H56" s="19" t="s">
        <v>3084</v>
      </c>
      <c r="I56" s="15" t="s">
        <v>3085</v>
      </c>
      <c r="J56" s="15" t="s">
        <v>3086</v>
      </c>
      <c r="K56" s="15" t="s">
        <v>3087</v>
      </c>
      <c r="L56" s="15" t="s">
        <v>3030</v>
      </c>
      <c r="M56" s="15" t="s">
        <v>3088</v>
      </c>
      <c r="N56" s="15" t="s">
        <v>3026</v>
      </c>
      <c r="O56" s="15" t="s">
        <v>3089</v>
      </c>
      <c r="P56" s="15" t="s">
        <v>3090</v>
      </c>
      <c r="Q56" s="56" t="s">
        <v>2966</v>
      </c>
    </row>
    <row r="57" ht="16.5" spans="2:17">
      <c r="B57" s="21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60"/>
    </row>
    <row r="61" spans="2:20">
      <c r="B61" s="22" t="s">
        <v>3091</v>
      </c>
      <c r="C61" s="23" t="s">
        <v>2997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73"/>
      <c r="S61" s="83"/>
      <c r="T61" s="84"/>
    </row>
    <row r="62" spans="2:20">
      <c r="B62" s="22"/>
      <c r="C62" s="45" t="s">
        <v>2998</v>
      </c>
      <c r="D62" s="45" t="s">
        <v>3092</v>
      </c>
      <c r="E62" s="45" t="s">
        <v>3093</v>
      </c>
      <c r="F62" s="45" t="s">
        <v>3094</v>
      </c>
      <c r="G62" s="45" t="s">
        <v>3095</v>
      </c>
      <c r="H62" s="45" t="s">
        <v>3096</v>
      </c>
      <c r="I62" s="45" t="s">
        <v>3097</v>
      </c>
      <c r="J62" s="45" t="s">
        <v>3098</v>
      </c>
      <c r="K62" s="45" t="s">
        <v>3099</v>
      </c>
      <c r="L62" s="45" t="s">
        <v>3100</v>
      </c>
      <c r="M62" s="45" t="s">
        <v>3101</v>
      </c>
      <c r="N62" s="45" t="s">
        <v>3102</v>
      </c>
      <c r="O62" s="45" t="s">
        <v>3103</v>
      </c>
      <c r="P62" s="45" t="s">
        <v>3104</v>
      </c>
      <c r="Q62" s="45" t="s">
        <v>3105</v>
      </c>
      <c r="R62" s="45" t="s">
        <v>3106</v>
      </c>
      <c r="S62" s="85" t="s">
        <v>3107</v>
      </c>
      <c r="T62" s="76" t="s">
        <v>2966</v>
      </c>
    </row>
    <row r="63" ht="15.75" spans="2:20">
      <c r="B63" s="46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60"/>
    </row>
    <row r="64" spans="2:20">
      <c r="B64" s="46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86"/>
      <c r="T64" s="86"/>
    </row>
    <row r="65" spans="2:20">
      <c r="B65" s="29"/>
      <c r="C65" s="87" t="s">
        <v>2998</v>
      </c>
      <c r="D65" s="87" t="s">
        <v>3092</v>
      </c>
      <c r="E65" s="87" t="s">
        <v>3093</v>
      </c>
      <c r="F65" s="87" t="s">
        <v>3094</v>
      </c>
      <c r="G65" s="87" t="s">
        <v>3095</v>
      </c>
      <c r="H65" s="87" t="s">
        <v>3096</v>
      </c>
      <c r="I65" s="87" t="s">
        <v>3097</v>
      </c>
      <c r="J65" s="87" t="s">
        <v>3098</v>
      </c>
      <c r="K65" s="87" t="s">
        <v>3099</v>
      </c>
      <c r="L65" s="87" t="s">
        <v>3100</v>
      </c>
      <c r="M65" s="87" t="s">
        <v>3101</v>
      </c>
      <c r="N65" s="87" t="s">
        <v>3102</v>
      </c>
      <c r="O65" s="87" t="s">
        <v>3103</v>
      </c>
      <c r="P65" s="87" t="s">
        <v>3104</v>
      </c>
      <c r="Q65" s="87" t="s">
        <v>3105</v>
      </c>
      <c r="R65" s="87" t="s">
        <v>3106</v>
      </c>
      <c r="S65" s="95" t="s">
        <v>3107</v>
      </c>
      <c r="T65" s="78" t="s">
        <v>2966</v>
      </c>
    </row>
    <row r="66" ht="15.75" spans="2:20">
      <c r="B66" s="32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60"/>
    </row>
    <row r="69" spans="2:20">
      <c r="B69" s="22" t="s">
        <v>3108</v>
      </c>
      <c r="C69" s="23" t="s">
        <v>2997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73"/>
      <c r="S69" s="83"/>
      <c r="T69" s="84"/>
    </row>
    <row r="70" spans="2:20">
      <c r="B70" s="22"/>
      <c r="C70" s="87" t="s">
        <v>2998</v>
      </c>
      <c r="D70" s="87" t="s">
        <v>3092</v>
      </c>
      <c r="E70" s="87" t="s">
        <v>3093</v>
      </c>
      <c r="F70" s="87" t="s">
        <v>3094</v>
      </c>
      <c r="G70" s="87" t="s">
        <v>3095</v>
      </c>
      <c r="H70" s="87" t="s">
        <v>3096</v>
      </c>
      <c r="I70" s="87" t="s">
        <v>3097</v>
      </c>
      <c r="J70" s="87" t="s">
        <v>3098</v>
      </c>
      <c r="K70" s="87" t="s">
        <v>3099</v>
      </c>
      <c r="L70" s="87" t="s">
        <v>3100</v>
      </c>
      <c r="M70" s="87" t="s">
        <v>3101</v>
      </c>
      <c r="N70" s="87" t="s">
        <v>3102</v>
      </c>
      <c r="O70" s="87" t="s">
        <v>3103</v>
      </c>
      <c r="P70" s="87" t="s">
        <v>3104</v>
      </c>
      <c r="Q70" s="87" t="s">
        <v>3105</v>
      </c>
      <c r="R70" s="87" t="s">
        <v>3106</v>
      </c>
      <c r="S70" s="95" t="s">
        <v>3107</v>
      </c>
      <c r="T70" s="78" t="s">
        <v>2966</v>
      </c>
    </row>
    <row r="71" ht="15.75" spans="2:20">
      <c r="B71" s="22"/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60"/>
    </row>
    <row r="72" spans="2:20">
      <c r="B72" s="46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86"/>
      <c r="T72" s="86"/>
    </row>
    <row r="73" spans="2:20">
      <c r="B73" s="29"/>
      <c r="C73" s="87" t="s">
        <v>2998</v>
      </c>
      <c r="D73" s="87" t="s">
        <v>3092</v>
      </c>
      <c r="E73" s="87" t="s">
        <v>3093</v>
      </c>
      <c r="F73" s="87" t="s">
        <v>3094</v>
      </c>
      <c r="G73" s="87" t="s">
        <v>3095</v>
      </c>
      <c r="H73" s="87" t="s">
        <v>3096</v>
      </c>
      <c r="I73" s="87" t="s">
        <v>3097</v>
      </c>
      <c r="J73" s="87" t="s">
        <v>3098</v>
      </c>
      <c r="K73" s="87" t="s">
        <v>3099</v>
      </c>
      <c r="L73" s="87" t="s">
        <v>3100</v>
      </c>
      <c r="M73" s="87" t="s">
        <v>3101</v>
      </c>
      <c r="N73" s="87" t="s">
        <v>3102</v>
      </c>
      <c r="O73" s="87" t="s">
        <v>3103</v>
      </c>
      <c r="P73" s="87" t="s">
        <v>3104</v>
      </c>
      <c r="Q73" s="87" t="s">
        <v>3105</v>
      </c>
      <c r="R73" s="87" t="s">
        <v>3106</v>
      </c>
      <c r="S73" s="95" t="s">
        <v>3107</v>
      </c>
      <c r="T73" s="78" t="s">
        <v>2966</v>
      </c>
    </row>
    <row r="74" ht="15.75" spans="2:20">
      <c r="B74" s="32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60"/>
    </row>
    <row r="77" spans="2:20">
      <c r="B77" s="88" t="s">
        <v>2986</v>
      </c>
      <c r="C77" s="73" t="s">
        <v>2997</v>
      </c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23"/>
    </row>
    <row r="78" spans="2:20">
      <c r="B78" s="90"/>
      <c r="C78" s="26" t="s">
        <v>2998</v>
      </c>
      <c r="D78" s="26" t="s">
        <v>3109</v>
      </c>
      <c r="E78" s="26" t="s">
        <v>3110</v>
      </c>
      <c r="F78" s="26" t="s">
        <v>3111</v>
      </c>
      <c r="G78" s="26" t="s">
        <v>3112</v>
      </c>
      <c r="H78" s="91" t="s">
        <v>3113</v>
      </c>
      <c r="I78" s="91" t="s">
        <v>3114</v>
      </c>
      <c r="J78" s="91" t="s">
        <v>3115</v>
      </c>
      <c r="K78" s="91" t="s">
        <v>3116</v>
      </c>
      <c r="L78" s="91" t="s">
        <v>3029</v>
      </c>
      <c r="M78" s="26" t="s">
        <v>3117</v>
      </c>
      <c r="N78" s="91" t="s">
        <v>3118</v>
      </c>
      <c r="O78" s="91" t="s">
        <v>3110</v>
      </c>
      <c r="P78" s="91" t="s">
        <v>3119</v>
      </c>
      <c r="Q78" s="91" t="s">
        <v>3120</v>
      </c>
      <c r="R78" s="91" t="s">
        <v>3110</v>
      </c>
      <c r="S78" s="91" t="s">
        <v>3121</v>
      </c>
      <c r="T78" s="87" t="s">
        <v>3110</v>
      </c>
    </row>
    <row r="79" spans="2:20">
      <c r="B79" s="90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2:20">
      <c r="B80" s="90"/>
      <c r="C80" s="87" t="s">
        <v>3122</v>
      </c>
      <c r="D80" s="87" t="s">
        <v>3123</v>
      </c>
      <c r="E80" s="87" t="s">
        <v>3124</v>
      </c>
      <c r="F80" s="87" t="s">
        <v>3110</v>
      </c>
      <c r="G80" s="87" t="s">
        <v>3119</v>
      </c>
      <c r="H80" s="87" t="s">
        <v>3125</v>
      </c>
      <c r="I80" s="87" t="s">
        <v>3110</v>
      </c>
      <c r="J80" s="87" t="s">
        <v>3126</v>
      </c>
      <c r="K80" s="87" t="s">
        <v>3127</v>
      </c>
      <c r="L80" s="87" t="s">
        <v>3128</v>
      </c>
      <c r="M80" s="87" t="s">
        <v>3110</v>
      </c>
      <c r="N80" s="87" t="s">
        <v>3129</v>
      </c>
      <c r="O80" s="95" t="s">
        <v>3110</v>
      </c>
      <c r="P80" s="95" t="s">
        <v>3130</v>
      </c>
      <c r="Q80" s="95" t="s">
        <v>3110</v>
      </c>
      <c r="R80" s="95" t="s">
        <v>3131</v>
      </c>
      <c r="S80" s="95" t="s">
        <v>3110</v>
      </c>
      <c r="T80" s="78" t="s">
        <v>2966</v>
      </c>
    </row>
    <row r="81" ht="15.75" spans="2:20">
      <c r="B81" s="90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60" t="s">
        <v>3132</v>
      </c>
    </row>
    <row r="82" spans="2:20">
      <c r="B82" s="90"/>
      <c r="C82" s="92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47"/>
      <c r="Q82" s="47"/>
      <c r="R82" s="96"/>
      <c r="S82" s="86"/>
      <c r="T82" s="97"/>
    </row>
    <row r="83" spans="2:20">
      <c r="B83" s="90"/>
      <c r="C83" s="31" t="s">
        <v>2998</v>
      </c>
      <c r="D83" s="31" t="s">
        <v>3109</v>
      </c>
      <c r="E83" s="31" t="s">
        <v>3110</v>
      </c>
      <c r="F83" s="31" t="s">
        <v>3111</v>
      </c>
      <c r="G83" s="31" t="s">
        <v>3112</v>
      </c>
      <c r="H83" s="87" t="s">
        <v>3113</v>
      </c>
      <c r="I83" s="87" t="s">
        <v>3114</v>
      </c>
      <c r="J83" s="87" t="s">
        <v>3115</v>
      </c>
      <c r="K83" s="87" t="s">
        <v>3116</v>
      </c>
      <c r="L83" s="87" t="s">
        <v>3029</v>
      </c>
      <c r="M83" s="31" t="s">
        <v>3117</v>
      </c>
      <c r="N83" s="87" t="s">
        <v>3118</v>
      </c>
      <c r="O83" s="87" t="s">
        <v>3110</v>
      </c>
      <c r="P83" s="87" t="s">
        <v>3119</v>
      </c>
      <c r="Q83" s="87" t="s">
        <v>3120</v>
      </c>
      <c r="R83" s="87" t="s">
        <v>3110</v>
      </c>
      <c r="S83" s="87" t="s">
        <v>3121</v>
      </c>
      <c r="T83" s="87" t="s">
        <v>3110</v>
      </c>
    </row>
    <row r="84" spans="2:20">
      <c r="B84" s="93"/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2:20">
      <c r="B85" s="93"/>
      <c r="C85" s="87" t="s">
        <v>3122</v>
      </c>
      <c r="D85" s="87" t="s">
        <v>3123</v>
      </c>
      <c r="E85" s="87" t="s">
        <v>3124</v>
      </c>
      <c r="F85" s="87" t="s">
        <v>3110</v>
      </c>
      <c r="G85" s="87" t="s">
        <v>3119</v>
      </c>
      <c r="H85" s="87" t="s">
        <v>3125</v>
      </c>
      <c r="I85" s="87" t="s">
        <v>3110</v>
      </c>
      <c r="J85" s="87" t="s">
        <v>3126</v>
      </c>
      <c r="K85" s="87" t="s">
        <v>3127</v>
      </c>
      <c r="L85" s="87" t="s">
        <v>3128</v>
      </c>
      <c r="M85" s="87" t="s">
        <v>3110</v>
      </c>
      <c r="N85" s="87" t="s">
        <v>3129</v>
      </c>
      <c r="O85" s="95" t="s">
        <v>3110</v>
      </c>
      <c r="P85" s="95" t="s">
        <v>3130</v>
      </c>
      <c r="Q85" s="95" t="s">
        <v>3110</v>
      </c>
      <c r="R85" s="95" t="s">
        <v>3131</v>
      </c>
      <c r="S85" s="95" t="s">
        <v>3110</v>
      </c>
      <c r="T85" s="76" t="s">
        <v>2966</v>
      </c>
    </row>
    <row r="86" ht="15.75" spans="2:20">
      <c r="B86" s="94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60"/>
    </row>
  </sheetData>
  <mergeCells count="15">
    <mergeCell ref="C12:Q12"/>
    <mergeCell ref="C25:R25"/>
    <mergeCell ref="C36:O36"/>
    <mergeCell ref="C61:R61"/>
    <mergeCell ref="C69:R69"/>
    <mergeCell ref="C77:Q77"/>
    <mergeCell ref="B12:B18"/>
    <mergeCell ref="B25:B29"/>
    <mergeCell ref="B36:B40"/>
    <mergeCell ref="B48:B52"/>
    <mergeCell ref="B61:B65"/>
    <mergeCell ref="B69:B73"/>
    <mergeCell ref="B77:B83"/>
    <mergeCell ref="B2:E3"/>
    <mergeCell ref="F2:H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wbpcb</Company>
  <Application>Microsoft Excel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dcterms:created xsi:type="dcterms:W3CDTF">2013-08-23T16:44:00Z</dcterms:created>
  <cp:lastPrinted>2018-05-18T12:00:00Z</cp:lastPrinted>
  <dcterms:modified xsi:type="dcterms:W3CDTF">2023-05-29T14:40:26Z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2847E57DECA841B5910CFE33C330A0E0</vt:lpwstr>
  </property>
  <property fmtid="{D5CDD505-2E9C-101B-9397-08002B2CF9AE}" pid="3" name="KSOProductBuildVer">
    <vt:lpwstr>1033-11.2.0.11219</vt:lpwstr>
  </property>
</Properties>
</file>